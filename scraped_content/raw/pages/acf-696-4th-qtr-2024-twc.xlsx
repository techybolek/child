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externalLinks/externalLink1.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externalLinks/externalLink2.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5.xml" ContentType="application/vnd.openxmlformats-officedocument.spreadsheetml.comments+xml"/>
  <Override PartName="/xl/comments6.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hidePivotFieldList="1" defaultThemeVersion="124226"/>
  <mc:AlternateContent xmlns:mc="http://schemas.openxmlformats.org/markup-compatibility/2006">
    <mc:Choice Requires="x15">
      <x15ac:absPath xmlns:x15ac="http://schemas.microsoft.com/office/spreadsheetml/2010/11/ac" url="P:\FSReports\CHILD CARE\Reports\ACF-696\Philip Warner\"/>
    </mc:Choice>
  </mc:AlternateContent>
  <xr:revisionPtr revIDLastSave="0" documentId="8_{8B5CCF9B-2AFB-4635-BACB-2CBF2419C8C5}" xr6:coauthVersionLast="47" xr6:coauthVersionMax="47" xr10:uidLastSave="{00000000-0000-0000-0000-000000000000}"/>
  <bookViews>
    <workbookView xWindow="-28920" yWindow="-120" windowWidth="29040" windowHeight="15720" tabRatio="844" activeTab="6" xr2:uid="{00000000-000D-0000-FFFF-FFFF00000000}"/>
  </bookViews>
  <sheets>
    <sheet name="2101TXCCDF" sheetId="137" r:id="rId1"/>
    <sheet name="2201TXCCDF" sheetId="136" r:id="rId2"/>
    <sheet name="New-21 x-ref" sheetId="90" state="hidden" r:id="rId3"/>
    <sheet name="New-22 x-ref " sheetId="93" state="hidden" r:id="rId4"/>
    <sheet name="2301TXCCDF" sheetId="138" r:id="rId5"/>
    <sheet name="New-23 x-ref " sheetId="91" state="hidden" r:id="rId6"/>
    <sheet name="2401TXCCDF" sheetId="139" r:id="rId7"/>
    <sheet name="New-24 x-ref " sheetId="133" state="hidden" r:id="rId8"/>
    <sheet name="2021 Certs Recd " sheetId="56" state="hidden" r:id="rId9"/>
  </sheets>
  <externalReferences>
    <externalReference r:id="rId10"/>
    <externalReference r:id="rId11"/>
    <externalReference r:id="rId12"/>
  </externalReferences>
  <definedNames>
    <definedName name="_xlnm._FilterDatabase" localSheetId="8" hidden="1">'2021 Certs Recd '!$A$21:$N$370</definedName>
    <definedName name="_xlnm.Print_Area" localSheetId="8">'2021 Certs Recd '!$A$1:$L$16</definedName>
    <definedName name="_xlnm.Print_Area" localSheetId="0">'2101TXCCDF'!$A$1:$J$43</definedName>
    <definedName name="_xlnm.Print_Area" localSheetId="1">'2201TXCCDF'!$A$1:$K$43</definedName>
    <definedName name="_xlnm.Print_Area" localSheetId="4">'2301TXCCDF'!$A$1:$J$43</definedName>
    <definedName name="_xlnm.Print_Area" localSheetId="6">'2401TXCCDF'!$A$1:$J$43</definedName>
    <definedName name="_xlnm.Print_Area" localSheetId="2">'New-21 x-ref'!$A$1:$L$47</definedName>
    <definedName name="_xlnm.Print_Area" localSheetId="3">'New-22 x-ref '!$A$1:$AB$103</definedName>
    <definedName name="_xlnm.Print_Area" localSheetId="5">'New-23 x-ref '!$A$1:$AC$78</definedName>
    <definedName name="_xlnm.Print_Area" localSheetId="7">'New-24 x-ref '!$A$1:$AD$79</definedName>
    <definedName name="STDISCALLOT1">[1]CIF!$D$55</definedName>
    <definedName name="STDISCALLOT2">[1]CIF!$D$56</definedName>
    <definedName name="TTDISCALLOT">[2]CIF!$D$50</definedName>
    <definedName name="Var_DatasetAgeGroupDescription">[3]System!$B$9</definedName>
  </definedNames>
  <calcPr calcId="191029"/>
  <pivotCaches>
    <pivotCache cacheId="84" r:id="rId13"/>
    <pivotCache cacheId="85"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1" i="133" l="1"/>
  <c r="D34" i="133" l="1"/>
  <c r="C34" i="133"/>
  <c r="B34" i="133" l="1"/>
  <c r="C30" i="133" l="1"/>
  <c r="H45" i="133"/>
  <c r="O29" i="91" l="1"/>
  <c r="P16" i="91" l="1"/>
  <c r="O16" i="91" l="1"/>
  <c r="Q16" i="91"/>
  <c r="N16" i="91"/>
  <c r="Q26" i="91" l="1"/>
  <c r="O26" i="91"/>
  <c r="P26" i="91"/>
  <c r="N26" i="91"/>
  <c r="O33" i="93"/>
  <c r="P33" i="93"/>
  <c r="Q33" i="93"/>
  <c r="N33" i="93"/>
  <c r="T8" i="90"/>
  <c r="T9" i="90"/>
  <c r="T10" i="90"/>
  <c r="Q28" i="91" l="1"/>
  <c r="Q35" i="93"/>
  <c r="D30" i="133" l="1"/>
  <c r="B30" i="133"/>
  <c r="H46" i="133" l="1"/>
  <c r="C32" i="133"/>
  <c r="B32" i="133"/>
  <c r="V23" i="133"/>
  <c r="G11" i="133"/>
  <c r="G6" i="133" s="1"/>
  <c r="F11" i="133"/>
  <c r="F6" i="133" s="1"/>
  <c r="V10" i="133"/>
  <c r="V9" i="133"/>
  <c r="E9" i="133"/>
  <c r="B9" i="133"/>
  <c r="V8" i="133"/>
  <c r="K6" i="133"/>
  <c r="J6" i="133"/>
  <c r="I6" i="133"/>
  <c r="D10" i="133"/>
  <c r="F46" i="133" l="1"/>
  <c r="F45" i="133"/>
  <c r="G46" i="133"/>
  <c r="G45" i="133"/>
  <c r="AC10" i="133"/>
  <c r="B7" i="133"/>
  <c r="B10" i="133"/>
  <c r="B12" i="133"/>
  <c r="B13" i="133"/>
  <c r="D8" i="133"/>
  <c r="D13" i="133"/>
  <c r="C13" i="133"/>
  <c r="C12" i="133"/>
  <c r="C9" i="133"/>
  <c r="D9" i="133"/>
  <c r="E12" i="133"/>
  <c r="E13" i="133"/>
  <c r="C8" i="133"/>
  <c r="L8" i="133" l="1"/>
  <c r="U7" i="133"/>
  <c r="C18" i="133"/>
  <c r="E10" i="133"/>
  <c r="E7" i="133"/>
  <c r="L9" i="133"/>
  <c r="Y9" i="133"/>
  <c r="Y8" i="133"/>
  <c r="E17" i="133"/>
  <c r="C7" i="133"/>
  <c r="C28" i="133" l="1"/>
  <c r="C29" i="133" s="1"/>
  <c r="B28" i="133"/>
  <c r="B29" i="133" s="1"/>
  <c r="C17" i="133"/>
  <c r="U25" i="133" s="1"/>
  <c r="V25" i="133" s="1"/>
  <c r="E19" i="133"/>
  <c r="C19" i="133" l="1"/>
  <c r="C10" i="133"/>
  <c r="AA10" i="133" s="1"/>
  <c r="U24" i="133" l="1"/>
  <c r="V24" i="133" s="1"/>
  <c r="L10" i="133"/>
  <c r="D14" i="133" l="1"/>
  <c r="D12" i="133"/>
  <c r="B32" i="91"/>
  <c r="C32" i="91"/>
  <c r="B32" i="93"/>
  <c r="C32" i="93"/>
  <c r="C30" i="91"/>
  <c r="B9" i="93"/>
  <c r="E9" i="93"/>
  <c r="U9" i="93"/>
  <c r="U10" i="93"/>
  <c r="U11" i="93"/>
  <c r="U17" i="93"/>
  <c r="U18" i="93"/>
  <c r="U19" i="93"/>
  <c r="U20" i="93"/>
  <c r="U21" i="93"/>
  <c r="U22" i="93"/>
  <c r="U24" i="93"/>
  <c r="U26" i="93"/>
  <c r="U27" i="93"/>
  <c r="U28" i="93"/>
  <c r="C30" i="93"/>
  <c r="D30" i="93"/>
  <c r="U34" i="93"/>
  <c r="T36" i="93"/>
  <c r="T35" i="93"/>
  <c r="B9" i="90"/>
  <c r="E9" i="90"/>
  <c r="B9" i="91"/>
  <c r="E9" i="91"/>
  <c r="U8" i="91"/>
  <c r="U9" i="91"/>
  <c r="U10" i="91"/>
  <c r="S30" i="93"/>
  <c r="K22" i="90"/>
  <c r="K23" i="90"/>
  <c r="D8" i="93"/>
  <c r="AJ44" i="56"/>
  <c r="AE56" i="56"/>
  <c r="AB49" i="56"/>
  <c r="AD43" i="56"/>
  <c r="AB26" i="56"/>
  <c r="AB28" i="56"/>
  <c r="AB32" i="56"/>
  <c r="AL24" i="56"/>
  <c r="AL49" i="56"/>
  <c r="AL51" i="56"/>
  <c r="AD49" i="56"/>
  <c r="AM21" i="56"/>
  <c r="AM44" i="56"/>
  <c r="AM43" i="56"/>
  <c r="AM35" i="56"/>
  <c r="AM42" i="56"/>
  <c r="AM48" i="56"/>
  <c r="AM25" i="56"/>
  <c r="AP49" i="56"/>
  <c r="AA49" i="56"/>
  <c r="AE50" i="56"/>
  <c r="AJ50" i="56"/>
  <c r="AA51" i="56"/>
  <c r="AM23" i="56"/>
  <c r="AM28" i="56"/>
  <c r="AM45" i="56"/>
  <c r="AM40" i="56"/>
  <c r="AM37" i="56"/>
  <c r="AM47" i="56"/>
  <c r="AM32" i="56"/>
  <c r="AM30" i="56"/>
  <c r="AM27" i="56"/>
  <c r="AM46" i="56"/>
  <c r="AM41" i="56"/>
  <c r="AM34" i="56"/>
  <c r="AM31" i="56"/>
  <c r="AM24" i="56"/>
  <c r="AM29" i="56"/>
  <c r="AM33" i="56"/>
  <c r="AM26" i="56"/>
  <c r="AM39" i="56"/>
  <c r="AM36" i="56"/>
  <c r="AM38" i="56"/>
  <c r="AM22" i="56"/>
  <c r="AM49" i="56"/>
  <c r="AJ49" i="56"/>
  <c r="K27" i="90"/>
  <c r="AJ51" i="56"/>
  <c r="AM51" i="56"/>
  <c r="J30" i="90"/>
  <c r="B30" i="93"/>
  <c r="L31" i="93" s="1"/>
  <c r="J7" i="93"/>
  <c r="J11" i="93"/>
  <c r="H11" i="93"/>
  <c r="G11" i="93"/>
  <c r="F11" i="93"/>
  <c r="K6" i="93"/>
  <c r="H6" i="93"/>
  <c r="G6" i="93"/>
  <c r="F6" i="93"/>
  <c r="J10" i="93"/>
  <c r="J9" i="93"/>
  <c r="J8" i="93"/>
  <c r="I12" i="93"/>
  <c r="I14" i="93"/>
  <c r="I13" i="93"/>
  <c r="I10" i="93"/>
  <c r="I8" i="93"/>
  <c r="I7" i="93"/>
  <c r="K24" i="93"/>
  <c r="K25" i="93"/>
  <c r="K25" i="90"/>
  <c r="K26" i="90"/>
  <c r="D30" i="91"/>
  <c r="B30" i="91"/>
  <c r="I6" i="91"/>
  <c r="K30" i="90"/>
  <c r="I30" i="90"/>
  <c r="F11" i="90"/>
  <c r="F6" i="90" s="1"/>
  <c r="F46" i="90" s="1"/>
  <c r="G11" i="90"/>
  <c r="G6" i="90" s="1"/>
  <c r="G46" i="90" s="1"/>
  <c r="H11" i="90"/>
  <c r="H6" i="90" s="1"/>
  <c r="H46" i="90" s="1"/>
  <c r="G11" i="91"/>
  <c r="G6" i="91" s="1"/>
  <c r="G45" i="91" s="1"/>
  <c r="F11" i="91"/>
  <c r="F6" i="91" s="1"/>
  <c r="F45" i="91" s="1"/>
  <c r="K6" i="91"/>
  <c r="J6" i="91"/>
  <c r="D30" i="90"/>
  <c r="B30" i="90"/>
  <c r="I9" i="93"/>
  <c r="H45" i="91"/>
  <c r="C19" i="93"/>
  <c r="C30" i="90"/>
  <c r="X33" i="56"/>
  <c r="X41" i="56"/>
  <c r="U52" i="56"/>
  <c r="X47" i="56"/>
  <c r="E15" i="56"/>
  <c r="X23" i="56"/>
  <c r="X44" i="56"/>
  <c r="X45" i="56"/>
  <c r="X35" i="56"/>
  <c r="X28" i="56"/>
  <c r="X37" i="56"/>
  <c r="X42" i="56"/>
  <c r="C14" i="56"/>
  <c r="X21" i="56"/>
  <c r="X48" i="56"/>
  <c r="X30" i="56"/>
  <c r="X24" i="56"/>
  <c r="X40" i="56"/>
  <c r="X38" i="56"/>
  <c r="X36" i="56"/>
  <c r="X26" i="56"/>
  <c r="X29" i="56"/>
  <c r="X32" i="56"/>
  <c r="X31" i="56"/>
  <c r="AH50" i="56"/>
  <c r="X25" i="56"/>
  <c r="X39" i="56"/>
  <c r="X34" i="56"/>
  <c r="X27" i="56"/>
  <c r="X46" i="56"/>
  <c r="X43" i="56"/>
  <c r="X22" i="56"/>
  <c r="C13" i="56"/>
  <c r="L31" i="91" l="1"/>
  <c r="AA30" i="90"/>
  <c r="K20" i="90"/>
  <c r="B14" i="133"/>
  <c r="B11" i="133" s="1"/>
  <c r="J13" i="90"/>
  <c r="J9" i="90"/>
  <c r="J10" i="90"/>
  <c r="C14" i="133"/>
  <c r="R6" i="90"/>
  <c r="S23" i="91"/>
  <c r="U11" i="133"/>
  <c r="V11" i="133" s="1"/>
  <c r="S14" i="91"/>
  <c r="S15" i="93"/>
  <c r="J6" i="93"/>
  <c r="U14" i="133"/>
  <c r="V14" i="133" s="1"/>
  <c r="E14" i="93"/>
  <c r="E14" i="133"/>
  <c r="E11" i="133" s="1"/>
  <c r="E7" i="93"/>
  <c r="E13" i="93"/>
  <c r="D12" i="93"/>
  <c r="C12" i="93"/>
  <c r="C13" i="93"/>
  <c r="E12" i="93"/>
  <c r="AC48" i="56"/>
  <c r="AE48" i="56" s="1"/>
  <c r="AK48" i="56"/>
  <c r="AC38" i="56"/>
  <c r="AE38" i="56" s="1"/>
  <c r="AK38" i="56"/>
  <c r="AK23" i="56"/>
  <c r="AC23" i="56"/>
  <c r="AE23" i="56" s="1"/>
  <c r="AK47" i="56"/>
  <c r="AC47" i="56"/>
  <c r="AE47" i="56" s="1"/>
  <c r="AK24" i="56"/>
  <c r="AC24" i="56"/>
  <c r="AE24" i="56" s="1"/>
  <c r="AK41" i="56"/>
  <c r="AC41" i="56"/>
  <c r="AE41" i="56" s="1"/>
  <c r="AK28" i="56"/>
  <c r="AC28" i="56"/>
  <c r="AE28" i="56" s="1"/>
  <c r="C16" i="56"/>
  <c r="D15" i="56" s="1"/>
  <c r="F15" i="56" s="1"/>
  <c r="AC32" i="56"/>
  <c r="AE32" i="56" s="1"/>
  <c r="AK32" i="56"/>
  <c r="C18" i="56"/>
  <c r="C20" i="56" s="1"/>
  <c r="AC42" i="56"/>
  <c r="AE42" i="56" s="1"/>
  <c r="AK42" i="56"/>
  <c r="AC26" i="56"/>
  <c r="AE26" i="56" s="1"/>
  <c r="AK26" i="56"/>
  <c r="AC46" i="56"/>
  <c r="AE46" i="56" s="1"/>
  <c r="AK46" i="56"/>
  <c r="AK33" i="56"/>
  <c r="AC33" i="56"/>
  <c r="AE33" i="56" s="1"/>
  <c r="AC44" i="56"/>
  <c r="AE44" i="56" s="1"/>
  <c r="AC39" i="56"/>
  <c r="AE39" i="56" s="1"/>
  <c r="AK39" i="56"/>
  <c r="AC22" i="56"/>
  <c r="AE22" i="56" s="1"/>
  <c r="AK22" i="56"/>
  <c r="U54" i="56"/>
  <c r="AK40" i="56"/>
  <c r="AC40" i="56"/>
  <c r="AE40" i="56" s="1"/>
  <c r="AK35" i="56"/>
  <c r="AC35" i="56"/>
  <c r="AE35" i="56" s="1"/>
  <c r="AC27" i="56"/>
  <c r="AE27" i="56" s="1"/>
  <c r="AK27" i="56"/>
  <c r="X49" i="56"/>
  <c r="AC21" i="56"/>
  <c r="AK21" i="56"/>
  <c r="AK30" i="56"/>
  <c r="AC30" i="56"/>
  <c r="AE30" i="56" s="1"/>
  <c r="AK29" i="56"/>
  <c r="AC29" i="56"/>
  <c r="AE29" i="56" s="1"/>
  <c r="AK25" i="56"/>
  <c r="AC25" i="56"/>
  <c r="AE25" i="56" s="1"/>
  <c r="AK43" i="56"/>
  <c r="AC43" i="56"/>
  <c r="AE43" i="56" s="1"/>
  <c r="AK45" i="56"/>
  <c r="AC45" i="56"/>
  <c r="AE45" i="56" s="1"/>
  <c r="AC36" i="56"/>
  <c r="AE36" i="56" s="1"/>
  <c r="AK36" i="56"/>
  <c r="AK31" i="56"/>
  <c r="AC31" i="56"/>
  <c r="AE31" i="56" s="1"/>
  <c r="AC34" i="56"/>
  <c r="AE34" i="56" s="1"/>
  <c r="AK34" i="56"/>
  <c r="AK37" i="56"/>
  <c r="AC37" i="56"/>
  <c r="AE37" i="56" s="1"/>
  <c r="J8" i="90"/>
  <c r="S15" i="91"/>
  <c r="D7" i="91"/>
  <c r="B10" i="90"/>
  <c r="I9" i="90"/>
  <c r="C9" i="90"/>
  <c r="K24" i="90"/>
  <c r="K21" i="90" s="1"/>
  <c r="D10" i="90"/>
  <c r="AH10" i="90" s="1"/>
  <c r="C18" i="90"/>
  <c r="S30" i="90" s="1"/>
  <c r="T30" i="90" s="1"/>
  <c r="C18" i="93"/>
  <c r="T30" i="93" s="1"/>
  <c r="B13" i="90"/>
  <c r="C18" i="91"/>
  <c r="T23" i="91" s="1"/>
  <c r="U23" i="91" s="1"/>
  <c r="E12" i="91"/>
  <c r="B12" i="91"/>
  <c r="B10" i="91"/>
  <c r="D13" i="91"/>
  <c r="C12" i="91"/>
  <c r="E13" i="91"/>
  <c r="C13" i="91"/>
  <c r="B13" i="91"/>
  <c r="C7" i="90"/>
  <c r="C12" i="90"/>
  <c r="B14" i="93"/>
  <c r="B14" i="91"/>
  <c r="B14" i="90"/>
  <c r="E14" i="91"/>
  <c r="B13" i="93"/>
  <c r="I10" i="90"/>
  <c r="I13" i="90"/>
  <c r="E7" i="90"/>
  <c r="C7" i="91"/>
  <c r="C14" i="90"/>
  <c r="B12" i="93"/>
  <c r="C7" i="93"/>
  <c r="B7" i="93"/>
  <c r="T7" i="93" s="1"/>
  <c r="E7" i="91"/>
  <c r="E13" i="90"/>
  <c r="D13" i="93"/>
  <c r="B10" i="93"/>
  <c r="E12" i="90"/>
  <c r="C14" i="91"/>
  <c r="C14" i="93"/>
  <c r="I11" i="93"/>
  <c r="I6" i="93" s="1"/>
  <c r="B12" i="90"/>
  <c r="C8" i="90"/>
  <c r="E14" i="90"/>
  <c r="K6" i="90" l="1"/>
  <c r="J7" i="90"/>
  <c r="J12" i="90"/>
  <c r="S6" i="91"/>
  <c r="E10" i="90"/>
  <c r="C28" i="93"/>
  <c r="C29" i="93" s="1"/>
  <c r="T15" i="93"/>
  <c r="U15" i="93" s="1"/>
  <c r="U15" i="133"/>
  <c r="V15" i="133" s="1"/>
  <c r="T14" i="93"/>
  <c r="R14" i="90"/>
  <c r="R11" i="90"/>
  <c r="D9" i="91"/>
  <c r="R7" i="90"/>
  <c r="B6" i="133"/>
  <c r="B45" i="133" s="1"/>
  <c r="C9" i="91"/>
  <c r="S11" i="91"/>
  <c r="S13" i="91"/>
  <c r="E17" i="93"/>
  <c r="S29" i="93"/>
  <c r="S7" i="93"/>
  <c r="S8" i="93"/>
  <c r="D14" i="93"/>
  <c r="D11" i="93" s="1"/>
  <c r="S16" i="93"/>
  <c r="S32" i="93"/>
  <c r="S14" i="93"/>
  <c r="D14" i="90"/>
  <c r="S15" i="90" s="1"/>
  <c r="R15" i="90"/>
  <c r="R13" i="90"/>
  <c r="E17" i="90"/>
  <c r="I8" i="90"/>
  <c r="C8" i="93"/>
  <c r="D7" i="133"/>
  <c r="L7" i="133" s="1"/>
  <c r="E17" i="91"/>
  <c r="E16" i="133"/>
  <c r="L33" i="133" s="1"/>
  <c r="C11" i="133"/>
  <c r="E6" i="133"/>
  <c r="D9" i="90"/>
  <c r="AA9" i="90" s="1"/>
  <c r="E11" i="93"/>
  <c r="D8" i="91"/>
  <c r="D8" i="90"/>
  <c r="AD8" i="90" s="1"/>
  <c r="D10" i="93"/>
  <c r="AA10" i="93" s="1"/>
  <c r="D10" i="91"/>
  <c r="AB10" i="91" s="1"/>
  <c r="C10" i="93"/>
  <c r="D12" i="90"/>
  <c r="S13" i="90" s="1"/>
  <c r="AH22" i="56"/>
  <c r="AF22" i="56"/>
  <c r="AN22" i="56"/>
  <c r="AH43" i="56"/>
  <c r="AF43" i="56"/>
  <c r="AN43" i="56"/>
  <c r="AF29" i="56"/>
  <c r="AN29" i="56"/>
  <c r="AH29" i="56"/>
  <c r="AK49" i="56"/>
  <c r="AF27" i="56"/>
  <c r="AN27" i="56"/>
  <c r="AH27" i="56"/>
  <c r="AF33" i="56"/>
  <c r="AN33" i="56"/>
  <c r="AH33" i="56"/>
  <c r="AH28" i="56"/>
  <c r="AF28" i="56"/>
  <c r="AN28" i="56"/>
  <c r="AH38" i="56"/>
  <c r="AF38" i="56"/>
  <c r="AN38" i="56"/>
  <c r="AH44" i="56"/>
  <c r="AF44" i="56"/>
  <c r="AN44" i="56"/>
  <c r="AN42" i="56"/>
  <c r="AH42" i="56"/>
  <c r="AF42" i="56"/>
  <c r="AN34" i="56"/>
  <c r="AH34" i="56"/>
  <c r="AF34" i="56"/>
  <c r="AF36" i="56"/>
  <c r="AN36" i="56"/>
  <c r="AH36" i="56"/>
  <c r="AE21" i="56"/>
  <c r="AC49" i="56"/>
  <c r="AH35" i="56"/>
  <c r="AF35" i="56"/>
  <c r="AN35" i="56"/>
  <c r="AH26" i="56"/>
  <c r="AF26" i="56"/>
  <c r="AN26" i="56"/>
  <c r="AF24" i="56"/>
  <c r="AH24" i="56"/>
  <c r="AN24" i="56"/>
  <c r="AL54" i="56" s="1"/>
  <c r="AN23" i="56"/>
  <c r="AH23" i="56"/>
  <c r="AF23" i="56"/>
  <c r="AF40" i="56"/>
  <c r="AH40" i="56"/>
  <c r="AN40" i="56"/>
  <c r="AF46" i="56"/>
  <c r="AH46" i="56"/>
  <c r="AN46" i="56"/>
  <c r="AF47" i="56"/>
  <c r="AH47" i="56"/>
  <c r="AN47" i="56"/>
  <c r="AF37" i="56"/>
  <c r="AH37" i="56"/>
  <c r="AN37" i="56"/>
  <c r="AH31" i="56"/>
  <c r="AN31" i="56"/>
  <c r="AF31" i="56"/>
  <c r="AH45" i="56"/>
  <c r="AF45" i="56"/>
  <c r="AN45" i="56"/>
  <c r="AH25" i="56"/>
  <c r="AF25" i="56"/>
  <c r="AN25" i="56"/>
  <c r="AH30" i="56"/>
  <c r="AN30" i="56"/>
  <c r="AF30" i="56"/>
  <c r="AH39" i="56"/>
  <c r="AF39" i="56"/>
  <c r="AN39" i="56"/>
  <c r="AN32" i="56"/>
  <c r="AF32" i="56"/>
  <c r="AH32" i="56"/>
  <c r="AN41" i="56"/>
  <c r="AH41" i="56"/>
  <c r="AF41" i="56"/>
  <c r="AH48" i="56"/>
  <c r="AN48" i="56"/>
  <c r="AF48" i="56"/>
  <c r="D12" i="91"/>
  <c r="T13" i="91" s="1"/>
  <c r="I7" i="90"/>
  <c r="D14" i="91"/>
  <c r="T15" i="91" s="1"/>
  <c r="U15" i="91" s="1"/>
  <c r="D7" i="93"/>
  <c r="I12" i="90"/>
  <c r="I28" i="90"/>
  <c r="I44" i="90" s="1"/>
  <c r="D7" i="90"/>
  <c r="AH15" i="90" s="1"/>
  <c r="T14" i="91"/>
  <c r="U14" i="91" s="1"/>
  <c r="B11" i="91"/>
  <c r="S13" i="93"/>
  <c r="E11" i="91"/>
  <c r="B11" i="93"/>
  <c r="U30" i="93"/>
  <c r="C13" i="90"/>
  <c r="B7" i="90"/>
  <c r="J14" i="90"/>
  <c r="D9" i="93"/>
  <c r="D13" i="90"/>
  <c r="I14" i="90"/>
  <c r="C11" i="91"/>
  <c r="B11" i="90"/>
  <c r="E11" i="90"/>
  <c r="C11" i="93"/>
  <c r="B7" i="91"/>
  <c r="S6" i="90" l="1"/>
  <c r="J11" i="90"/>
  <c r="J6" i="90" s="1"/>
  <c r="X9" i="91"/>
  <c r="E6" i="90"/>
  <c r="E45" i="133"/>
  <c r="P37" i="93"/>
  <c r="L8" i="93"/>
  <c r="T8" i="93"/>
  <c r="U8" i="93" s="1"/>
  <c r="L9" i="93"/>
  <c r="T12" i="93"/>
  <c r="T16" i="93"/>
  <c r="U16" i="93" s="1"/>
  <c r="L7" i="91"/>
  <c r="T6" i="91"/>
  <c r="U6" i="91" s="1"/>
  <c r="U6" i="133"/>
  <c r="V6" i="133" s="1"/>
  <c r="Y10" i="93"/>
  <c r="L9" i="91"/>
  <c r="E10" i="91"/>
  <c r="E6" i="91" s="1"/>
  <c r="C28" i="90"/>
  <c r="AA8" i="90"/>
  <c r="B6" i="93"/>
  <c r="L11" i="93"/>
  <c r="AA7" i="90"/>
  <c r="U14" i="93"/>
  <c r="L7" i="93"/>
  <c r="C6" i="93"/>
  <c r="U13" i="91"/>
  <c r="T11" i="91"/>
  <c r="U11" i="91" s="1"/>
  <c r="AD9" i="90"/>
  <c r="S7" i="91"/>
  <c r="B28" i="91"/>
  <c r="B29" i="91" s="1"/>
  <c r="N30" i="91"/>
  <c r="S12" i="93"/>
  <c r="C9" i="93"/>
  <c r="B28" i="93"/>
  <c r="N37" i="93"/>
  <c r="T6" i="90"/>
  <c r="S14" i="90"/>
  <c r="T14" i="90" s="1"/>
  <c r="S11" i="90"/>
  <c r="T11" i="90" s="1"/>
  <c r="S7" i="90"/>
  <c r="T7" i="90" s="1"/>
  <c r="W8" i="93"/>
  <c r="U7" i="93"/>
  <c r="D6" i="93"/>
  <c r="AA6" i="93" s="1"/>
  <c r="AB10" i="93" s="1"/>
  <c r="T15" i="90"/>
  <c r="T13" i="90"/>
  <c r="B28" i="90"/>
  <c r="B29" i="90" s="1"/>
  <c r="E46" i="133"/>
  <c r="C8" i="91"/>
  <c r="L8" i="91" s="1"/>
  <c r="B46" i="133"/>
  <c r="D11" i="133"/>
  <c r="U13" i="133"/>
  <c r="V13" i="133" s="1"/>
  <c r="D11" i="90"/>
  <c r="D28" i="90"/>
  <c r="D11" i="91"/>
  <c r="D6" i="91" s="1"/>
  <c r="AF21" i="56"/>
  <c r="AF49" i="56" s="1"/>
  <c r="AF50" i="56" s="1"/>
  <c r="AF53" i="56" s="1"/>
  <c r="AE49" i="56"/>
  <c r="AH21" i="56"/>
  <c r="AH49" i="56" s="1"/>
  <c r="AH51" i="56" s="1"/>
  <c r="AH52" i="56" s="1"/>
  <c r="AH53" i="56" s="1"/>
  <c r="AN21" i="56"/>
  <c r="C17" i="93"/>
  <c r="T32" i="93" s="1"/>
  <c r="I11" i="90"/>
  <c r="I6" i="90" s="1"/>
  <c r="D28" i="93"/>
  <c r="K28" i="90"/>
  <c r="K44" i="90" s="1"/>
  <c r="C17" i="90"/>
  <c r="S32" i="90" s="1"/>
  <c r="T32" i="90" s="1"/>
  <c r="E19" i="90"/>
  <c r="E16" i="90" s="1"/>
  <c r="S31" i="93"/>
  <c r="E10" i="93"/>
  <c r="E6" i="93" s="1"/>
  <c r="C28" i="91"/>
  <c r="C11" i="90"/>
  <c r="B6" i="91"/>
  <c r="B6" i="90"/>
  <c r="S29" i="90" l="1"/>
  <c r="T29" i="90" s="1"/>
  <c r="I32" i="90"/>
  <c r="I29" i="90" s="1"/>
  <c r="I45" i="90" s="1"/>
  <c r="I46" i="90" s="1"/>
  <c r="J28" i="90"/>
  <c r="J44" i="90" s="1"/>
  <c r="B29" i="93"/>
  <c r="T29" i="93"/>
  <c r="U29" i="93" s="1"/>
  <c r="T23" i="93"/>
  <c r="T13" i="93"/>
  <c r="U13" i="93" s="1"/>
  <c r="D6" i="133"/>
  <c r="O37" i="93"/>
  <c r="X8" i="91"/>
  <c r="T7" i="91"/>
  <c r="U7" i="91" s="1"/>
  <c r="AB6" i="91"/>
  <c r="AC10" i="91" s="1"/>
  <c r="L11" i="133"/>
  <c r="E46" i="90"/>
  <c r="AA32" i="90"/>
  <c r="L11" i="91"/>
  <c r="W6" i="93"/>
  <c r="X8" i="93" s="1"/>
  <c r="L10" i="93"/>
  <c r="D6" i="90"/>
  <c r="AH6" i="90" s="1"/>
  <c r="AI10" i="90" s="1"/>
  <c r="AA11" i="90"/>
  <c r="S22" i="91"/>
  <c r="S25" i="91"/>
  <c r="W9" i="93"/>
  <c r="U12" i="93"/>
  <c r="Y6" i="93"/>
  <c r="Z10" i="93" s="1"/>
  <c r="B46" i="90"/>
  <c r="B45" i="91"/>
  <c r="D32" i="93"/>
  <c r="Q30" i="91"/>
  <c r="E19" i="91"/>
  <c r="E16" i="91" s="1"/>
  <c r="C17" i="91"/>
  <c r="T25" i="91" s="1"/>
  <c r="V7" i="133"/>
  <c r="AL53" i="56"/>
  <c r="AE51" i="56"/>
  <c r="AN49" i="56"/>
  <c r="AF55" i="56"/>
  <c r="AF56" i="56" s="1"/>
  <c r="AE55" i="56"/>
  <c r="AE57" i="56" s="1"/>
  <c r="C16" i="93"/>
  <c r="L32" i="93" s="1"/>
  <c r="U32" i="93"/>
  <c r="E19" i="93"/>
  <c r="T31" i="93" s="1"/>
  <c r="Q37" i="93"/>
  <c r="C29" i="90"/>
  <c r="C29" i="91"/>
  <c r="AE53" i="56"/>
  <c r="P30" i="91" l="1"/>
  <c r="T33" i="93"/>
  <c r="AC6" i="133"/>
  <c r="AD10" i="133" s="1"/>
  <c r="D28" i="133"/>
  <c r="U22" i="133" s="1"/>
  <c r="V22" i="133" s="1"/>
  <c r="S23" i="93"/>
  <c r="U23" i="93" s="1"/>
  <c r="D29" i="93"/>
  <c r="D47" i="93" s="1"/>
  <c r="X9" i="93"/>
  <c r="AH13" i="90"/>
  <c r="AH14" i="90"/>
  <c r="D46" i="90"/>
  <c r="E45" i="91"/>
  <c r="L33" i="91"/>
  <c r="D28" i="91"/>
  <c r="U25" i="91"/>
  <c r="K32" i="90"/>
  <c r="K29" i="90" s="1"/>
  <c r="K45" i="90" s="1"/>
  <c r="K46" i="90" s="1"/>
  <c r="E16" i="93"/>
  <c r="L33" i="93" s="1"/>
  <c r="L34" i="93" s="1"/>
  <c r="L6" i="93" s="1"/>
  <c r="D45" i="91" l="1"/>
  <c r="D45" i="133"/>
  <c r="T22" i="91"/>
  <c r="U22" i="91" s="1"/>
  <c r="L36" i="93"/>
  <c r="M8" i="93"/>
  <c r="M9" i="93"/>
  <c r="M11" i="93"/>
  <c r="M7" i="93"/>
  <c r="M10" i="93"/>
  <c r="AH16" i="90"/>
  <c r="AH18" i="90" s="1"/>
  <c r="S33" i="93"/>
  <c r="U33" i="93" s="1"/>
  <c r="U26" i="133"/>
  <c r="V26" i="133" s="1"/>
  <c r="U31" i="93"/>
  <c r="S24" i="91" l="1"/>
  <c r="S26" i="91" s="1"/>
  <c r="J32" i="90"/>
  <c r="J29" i="90" s="1"/>
  <c r="M12" i="93"/>
  <c r="R12" i="90"/>
  <c r="D32" i="91"/>
  <c r="D29" i="91" s="1"/>
  <c r="C6" i="133"/>
  <c r="U12" i="133"/>
  <c r="C10" i="90"/>
  <c r="AA10" i="90" s="1"/>
  <c r="D32" i="90"/>
  <c r="D29" i="90" s="1"/>
  <c r="C10" i="91" l="1"/>
  <c r="L10" i="91" s="1"/>
  <c r="C6" i="90"/>
  <c r="AK10" i="90"/>
  <c r="AF10" i="90"/>
  <c r="AL10" i="90" s="1"/>
  <c r="O30" i="91"/>
  <c r="S12" i="91"/>
  <c r="S12" i="90"/>
  <c r="Y6" i="133"/>
  <c r="AA6" i="133"/>
  <c r="AB10" i="133" s="1"/>
  <c r="C16" i="133"/>
  <c r="L32" i="133" s="1"/>
  <c r="L34" i="133" s="1"/>
  <c r="L6" i="133" s="1"/>
  <c r="M7" i="133" s="1"/>
  <c r="V12" i="133"/>
  <c r="U18" i="133"/>
  <c r="V18" i="133" s="1"/>
  <c r="C19" i="90"/>
  <c r="C19" i="91"/>
  <c r="AA6" i="90" l="1"/>
  <c r="R23" i="90"/>
  <c r="C45" i="133"/>
  <c r="T24" i="91"/>
  <c r="U24" i="91" s="1"/>
  <c r="Z10" i="91"/>
  <c r="C6" i="91"/>
  <c r="C51" i="91" s="1"/>
  <c r="T12" i="91"/>
  <c r="U12" i="91" s="1"/>
  <c r="AD6" i="90"/>
  <c r="AK6" i="90"/>
  <c r="AF6" i="90"/>
  <c r="AL6" i="90" s="1"/>
  <c r="AM10" i="90" s="1"/>
  <c r="T12" i="90"/>
  <c r="S23" i="90"/>
  <c r="Z9" i="133"/>
  <c r="Z8" i="133"/>
  <c r="C16" i="91"/>
  <c r="C52" i="91" s="1"/>
  <c r="C16" i="90"/>
  <c r="C46" i="90" s="1"/>
  <c r="S31" i="90"/>
  <c r="T31" i="90" s="1"/>
  <c r="T23" i="90" l="1"/>
  <c r="S18" i="91"/>
  <c r="Z6" i="91"/>
  <c r="AA10" i="91" s="1"/>
  <c r="X6" i="91"/>
  <c r="Y8" i="91" s="1"/>
  <c r="T26" i="91"/>
  <c r="U26" i="91" s="1"/>
  <c r="T18" i="91"/>
  <c r="U18" i="91" s="1"/>
  <c r="AA31" i="90"/>
  <c r="AA33" i="90" s="1"/>
  <c r="AG10" i="90"/>
  <c r="L36" i="133"/>
  <c r="L32" i="91"/>
  <c r="L34" i="91" s="1"/>
  <c r="AB9" i="90"/>
  <c r="AB7" i="90"/>
  <c r="AB11" i="90"/>
  <c r="AB8" i="90"/>
  <c r="AB10" i="90"/>
  <c r="AE9" i="90"/>
  <c r="AE8" i="90"/>
  <c r="C45" i="91"/>
  <c r="S33" i="90"/>
  <c r="T33" i="90" s="1"/>
  <c r="Y9" i="91" l="1"/>
  <c r="C53" i="91"/>
  <c r="M9" i="133"/>
  <c r="M8" i="133"/>
  <c r="M10" i="133"/>
  <c r="M11" i="133"/>
  <c r="L6" i="91"/>
  <c r="M7" i="91" s="1"/>
  <c r="M12" i="133" l="1"/>
  <c r="L36" i="91"/>
  <c r="M9" i="91"/>
  <c r="M8" i="91"/>
  <c r="M11" i="91"/>
  <c r="M10" i="91"/>
  <c r="M12" i="91" l="1"/>
  <c r="J45" i="90"/>
  <c r="J46" i="90" s="1"/>
  <c r="D32" i="133" l="1"/>
  <c r="D29" i="1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tc={43B817DE-49F0-4B97-904A-6DBF7C237F39}</author>
  </authors>
  <commentList>
    <comment ref="C9" authorId="0" shapeId="0" xr:uid="{43B817DE-49F0-4B97-904A-6DBF7C237F39}">
      <text>
        <t>[Threaded comment]
Your version of Excel allows you to read this threaded comment; however, any edits to it will get removed if the file is opened in a newer version of Excel. Learn more: https://go.microsoft.com/fwlink/?linkid=870924
Comment:
    Adjusted by $0.01 for rounding to match the website calculation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Aguilar,Martha</author>
    <author>Goodwin,Teri</author>
  </authors>
  <commentList>
    <comment ref="D6" authorId="0" shapeId="0" xr:uid="{C3052BB1-32E9-445C-B284-8E64E58FA5D1}">
      <text>
        <r>
          <rPr>
            <b/>
            <sz val="9"/>
            <color indexed="81"/>
            <rFont val="Tahoma"/>
            <family val="2"/>
          </rPr>
          <t>Aguilar,Martha:</t>
        </r>
        <r>
          <rPr>
            <sz val="9"/>
            <color indexed="81"/>
            <rFont val="Tahoma"/>
            <family val="2"/>
          </rPr>
          <t xml:space="preserve">
Adjusted by (0.1) to match the online form rounding total</t>
        </r>
      </text>
    </comment>
    <comment ref="Q15" authorId="1" shapeId="0" xr:uid="{C82A4825-E6D4-4DBB-B706-CD0BE9DBB406}">
      <text>
        <r>
          <rPr>
            <b/>
            <sz val="9"/>
            <color indexed="81"/>
            <rFont val="Tahoma"/>
            <family val="2"/>
          </rPr>
          <t>Goodwin,Teri:</t>
        </r>
        <r>
          <rPr>
            <sz val="9"/>
            <color indexed="81"/>
            <rFont val="Tahoma"/>
            <family val="2"/>
          </rPr>
          <t xml:space="preserve">
Includes function code 874</t>
        </r>
      </text>
    </comment>
    <comment ref="D29" authorId="0" shapeId="0" xr:uid="{F496E84C-55FD-41EA-BA2C-412586267DB3}">
      <text>
        <r>
          <rPr>
            <b/>
            <sz val="9"/>
            <color indexed="81"/>
            <rFont val="Tahoma"/>
            <family val="2"/>
          </rPr>
          <t>Aguilar,Martha:</t>
        </r>
        <r>
          <rPr>
            <sz val="9"/>
            <color indexed="81"/>
            <rFont val="Tahoma"/>
            <family val="2"/>
          </rPr>
          <t xml:space="preserve">
Obligation increased by the $.01 rounding adjustment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tc={D7E41E24-6FFC-47AE-872E-AC541419F4CA}</author>
    <author>Goodwin,Teri</author>
  </authors>
  <commentList>
    <comment ref="C9" authorId="0" shapeId="0" xr:uid="{D7E41E24-6FFC-47AE-872E-AC541419F4CA}">
      <text>
        <t>[Threaded comment]
Your version of Excel allows you to read this threaded comment; however, any edits to it will get removed if the file is opened in a newer version of Excel. Learn more: https://go.microsoft.com/fwlink/?linkid=870924
Comment:
    Adjusted by $0.01 for rounding to match the website calculation</t>
      </text>
    </comment>
    <comment ref="R16" authorId="1" shapeId="0" xr:uid="{E9EEF40F-A207-497F-AC40-08F8FDED5422}">
      <text>
        <r>
          <rPr>
            <b/>
            <sz val="9"/>
            <color indexed="81"/>
            <rFont val="Tahoma"/>
            <family val="2"/>
          </rPr>
          <t>Goodwin,Teri:</t>
        </r>
        <r>
          <rPr>
            <sz val="9"/>
            <color indexed="81"/>
            <rFont val="Tahoma"/>
            <family val="2"/>
          </rPr>
          <t xml:space="preserve">
Includes function code 874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Aguilar,Martha</author>
  </authors>
  <commentList>
    <comment ref="D29" authorId="0" shapeId="0" xr:uid="{9BB680C4-C251-46A3-9BF8-65FD7904F591}">
      <text>
        <r>
          <rPr>
            <b/>
            <sz val="9"/>
            <color indexed="81"/>
            <rFont val="Tahoma"/>
            <family val="2"/>
          </rPr>
          <t>Aguilar,Martha:</t>
        </r>
        <r>
          <rPr>
            <sz val="9"/>
            <color indexed="81"/>
            <rFont val="Tahoma"/>
            <family val="2"/>
          </rPr>
          <t xml:space="preserve">
Obligation increased by the $.01 rounding adjustment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Goodwin,Teri</author>
  </authors>
  <commentList>
    <comment ref="R15" authorId="0" shapeId="0" xr:uid="{6CC8DE0A-E145-404C-9322-BE0E5467EDFB}">
      <text>
        <r>
          <rPr>
            <b/>
            <sz val="9"/>
            <color indexed="81"/>
            <rFont val="Tahoma"/>
            <family val="2"/>
          </rPr>
          <t>Goodwin,Teri:</t>
        </r>
        <r>
          <rPr>
            <sz val="9"/>
            <color indexed="81"/>
            <rFont val="Tahoma"/>
            <family val="2"/>
          </rPr>
          <t xml:space="preserve">
Includes function code 874</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Goodwin,Teri</author>
  </authors>
  <commentList>
    <comment ref="S15" authorId="0" shapeId="0" xr:uid="{F1F5FF8F-8CD4-4D13-8933-301DE8D23C23}">
      <text>
        <r>
          <rPr>
            <b/>
            <sz val="9"/>
            <color indexed="81"/>
            <rFont val="Tahoma"/>
            <family val="2"/>
          </rPr>
          <t>Goodwin,Teri:</t>
        </r>
        <r>
          <rPr>
            <sz val="9"/>
            <color indexed="81"/>
            <rFont val="Tahoma"/>
            <family val="2"/>
          </rPr>
          <t xml:space="preserve">
Includes function code 874</t>
        </r>
      </text>
    </comment>
  </commentList>
</comments>
</file>

<file path=xl/sharedStrings.xml><?xml version="1.0" encoding="utf-8"?>
<sst xmlns="http://schemas.openxmlformats.org/spreadsheetml/2006/main" count="6519" uniqueCount="776">
  <si>
    <t>696 Category</t>
  </si>
  <si>
    <t>Mandatory</t>
  </si>
  <si>
    <t>Discretionary</t>
  </si>
  <si>
    <t>MOE</t>
  </si>
  <si>
    <t>1a Administration</t>
  </si>
  <si>
    <t>1b QI-Non Earmark</t>
  </si>
  <si>
    <t>1c QI-Infant &amp; Toddler</t>
  </si>
  <si>
    <t>1e QI-SchA-R&amp;R</t>
  </si>
  <si>
    <t>1g Direct</t>
  </si>
  <si>
    <t>1h1 Systems</t>
  </si>
  <si>
    <t>1h2 Cert. Program</t>
  </si>
  <si>
    <t>1h3 Other Non-Direct</t>
  </si>
  <si>
    <t>MOF</t>
  </si>
  <si>
    <t>Fed Share</t>
  </si>
  <si>
    <t>Private Donated</t>
  </si>
  <si>
    <t>Regular State</t>
  </si>
  <si>
    <t>FMAP Rate</t>
  </si>
  <si>
    <t>Enhanced FMAP</t>
  </si>
  <si>
    <t>CHILD CARE AND DEVELOPMENT FUND ACF-696 FINANCIAL REPORT</t>
  </si>
  <si>
    <t>Total</t>
  </si>
  <si>
    <t>PRE-K (TEA)</t>
  </si>
  <si>
    <t>TOTAL</t>
  </si>
  <si>
    <t>Match</t>
  </si>
  <si>
    <t>1d QI-Q Expansion</t>
  </si>
  <si>
    <t xml:space="preserve"> </t>
  </si>
  <si>
    <t>10</t>
  </si>
  <si>
    <t>5</t>
  </si>
  <si>
    <t>CUST_ID</t>
  </si>
  <si>
    <t>NAME1</t>
  </si>
  <si>
    <t>ITEM</t>
  </si>
  <si>
    <t>ITEM_LINE</t>
  </si>
  <si>
    <t>ENTRY_TYPE</t>
  </si>
  <si>
    <t>DOCUMENT</t>
  </si>
  <si>
    <t>BANK_ACCT_KEY</t>
  </si>
  <si>
    <t>SumOfPAYMENT_AMT</t>
  </si>
  <si>
    <t>1756000031</t>
  </si>
  <si>
    <t>AMARILLO COMM COLLEGE DIST</t>
  </si>
  <si>
    <t>3</t>
  </si>
  <si>
    <t>PY</t>
  </si>
  <si>
    <t>CERT</t>
  </si>
  <si>
    <t>1</t>
  </si>
  <si>
    <t>1746001399</t>
  </si>
  <si>
    <t>2</t>
  </si>
  <si>
    <t>1741709152</t>
  </si>
  <si>
    <t>HOUSTON COMM COLLEGE SYSTEM</t>
  </si>
  <si>
    <t>1756001769</t>
  </si>
  <si>
    <t>TRINITY VALLEY COMM COLLEGE</t>
  </si>
  <si>
    <t>4</t>
  </si>
  <si>
    <t>1756001353</t>
  </si>
  <si>
    <t>TEXAS A&amp;M UNIV-COMMERCE</t>
  </si>
  <si>
    <t>1746001164</t>
  </si>
  <si>
    <t>CITY OF HOUSTON</t>
  </si>
  <si>
    <t>1756001989</t>
  </si>
  <si>
    <t>LUBBOCK ISD</t>
  </si>
  <si>
    <t>1746000691</t>
  </si>
  <si>
    <t>DONNA ISD</t>
  </si>
  <si>
    <t>1746001658</t>
  </si>
  <si>
    <t>MCALLEN I.S.D.</t>
  </si>
  <si>
    <t>1756002105</t>
  </si>
  <si>
    <t>MT. PLEASANT ISD-CHILD DEV</t>
  </si>
  <si>
    <t>9</t>
  </si>
  <si>
    <t>1746001255</t>
  </si>
  <si>
    <t>HOUSTON ISD</t>
  </si>
  <si>
    <t>1746001215</t>
  </si>
  <si>
    <t>HARRIS COUNTY DEPT OF EDUC</t>
  </si>
  <si>
    <t>1752037156</t>
  </si>
  <si>
    <t>COLLIN COUNTY COMM COL</t>
  </si>
  <si>
    <t>1756001362</t>
  </si>
  <si>
    <t>ECTOR COUNTY ISD</t>
  </si>
  <si>
    <t>1746025253</t>
  </si>
  <si>
    <t>FORT BEND ISD</t>
  </si>
  <si>
    <t>1741587881</t>
  </si>
  <si>
    <t>BRAZOSPORT COLLEGE</t>
  </si>
  <si>
    <t>1751310636</t>
  </si>
  <si>
    <t>WESTERN TEXAS COLLEGE</t>
  </si>
  <si>
    <t>1746001635</t>
  </si>
  <si>
    <t>LOCKHART ISD</t>
  </si>
  <si>
    <t>1746001391</t>
  </si>
  <si>
    <t>TEXAS SOUTHERN UNIVERSITY</t>
  </si>
  <si>
    <t>1756002404</t>
  </si>
  <si>
    <t>SAN ANGELO ISD</t>
  </si>
  <si>
    <t>1746000019</t>
  </si>
  <si>
    <t>ALIEF ISD</t>
  </si>
  <si>
    <t>1756004667</t>
  </si>
  <si>
    <t>SOUTH PLAINS COLLEGE</t>
  </si>
  <si>
    <t>3733733733</t>
  </si>
  <si>
    <t>TEXAS TECH UNIVERSITY</t>
  </si>
  <si>
    <t>1746000251</t>
  </si>
  <si>
    <t>GOOSE CREEK CONSOLIDATED ISD</t>
  </si>
  <si>
    <t>1746000507</t>
  </si>
  <si>
    <t>CHANNELVIEW ISD</t>
  </si>
  <si>
    <t>1751244347</t>
  </si>
  <si>
    <t>ANGELINA COUNTY JUNIOR COL</t>
  </si>
  <si>
    <t>1746001876</t>
  </si>
  <si>
    <t>PHARR-SAN JUAN-ALAMO ISD</t>
  </si>
  <si>
    <t>1756002579</t>
  </si>
  <si>
    <t>TEXARKANA ISD</t>
  </si>
  <si>
    <t>1746000921</t>
  </si>
  <si>
    <t>GALVESTON ISD</t>
  </si>
  <si>
    <t>1756000714</t>
  </si>
  <si>
    <t>CITY OF WICHITA FALLS</t>
  </si>
  <si>
    <t>8</t>
  </si>
  <si>
    <t>1756000588</t>
  </si>
  <si>
    <t>CITY OF LONGVIEW</t>
  </si>
  <si>
    <t>1751164343</t>
  </si>
  <si>
    <t>CISCO JUNIOR COLLEGE</t>
  </si>
  <si>
    <t>1741690850</t>
  </si>
  <si>
    <t>EL PASO COMM COLLEGE</t>
  </si>
  <si>
    <t>1756002676</t>
  </si>
  <si>
    <t>TYLER JUNIOR COLLEGE</t>
  </si>
  <si>
    <t>1746000027</t>
  </si>
  <si>
    <t>SUL ROSS STATE UNIVERSITY</t>
  </si>
  <si>
    <t>1746000556</t>
  </si>
  <si>
    <t>CONROE ISD</t>
  </si>
  <si>
    <t>1746000975</t>
  </si>
  <si>
    <t>GEORGETOWN ISD</t>
  </si>
  <si>
    <t>1746000715</t>
  </si>
  <si>
    <t>EDINBURG CISD</t>
  </si>
  <si>
    <t>1746001996</t>
  </si>
  <si>
    <t>ROCKDALE ISD</t>
  </si>
  <si>
    <t>1746001379</t>
  </si>
  <si>
    <t>SPRING BRANCH ISD</t>
  </si>
  <si>
    <t>1756002205</t>
  </si>
  <si>
    <t>PARIS JUNIOR COLLEGE</t>
  </si>
  <si>
    <t>1746002468</t>
  </si>
  <si>
    <t>CITY OF WACO</t>
  </si>
  <si>
    <t>1756001854</t>
  </si>
  <si>
    <t>IRVING ISD</t>
  </si>
  <si>
    <t>1751213149</t>
  </si>
  <si>
    <t>DALLAS COUNTY COMM COLLEGE</t>
  </si>
  <si>
    <t>1746028285</t>
  </si>
  <si>
    <t>SAN JACINTO COLLEGE</t>
  </si>
  <si>
    <t>6</t>
  </si>
  <si>
    <t>1746000710</t>
  </si>
  <si>
    <t>EDCOUCH-ELSA ISD</t>
  </si>
  <si>
    <t>1742683499</t>
  </si>
  <si>
    <t>SOUTH TEXAS COMM COLLEGE</t>
  </si>
  <si>
    <t>1746002070</t>
  </si>
  <si>
    <t>CITY OF SAN ANTONIO</t>
  </si>
  <si>
    <t>1746001082</t>
  </si>
  <si>
    <t>MIDWAY ISD</t>
  </si>
  <si>
    <t>1746000340</t>
  </si>
  <si>
    <t>LA VEGA ISD</t>
  </si>
  <si>
    <t>1756002129</t>
  </si>
  <si>
    <t>NAVARRO COLLEGE</t>
  </si>
  <si>
    <t>1751325933</t>
  </si>
  <si>
    <t>1746000654</t>
  </si>
  <si>
    <t>CYPRESS-FAIRBANKS ISD</t>
  </si>
  <si>
    <t>1746000895</t>
  </si>
  <si>
    <t>GALENA PARK ISD</t>
  </si>
  <si>
    <t>1746002339</t>
  </si>
  <si>
    <t>SPRING ISD</t>
  </si>
  <si>
    <t>1746000230</t>
  </si>
  <si>
    <t>BASTROP ISD</t>
  </si>
  <si>
    <t>1746002016</t>
  </si>
  <si>
    <t>LAMAR CISD</t>
  </si>
  <si>
    <t>1756000514</t>
  </si>
  <si>
    <t>CITY OF DENTON</t>
  </si>
  <si>
    <t>1752668014</t>
  </si>
  <si>
    <t>TEXAS TECH UNIV HEALTH SCI CTR</t>
  </si>
  <si>
    <t>1746000348</t>
  </si>
  <si>
    <t>BELL COUNTY</t>
  </si>
  <si>
    <t>3960960960</t>
  </si>
  <si>
    <t>DEL MAR COLLEGE</t>
  </si>
  <si>
    <t>1746001582</t>
  </si>
  <si>
    <t>LAREDO COMM COLLEGE</t>
  </si>
  <si>
    <t>1746002246</t>
  </si>
  <si>
    <t>SAN MARCOS CONSOLIDATED ISD</t>
  </si>
  <si>
    <t>1741542306</t>
  </si>
  <si>
    <t>COASTAL BEND</t>
  </si>
  <si>
    <t>1756002149</t>
  </si>
  <si>
    <t>1746000574</t>
  </si>
  <si>
    <t>CITY OF CORPUS CHRISTI</t>
  </si>
  <si>
    <t>1746001648</t>
  </si>
  <si>
    <t>LYFORD ISD</t>
  </si>
  <si>
    <t>1751403958</t>
  </si>
  <si>
    <t>MIDLAND COLLEGE</t>
  </si>
  <si>
    <t>1746002548</t>
  </si>
  <si>
    <t>WESLACO ISD</t>
  </si>
  <si>
    <t>1741587518</t>
  </si>
  <si>
    <t>HAYS ISD</t>
  </si>
  <si>
    <t>1746001550</t>
  </si>
  <si>
    <t>LA JOYA ISD</t>
  </si>
  <si>
    <t>1751404239</t>
  </si>
  <si>
    <t>HILL COUNTY JUNIOR COLLEGE</t>
  </si>
  <si>
    <t>1746000085</t>
  </si>
  <si>
    <t>CITY OF AUSTIN FINANCIL SVCS</t>
  </si>
  <si>
    <t>1746002532</t>
  </si>
  <si>
    <t>WACO ISD</t>
  </si>
  <si>
    <t>7</t>
  </si>
  <si>
    <t>1746000064</t>
  </si>
  <si>
    <t>AUSTIN ISD</t>
  </si>
  <si>
    <t>1746001718</t>
  </si>
  <si>
    <t>MERCEDES ISD</t>
  </si>
  <si>
    <t>1756002514</t>
  </si>
  <si>
    <t>STEPHEN F AUSTIN UNIVERSITY</t>
  </si>
  <si>
    <t>11</t>
  </si>
  <si>
    <t>1741539003</t>
  </si>
  <si>
    <t>CENTRAL TEXAS COLLEGE DISTRICT</t>
  </si>
  <si>
    <t>1756001278</t>
  </si>
  <si>
    <t>DALLAS ISD</t>
  </si>
  <si>
    <t>1746002380</t>
  </si>
  <si>
    <t>TEMPLE ISD</t>
  </si>
  <si>
    <t>1746028859</t>
  </si>
  <si>
    <t>UNITED ISD</t>
  </si>
  <si>
    <t>Row Labels</t>
  </si>
  <si>
    <t>Grand Total</t>
  </si>
  <si>
    <t>1756002618</t>
  </si>
  <si>
    <t>TEXAS WOMAN'S UNIVERSITY</t>
  </si>
  <si>
    <t>1756000508</t>
  </si>
  <si>
    <t>1746000813</t>
  </si>
  <si>
    <t>UNIVERSITY OF TEXAS AT EL PASO (UTEP)</t>
  </si>
  <si>
    <t>FEE_CD</t>
  </si>
  <si>
    <t>ENTRY_DT</t>
  </si>
  <si>
    <t>ACCOUNTING_DT</t>
  </si>
  <si>
    <t>POST_DT</t>
  </si>
  <si>
    <t>CERTQ</t>
  </si>
  <si>
    <t>CERTD</t>
  </si>
  <si>
    <t>CONNALLY ISD</t>
  </si>
  <si>
    <t/>
  </si>
  <si>
    <t>1756002064</t>
  </si>
  <si>
    <t>MIDLAND ISD</t>
  </si>
  <si>
    <t>1746001484</t>
  </si>
  <si>
    <t>KATY ISD</t>
  </si>
  <si>
    <t>1746001592</t>
  </si>
  <si>
    <t>CLEAR CREEK ISD</t>
  </si>
  <si>
    <t>1746002337</t>
  </si>
  <si>
    <t>KLEIN ISD</t>
  </si>
  <si>
    <t>1741588568</t>
  </si>
  <si>
    <t>REGION 19 EDUCATION SERVICE CENTER</t>
  </si>
  <si>
    <t>1741760663</t>
  </si>
  <si>
    <t>TEXAS A&amp;M UNIVERSITY-CORPUS CHRISTI</t>
  </si>
  <si>
    <t>1746001530</t>
  </si>
  <si>
    <t>TEXAS A&amp;M UNIVERSITY-KINGSVILLE</t>
  </si>
  <si>
    <t>1746002562</t>
  </si>
  <si>
    <t>WHARTON COUNTY JUNIOR COLLEGE</t>
  </si>
  <si>
    <t>Sum of SumOfPAYMENT_AMT</t>
  </si>
  <si>
    <t>VERNON COLLEGE</t>
  </si>
  <si>
    <t>1746001110</t>
  </si>
  <si>
    <t>ALDINE ISD</t>
  </si>
  <si>
    <t>RICHARDSON ISD</t>
  </si>
  <si>
    <t>1766002907</t>
  </si>
  <si>
    <t>ODESSA COLLEGE</t>
  </si>
  <si>
    <t>run date</t>
  </si>
  <si>
    <t>1746001354</t>
  </si>
  <si>
    <t>PEARLAND INDEPENDENT SCHOOL DISTRICT</t>
  </si>
  <si>
    <t>1746001885</t>
  </si>
  <si>
    <t>CITY OF PORT ARTHUR</t>
  </si>
  <si>
    <t>16</t>
  </si>
  <si>
    <t>1746000192</t>
  </si>
  <si>
    <t>TRAVIS COUNTY</t>
  </si>
  <si>
    <t>UNIVERSITY OF HOUSTON</t>
  </si>
  <si>
    <t>1746025566</t>
  </si>
  <si>
    <t>LEE COLLEGE DISCTRICT</t>
  </si>
  <si>
    <t>1741675043</t>
  </si>
  <si>
    <t>SOUTH EAST TEXAS REGIONAL PLANNING COMM</t>
  </si>
  <si>
    <t>17</t>
  </si>
  <si>
    <t>1741541260</t>
  </si>
  <si>
    <t>MCLENNAN COMMUNITY COLLEGE</t>
  </si>
  <si>
    <t>1746002018</t>
  </si>
  <si>
    <t>ROUND ROCK ISD</t>
  </si>
  <si>
    <t>1746003571</t>
  </si>
  <si>
    <t>1f QA-Infant &amp; Toddler</t>
  </si>
  <si>
    <t>CONTRACT_NUM</t>
  </si>
  <si>
    <t>1746020689</t>
  </si>
  <si>
    <t>TEMPLE COLLEGE</t>
  </si>
  <si>
    <t>1756031405</t>
  </si>
  <si>
    <t>WEST TEXAS A&amp;M UNIVERSITY</t>
  </si>
  <si>
    <t>1746000422</t>
  </si>
  <si>
    <t>CITY OF BROWNSVILLE</t>
  </si>
  <si>
    <t>1746002420</t>
  </si>
  <si>
    <t>SOUTHWEST TEXAS JUNIOR COL</t>
  </si>
  <si>
    <t>1751169719</t>
  </si>
  <si>
    <t>GRAYSON COUNTY COLLEGE</t>
  </si>
  <si>
    <t>1751217163</t>
  </si>
  <si>
    <t>TARRANT COUNTY JUNIOR COL</t>
  </si>
  <si>
    <t>12</t>
  </si>
  <si>
    <t>1756000528</t>
  </si>
  <si>
    <t>CITY OF FORT WORTH</t>
  </si>
  <si>
    <t>1756001613</t>
  </si>
  <si>
    <t>FT WORTH ISD</t>
  </si>
  <si>
    <t>1746002357</t>
  </si>
  <si>
    <t>TAYLOR ISD</t>
  </si>
  <si>
    <t>0</t>
  </si>
  <si>
    <t>1746000528</t>
  </si>
  <si>
    <t>COLLEGE STATION ISD</t>
  </si>
  <si>
    <t>1742841106</t>
  </si>
  <si>
    <t>US DEPT OF ARMY -- CYSS</t>
  </si>
  <si>
    <t>1756002311</t>
  </si>
  <si>
    <t>1741742036</t>
  </si>
  <si>
    <t>AUSTIN COMMUNITY COLLEGE</t>
  </si>
  <si>
    <t>1746001430</t>
  </si>
  <si>
    <t>SAM HOUSTON STATE UNIVERSITY</t>
  </si>
  <si>
    <t>1746002290</t>
  </si>
  <si>
    <t>SHELDON ISD</t>
  </si>
  <si>
    <t>1750903158</t>
  </si>
  <si>
    <t>GOODFELLOW AIR FORCE BASE CDC</t>
  </si>
  <si>
    <t>1756000440</t>
  </si>
  <si>
    <t>CITY OF ABILENE</t>
  </si>
  <si>
    <t>1756000606</t>
  </si>
  <si>
    <t>CITY OF MESQUITE</t>
  </si>
  <si>
    <t>1756002296</t>
  </si>
  <si>
    <t>RANGER COLLEGE</t>
  </si>
  <si>
    <t>UNIVERSITY OF NORTH TEXAS-DENTON</t>
  </si>
  <si>
    <t>18</t>
  </si>
  <si>
    <t>1756002165</t>
  </si>
  <si>
    <t>OLNEY ISD</t>
  </si>
  <si>
    <t>3742742742</t>
  </si>
  <si>
    <t>UNIVERSITY OF TEXAS OF THE PERMIAN BASIN</t>
  </si>
  <si>
    <t>1751050382</t>
  </si>
  <si>
    <t>NORTH CENTRAL TEXAS COLLEGE</t>
  </si>
  <si>
    <t>1751963242</t>
  </si>
  <si>
    <t>NORTHEAST TEXAS COMMUNITY COLLEGE</t>
  </si>
  <si>
    <t>PO_REF</t>
  </si>
  <si>
    <t>SELECT SYSADM_PS_PAYMENT_ID_CUST.FEE_CD, SYSADM_PS_ITEM.CUST_ID, SYSADM_PS_CUSTOMER.NAME1, SYSADM_PS_ITEM.CONTRACT_NUM, SYSADM_PS_ITEM.PO_REF, SYSADM_PS_ITEM_ACTIVITY.ITEM, SYSADM_PS_ITEM.ITEM_LINE, SYSADM_PS_ITEM_ACTIVITY.DOCUMENT, SYSADM_PS_ITEM_ACTIVITY.BANK_ACCT_KEY, Sum(SYSADM_PS_ITEM_ACTIVITY.PAYMENT_AMT) AS SumOfPAYMENT_AMT, SYSADM_PS_PAYMENT.ENTRY_DT, SYSADM_PS_PAYMENT.ACCOUNTING_DT, SYSADM_PS_PAYMENT.POST_DT, SYSADM_PS_ITEM_ACTIVITY.ENTRY_TYPE</t>
  </si>
  <si>
    <t>GROUP BY SYSADM_PS_PAYMENT_ID_CUST.FEE_CD, SYSADM_PS_ITEM.CUST_ID, SYSADM_PS_CUSTOMER.NAME1, SYSADM_PS_ITEM.CONTRACT_NUM, SYSADM_PS_ITEM.PO_REF, SYSADM_PS_ITEM_ACTIVITY.ITEM, SYSADM_PS_ITEM.ITEM_LINE, SYSADM_PS_ITEM_ACTIVITY.DOCUMENT, SYSADM_PS_ITEM_ACTIVITY.BANK_ACCT_KEY, SYSADM_PS_PAYMENT.ENTRY_DT, SYSADM_PS_PAYMENT.ACCOUNTING_DT, SYSADM_PS_PAYMENT.POST_DT, SYSADM_PS_ITEM_ACTIVITY.ENTRY_TYPE</t>
  </si>
  <si>
    <t>LWDA
Number</t>
  </si>
  <si>
    <t>LWDA
Name</t>
  </si>
  <si>
    <t>01</t>
  </si>
  <si>
    <t>Panhandle WDB</t>
  </si>
  <si>
    <t>02</t>
  </si>
  <si>
    <t>South Plains WDB</t>
  </si>
  <si>
    <t>03</t>
  </si>
  <si>
    <t>North Texas WDB</t>
  </si>
  <si>
    <t>04</t>
  </si>
  <si>
    <t>North Central WDB</t>
  </si>
  <si>
    <t>05</t>
  </si>
  <si>
    <t>Tarrant County WDB</t>
  </si>
  <si>
    <t>06</t>
  </si>
  <si>
    <t>Dallas County WDB</t>
  </si>
  <si>
    <t>07</t>
  </si>
  <si>
    <t>North East Texas WDB</t>
  </si>
  <si>
    <t>08</t>
  </si>
  <si>
    <t>East Texas WDB</t>
  </si>
  <si>
    <t>09</t>
  </si>
  <si>
    <t>West Central WDB</t>
  </si>
  <si>
    <t>Upper Rio Grande WDB</t>
  </si>
  <si>
    <t>Permian Basin WDB</t>
  </si>
  <si>
    <t>Concho Valley WDB</t>
  </si>
  <si>
    <t>13</t>
  </si>
  <si>
    <t>Heart of Texas WDB</t>
  </si>
  <si>
    <t>14</t>
  </si>
  <si>
    <t>Capital Area WDB</t>
  </si>
  <si>
    <t>15</t>
  </si>
  <si>
    <t>Rural Capital Area WDB</t>
  </si>
  <si>
    <t>Brazos Valley WDB</t>
  </si>
  <si>
    <t>Deep East Texas WDB</t>
  </si>
  <si>
    <t>Southeast Texas WDB</t>
  </si>
  <si>
    <t>19</t>
  </si>
  <si>
    <t>Golden Crescent WDB</t>
  </si>
  <si>
    <t>20</t>
  </si>
  <si>
    <t>Alamo WDB</t>
  </si>
  <si>
    <t>21</t>
  </si>
  <si>
    <t>South Texas WDB</t>
  </si>
  <si>
    <t>22</t>
  </si>
  <si>
    <t>Coastal Bend WDB</t>
  </si>
  <si>
    <t>23</t>
  </si>
  <si>
    <t>Lower Rio Grande WDB</t>
  </si>
  <si>
    <t>24</t>
  </si>
  <si>
    <t>Cameron County WDB</t>
  </si>
  <si>
    <t>25</t>
  </si>
  <si>
    <t>Texoma WDB</t>
  </si>
  <si>
    <t>26</t>
  </si>
  <si>
    <t>Central Texas WDB</t>
  </si>
  <si>
    <t>27</t>
  </si>
  <si>
    <t>Middle Rio Grande WDB</t>
  </si>
  <si>
    <t>28</t>
  </si>
  <si>
    <t>Gulf Coast WDB</t>
  </si>
  <si>
    <t>Totals</t>
  </si>
  <si>
    <t>17560001152</t>
  </si>
  <si>
    <t>Archer City ISD</t>
  </si>
  <si>
    <t>75% Quality Imprv</t>
  </si>
  <si>
    <t>25% I&amp;T</t>
  </si>
  <si>
    <t>For GY18 - FY19_Q2 and fwd</t>
  </si>
  <si>
    <t>CITY OF DALLAS MARSHAL'S</t>
  </si>
  <si>
    <t>FROM (((SYSADM_PS_ITEM INNER JOIN SYSADM_PS_ITEM_ACTIVITY ON (SYSADM_PS_ITEM.BUSINESS_UNIT = SYSADM_PS_ITEM_ACTIVITY.BUSINESS_UNIT) AND (SYSADM_PS_ITEM.CUST_ID = SYSADM_PS_ITEM_ACTIVITY.CUST_ID) AND (SYSADM_PS_ITEM.ITEM = SYSADM_PS_ITEM_ACTIVITY.ITEM) AND (SYSADM_PS_ITEM.ITEM_LINE = SYSADM_PS_ITEM_ACTIVITY.ITEM_LINE)) INNER JOIN SYSADM_PS_CUSTOMER ON SYSADM_PS_ITEM.CUST_ID = SYSADM_PS_CUSTOMER.CUST_ID) INNER JOIN SYSADM_PS_PAYMENT ON (SYSADM_PS_ITEM_ACTIVITY.PAYMENT_SEQ_NUM = SYSADM_PS_PAYMENT.PAYMENT_SEQ_NUM) AND (SYSADM_PS_ITEM_ACTIVITY.DEPOSIT_ID = SYSADM_PS_PAYMENT.DEPOSIT_ID) AND (SYSADM_PS_ITEM_ACTIVITY.DEPOSIT_BU = SYSADM_PS_PAYMENT.DEPOSIT_BU)) INNER JOIN SYSADM_PS_PAYMENT_ID_CUST ON (SYSADM_PS_PAYMENT.DEPOSIT_BU = SYSADM_PS_PAYMENT_ID_CUST.DEPOSIT_BU) AND (SYSADM_PS_PAYMENT.DEPOSIT_ID = SYSADM_PS_PAYMENT_ID_CUST.DEPOSIT_ID) AND (SYSADM_PS_PAYMENT.PAYMENT_SEQ_NUM = SYSADM_PS_PAYMENT_ID_CUST.PAYMENT_SEQ_NUM)</t>
  </si>
  <si>
    <t>1741167964</t>
  </si>
  <si>
    <t>UNITED WAY OF TEXAS GULF</t>
  </si>
  <si>
    <t>1746001660</t>
  </si>
  <si>
    <t>CITY OF MCALLEN</t>
  </si>
  <si>
    <t>1030607018</t>
  </si>
  <si>
    <t>US Dept of the Army, CYS</t>
  </si>
  <si>
    <t>Matching</t>
  </si>
  <si>
    <t>2021 Local Match Certifications Received "CCM"</t>
  </si>
  <si>
    <t>(blank)</t>
  </si>
  <si>
    <t>2321CCM001</t>
  </si>
  <si>
    <t>11180C14_F21</t>
  </si>
  <si>
    <t>0621CCM001</t>
  </si>
  <si>
    <t>0621CCM04_F21</t>
  </si>
  <si>
    <t>0221CCM001</t>
  </si>
  <si>
    <t>0221CCM01_F21</t>
  </si>
  <si>
    <t>0221CCM02_F21</t>
  </si>
  <si>
    <t>2821CCM001</t>
  </si>
  <si>
    <t>2821CCMC33_F21</t>
  </si>
  <si>
    <t>2821CCMC22_F21</t>
  </si>
  <si>
    <t>2821CCMC04_F21</t>
  </si>
  <si>
    <t>2821CCMC01_F21</t>
  </si>
  <si>
    <t>2821CCMC19_F21</t>
  </si>
  <si>
    <t>2821CCMC05_F21</t>
  </si>
  <si>
    <t>2821CCMC09_F21</t>
  </si>
  <si>
    <t>2821CCMC08_F21</t>
  </si>
  <si>
    <t>2821CCMC37_F21</t>
  </si>
  <si>
    <t>2821CCMC24_F21</t>
  </si>
  <si>
    <t>2821CCMC11_F21</t>
  </si>
  <si>
    <t>2821CCMC38_F21</t>
  </si>
  <si>
    <t>2821CCMC03_F21</t>
  </si>
  <si>
    <t>2821CCMC29_F21</t>
  </si>
  <si>
    <t>2821CCMC30_F21</t>
  </si>
  <si>
    <t>2821CCMC39_F21</t>
  </si>
  <si>
    <t>2821CCMC43_F21</t>
  </si>
  <si>
    <t>2821CCMC36_F21</t>
  </si>
  <si>
    <t>2821CCMC34_F21</t>
  </si>
  <si>
    <t>2821CCMC10_F21</t>
  </si>
  <si>
    <t>2821CCMC42_F21</t>
  </si>
  <si>
    <t>2821CCMC35_F21</t>
  </si>
  <si>
    <t>2821CCMC23_F21</t>
  </si>
  <si>
    <t>2821CCMC40_F21</t>
  </si>
  <si>
    <t>2821CCMC41_F21</t>
  </si>
  <si>
    <t>2821CCMC26_F21</t>
  </si>
  <si>
    <t>0921CCM001</t>
  </si>
  <si>
    <t>0921CCMC79_F21</t>
  </si>
  <si>
    <t>0921CCMC80_F21</t>
  </si>
  <si>
    <t>0121CCM001</t>
  </si>
  <si>
    <t>01010C00_F21</t>
  </si>
  <si>
    <t>0921CCMC81_F21</t>
  </si>
  <si>
    <t>0921CCMC82_F21</t>
  </si>
  <si>
    <t>0821CCM001</t>
  </si>
  <si>
    <t>0416C21_F21</t>
  </si>
  <si>
    <t>Column Labels</t>
  </si>
  <si>
    <t>CRRSA</t>
  </si>
  <si>
    <t>2221CCM001</t>
  </si>
  <si>
    <t>11192C04_F21</t>
  </si>
  <si>
    <t>1821CCM001</t>
  </si>
  <si>
    <t>1821CCM002_F21</t>
  </si>
  <si>
    <t>11192C08_F21</t>
  </si>
  <si>
    <t>11180C02_F21</t>
  </si>
  <si>
    <t>2421CCM001</t>
  </si>
  <si>
    <t>11300C05_F21</t>
  </si>
  <si>
    <t>11192C05_F21</t>
  </si>
  <si>
    <t>11180C07_F21</t>
  </si>
  <si>
    <t>11180C06_F21</t>
  </si>
  <si>
    <t>11192C07_F21</t>
  </si>
  <si>
    <t>11180C15_F21</t>
  </si>
  <si>
    <t>11180C09_F21</t>
  </si>
  <si>
    <t>11180C17_F21</t>
  </si>
  <si>
    <t>11180C03_F21</t>
  </si>
  <si>
    <t>11180C16_F21</t>
  </si>
  <si>
    <t>1821CCM001_F21</t>
  </si>
  <si>
    <t>2021CCM001</t>
  </si>
  <si>
    <t>2021CCM001_F21</t>
  </si>
  <si>
    <t>11180C13_F21</t>
  </si>
  <si>
    <t>1221CCM001</t>
  </si>
  <si>
    <t>2112CCMC48_F21</t>
  </si>
  <si>
    <t>2112CCMC49_F21</t>
  </si>
  <si>
    <t>0621CCM05_F21</t>
  </si>
  <si>
    <t>0421CCM001</t>
  </si>
  <si>
    <t>0421C04_F21</t>
  </si>
  <si>
    <t>0621CCM03_F21</t>
  </si>
  <si>
    <t>0421C00_F21</t>
  </si>
  <si>
    <t>0421C07_F21</t>
  </si>
  <si>
    <t>0621CCM02_F21</t>
  </si>
  <si>
    <t>0621CCM06_F21</t>
  </si>
  <si>
    <t>2112CCMC45_F21</t>
  </si>
  <si>
    <t>01010C02_F21</t>
  </si>
  <si>
    <t>0221CCM03_F21</t>
  </si>
  <si>
    <t>0921CCMC78_F21</t>
  </si>
  <si>
    <t>11192C06_F21</t>
  </si>
  <si>
    <t>1021CCM001</t>
  </si>
  <si>
    <t>1021CCMC04_F21</t>
  </si>
  <si>
    <t>1746001047</t>
  </si>
  <si>
    <t>CITY OF HARLINGEN</t>
  </si>
  <si>
    <t>11300C06_F21</t>
  </si>
  <si>
    <t>0421C16_F21</t>
  </si>
  <si>
    <t>0621CCM08_F21</t>
  </si>
  <si>
    <t>04161C23_F21</t>
  </si>
  <si>
    <t>0421C34_F21</t>
  </si>
  <si>
    <t>0721CCM001</t>
  </si>
  <si>
    <t>04170C07_F21</t>
  </si>
  <si>
    <t>04170C05_F21</t>
  </si>
  <si>
    <t>0421C08_F21</t>
  </si>
  <si>
    <t>3750750750</t>
  </si>
  <si>
    <t>UNIVERSITY OF TEXAS AT TYLER</t>
  </si>
  <si>
    <t>04161C20_F21</t>
  </si>
  <si>
    <t>1021CCMC05_F21</t>
  </si>
  <si>
    <t>2621CCM001</t>
  </si>
  <si>
    <t>07130C08_F21</t>
  </si>
  <si>
    <t>1021CCM01_F21</t>
  </si>
  <si>
    <t>Overmatch</t>
  </si>
  <si>
    <t>2821CCMD08_F21</t>
  </si>
  <si>
    <t>1021CCMC03_F21</t>
  </si>
  <si>
    <t>11180C08_F21</t>
  </si>
  <si>
    <t>04161C24_F21</t>
  </si>
  <si>
    <t>07130C02_F21</t>
  </si>
  <si>
    <t>2821CCMC27_F21</t>
  </si>
  <si>
    <t>1421CCM001</t>
  </si>
  <si>
    <t>1419CCMC04_F21</t>
  </si>
  <si>
    <t>07130C86_F21</t>
  </si>
  <si>
    <t>1420CCMC05_F21</t>
  </si>
  <si>
    <t>07130C94_F21</t>
  </si>
  <si>
    <t>1021CCMC08_F21</t>
  </si>
  <si>
    <t>2821CCMC06_F21</t>
  </si>
  <si>
    <t>2821CCMC07_F21</t>
  </si>
  <si>
    <t>2121CCM001</t>
  </si>
  <si>
    <t>11211C04_F21</t>
  </si>
  <si>
    <t>07130C14_F21</t>
  </si>
  <si>
    <t>03111C05_F21</t>
  </si>
  <si>
    <t>2821CCMC14_F21</t>
  </si>
  <si>
    <t>3761761761</t>
  </si>
  <si>
    <t>TEXAS A&amp;M INTL UNIVERSITY</t>
  </si>
  <si>
    <t>11211C03_F21</t>
  </si>
  <si>
    <t>ARPA Stabilization</t>
  </si>
  <si>
    <r>
      <rPr>
        <b/>
        <sz val="8.5"/>
        <rFont val="Calibri"/>
        <family val="2"/>
      </rPr>
      <t>CHILD CARE AND DEVELOPMENT FUND ACF-696 FINANCIAL REPORT</t>
    </r>
  </si>
  <si>
    <r>
      <rPr>
        <b/>
        <sz val="7.5"/>
        <rFont val="Calibri"/>
        <family val="2"/>
      </rPr>
      <t>Cumulative Fiscal Year Totals</t>
    </r>
  </si>
  <si>
    <r>
      <rPr>
        <b/>
        <sz val="5"/>
        <rFont val="Calibri"/>
        <family val="2"/>
      </rPr>
      <t>YES [   ]   NO [   ]</t>
    </r>
  </si>
  <si>
    <r>
      <rPr>
        <sz val="5"/>
        <rFont val="Calibri"/>
        <family val="2"/>
      </rPr>
      <t>Please refer to redistribution and reallotment of funds information information in the instructions.</t>
    </r>
  </si>
  <si>
    <r>
      <rPr>
        <b/>
        <sz val="7.5"/>
        <rFont val="Calibri"/>
        <family val="2"/>
      </rPr>
      <t>Signature Information</t>
    </r>
  </si>
  <si>
    <r>
      <rPr>
        <b/>
        <sz val="5"/>
        <rFont val="Calibri"/>
        <family val="2"/>
      </rPr>
      <t xml:space="preserve">This is to certify that the information reported on all parts of this form is accurate and true to the best of my knowledge and belief. This also certifies that the States share
</t>
    </r>
    <r>
      <rPr>
        <b/>
        <sz val="5"/>
        <rFont val="Calibri"/>
        <family val="2"/>
      </rPr>
      <t>of Estimates is or will be Available to meet the NON-FEDERAL Share of Expenditures as Required by Law.</t>
    </r>
  </si>
  <si>
    <r>
      <rPr>
        <u/>
        <sz val="5"/>
        <rFont val="Calibri"/>
        <family val="2"/>
      </rPr>
      <t>Typed Name, Title, Agency Name, Phone #</t>
    </r>
    <r>
      <rPr>
        <sz val="5"/>
        <rFont val="Calibri"/>
        <family val="2"/>
      </rPr>
      <t>:</t>
    </r>
  </si>
  <si>
    <r>
      <rPr>
        <b/>
        <u/>
        <sz val="5"/>
        <rFont val="Calibri"/>
        <family val="2"/>
      </rPr>
      <t>Submit Date</t>
    </r>
    <r>
      <rPr>
        <b/>
        <sz val="5"/>
        <rFont val="Calibri"/>
        <family val="2"/>
      </rPr>
      <t>:</t>
    </r>
  </si>
  <si>
    <r>
      <rPr>
        <b/>
        <sz val="5"/>
        <rFont val="Calibri"/>
        <family val="2"/>
      </rPr>
      <t>THE PAPERWORK REDUCTION ACT OF 1995 (Pub. L. 104-13): Public reporting burden for this collection of information is estimated to average 6 hours per response, including the time for reviewing  instructions, gathering and maintaining the data needed, and reviewing the collection of information. An agency may not conduct or sponsor, and a person is not required to respond to, a collection  of information unless it displays a currently valid OMB control number.</t>
    </r>
  </si>
  <si>
    <t>(COLUMN A)                          MANDATORY FUNDS
Grant Document #s CCDF (states)
CCDT (territories)</t>
  </si>
  <si>
    <t>4(a) Subgrant administration</t>
  </si>
  <si>
    <t>4(b) Systems</t>
  </si>
  <si>
    <t>4(c) TA - application</t>
  </si>
  <si>
    <t>4(d) TA - implementation</t>
  </si>
  <si>
    <t>4(e) Publicity</t>
  </si>
  <si>
    <t>4(f) Activities to build supply</t>
  </si>
  <si>
    <t>1(a). Child Care Administration</t>
  </si>
  <si>
    <t>1(c). Infant/Toddler Quality Activities</t>
  </si>
  <si>
    <t>1(d). Direct Services</t>
  </si>
  <si>
    <t>1. Total Expenditures</t>
  </si>
  <si>
    <t>1(e). Non - Direct Services</t>
  </si>
  <si>
    <t>1(e)(1). Systems</t>
  </si>
  <si>
    <t>1(e)(2). Certificate Program Costs/Eligibility Determination</t>
  </si>
  <si>
    <t>1(e)(3). All Other Non-Direct Services</t>
  </si>
  <si>
    <t>1(f). Construction and Major Renovation</t>
  </si>
  <si>
    <t>2. State Share of Expenditures</t>
  </si>
  <si>
    <t>2(a). Regular</t>
  </si>
  <si>
    <t>2(b). Private Donated Funds</t>
  </si>
  <si>
    <t>2(c). Pre - K</t>
  </si>
  <si>
    <t>3. ARP Act Stabilization Subgrants to Providers</t>
  </si>
  <si>
    <t>4. ARP Act Stabilization Set Aside (Admin &amp; TA)</t>
  </si>
  <si>
    <t>5. Federal Share of Expenditures</t>
  </si>
  <si>
    <t>7. Awarded</t>
  </si>
  <si>
    <t>9. Unobligated Balance</t>
  </si>
  <si>
    <t>9(a). Was the State or Territory unable to obligate at least 50% of the CCDF stabilization grants by December 11, 2021?</t>
  </si>
  <si>
    <r>
      <rPr>
        <b/>
        <u/>
        <sz val="8"/>
        <rFont val="Calibri"/>
        <family val="2"/>
        <scheme val="minor"/>
      </rPr>
      <t>State or Territory</t>
    </r>
    <r>
      <rPr>
        <b/>
        <sz val="8"/>
        <rFont val="Calibri"/>
        <family val="2"/>
        <scheme val="minor"/>
      </rPr>
      <t>: TEXAS</t>
    </r>
  </si>
  <si>
    <t>1021CCMC02_F21</t>
  </si>
  <si>
    <t>0321CCM001</t>
  </si>
  <si>
    <t>0321CCMC01_F21</t>
  </si>
  <si>
    <t>04170C06_F21</t>
  </si>
  <si>
    <t>01010C01_F21</t>
  </si>
  <si>
    <t>0321CCMC02_F21</t>
  </si>
  <si>
    <t>1419CCMC01_F21</t>
  </si>
  <si>
    <t>1419CCM03_F21</t>
  </si>
  <si>
    <t>1521CCM001</t>
  </si>
  <si>
    <t>1521CCMC15_F21</t>
  </si>
  <si>
    <t>2521CCM001</t>
  </si>
  <si>
    <t>03111C07_F21</t>
  </si>
  <si>
    <t>04170C08_F21</t>
  </si>
  <si>
    <t>0521CCM001</t>
  </si>
  <si>
    <t>03090C08_F21</t>
  </si>
  <si>
    <t>03090C14_F21</t>
  </si>
  <si>
    <t>0421C10_F21</t>
  </si>
  <si>
    <t>04161C25_F21</t>
  </si>
  <si>
    <t>Variance</t>
  </si>
  <si>
    <t>376576576</t>
  </si>
  <si>
    <t>UNIVERSITY OF HOUSTON-VICTORIA</t>
  </si>
  <si>
    <t>1921CCM001</t>
  </si>
  <si>
    <t>08200C16_F21</t>
  </si>
  <si>
    <t>1321CCM001</t>
  </si>
  <si>
    <t>1321CCMC14_F21</t>
  </si>
  <si>
    <t>1521CCMC12_F21</t>
  </si>
  <si>
    <t>1521CCMC11_F21</t>
  </si>
  <si>
    <t>1321CCMC16_F21</t>
  </si>
  <si>
    <t>1621CCM001</t>
  </si>
  <si>
    <t>07120C03_F21</t>
  </si>
  <si>
    <t>1321CCMC19_F21</t>
  </si>
  <si>
    <t>1521CCMC02_F21</t>
  </si>
  <si>
    <t>1521CCMC16_F21</t>
  </si>
  <si>
    <t>1521CCMC01_F21</t>
  </si>
  <si>
    <t>1521CCMC03_F21</t>
  </si>
  <si>
    <t>2721CCM001</t>
  </si>
  <si>
    <t>08232CO_F21</t>
  </si>
  <si>
    <t>1321CCM09_F21</t>
  </si>
  <si>
    <t>03111CO6_F21</t>
  </si>
  <si>
    <t>1320CCMC05_F21</t>
  </si>
  <si>
    <t>0321CCM04_F21</t>
  </si>
  <si>
    <t>1121CCM001</t>
  </si>
  <si>
    <t>1121CCM004_F21</t>
  </si>
  <si>
    <t>1121CCM001_F21</t>
  </si>
  <si>
    <t>1121CCM002_F21</t>
  </si>
  <si>
    <t>0321CCMC03_F21</t>
  </si>
  <si>
    <t>1721CCM001</t>
  </si>
  <si>
    <t>05240C31_F21</t>
  </si>
  <si>
    <t>1121CCM005_F21</t>
  </si>
  <si>
    <t>1121CCM003_F21</t>
  </si>
  <si>
    <t>1321CCMC17_F21</t>
  </si>
  <si>
    <t>11211C02_F21</t>
  </si>
  <si>
    <t>03090C07_F21</t>
  </si>
  <si>
    <t>05240C30_F21</t>
  </si>
  <si>
    <t>Total Local Match Target</t>
  </si>
  <si>
    <t>Donationa/Transfers</t>
  </si>
  <si>
    <t>MOU</t>
  </si>
  <si>
    <t>(OVER-)/UNDER+</t>
  </si>
  <si>
    <t>-44499590.9</t>
  </si>
  <si>
    <t>HAVING (((SYSADM_PS_ITEM.CUST_ID) Is Not Null) AND ((SYSADM_PS_ITEM.CONTRACT_NUM) Like "*21CCM*") AND ((SYSADM_PS_ITEM_ACTIVITY.BANK_ACCT_KEY)="CERT") AND ((SYSADM_PS_PAYMENT.POST_DT) Between #10/1/2020# And #3/31/2022#));</t>
  </si>
  <si>
    <t>Not recorded but received/Payables</t>
  </si>
  <si>
    <t>(COLUMN D) MOE</t>
  </si>
  <si>
    <r>
      <t xml:space="preserve">(COLUMN B)                          MATCHING FUNDS
AT FMAP RATE OF </t>
    </r>
    <r>
      <rPr>
        <b/>
        <u/>
        <sz val="10"/>
        <rFont val="Calibri"/>
        <family val="2"/>
      </rPr>
      <t>  68.01 </t>
    </r>
    <r>
      <rPr>
        <b/>
        <sz val="10"/>
        <rFont val="Calibri"/>
        <family val="2"/>
      </rPr>
      <t>%
(Federal and State Shares)
Grant Document # CCDM</t>
    </r>
  </si>
  <si>
    <r>
      <rPr>
        <b/>
        <sz val="10"/>
        <rFont val="Calibri"/>
        <family val="2"/>
      </rPr>
      <t>(COLUMN C) DISCRETIONARY FUNDS
Grant Document # CCDD</t>
    </r>
  </si>
  <si>
    <r>
      <rPr>
        <b/>
        <sz val="10"/>
        <rFont val="Calibri"/>
        <family val="2"/>
      </rPr>
      <t>(COLUMN E) DISCRETIONARY DISASTER RELIEF FUNDS
GrantDocument # CCDX</t>
    </r>
  </si>
  <si>
    <r>
      <rPr>
        <b/>
        <sz val="10"/>
        <rFont val="Calibri"/>
        <family val="2"/>
      </rPr>
      <t>(COLUMN F) DISCRETIONARY DISASTER RELIEF FUNDS CONST. &amp; MAJOR RENOVATION
Grant Document # CCDY</t>
    </r>
  </si>
  <si>
    <r>
      <rPr>
        <b/>
        <sz val="10"/>
        <rFont val="Calibri"/>
        <family val="2"/>
      </rPr>
      <t>(COLUMN G) DISCRETIONARY CARES ACT FUNDS
Grant Document # CCC3</t>
    </r>
  </si>
  <si>
    <r>
      <rPr>
        <b/>
        <sz val="10"/>
        <rFont val="Calibri"/>
        <family val="2"/>
      </rPr>
      <t>(COLUMN H) DISCRETIONARY CRRSA ACT FUNDS
Grant Document # CCC5</t>
    </r>
  </si>
  <si>
    <r>
      <rPr>
        <b/>
        <sz val="10"/>
        <rFont val="Calibri"/>
        <family val="2"/>
      </rPr>
      <t>(COLUMN I) SUPPLEMENTAL DISCRETIONARY ARP ACT FUNDS
Grant Document # CDC6</t>
    </r>
  </si>
  <si>
    <r>
      <rPr>
        <b/>
        <sz val="10"/>
        <rFont val="Calibri"/>
        <family val="2"/>
      </rPr>
      <t>(COLUMN J) STABILZATION ARP ACT FUNDS
Grant Document # CSC6</t>
    </r>
  </si>
  <si>
    <r>
      <rPr>
        <sz val="8"/>
        <rFont val="Calibri"/>
        <family val="2"/>
        <scheme val="minor"/>
      </rPr>
      <t>1(b). Quality Activities Excluding Infant/Toddler Quality Activities
Reported On Line 1(c)</t>
    </r>
  </si>
  <si>
    <r>
      <rPr>
        <b/>
        <sz val="8"/>
        <rFont val="Calibri"/>
        <family val="2"/>
        <scheme val="minor"/>
      </rPr>
      <t xml:space="preserve">6. </t>
    </r>
    <r>
      <rPr>
        <sz val="8"/>
        <rFont val="Calibri"/>
        <family val="2"/>
        <scheme val="minor"/>
      </rPr>
      <t>Federal Share of Unliquidated Obligations</t>
    </r>
  </si>
  <si>
    <r>
      <rPr>
        <b/>
        <sz val="8"/>
        <rFont val="Calibri"/>
        <family val="2"/>
        <scheme val="minor"/>
      </rPr>
      <t xml:space="preserve">8. </t>
    </r>
    <r>
      <rPr>
        <sz val="8"/>
        <rFont val="Calibri"/>
        <family val="2"/>
        <scheme val="minor"/>
      </rPr>
      <t>Transfer From TANF</t>
    </r>
  </si>
  <si>
    <r>
      <rPr>
        <b/>
        <sz val="8"/>
        <rFont val="Calibri"/>
        <family val="2"/>
        <scheme val="minor"/>
      </rPr>
      <t xml:space="preserve">10. </t>
    </r>
    <r>
      <rPr>
        <sz val="8"/>
        <rFont val="Calibri"/>
        <family val="2"/>
        <scheme val="minor"/>
      </rPr>
      <t>Federal Funds Requested : Estimates For Next Quarter (Refer to Next Quarter Beginning Date Above.)</t>
    </r>
  </si>
  <si>
    <r>
      <rPr>
        <b/>
        <sz val="8"/>
        <rFont val="Calibri"/>
        <family val="2"/>
        <scheme val="minor"/>
      </rPr>
      <t xml:space="preserve">11.  </t>
    </r>
    <r>
      <rPr>
        <b/>
        <u/>
        <sz val="8"/>
        <rFont val="Calibri"/>
        <family val="2"/>
        <scheme val="minor"/>
      </rPr>
      <t>Redistributed Funds (September 30 Submittal</t>
    </r>
    <r>
      <rPr>
        <b/>
        <sz val="8"/>
        <rFont val="Calibri"/>
        <family val="2"/>
        <scheme val="minor"/>
      </rPr>
      <t>)</t>
    </r>
    <r>
      <rPr>
        <sz val="8"/>
        <rFont val="Calibri"/>
        <family val="2"/>
        <scheme val="minor"/>
      </rPr>
      <t xml:space="preserve">:  If available, does the State or Territory request </t>
    </r>
    <r>
      <rPr>
        <b/>
        <sz val="8"/>
        <rFont val="Calibri"/>
        <family val="2"/>
        <scheme val="minor"/>
      </rPr>
      <t xml:space="preserve">redistributed </t>
    </r>
    <r>
      <rPr>
        <sz val="8"/>
        <rFont val="Calibri"/>
        <family val="2"/>
        <scheme val="minor"/>
      </rPr>
      <t xml:space="preserve">funds?  </t>
    </r>
    <r>
      <rPr>
        <b/>
        <i/>
        <sz val="8"/>
        <rFont val="Calibri"/>
        <family val="2"/>
        <scheme val="minor"/>
      </rPr>
      <t xml:space="preserve">[ </t>
    </r>
    <r>
      <rPr>
        <i/>
        <sz val="8"/>
        <rFont val="Calibri"/>
        <family val="2"/>
        <scheme val="minor"/>
      </rPr>
      <t>Mandatory (territories, per ARP Act); Matching (states)]</t>
    </r>
  </si>
  <si>
    <r>
      <rPr>
        <sz val="8"/>
        <rFont val="Calibri"/>
        <family val="2"/>
        <scheme val="minor"/>
      </rPr>
      <t xml:space="preserve">11(a). If yes, does the State or Territory request a limit to the </t>
    </r>
    <r>
      <rPr>
        <b/>
        <sz val="8"/>
        <rFont val="Calibri"/>
        <family val="2"/>
        <scheme val="minor"/>
      </rPr>
      <t xml:space="preserve">redistributed </t>
    </r>
    <r>
      <rPr>
        <sz val="8"/>
        <rFont val="Calibri"/>
        <family val="2"/>
        <scheme val="minor"/>
      </rPr>
      <t>funds received?</t>
    </r>
  </si>
  <si>
    <r>
      <rPr>
        <b/>
        <sz val="8"/>
        <rFont val="Calibri"/>
        <family val="2"/>
        <scheme val="minor"/>
      </rPr>
      <t xml:space="preserve">12. </t>
    </r>
    <r>
      <rPr>
        <b/>
        <u/>
        <sz val="8"/>
        <rFont val="Calibri"/>
        <family val="2"/>
        <scheme val="minor"/>
      </rPr>
      <t>Reallotted Funds</t>
    </r>
    <r>
      <rPr>
        <b/>
        <sz val="8"/>
        <rFont val="Calibri"/>
        <family val="2"/>
        <scheme val="minor"/>
      </rPr>
      <t xml:space="preserve">:  </t>
    </r>
    <r>
      <rPr>
        <sz val="8"/>
        <rFont val="Calibri"/>
        <family val="2"/>
        <scheme val="minor"/>
      </rPr>
      <t>If available, does the State request reallotted
discretionary or stabilization funds?</t>
    </r>
  </si>
  <si>
    <r>
      <rPr>
        <b/>
        <u/>
        <sz val="8"/>
        <rFont val="Calibri"/>
        <family val="2"/>
        <scheme val="minor"/>
      </rPr>
      <t>Signature:  State Officia</t>
    </r>
    <r>
      <rPr>
        <b/>
        <sz val="8"/>
        <rFont val="Calibri"/>
        <family val="2"/>
        <scheme val="minor"/>
      </rPr>
      <t>l</t>
    </r>
  </si>
  <si>
    <r>
      <rPr>
        <b/>
        <u/>
        <sz val="8"/>
        <rFont val="Calibri"/>
        <family val="2"/>
        <scheme val="minor"/>
      </rPr>
      <t>Date Certified</t>
    </r>
    <r>
      <rPr>
        <b/>
        <sz val="8"/>
        <rFont val="Calibri"/>
        <family val="2"/>
        <scheme val="minor"/>
      </rPr>
      <t>:</t>
    </r>
  </si>
  <si>
    <r>
      <rPr>
        <b/>
        <sz val="8"/>
        <rFont val="Calibri"/>
        <family val="2"/>
        <scheme val="minor"/>
      </rPr>
      <t>FORM ACF-696
APPROVED OMB CONTROL NO. 0970-0510 EXPIRATION Date:  06/30/2024</t>
    </r>
  </si>
  <si>
    <t>Please refer to redistribution and reallotment of funds information information in the instructions.</t>
  </si>
  <si>
    <r>
      <rPr>
        <b/>
        <sz val="8"/>
        <rFont val="Calibri"/>
        <family val="2"/>
      </rPr>
      <t>This is to certify that the information reported on all parts of this form is accurate and true to the best of my knowledge and belief. This also certifies that the States share
of Estimates is or will be Available to meet the NON-FEDERAL Share of Expenditures as Required by Law.</t>
    </r>
  </si>
  <si>
    <r>
      <rPr>
        <u/>
        <sz val="8"/>
        <rFont val="Calibri"/>
        <family val="2"/>
      </rPr>
      <t>Typed Name, Title, Agency Name, Phone #</t>
    </r>
    <r>
      <rPr>
        <sz val="8"/>
        <rFont val="Calibri"/>
        <family val="2"/>
      </rPr>
      <t>:</t>
    </r>
  </si>
  <si>
    <r>
      <rPr>
        <b/>
        <u/>
        <sz val="8"/>
        <rFont val="Calibri"/>
        <family val="2"/>
      </rPr>
      <t>Submit Date</t>
    </r>
    <r>
      <rPr>
        <b/>
        <sz val="8"/>
        <rFont val="Calibri"/>
        <family val="2"/>
      </rPr>
      <t>:</t>
    </r>
  </si>
  <si>
    <t>THE PAPERWORK REDUCTION ACT OF 1995 (Pub. L. 104-13): Public reporting burden for this collection of information is estimated to average 6 hours per response, including the time for reviewing  instructions, gathering and maintaining the data needed, and reviewing the collection of information. An agency may not conduct or sponsor, and a person is not required to respond to, a collection  of information unless it displays a currently valid OMB control number.</t>
  </si>
  <si>
    <t>(COLUMN C) DISCRETIONARY FUNDS
Grant Document # CCDD</t>
  </si>
  <si>
    <t>(COLUMN F) DISCRETIONARY DISASTER RELIEF FUNDS CONST. &amp; MAJOR RENOVATION
Grant Document # CCDY</t>
  </si>
  <si>
    <t>(COLUMN G) DISCRETIONARY CARES ACT FUNDS
Grant Document # CCC3</t>
  </si>
  <si>
    <t>(COLUMN H) DISCRETIONARY CRRSA ACT FUNDS
Grant Document # CCC5</t>
  </si>
  <si>
    <t>(COLUMN I) SUPPLEMENTAL DISCRETIONARY ARP ACT FUNDS
Grant Document # CDC6</t>
  </si>
  <si>
    <t>(COLUMN J) STABILZATION ARP ACT FUNDS
Grant Document # CSC6</t>
  </si>
  <si>
    <r>
      <rPr>
        <b/>
        <u/>
        <sz val="8"/>
        <rFont val="Calibri"/>
        <family val="2"/>
      </rPr>
      <t>State or Territory</t>
    </r>
    <r>
      <rPr>
        <b/>
        <sz val="8"/>
        <rFont val="Calibri"/>
        <family val="2"/>
      </rPr>
      <t xml:space="preserve">   TEXAS</t>
    </r>
  </si>
  <si>
    <r>
      <rPr>
        <sz val="8"/>
        <rFont val="Calibri"/>
        <family val="2"/>
      </rPr>
      <t>1(b). Quality Activities Excluding Infant/Toddler Quality Activities
Reported On Line 1(c)</t>
    </r>
  </si>
  <si>
    <r>
      <rPr>
        <b/>
        <sz val="8"/>
        <rFont val="Calibri"/>
        <family val="2"/>
      </rPr>
      <t xml:space="preserve">6. </t>
    </r>
    <r>
      <rPr>
        <sz val="8"/>
        <rFont val="Calibri"/>
        <family val="2"/>
      </rPr>
      <t>Federal Share of Unliquidated Obligations</t>
    </r>
  </si>
  <si>
    <r>
      <rPr>
        <b/>
        <sz val="8"/>
        <rFont val="Calibri"/>
        <family val="2"/>
      </rPr>
      <t xml:space="preserve">8. </t>
    </r>
    <r>
      <rPr>
        <sz val="8"/>
        <rFont val="Calibri"/>
        <family val="2"/>
      </rPr>
      <t>Transfer From TANF</t>
    </r>
  </si>
  <si>
    <r>
      <rPr>
        <sz val="8"/>
        <rFont val="Arial"/>
        <family val="2"/>
      </rPr>
      <t>9(a). Was the State or Territory unable to obligate at least 50%
of the CCDF stabilization grants by December 11, 2021?</t>
    </r>
  </si>
  <si>
    <r>
      <rPr>
        <b/>
        <sz val="8"/>
        <rFont val="Calibri"/>
        <family val="2"/>
      </rPr>
      <t xml:space="preserve">10. </t>
    </r>
    <r>
      <rPr>
        <sz val="8"/>
        <rFont val="Calibri"/>
        <family val="2"/>
      </rPr>
      <t>Federal Funds Requested : Estimates For Next Quarter (Refer to Next Quarter Beginning Date Above.)</t>
    </r>
  </si>
  <si>
    <r>
      <rPr>
        <b/>
        <sz val="8"/>
        <rFont val="Calibri"/>
        <family val="2"/>
      </rPr>
      <t xml:space="preserve">11.  </t>
    </r>
    <r>
      <rPr>
        <b/>
        <u/>
        <sz val="8"/>
        <rFont val="Calibri"/>
        <family val="2"/>
      </rPr>
      <t>Redistributed Funds (September 30 Submittal</t>
    </r>
    <r>
      <rPr>
        <b/>
        <sz val="8"/>
        <rFont val="Calibri"/>
        <family val="2"/>
      </rPr>
      <t>)</t>
    </r>
    <r>
      <rPr>
        <sz val="8"/>
        <rFont val="Calibri"/>
        <family val="2"/>
      </rPr>
      <t xml:space="preserve">:  If available, does the State or Territory request </t>
    </r>
    <r>
      <rPr>
        <b/>
        <sz val="8"/>
        <rFont val="Calibri"/>
        <family val="2"/>
      </rPr>
      <t xml:space="preserve">redistributed </t>
    </r>
    <r>
      <rPr>
        <sz val="8"/>
        <rFont val="Calibri"/>
        <family val="2"/>
      </rPr>
      <t xml:space="preserve">funds?  </t>
    </r>
    <r>
      <rPr>
        <b/>
        <i/>
        <sz val="8"/>
        <rFont val="Calibri"/>
        <family val="2"/>
      </rPr>
      <t xml:space="preserve">[ </t>
    </r>
    <r>
      <rPr>
        <i/>
        <sz val="8"/>
        <rFont val="Calibri"/>
        <family val="2"/>
      </rPr>
      <t>Mandatory (territories, per ARP Act); Matching (states)]</t>
    </r>
  </si>
  <si>
    <r>
      <rPr>
        <sz val="8"/>
        <rFont val="Calibri"/>
        <family val="2"/>
      </rPr>
      <t xml:space="preserve">11(a). If yes, does the State or Territory request a limit to the </t>
    </r>
    <r>
      <rPr>
        <b/>
        <sz val="8"/>
        <rFont val="Calibri"/>
        <family val="2"/>
      </rPr>
      <t xml:space="preserve">redistributed </t>
    </r>
    <r>
      <rPr>
        <sz val="8"/>
        <rFont val="Calibri"/>
        <family val="2"/>
      </rPr>
      <t>funds received?</t>
    </r>
  </si>
  <si>
    <r>
      <rPr>
        <b/>
        <sz val="8"/>
        <rFont val="Calibri"/>
        <family val="2"/>
      </rPr>
      <t xml:space="preserve">12. </t>
    </r>
    <r>
      <rPr>
        <b/>
        <u/>
        <sz val="8"/>
        <rFont val="Calibri"/>
        <family val="2"/>
      </rPr>
      <t>Reallotted Funds</t>
    </r>
    <r>
      <rPr>
        <b/>
        <sz val="8"/>
        <rFont val="Calibri"/>
        <family val="2"/>
      </rPr>
      <t xml:space="preserve">:  </t>
    </r>
    <r>
      <rPr>
        <sz val="8"/>
        <rFont val="Calibri"/>
        <family val="2"/>
      </rPr>
      <t>If available, does the State request reallotted
discretionary or stabilization funds?</t>
    </r>
  </si>
  <si>
    <r>
      <rPr>
        <b/>
        <u/>
        <sz val="8"/>
        <rFont val="Calibri"/>
        <family val="2"/>
      </rPr>
      <t>Signature:  State Officia</t>
    </r>
    <r>
      <rPr>
        <b/>
        <sz val="8"/>
        <rFont val="Calibri"/>
        <family val="2"/>
      </rPr>
      <t>l</t>
    </r>
  </si>
  <si>
    <r>
      <rPr>
        <b/>
        <u/>
        <sz val="8"/>
        <rFont val="Calibri"/>
        <family val="2"/>
      </rPr>
      <t>Date Certified</t>
    </r>
    <r>
      <rPr>
        <b/>
        <sz val="8"/>
        <rFont val="Calibri"/>
        <family val="2"/>
      </rPr>
      <t>:</t>
    </r>
  </si>
  <si>
    <r>
      <rPr>
        <b/>
        <sz val="8"/>
        <rFont val="Calibri"/>
        <family val="2"/>
      </rPr>
      <t>FORM ACF-696
APPROVED OMB CONTROL NO. 0970-0510 EXPIRATION Date:  06/30/2024</t>
    </r>
  </si>
  <si>
    <t>Donation/Transfer</t>
  </si>
  <si>
    <t>Certification</t>
  </si>
  <si>
    <t>Revised Pledges w/MOUs</t>
  </si>
  <si>
    <t>Pending Posting</t>
  </si>
  <si>
    <t>Payables Balance</t>
  </si>
  <si>
    <t>Adjusted down by $4,082,152.44 overmatch amount</t>
  </si>
  <si>
    <t>Adjusted Gulf Coast Quality Certifications down</t>
  </si>
  <si>
    <t>Revised after adjustment</t>
  </si>
  <si>
    <t xml:space="preserve">Note: (COLUMN B)-MATCHING FUNDS includes $52,158,949 that doesn't required match for GY2021 (100% Federal match funds).  </t>
  </si>
  <si>
    <t>Report Submiitted with Warning.</t>
  </si>
  <si>
    <t>YES [   ]   NO [   ]</t>
  </si>
  <si>
    <t>Expended</t>
  </si>
  <si>
    <t>YES [  ]   NO [   ]</t>
  </si>
  <si>
    <t>YES [   ]   NO [  ]</t>
  </si>
  <si>
    <r>
      <rPr>
        <b/>
        <u/>
        <sz val="11"/>
        <rFont val="Calibri"/>
        <family val="2"/>
      </rPr>
      <t>Final Repor</t>
    </r>
    <r>
      <rPr>
        <b/>
        <sz val="11"/>
        <rFont val="Calibri"/>
        <family val="2"/>
      </rPr>
      <t>t [ ] Yes [ x ] No</t>
    </r>
  </si>
  <si>
    <r>
      <rPr>
        <b/>
        <u/>
        <sz val="11"/>
        <rFont val="Calibri"/>
        <family val="2"/>
      </rPr>
      <t>Grant Yea</t>
    </r>
    <r>
      <rPr>
        <b/>
        <sz val="11"/>
        <rFont val="Calibri"/>
        <family val="2"/>
      </rPr>
      <t>r</t>
    </r>
    <r>
      <rPr>
        <sz val="11"/>
        <color rgb="FF000000"/>
        <rFont val="Times New Roman"/>
        <family val="1"/>
      </rPr>
      <t xml:space="preserve"> 2023</t>
    </r>
  </si>
  <si>
    <r>
      <rPr>
        <b/>
        <u/>
        <sz val="11"/>
        <rFont val="Calibri"/>
        <family val="2"/>
      </rPr>
      <t>Grant Number</t>
    </r>
    <r>
      <rPr>
        <b/>
        <sz val="11"/>
        <rFont val="Calibri"/>
        <family val="2"/>
      </rPr>
      <t>:</t>
    </r>
    <r>
      <rPr>
        <sz val="11"/>
        <color rgb="FF000000"/>
        <rFont val="Times New Roman"/>
        <family val="1"/>
      </rPr>
      <t xml:space="preserve"> G-2301TXCCDF</t>
    </r>
  </si>
  <si>
    <r>
      <rPr>
        <b/>
        <u/>
        <sz val="11"/>
        <rFont val="Calibri"/>
        <family val="2"/>
        <scheme val="minor"/>
      </rPr>
      <t>Grant Yea</t>
    </r>
    <r>
      <rPr>
        <b/>
        <sz val="11"/>
        <rFont val="Calibri"/>
        <family val="2"/>
        <scheme val="minor"/>
      </rPr>
      <t>r</t>
    </r>
    <r>
      <rPr>
        <sz val="11"/>
        <color rgb="FF000000"/>
        <rFont val="Calibri"/>
        <family val="2"/>
        <scheme val="minor"/>
      </rPr>
      <t>: 2021</t>
    </r>
  </si>
  <si>
    <r>
      <rPr>
        <b/>
        <u/>
        <sz val="11"/>
        <rFont val="Calibri"/>
        <family val="2"/>
        <scheme val="minor"/>
      </rPr>
      <t>Grant Number</t>
    </r>
    <r>
      <rPr>
        <b/>
        <sz val="11"/>
        <rFont val="Calibri"/>
        <family val="2"/>
        <scheme val="minor"/>
      </rPr>
      <t>:</t>
    </r>
    <r>
      <rPr>
        <sz val="11"/>
        <color rgb="FF000000"/>
        <rFont val="Calibri"/>
        <family val="2"/>
        <scheme val="minor"/>
      </rPr>
      <t xml:space="preserve">  G-2101TXCCDF</t>
    </r>
  </si>
  <si>
    <r>
      <rPr>
        <b/>
        <u/>
        <sz val="11"/>
        <rFont val="Calibri"/>
        <family val="2"/>
        <scheme val="minor"/>
      </rPr>
      <t>Final Repor</t>
    </r>
    <r>
      <rPr>
        <b/>
        <sz val="11"/>
        <rFont val="Calibri"/>
        <family val="2"/>
        <scheme val="minor"/>
      </rPr>
      <t>t [   ] Yes [ X ] No</t>
    </r>
  </si>
  <si>
    <r>
      <rPr>
        <b/>
        <u/>
        <sz val="11"/>
        <rFont val="Calibri"/>
        <family val="2"/>
        <scheme val="minor"/>
      </rPr>
      <t>Grant Yea</t>
    </r>
    <r>
      <rPr>
        <b/>
        <sz val="11"/>
        <rFont val="Calibri"/>
        <family val="2"/>
        <scheme val="minor"/>
      </rPr>
      <t>r</t>
    </r>
    <r>
      <rPr>
        <sz val="11"/>
        <color rgb="FF000000"/>
        <rFont val="Calibri"/>
        <family val="2"/>
        <scheme val="minor"/>
      </rPr>
      <t>: 2022</t>
    </r>
  </si>
  <si>
    <r>
      <rPr>
        <b/>
        <u/>
        <sz val="11"/>
        <rFont val="Calibri"/>
        <family val="2"/>
        <scheme val="minor"/>
      </rPr>
      <t>Grant Number</t>
    </r>
    <r>
      <rPr>
        <b/>
        <sz val="11"/>
        <rFont val="Calibri"/>
        <family val="2"/>
        <scheme val="minor"/>
      </rPr>
      <t>:</t>
    </r>
    <r>
      <rPr>
        <sz val="11"/>
        <color rgb="FF000000"/>
        <rFont val="Calibri"/>
        <family val="2"/>
        <scheme val="minor"/>
      </rPr>
      <t xml:space="preserve">  G-2201TXCCDF</t>
    </r>
  </si>
  <si>
    <t>(Column D)
MOE
(State Share Only)</t>
  </si>
  <si>
    <t>(Column E)
DISCRETIONARY DISASTER RELIEF FUNDS
(Federal Share Only)
Grant Document #
CCDX</t>
  </si>
  <si>
    <t>Sum</t>
  </si>
  <si>
    <t>ARPA Discretionary</t>
  </si>
  <si>
    <t>Check</t>
  </si>
  <si>
    <t>New-22 x-ref Totals</t>
  </si>
  <si>
    <t>New-21 x-ref Totals</t>
  </si>
  <si>
    <t>New-23 x-ref Totals</t>
  </si>
  <si>
    <t>Obligated</t>
  </si>
  <si>
    <t xml:space="preserve">Note: (COLUMN B)-MATCHING FUNDS includes $52,513,921 that doesn't required match for GY2022 (100% Federal match funds).  </t>
  </si>
  <si>
    <t>New-24x-ref Totals</t>
  </si>
  <si>
    <r>
      <rPr>
        <b/>
        <u/>
        <sz val="11"/>
        <rFont val="Calibri"/>
        <family val="2"/>
      </rPr>
      <t>Grant Yea</t>
    </r>
    <r>
      <rPr>
        <b/>
        <sz val="11"/>
        <rFont val="Calibri"/>
        <family val="2"/>
      </rPr>
      <t>r</t>
    </r>
    <r>
      <rPr>
        <sz val="11"/>
        <color rgb="FF000000"/>
        <rFont val="Times New Roman"/>
        <family val="1"/>
      </rPr>
      <t xml:space="preserve"> 2024</t>
    </r>
  </si>
  <si>
    <r>
      <rPr>
        <b/>
        <u/>
        <sz val="11"/>
        <rFont val="Calibri"/>
        <family val="2"/>
      </rPr>
      <t>Grant Number</t>
    </r>
    <r>
      <rPr>
        <b/>
        <sz val="11"/>
        <rFont val="Calibri"/>
        <family val="2"/>
      </rPr>
      <t>:</t>
    </r>
    <r>
      <rPr>
        <sz val="11"/>
        <color rgb="FF000000"/>
        <rFont val="Times New Roman"/>
        <family val="1"/>
      </rPr>
      <t xml:space="preserve"> G-2401TXCCDF</t>
    </r>
  </si>
  <si>
    <r>
      <t xml:space="preserve">(COLUMN B)                          MATCHING FUNDS
AT FMAP RATE OF </t>
    </r>
    <r>
      <rPr>
        <b/>
        <u/>
        <sz val="8"/>
        <rFont val="Calibri"/>
        <family val="2"/>
      </rPr>
      <t>  67.00 </t>
    </r>
    <r>
      <rPr>
        <b/>
        <sz val="8"/>
        <rFont val="Calibri"/>
        <family val="2"/>
      </rPr>
      <t>%
(Federal and State Shares)
Grant Document # CCDM</t>
    </r>
  </si>
  <si>
    <r>
      <rPr>
        <b/>
        <sz val="8"/>
        <rFont val="Calibri"/>
        <family val="2"/>
      </rPr>
      <t>(COLUMN C) DISCRETIONARY FUNDS
Grant Document # CCDD</t>
    </r>
  </si>
  <si>
    <r>
      <rPr>
        <b/>
        <sz val="8"/>
        <rFont val="Calibri"/>
        <family val="2"/>
      </rPr>
      <t>(COLUMN E) DISCRETIONARY DISASTER RELIEF FUNDS
GrantDocument # CCDX</t>
    </r>
  </si>
  <si>
    <r>
      <rPr>
        <b/>
        <sz val="8"/>
        <rFont val="Calibri"/>
        <family val="2"/>
      </rPr>
      <t>(COLUMN F) DISCRETIONARY DISASTER RELIEF FUNDS CONST. &amp; MAJOR RENOVATION
Grant Document # CCDY</t>
    </r>
  </si>
  <si>
    <r>
      <rPr>
        <b/>
        <sz val="8"/>
        <rFont val="Calibri"/>
        <family val="2"/>
      </rPr>
      <t>(COLUMN G) DISCRETIONARY CARES ACT FUNDS
Grant Document # CCC3</t>
    </r>
  </si>
  <si>
    <r>
      <rPr>
        <b/>
        <sz val="8"/>
        <rFont val="Calibri"/>
        <family val="2"/>
      </rPr>
      <t>(COLUMN H) DISCRETIONARY CRRSA ACT FUNDS
Grant Document # CCC5</t>
    </r>
  </si>
  <si>
    <r>
      <rPr>
        <b/>
        <sz val="8"/>
        <rFont val="Calibri"/>
        <family val="2"/>
      </rPr>
      <t>(COLUMN I) SUPPLEMENTAL DISCRETIONARY ARP ACT FUNDS
Grant Document # CDC6</t>
    </r>
  </si>
  <si>
    <r>
      <rPr>
        <b/>
        <sz val="8"/>
        <rFont val="Calibri"/>
        <family val="2"/>
      </rPr>
      <t>(COLUMN J) STABILZATION ARP ACT FUNDS
Grant Document # CSC6</t>
    </r>
  </si>
  <si>
    <r>
      <rPr>
        <b/>
        <sz val="11"/>
        <rFont val="Calibri"/>
        <family val="2"/>
      </rPr>
      <t>This is to certify that the information reported on all parts of this form is accurate and true to the best of my knowledge and belief. This also certifies that the States share
of Estimates is or will be Available to meet the NON-FEDERAL Share of Expenditures as Required by Law.</t>
    </r>
  </si>
  <si>
    <r>
      <rPr>
        <b/>
        <u/>
        <sz val="11"/>
        <rFont val="Calibri"/>
        <family val="2"/>
        <scheme val="minor"/>
      </rPr>
      <t>Signature:  State Officia</t>
    </r>
    <r>
      <rPr>
        <b/>
        <sz val="11"/>
        <rFont val="Calibri"/>
        <family val="2"/>
        <scheme val="minor"/>
      </rPr>
      <t>l</t>
    </r>
  </si>
  <si>
    <r>
      <rPr>
        <u/>
        <sz val="11"/>
        <rFont val="Calibri"/>
        <family val="2"/>
      </rPr>
      <t>Typed Name, Title, Agency Name, Phone #</t>
    </r>
    <r>
      <rPr>
        <sz val="11"/>
        <rFont val="Calibri"/>
        <family val="2"/>
      </rPr>
      <t>:</t>
    </r>
  </si>
  <si>
    <r>
      <rPr>
        <b/>
        <u/>
        <sz val="11"/>
        <rFont val="Calibri"/>
        <family val="2"/>
        <scheme val="minor"/>
      </rPr>
      <t>Date Certified</t>
    </r>
    <r>
      <rPr>
        <b/>
        <sz val="11"/>
        <rFont val="Calibri"/>
        <family val="2"/>
        <scheme val="minor"/>
      </rPr>
      <t>:</t>
    </r>
  </si>
  <si>
    <r>
      <rPr>
        <b/>
        <u/>
        <sz val="11"/>
        <rFont val="Calibri"/>
        <family val="2"/>
      </rPr>
      <t>Submit Date</t>
    </r>
    <r>
      <rPr>
        <b/>
        <sz val="11"/>
        <rFont val="Calibri"/>
        <family val="2"/>
      </rPr>
      <t>:</t>
    </r>
  </si>
  <si>
    <r>
      <rPr>
        <b/>
        <sz val="11"/>
        <rFont val="Calibri"/>
        <family val="2"/>
        <scheme val="minor"/>
      </rPr>
      <t>FORM ACF-696
APPROVED OMB CONTROL NO. 0970-0510 EXPIRATION Date:  06/30/2024</t>
    </r>
  </si>
  <si>
    <t>YES [   ]   NO [X ]</t>
  </si>
  <si>
    <t>(COLUMN B)                          MATCHING FUNDS
AT FMAP RATE OF 60.15%
(Federal and State Shares)
Grant Document # CCDM</t>
  </si>
  <si>
    <t>Mandatory Benchmark</t>
  </si>
  <si>
    <t>Quality Benchmark</t>
  </si>
  <si>
    <t>Discretionary Benchmark</t>
  </si>
  <si>
    <t>Based for 70% calculation</t>
  </si>
  <si>
    <t>2024 Final Allocations</t>
  </si>
  <si>
    <t>Current Quarter Ended: 06/30/24</t>
  </si>
  <si>
    <t>Next Quarter Beginning: 10/01/24</t>
  </si>
  <si>
    <r>
      <rPr>
        <b/>
        <u/>
        <sz val="11"/>
        <rFont val="Calibri"/>
        <family val="2"/>
      </rPr>
      <t>Current Quarter Ended</t>
    </r>
    <r>
      <rPr>
        <b/>
        <sz val="11"/>
        <rFont val="Calibri"/>
        <family val="2"/>
      </rPr>
      <t>: 06/30/24</t>
    </r>
  </si>
  <si>
    <r>
      <rPr>
        <b/>
        <u/>
        <sz val="11"/>
        <rFont val="Calibri"/>
        <family val="2"/>
      </rPr>
      <t>Next Quarter Beginning</t>
    </r>
    <r>
      <rPr>
        <b/>
        <sz val="11"/>
        <rFont val="Calibri"/>
        <family val="2"/>
      </rPr>
      <t>: 10/01/24</t>
    </r>
  </si>
  <si>
    <t>NOTE: Warning 42511 due to system using 60.15% FMAP rate versus 60.67%. We are using average rate due to fully expense match allocation</t>
  </si>
  <si>
    <t>Balance Formula</t>
  </si>
  <si>
    <r>
      <rPr>
        <b/>
        <u/>
        <sz val="11"/>
        <color theme="1"/>
        <rFont val="Calibri"/>
        <family val="2"/>
        <scheme val="minor"/>
      </rPr>
      <t>Grant Year</t>
    </r>
    <r>
      <rPr>
        <b/>
        <sz val="11"/>
        <color theme="1"/>
        <rFont val="Calibri"/>
        <family val="2"/>
        <scheme val="minor"/>
      </rPr>
      <t xml:space="preserve">
</t>
    </r>
  </si>
  <si>
    <t xml:space="preserve">Current Quarter Ended
</t>
  </si>
  <si>
    <t>Grant Number:</t>
  </si>
  <si>
    <t xml:space="preserve">Next Quarter Beginning
</t>
  </si>
  <si>
    <t>Cumulative Fiscal Year Totals</t>
  </si>
  <si>
    <t>(COLUMN A)
MANDATORY FUNDS
Grant Document #s
CCDF (states)
CCDT (territories)</t>
  </si>
  <si>
    <t>(COLUMN C)
DISCRETIONARY FUNDS
Grant Document #
CCDD</t>
  </si>
  <si>
    <t xml:space="preserve">(COLUMN D)
MOE
</t>
  </si>
  <si>
    <t>(COLUMN E)
DISCRETIONARY
DISASTER RELIEF FUNDS
GrantDocument #
CCDX</t>
  </si>
  <si>
    <t>(COLUMN G)
DISCRETIONARY
CARES ACT FUNDS
Grant Document #
CCC3</t>
  </si>
  <si>
    <t>(COLUMN H)
DISCRETIONARY
CRRSA ACT FUNDS
Grant Document #
CCC5</t>
  </si>
  <si>
    <t>(COLUMN I)
SUPPLEMENTAL DISCRETIONARY 
ARP ACT FUNDS
Grant Document #
CDC6</t>
  </si>
  <si>
    <t>(COLUMN J)
STABILZATION 
ARP ACT FUNDS
Grant Document #
CSC6</t>
  </si>
  <si>
    <t>  1(a). Child Care Administration</t>
  </si>
  <si>
    <t>  1(b). Quality Activities Excluding Infant/Toddler Quality Activities Reported On Line 1(c)</t>
  </si>
  <si>
    <t>  1(c). Infant/Toddler Quality Activities</t>
  </si>
  <si>
    <t>  1(d). Direct Services</t>
  </si>
  <si>
    <t>  1(e). Non - Direct Services</t>
  </si>
  <si>
    <t>      1(e)(1). Systems</t>
  </si>
  <si>
    <t xml:space="preserve">      1(e)(2). Certificate Program Costs/Eligibility Determination</t>
  </si>
  <si>
    <t xml:space="preserve">      1(e)(3). All Other Non-Direct Services</t>
  </si>
  <si>
    <t>      1(f). Construction and Major Renovation</t>
  </si>
  <si>
    <t>  2(a). Regular</t>
  </si>
  <si>
    <t>  2(b). Private Donated Funds</t>
  </si>
  <si>
    <t>  2(c). Pre - K</t>
  </si>
  <si>
    <t xml:space="preserve">  4(a) Subgrant administration</t>
  </si>
  <si>
    <t xml:space="preserve">  4(b) Systems</t>
  </si>
  <si>
    <t xml:space="preserve">  4(c) TA - application </t>
  </si>
  <si>
    <t xml:space="preserve">  4(d) TA - implementation</t>
  </si>
  <si>
    <t xml:space="preserve">  4(e) Publicity</t>
  </si>
  <si>
    <t xml:space="preserve">  4(f) Activities to build supply</t>
  </si>
  <si>
    <r>
      <rPr>
        <b/>
        <sz val="10"/>
        <rFont val="Calibri"/>
        <family val="2"/>
        <scheme val="minor"/>
      </rPr>
      <t>6.</t>
    </r>
    <r>
      <rPr>
        <sz val="10"/>
        <rFont val="Calibri"/>
        <family val="2"/>
        <scheme val="minor"/>
      </rPr>
      <t xml:space="preserve"> Federal Share of </t>
    </r>
    <r>
      <rPr>
        <strike/>
        <sz val="10"/>
        <color rgb="FFFF0000"/>
        <rFont val="Calibri"/>
        <family val="2"/>
        <scheme val="minor"/>
      </rPr>
      <t xml:space="preserve"> </t>
    </r>
    <r>
      <rPr>
        <sz val="10"/>
        <rFont val="Calibri"/>
        <family val="2"/>
        <scheme val="minor"/>
      </rPr>
      <t>Obligations (Not Yet Liquidated)</t>
    </r>
  </si>
  <si>
    <r>
      <rPr>
        <b/>
        <sz val="10"/>
        <rFont val="Calibri"/>
        <family val="2"/>
        <scheme val="minor"/>
      </rPr>
      <t>8.</t>
    </r>
    <r>
      <rPr>
        <sz val="10"/>
        <rFont val="Calibri"/>
        <family val="2"/>
        <scheme val="minor"/>
      </rPr>
      <t xml:space="preserve"> Transfer From TANF</t>
    </r>
  </si>
  <si>
    <r>
      <rPr>
        <b/>
        <sz val="10"/>
        <rFont val="Calibri"/>
        <family val="2"/>
        <scheme val="minor"/>
      </rPr>
      <t>10.</t>
    </r>
    <r>
      <rPr>
        <sz val="10"/>
        <rFont val="Calibri"/>
        <family val="2"/>
        <scheme val="minor"/>
      </rPr>
      <t xml:space="preserve"> Federal Funds Requested : Estimates For Next Quarter (Refer to Next Quarter Beginning Date Above.)</t>
    </r>
  </si>
  <si>
    <t>Please refer to redistribution and reallotment of funds information information in the instructions. </t>
  </si>
  <si>
    <r>
      <rPr>
        <b/>
        <sz val="10"/>
        <rFont val="Calibri"/>
        <family val="2"/>
        <scheme val="minor"/>
      </rPr>
      <t>11.</t>
    </r>
    <r>
      <rPr>
        <sz val="10"/>
        <rFont val="Calibri"/>
        <family val="2"/>
        <scheme val="minor"/>
      </rPr>
      <t xml:space="preserve">  </t>
    </r>
    <r>
      <rPr>
        <b/>
        <u/>
        <sz val="10"/>
        <rFont val="Calibri"/>
        <family val="2"/>
        <scheme val="minor"/>
      </rPr>
      <t>Redistributed Funds (September 30 Submittal)</t>
    </r>
    <r>
      <rPr>
        <sz val="10"/>
        <rFont val="Calibri"/>
        <family val="2"/>
        <scheme val="minor"/>
      </rPr>
      <t xml:space="preserve">:  If available, does the State or Territory request </t>
    </r>
    <r>
      <rPr>
        <b/>
        <sz val="10"/>
        <rFont val="Calibri"/>
        <family val="2"/>
        <scheme val="minor"/>
      </rPr>
      <t>redistributed</t>
    </r>
    <r>
      <rPr>
        <sz val="10"/>
        <rFont val="Calibri"/>
        <family val="2"/>
        <scheme val="minor"/>
      </rPr>
      <t xml:space="preserve"> funds?  </t>
    </r>
    <r>
      <rPr>
        <b/>
        <i/>
        <sz val="10"/>
        <rFont val="Calibri"/>
        <family val="2"/>
        <scheme val="minor"/>
      </rPr>
      <t>[</t>
    </r>
    <r>
      <rPr>
        <i/>
        <sz val="10"/>
        <rFont val="Calibri"/>
        <family val="2"/>
        <scheme val="minor"/>
      </rPr>
      <t>Mandatory (territories, per ARP Act); Matching (states)]</t>
    </r>
  </si>
  <si>
    <r>
      <t xml:space="preserve">     11(a). If yes, does the State or Territory request a limit to
     the </t>
    </r>
    <r>
      <rPr>
        <b/>
        <sz val="10"/>
        <rFont val="Calibri"/>
        <family val="2"/>
        <scheme val="minor"/>
      </rPr>
      <t>redistributed</t>
    </r>
    <r>
      <rPr>
        <sz val="10"/>
        <rFont val="Calibri"/>
        <family val="2"/>
        <scheme val="minor"/>
      </rPr>
      <t xml:space="preserve"> funds received?</t>
    </r>
  </si>
  <si>
    <r>
      <rPr>
        <b/>
        <sz val="10"/>
        <rFont val="Calibri"/>
        <family val="2"/>
        <scheme val="minor"/>
      </rPr>
      <t>12.</t>
    </r>
    <r>
      <rPr>
        <sz val="10"/>
        <rFont val="Calibri"/>
        <family val="2"/>
        <scheme val="minor"/>
      </rPr>
      <t xml:space="preserve"> </t>
    </r>
    <r>
      <rPr>
        <b/>
        <u/>
        <sz val="10"/>
        <rFont val="Calibri"/>
        <family val="2"/>
        <scheme val="minor"/>
      </rPr>
      <t>Reallotted Funds:</t>
    </r>
    <r>
      <rPr>
        <sz val="10"/>
        <rFont val="Calibri"/>
        <family val="2"/>
        <scheme val="minor"/>
      </rPr>
      <t xml:space="preserve">  If available, does the State request reallotted discretionary or stabilization funds?</t>
    </r>
  </si>
  <si>
    <t>Signature Information</t>
  </si>
  <si>
    <t xml:space="preserve">This is to certify that the information reported on all parts of this form is accurate and true to the best of my knowledge and belief. This also certifies that the States share </t>
  </si>
  <si>
    <t>of Estimates is or will be Available to meet the NON-FEDERAL Share of Expenditures as Required by Law. </t>
  </si>
  <si>
    <t xml:space="preserve">Signature:  State Official
</t>
  </si>
  <si>
    <t>Typed Name, Title, Agency Name, Phone #:</t>
  </si>
  <si>
    <t xml:space="preserve">Date Certified:
</t>
  </si>
  <si>
    <t xml:space="preserve">Submit Date:
</t>
  </si>
  <si>
    <t>FORM ACF-696
APPROVED OMB CONTROL NO. 0970-0510
EXPIRATION Date:  06/30/2027</t>
  </si>
  <si>
    <t>G-2101TXCCDF</t>
  </si>
  <si>
    <r>
      <rPr>
        <b/>
        <u/>
        <sz val="11"/>
        <rFont val="Calibri"/>
        <family val="2"/>
        <scheme val="minor"/>
      </rPr>
      <t>State or Territory</t>
    </r>
    <r>
      <rPr>
        <b/>
        <sz val="11"/>
        <rFont val="Calibri"/>
        <family val="2"/>
        <scheme val="minor"/>
      </rPr>
      <t xml:space="preserve">
                                    TEXAS</t>
    </r>
  </si>
  <si>
    <r>
      <t xml:space="preserve">(COLUMN B)                          MATCHING FUNDS
AT FMAP RATE OF </t>
    </r>
    <r>
      <rPr>
        <b/>
        <u/>
        <sz val="9"/>
        <rFont val="Calibri"/>
        <family val="2"/>
      </rPr>
      <t> 65.30 </t>
    </r>
    <r>
      <rPr>
        <b/>
        <sz val="9"/>
        <rFont val="Calibri"/>
        <family val="2"/>
      </rPr>
      <t>%
(Federal and State Shares)
Grant Document # CCDM</t>
    </r>
  </si>
  <si>
    <t>YES [  ]   NO [ X  ]</t>
  </si>
  <si>
    <r>
      <t xml:space="preserve">Final Report
</t>
    </r>
    <r>
      <rPr>
        <b/>
        <sz val="11"/>
        <color theme="1"/>
        <rFont val="Calibri"/>
        <family val="2"/>
        <scheme val="minor"/>
      </rPr>
      <t>[ X  ] Yes
[      ] No</t>
    </r>
  </si>
  <si>
    <t>G-2201TXCCDF</t>
  </si>
  <si>
    <t>G-2301TXCCDF</t>
  </si>
  <si>
    <r>
      <t xml:space="preserve">Final Report
</t>
    </r>
    <r>
      <rPr>
        <b/>
        <sz val="11"/>
        <color theme="1"/>
        <rFont val="Calibri"/>
        <family val="2"/>
        <scheme val="minor"/>
      </rPr>
      <t>[    ] Yes
[ X ] No</t>
    </r>
  </si>
  <si>
    <t>G-2401TXCCDF</t>
  </si>
  <si>
    <r>
      <t xml:space="preserve">Final Report
</t>
    </r>
    <r>
      <rPr>
        <b/>
        <sz val="11"/>
        <color theme="1"/>
        <rFont val="Calibri"/>
        <family val="2"/>
        <scheme val="minor"/>
      </rPr>
      <t>[ X ] Yes
[    ] No</t>
    </r>
  </si>
  <si>
    <t>YES [   ]   NO [ x  ]</t>
  </si>
  <si>
    <t>YES [   ]   NO [x   ]</t>
  </si>
  <si>
    <t>YES [   ]   NO [ X  ]</t>
  </si>
  <si>
    <t>YES [ X   ]   NO [   ]</t>
  </si>
  <si>
    <r>
      <t xml:space="preserve">(COLUMN B)
MATCHING FUNDS
AT FMAP RATE OF </t>
    </r>
    <r>
      <rPr>
        <b/>
        <u/>
        <sz val="10"/>
        <rFont val="Calibri"/>
        <family val="2"/>
        <scheme val="minor"/>
      </rPr>
      <t>68.01</t>
    </r>
    <r>
      <rPr>
        <b/>
        <sz val="10"/>
        <rFont val="Calibri"/>
        <family val="2"/>
        <scheme val="minor"/>
      </rPr>
      <t>%
(Federal and State Shares)
Grant Document #
CCDM</t>
    </r>
  </si>
  <si>
    <r>
      <t xml:space="preserve">(COLUMN B)
MATCHING FUNDS
AT FMAP RATE OF </t>
    </r>
    <r>
      <rPr>
        <b/>
        <u/>
        <sz val="10"/>
        <rFont val="Calibri"/>
        <family val="2"/>
        <scheme val="minor"/>
      </rPr>
      <t>67.00</t>
    </r>
    <r>
      <rPr>
        <b/>
        <sz val="10"/>
        <rFont val="Calibri"/>
        <family val="2"/>
        <scheme val="minor"/>
      </rPr>
      <t>%
(Federal and State Shares)
Grant Document #
CCDM</t>
    </r>
  </si>
  <si>
    <r>
      <t xml:space="preserve">(COLUMN B)
MATCHING FUNDS
AT FMAP RATE OF </t>
    </r>
    <r>
      <rPr>
        <b/>
        <u/>
        <sz val="10"/>
        <rFont val="Calibri"/>
        <family val="2"/>
        <scheme val="minor"/>
      </rPr>
      <t>60.15</t>
    </r>
    <r>
      <rPr>
        <b/>
        <sz val="10"/>
        <rFont val="Calibri"/>
        <family val="2"/>
        <scheme val="minor"/>
      </rPr>
      <t>%
(Federal and State Shares)
Grant Document #
CCDM</t>
    </r>
  </si>
  <si>
    <r>
      <t>(COLUMN B)
MATCHING FUNDS
AT FMAP RATE OF</t>
    </r>
    <r>
      <rPr>
        <b/>
        <u/>
        <sz val="10"/>
        <rFont val="Calibri"/>
        <family val="2"/>
        <scheme val="minor"/>
      </rPr>
      <t xml:space="preserve"> 65.30</t>
    </r>
    <r>
      <rPr>
        <b/>
        <sz val="10"/>
        <rFont val="Calibri"/>
        <family val="2"/>
        <scheme val="minor"/>
      </rPr>
      <t>%
(Federal and State Shares)
Grant Document #
CCDM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</si>
</sst>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9" formatCode="&quot;$&quot;#,##0.00;\(&quot;$&quot;#,##0.00\)"/>
    <numFmt numFmtId="172" formatCode="dd\-mmm\-yy"/>
    <numFmt numFmtId="178" formatCode="_(* #,##0.0000_);_(* \(#,##0.0000\);_(* &quot;-&quot;??_);_(@_)"/>
    <numFmt numFmtId="183" formatCode="_(&quot;$&quot;* #,##0.000_);_(&quot;$&quot;* \(#,##0.000\);_(&quot;$&quot;* &quot;-&quot;??_);_(@_)"/>
  </numFmts>
  <fonts count="13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name val="Arial"/>
      <family val="2"/>
    </font>
    <font>
      <sz val="8"/>
      <name val="Arial"/>
      <family val="2"/>
    </font>
    <font>
      <sz val="10"/>
      <color indexed="8"/>
      <name val="Arial"/>
      <family val="2"/>
    </font>
    <font>
      <sz val="10"/>
      <color indexed="12"/>
      <name val="Arial"/>
      <family val="2"/>
    </font>
    <font>
      <sz val="10"/>
      <name val="MS Sans Serif"/>
      <family val="2"/>
    </font>
    <font>
      <b/>
      <sz val="10"/>
      <name val="MS Sans Serif"/>
      <family val="2"/>
    </font>
    <font>
      <sz val="10"/>
      <name val="Times New Roman"/>
      <family val="1"/>
    </font>
    <font>
      <sz val="10"/>
      <color indexed="8"/>
      <name val="Arial"/>
      <family val="2"/>
    </font>
    <font>
      <b/>
      <sz val="10"/>
      <name val="Arial"/>
      <family val="2"/>
    </font>
    <font>
      <sz val="10"/>
      <color rgb="FFFF0000"/>
      <name val="Arial"/>
      <family val="2"/>
    </font>
    <font>
      <sz val="9"/>
      <color indexed="81"/>
      <name val="Tahoma"/>
      <family val="2"/>
    </font>
    <font>
      <sz val="10"/>
      <color theme="0"/>
      <name val="Arial"/>
      <family val="2"/>
    </font>
    <font>
      <b/>
      <sz val="10"/>
      <color rgb="FFFF0000"/>
      <name val="Arial"/>
      <family val="2"/>
    </font>
    <font>
      <b/>
      <sz val="11"/>
      <color indexed="8"/>
      <name val="Arial"/>
      <family val="2"/>
    </font>
    <font>
      <sz val="10"/>
      <color rgb="FF0000FF"/>
      <name val="Arial"/>
      <family val="2"/>
    </font>
    <font>
      <sz val="14"/>
      <name val="Arial"/>
      <family val="2"/>
    </font>
    <font>
      <sz val="9"/>
      <color theme="1"/>
      <name val="Arial"/>
      <family val="2"/>
    </font>
    <font>
      <sz val="10"/>
      <color indexed="8"/>
      <name val="Arial"/>
      <family val="2"/>
    </font>
    <font>
      <sz val="11"/>
      <color theme="1"/>
      <name val="Calibri"/>
      <family val="2"/>
      <scheme val="minor"/>
    </font>
    <font>
      <b/>
      <sz val="9"/>
      <color indexed="81"/>
      <name val="Tahoma"/>
      <family val="2"/>
    </font>
    <font>
      <b/>
      <sz val="10"/>
      <color rgb="FF7030A0"/>
      <name val="Arial"/>
      <family val="2"/>
    </font>
    <font>
      <sz val="11"/>
      <color indexed="8"/>
      <name val="Calibri"/>
      <family val="2"/>
    </font>
    <font>
      <b/>
      <sz val="11"/>
      <color indexed="8"/>
      <name val="Calibri"/>
      <family val="2"/>
    </font>
    <font>
      <sz val="11"/>
      <name val="Calibri"/>
      <family val="2"/>
    </font>
    <font>
      <b/>
      <sz val="9"/>
      <name val="Calibri"/>
      <family val="2"/>
    </font>
    <font>
      <sz val="11"/>
      <color theme="0"/>
      <name val="Calibri"/>
      <family val="2"/>
      <scheme val="minor"/>
    </font>
    <font>
      <u/>
      <sz val="11"/>
      <color theme="10"/>
      <name val="Calibri"/>
      <family val="2"/>
      <scheme val="minor"/>
    </font>
    <font>
      <sz val="10"/>
      <name val="Arial Unicode MS"/>
    </font>
    <font>
      <sz val="10"/>
      <name val="Calibri"/>
      <family val="2"/>
    </font>
    <font>
      <b/>
      <sz val="11"/>
      <color theme="1"/>
      <name val="Calibri"/>
      <family val="2"/>
      <scheme val="minor"/>
    </font>
    <font>
      <b/>
      <sz val="11"/>
      <color rgb="FF000000"/>
      <name val="Calibri"/>
      <family val="2"/>
    </font>
    <font>
      <sz val="11"/>
      <color rgb="FF000000"/>
      <name val="Calibri"/>
      <family val="2"/>
    </font>
    <font>
      <b/>
      <sz val="12"/>
      <color theme="1"/>
      <name val="Calibri"/>
      <family val="2"/>
      <scheme val="minor"/>
    </font>
    <font>
      <sz val="9"/>
      <name val="Arial"/>
      <family val="2"/>
    </font>
    <font>
      <sz val="11"/>
      <color rgb="FFFF0000"/>
      <name val="Calibri"/>
      <family val="2"/>
    </font>
    <font>
      <sz val="10"/>
      <color indexed="8"/>
      <name val="Arial"/>
      <family val="2"/>
    </font>
    <font>
      <sz val="11"/>
      <color indexed="8"/>
      <name val="Calibri"/>
      <family val="2"/>
    </font>
    <font>
      <sz val="10"/>
      <color rgb="FF000000"/>
      <name val="Times New Roman"/>
      <family val="1"/>
    </font>
    <font>
      <b/>
      <sz val="8.5"/>
      <name val="Calibri"/>
      <family val="2"/>
    </font>
    <font>
      <b/>
      <sz val="7.5"/>
      <name val="Calibri"/>
      <family val="2"/>
    </font>
    <font>
      <b/>
      <sz val="5"/>
      <name val="Calibri"/>
      <family val="2"/>
    </font>
    <font>
      <b/>
      <u/>
      <sz val="5"/>
      <name val="Calibri"/>
      <family val="2"/>
    </font>
    <font>
      <b/>
      <sz val="5"/>
      <name val="Calibri"/>
      <family val="2"/>
    </font>
    <font>
      <sz val="5"/>
      <name val="Calibri"/>
      <family val="2"/>
    </font>
    <font>
      <sz val="5"/>
      <color rgb="FF000000"/>
      <name val="Calibri"/>
      <family val="2"/>
    </font>
    <font>
      <u/>
      <sz val="5"/>
      <name val="Calibri"/>
      <family val="2"/>
    </font>
    <font>
      <sz val="8"/>
      <color rgb="FF000000"/>
      <name val="Calibri"/>
      <family val="2"/>
      <scheme val="minor"/>
    </font>
    <font>
      <sz val="10"/>
      <color rgb="FF000000"/>
      <name val="Times New Roman"/>
      <family val="2"/>
      <charset val="204"/>
    </font>
    <font>
      <sz val="8"/>
      <color rgb="FF000000"/>
      <name val="Times New Roman"/>
      <family val="1"/>
    </font>
    <font>
      <b/>
      <sz val="8"/>
      <name val="Calibri"/>
      <family val="2"/>
    </font>
    <font>
      <sz val="8"/>
      <name val="Calibri"/>
      <family val="2"/>
    </font>
    <font>
      <b/>
      <u/>
      <sz val="8"/>
      <name val="Calibri"/>
      <family val="2"/>
      <scheme val="minor"/>
    </font>
    <font>
      <b/>
      <sz val="8"/>
      <name val="Calibri"/>
      <family val="2"/>
      <scheme val="minor"/>
    </font>
    <font>
      <b/>
      <sz val="10"/>
      <name val="Calibri"/>
      <family val="2"/>
    </font>
    <font>
      <b/>
      <u/>
      <sz val="10"/>
      <name val="Calibri"/>
      <family val="2"/>
    </font>
    <font>
      <sz val="11"/>
      <color indexed="8"/>
      <name val="Calibri"/>
      <family val="2"/>
    </font>
    <font>
      <sz val="11"/>
      <color indexed="8"/>
      <name val="Calibri"/>
      <family val="2"/>
    </font>
    <font>
      <sz val="10"/>
      <color indexed="8"/>
      <name val="Arial"/>
      <family val="2"/>
    </font>
    <font>
      <sz val="9"/>
      <color rgb="FF000000"/>
      <name val="Calibri"/>
      <family val="2"/>
      <scheme val="minor"/>
    </font>
    <font>
      <sz val="9"/>
      <color rgb="FF000000"/>
      <name val="Times New Roman"/>
      <family val="1"/>
    </font>
    <font>
      <sz val="8"/>
      <name val="Calibri"/>
      <family val="2"/>
      <scheme val="minor"/>
    </font>
    <font>
      <b/>
      <i/>
      <sz val="8"/>
      <name val="Calibri"/>
      <family val="2"/>
      <scheme val="minor"/>
    </font>
    <font>
      <i/>
      <sz val="8"/>
      <name val="Calibri"/>
      <family val="2"/>
      <scheme val="minor"/>
    </font>
    <font>
      <u/>
      <sz val="8"/>
      <name val="Calibri"/>
      <family val="2"/>
    </font>
    <font>
      <b/>
      <u/>
      <sz val="8"/>
      <name val="Calibri"/>
      <family val="2"/>
    </font>
    <font>
      <b/>
      <i/>
      <sz val="8"/>
      <name val="Calibri"/>
      <family val="2"/>
    </font>
    <font>
      <i/>
      <sz val="8"/>
      <name val="Calibri"/>
      <family val="2"/>
    </font>
    <font>
      <b/>
      <sz val="11"/>
      <name val="Calibri"/>
      <family val="2"/>
    </font>
    <font>
      <sz val="12"/>
      <color rgb="FF000000"/>
      <name val="Calibri"/>
      <family val="2"/>
      <scheme val="minor"/>
    </font>
    <font>
      <sz val="12"/>
      <color rgb="FF000000"/>
      <name val="Times New Roman"/>
      <family val="1"/>
    </font>
    <font>
      <sz val="8"/>
      <color indexed="8"/>
      <name val="Arial"/>
      <family val="2"/>
    </font>
    <font>
      <b/>
      <sz val="8"/>
      <color rgb="FF7030A0"/>
      <name val="Arial"/>
      <family val="2"/>
    </font>
    <font>
      <sz val="8"/>
      <color indexed="12"/>
      <name val="Arial"/>
      <family val="2"/>
    </font>
    <font>
      <sz val="11"/>
      <color rgb="FF000000"/>
      <name val="Times New Roman"/>
      <family val="2"/>
      <charset val="204"/>
    </font>
    <font>
      <b/>
      <u/>
      <sz val="11"/>
      <name val="Calibri"/>
      <family val="2"/>
    </font>
    <font>
      <sz val="11"/>
      <color rgb="FF000000"/>
      <name val="Times New Roman"/>
      <family val="1"/>
    </font>
    <font>
      <sz val="11"/>
      <color rgb="FF000000"/>
      <name val="Calibri"/>
      <family val="2"/>
      <scheme val="minor"/>
    </font>
    <font>
      <b/>
      <u/>
      <sz val="11"/>
      <name val="Calibri"/>
      <family val="2"/>
      <scheme val="minor"/>
    </font>
    <font>
      <b/>
      <sz val="11"/>
      <name val="Calibri"/>
      <family val="2"/>
      <scheme val="minor"/>
    </font>
    <font>
      <b/>
      <u/>
      <sz val="9"/>
      <name val="Calibri"/>
      <family val="2"/>
    </font>
    <font>
      <sz val="8"/>
      <color indexed="8"/>
      <name val="Calibri"/>
      <family val="2"/>
    </font>
    <font>
      <sz val="8"/>
      <color rgb="FF000000"/>
      <name val="Arial Narrow"/>
      <family val="2"/>
    </font>
    <font>
      <sz val="8"/>
      <color rgb="FFFF0000"/>
      <name val="Arial Narrow"/>
      <family val="2"/>
    </font>
    <font>
      <sz val="8"/>
      <name val="Arial Narrow"/>
      <family val="2"/>
    </font>
    <font>
      <sz val="8"/>
      <color indexed="8"/>
      <name val="Arial Narrow"/>
      <family val="2"/>
    </font>
    <font>
      <b/>
      <sz val="8"/>
      <color rgb="FF7030A0"/>
      <name val="Arial Narrow"/>
      <family val="2"/>
    </font>
    <font>
      <sz val="8"/>
      <color indexed="12"/>
      <name val="Arial Narrow"/>
      <family val="2"/>
    </font>
    <font>
      <b/>
      <sz val="8"/>
      <color theme="1"/>
      <name val="Arial Narrow"/>
      <family val="2"/>
    </font>
    <font>
      <sz val="11"/>
      <color indexed="8"/>
      <name val="Calibri"/>
      <family val="2"/>
      <scheme val="minor"/>
    </font>
    <font>
      <sz val="14"/>
      <color rgb="FFFF0000"/>
      <name val="Calibri"/>
      <family val="2"/>
      <scheme val="minor"/>
    </font>
    <font>
      <sz val="12"/>
      <name val="Calibri"/>
      <family val="2"/>
      <scheme val="minor"/>
    </font>
    <font>
      <sz val="10"/>
      <color rgb="FFFF0000"/>
      <name val="Arial"/>
      <family val="2"/>
    </font>
    <font>
      <u/>
      <sz val="11"/>
      <name val="Calibri"/>
      <family val="2"/>
    </font>
    <font>
      <b/>
      <sz val="16"/>
      <color theme="1"/>
      <name val="Calibri"/>
      <family val="2"/>
      <scheme val="minor"/>
    </font>
    <font>
      <b/>
      <sz val="18"/>
      <color theme="1"/>
      <name val="Calibri"/>
      <family val="2"/>
      <scheme val="minor"/>
    </font>
    <font>
      <b/>
      <sz val="10"/>
      <color theme="1"/>
      <name val="Calibri"/>
      <family val="2"/>
      <scheme val="minor"/>
    </font>
    <font>
      <sz val="10"/>
      <color theme="1"/>
      <name val="Calibri"/>
      <family val="2"/>
      <scheme val="minor"/>
    </font>
    <font>
      <b/>
      <u/>
      <sz val="11"/>
      <color theme="1"/>
      <name val="Calibri"/>
      <family val="2"/>
      <scheme val="minor"/>
    </font>
    <font>
      <b/>
      <sz val="14"/>
      <color rgb="FF0000FF"/>
      <name val="Calibri"/>
      <family val="2"/>
      <scheme val="minor"/>
    </font>
    <font>
      <b/>
      <sz val="10"/>
      <name val="Calibri"/>
      <family val="2"/>
      <scheme val="minor"/>
    </font>
    <font>
      <b/>
      <sz val="10"/>
      <color rgb="FF000000"/>
      <name val="Calibri"/>
      <family val="2"/>
      <scheme val="minor"/>
    </font>
    <font>
      <sz val="10"/>
      <name val="Calibri"/>
      <family val="2"/>
      <scheme val="minor"/>
    </font>
    <font>
      <strike/>
      <sz val="10"/>
      <color rgb="FFFF0000"/>
      <name val="Calibri"/>
      <family val="2"/>
      <scheme val="minor"/>
    </font>
    <font>
      <b/>
      <u/>
      <sz val="10"/>
      <name val="Calibri"/>
      <family val="2"/>
      <scheme val="minor"/>
    </font>
    <font>
      <b/>
      <i/>
      <sz val="10"/>
      <name val="Calibri"/>
      <family val="2"/>
      <scheme val="minor"/>
    </font>
    <font>
      <i/>
      <sz val="10"/>
      <name val="Calibri"/>
      <family val="2"/>
      <scheme val="minor"/>
    </font>
    <font>
      <b/>
      <strike/>
      <sz val="10"/>
      <name val="Calibri"/>
      <family val="2"/>
      <scheme val="minor"/>
    </font>
    <font>
      <b/>
      <sz val="16"/>
      <name val="Calibri"/>
      <family val="2"/>
      <scheme val="minor"/>
    </font>
    <font>
      <b/>
      <sz val="12"/>
      <name val="Calibri"/>
      <family val="2"/>
      <scheme val="minor"/>
    </font>
    <font>
      <u/>
      <sz val="10"/>
      <name val="Calibri"/>
      <family val="2"/>
      <scheme val="minor"/>
    </font>
    <font>
      <sz val="11"/>
      <name val="Calibri"/>
      <family val="2"/>
      <scheme val="minor"/>
    </font>
    <font>
      <b/>
      <sz val="11"/>
      <color rgb="FF000000"/>
      <name val="Calibri"/>
      <family val="2"/>
      <scheme val="minor"/>
    </font>
    <font>
      <b/>
      <sz val="9"/>
      <color rgb="FF000000"/>
      <name val="Calibri"/>
      <family val="2"/>
      <scheme val="minor"/>
    </font>
  </fonts>
  <fills count="25">
    <fill>
      <patternFill patternType="none"/>
    </fill>
    <fill>
      <patternFill patternType="gray125"/>
    </fill>
    <fill>
      <patternFill patternType="mediumGray">
        <fgColor indexed="22"/>
      </patternFill>
    </fill>
    <fill>
      <patternFill patternType="solid">
        <fgColor indexed="22"/>
        <bgColor indexed="0"/>
      </patternFill>
    </fill>
    <fill>
      <patternFill patternType="solid">
        <fgColor rgb="FFFFFF00"/>
        <bgColor indexed="64"/>
      </patternFill>
    </fill>
    <fill>
      <patternFill patternType="solid">
        <fgColor theme="0" tint="-0.249977111117893"/>
        <bgColor indexed="64"/>
      </patternFill>
    </fill>
    <fill>
      <patternFill patternType="solid">
        <fgColor theme="5"/>
      </patternFill>
    </fill>
    <fill>
      <patternFill patternType="solid">
        <fgColor theme="9"/>
      </patternFill>
    </fill>
    <fill>
      <patternFill patternType="solid">
        <fgColor theme="4"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00"/>
        <bgColor indexed="0"/>
      </patternFill>
    </fill>
    <fill>
      <patternFill patternType="solid">
        <fgColor rgb="FFFFFFCC"/>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FFCC"/>
      </patternFill>
    </fill>
    <fill>
      <patternFill patternType="solid">
        <fgColor rgb="FFD9E0F1"/>
      </patternFill>
    </fill>
    <fill>
      <patternFill patternType="solid">
        <fgColor rgb="FFDDEBF7"/>
      </patternFill>
    </fill>
    <fill>
      <patternFill patternType="solid">
        <fgColor rgb="FFB4C5E7"/>
      </patternFill>
    </fill>
    <fill>
      <patternFill patternType="solid">
        <fgColor rgb="FF8496AF"/>
      </patternFill>
    </fill>
    <fill>
      <patternFill patternType="solid">
        <fgColor theme="0" tint="-4.9989318521683403E-2"/>
        <bgColor indexed="0"/>
      </patternFill>
    </fill>
    <fill>
      <patternFill patternType="solid">
        <fgColor theme="8" tint="0.79998168889431442"/>
        <bgColor indexed="0"/>
      </patternFill>
    </fill>
    <fill>
      <patternFill patternType="solid">
        <fgColor rgb="FFCCFFFF"/>
        <bgColor indexed="64"/>
      </patternFill>
    </fill>
    <fill>
      <patternFill patternType="solid">
        <fgColor theme="3" tint="0.39997558519241921"/>
        <bgColor indexed="64"/>
      </patternFill>
    </fill>
  </fills>
  <borders count="48">
    <border>
      <left/>
      <right/>
      <top/>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medium">
        <color indexed="64"/>
      </top>
      <bottom style="thin">
        <color indexed="8"/>
      </bottom>
      <diagonal/>
    </border>
    <border>
      <left style="thin">
        <color indexed="22"/>
      </left>
      <right style="medium">
        <color indexed="64"/>
      </right>
      <top style="thin">
        <color indexed="22"/>
      </top>
      <bottom style="thin">
        <color indexed="22"/>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double">
        <color indexed="64"/>
      </bottom>
      <diagonal/>
    </border>
    <border>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indexed="64"/>
      </top>
      <bottom/>
      <diagonal/>
    </border>
    <border>
      <left/>
      <right/>
      <top style="thin">
        <color auto="1"/>
      </top>
      <bottom/>
      <diagonal/>
    </border>
    <border>
      <left/>
      <right style="medium">
        <color auto="1"/>
      </right>
      <top style="thin">
        <color indexed="64"/>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206">
    <xf numFmtId="0" fontId="0" fillId="0" borderId="0"/>
    <xf numFmtId="43" fontId="22" fillId="0" borderId="0" applyFont="0" applyFill="0" applyBorder="0" applyAlignment="0" applyProtection="0"/>
    <xf numFmtId="44" fontId="22" fillId="0" borderId="0" applyFont="0" applyFill="0" applyBorder="0" applyAlignment="0" applyProtection="0"/>
    <xf numFmtId="0" fontId="24" fillId="0" borderId="0"/>
    <xf numFmtId="9" fontId="22" fillId="0" borderId="0" applyFont="0" applyFill="0" applyBorder="0" applyAlignment="0" applyProtection="0"/>
    <xf numFmtId="0" fontId="26" fillId="0" borderId="0" applyNumberFormat="0" applyFont="0" applyFill="0" applyBorder="0" applyAlignment="0" applyProtection="0">
      <alignment horizontal="left"/>
    </xf>
    <xf numFmtId="15" fontId="26" fillId="0" borderId="0" applyFont="0" applyFill="0" applyBorder="0" applyAlignment="0" applyProtection="0"/>
    <xf numFmtId="4" fontId="26" fillId="0" borderId="0" applyFont="0" applyFill="0" applyBorder="0" applyAlignment="0" applyProtection="0"/>
    <xf numFmtId="0" fontId="27" fillId="0" borderId="1">
      <alignment horizontal="center"/>
    </xf>
    <xf numFmtId="3" fontId="26" fillId="0" borderId="0" applyFont="0" applyFill="0" applyBorder="0" applyAlignment="0" applyProtection="0"/>
    <xf numFmtId="0" fontId="26" fillId="2" borderId="0" applyNumberFormat="0" applyFont="0" applyBorder="0" applyAlignment="0" applyProtection="0"/>
    <xf numFmtId="0" fontId="21" fillId="0" borderId="0"/>
    <xf numFmtId="44" fontId="21" fillId="0" borderId="0" applyFont="0" applyFill="0" applyBorder="0" applyAlignment="0" applyProtection="0"/>
    <xf numFmtId="0" fontId="22" fillId="0" borderId="0"/>
    <xf numFmtId="0" fontId="38" fillId="0" borderId="0"/>
    <xf numFmtId="44" fontId="38" fillId="0" borderId="0" applyFont="0" applyFill="0" applyBorder="0" applyAlignment="0" applyProtection="0"/>
    <xf numFmtId="43" fontId="38" fillId="0" borderId="0" applyFont="0" applyFill="0" applyBorder="0" applyAlignment="0" applyProtection="0"/>
    <xf numFmtId="0" fontId="39" fillId="0" borderId="0"/>
    <xf numFmtId="0" fontId="20" fillId="0" borderId="0"/>
    <xf numFmtId="9" fontId="20" fillId="0" borderId="0" applyFont="0" applyFill="0" applyBorder="0" applyAlignment="0" applyProtection="0"/>
    <xf numFmtId="43" fontId="20" fillId="0" borderId="0" applyFont="0" applyFill="0" applyBorder="0" applyAlignment="0" applyProtection="0"/>
    <xf numFmtId="43" fontId="22" fillId="0" borderId="0" applyFont="0" applyFill="0" applyBorder="0" applyAlignment="0" applyProtection="0"/>
    <xf numFmtId="44" fontId="22"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22"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9" fontId="22" fillId="0" borderId="0" applyFont="0" applyFill="0" applyBorder="0" applyAlignment="0" applyProtection="0"/>
    <xf numFmtId="44" fontId="18" fillId="0" borderId="0" applyFont="0" applyFill="0" applyBorder="0" applyAlignment="0" applyProtection="0"/>
    <xf numFmtId="0" fontId="18" fillId="0" borderId="0"/>
    <xf numFmtId="9" fontId="22" fillId="0" borderId="0" applyFont="0" applyFill="0" applyBorder="0" applyAlignment="0" applyProtection="0"/>
    <xf numFmtId="43" fontId="17" fillId="0" borderId="0" applyFont="0" applyFill="0" applyBorder="0" applyAlignment="0" applyProtection="0"/>
    <xf numFmtId="44" fontId="17" fillId="0" borderId="0" applyFont="0" applyFill="0" applyBorder="0" applyAlignment="0" applyProtection="0"/>
    <xf numFmtId="44" fontId="22"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47" fillId="7" borderId="0" applyNumberFormat="0" applyBorder="0" applyAlignment="0" applyProtection="0"/>
    <xf numFmtId="0" fontId="16" fillId="0" borderId="0"/>
    <xf numFmtId="0" fontId="48" fillId="0" borderId="0" applyNumberFormat="0" applyFill="0" applyBorder="0" applyAlignment="0" applyProtection="0"/>
    <xf numFmtId="0" fontId="33" fillId="6" borderId="0" applyNumberFormat="0" applyBorder="0" applyAlignment="0" applyProtection="0"/>
    <xf numFmtId="0" fontId="33" fillId="7" borderId="0" applyNumberFormat="0" applyBorder="0" applyAlignment="0" applyProtection="0"/>
    <xf numFmtId="43" fontId="16" fillId="0" borderId="0" applyFont="0" applyFill="0" applyBorder="0" applyAlignment="0" applyProtection="0"/>
    <xf numFmtId="43" fontId="19" fillId="0" borderId="0" applyFont="0" applyFill="0" applyBorder="0" applyAlignment="0" applyProtection="0"/>
    <xf numFmtId="43" fontId="22" fillId="0" borderId="0" applyFont="0" applyFill="0" applyBorder="0" applyAlignment="0" applyProtection="0"/>
    <xf numFmtId="44" fontId="19"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9"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9" fillId="0" borderId="0"/>
    <xf numFmtId="0" fontId="16" fillId="0" borderId="0"/>
    <xf numFmtId="0" fontId="16" fillId="0" borderId="0"/>
    <xf numFmtId="0" fontId="16" fillId="0" borderId="0"/>
    <xf numFmtId="0" fontId="16" fillId="0" borderId="0"/>
    <xf numFmtId="9" fontId="19" fillId="0" borderId="0" applyFont="0" applyFill="0" applyBorder="0" applyAlignment="0" applyProtection="0"/>
    <xf numFmtId="9" fontId="22" fillId="0" borderId="0" applyFont="0" applyFill="0" applyBorder="0" applyAlignment="0" applyProtection="0"/>
    <xf numFmtId="0" fontId="15" fillId="0" borderId="0"/>
    <xf numFmtId="0" fontId="49" fillId="0" borderId="0"/>
    <xf numFmtId="0" fontId="24" fillId="0" borderId="0"/>
    <xf numFmtId="43" fontId="49" fillId="0" borderId="0" applyFont="0" applyFill="0" applyBorder="0" applyAlignment="0" applyProtection="0"/>
    <xf numFmtId="0" fontId="57"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2" fillId="16" borderId="24" applyNumberFormat="0" applyFont="0" applyAlignment="0" applyProtection="0"/>
    <xf numFmtId="0" fontId="59" fillId="0" borderId="0"/>
    <xf numFmtId="0" fontId="79" fillId="0" borderId="0"/>
    <xf numFmtId="0" fontId="13" fillId="0" borderId="0"/>
    <xf numFmtId="43" fontId="13" fillId="0" borderId="0" applyFont="0" applyFill="0" applyBorder="0" applyAlignment="0" applyProtection="0"/>
    <xf numFmtId="44" fontId="13" fillId="0" borderId="0" applyFont="0" applyFill="0" applyBorder="0" applyAlignment="0" applyProtection="0"/>
    <xf numFmtId="0" fontId="13" fillId="16" borderId="24" applyNumberFormat="0" applyFont="0" applyAlignment="0" applyProtection="0"/>
    <xf numFmtId="0" fontId="12" fillId="0" borderId="0"/>
    <xf numFmtId="43" fontId="12" fillId="0" borderId="0" applyFont="0" applyFill="0" applyBorder="0" applyAlignment="0" applyProtection="0"/>
    <xf numFmtId="9" fontId="12" fillId="0" borderId="0" applyFont="0" applyFill="0" applyBorder="0" applyAlignment="0" applyProtection="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8" fillId="0" borderId="0"/>
    <xf numFmtId="0" fontId="110" fillId="0" borderId="0"/>
    <xf numFmtId="9" fontId="110" fillId="0" borderId="0" applyFont="0" applyFill="0" applyBorder="0" applyAlignment="0" applyProtection="0"/>
    <xf numFmtId="43" fontId="110" fillId="0" borderId="0" applyFont="0" applyFill="0" applyBorder="0" applyAlignment="0" applyProtection="0"/>
    <xf numFmtId="0" fontId="7" fillId="0" borderId="0"/>
    <xf numFmtId="43" fontId="7" fillId="0" borderId="0" applyFont="0" applyFill="0" applyBorder="0" applyAlignment="0" applyProtection="0"/>
    <xf numFmtId="43" fontId="22" fillId="0" borderId="0" applyFont="0" applyFill="0" applyBorder="0" applyAlignment="0" applyProtection="0"/>
    <xf numFmtId="0" fontId="59" fillId="0" borderId="0"/>
    <xf numFmtId="0" fontId="7" fillId="0" borderId="0"/>
    <xf numFmtId="43"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7" fillId="0" borderId="0"/>
    <xf numFmtId="44" fontId="110"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0" fontId="6" fillId="16" borderId="24" applyNumberFormat="0" applyFont="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0" fontId="5" fillId="16" borderId="24" applyNumberFormat="0" applyFont="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3" fillId="16" borderId="24" applyNumberFormat="0" applyFont="0" applyAlignment="0" applyProtection="0"/>
    <xf numFmtId="43" fontId="3" fillId="0" borderId="0" applyFont="0" applyFill="0" applyBorder="0" applyAlignment="0" applyProtection="0"/>
    <xf numFmtId="0" fontId="2" fillId="0" borderId="0"/>
    <xf numFmtId="0" fontId="1" fillId="0" borderId="0"/>
    <xf numFmtId="43" fontId="1" fillId="0" borderId="0" applyFont="0" applyFill="0" applyBorder="0" applyAlignment="0" applyProtection="0"/>
  </cellStyleXfs>
  <cellXfs count="391">
    <xf numFmtId="0" fontId="0" fillId="0" borderId="0" xfId="0"/>
    <xf numFmtId="0" fontId="24" fillId="0" borderId="2" xfId="3" applyBorder="1" applyAlignment="1">
      <alignment wrapText="1"/>
    </xf>
    <xf numFmtId="0" fontId="24" fillId="0" borderId="2" xfId="3" applyBorder="1"/>
    <xf numFmtId="0" fontId="24" fillId="3" borderId="3" xfId="3" applyFill="1" applyBorder="1" applyAlignment="1">
      <alignment horizontal="center" wrapText="1"/>
    </xf>
    <xf numFmtId="43" fontId="0" fillId="0" borderId="0" xfId="1" applyFont="1"/>
    <xf numFmtId="0" fontId="24" fillId="3" borderId="5" xfId="3" applyFill="1" applyBorder="1" applyAlignment="1">
      <alignment horizontal="center" wrapText="1"/>
    </xf>
    <xf numFmtId="0" fontId="25" fillId="0" borderId="0" xfId="0" applyFont="1"/>
    <xf numFmtId="0" fontId="29" fillId="0" borderId="2" xfId="3" applyFont="1" applyBorder="1" applyAlignment="1">
      <alignment wrapText="1"/>
    </xf>
    <xf numFmtId="43" fontId="0" fillId="0" borderId="0" xfId="0" applyNumberFormat="1"/>
    <xf numFmtId="0" fontId="30" fillId="0" borderId="0" xfId="0" applyFont="1" applyAlignment="1">
      <alignment horizontal="center"/>
    </xf>
    <xf numFmtId="0" fontId="22" fillId="0" borderId="0" xfId="0" applyFont="1"/>
    <xf numFmtId="169" fontId="0" fillId="0" borderId="0" xfId="0" applyNumberFormat="1"/>
    <xf numFmtId="0" fontId="24" fillId="0" borderId="0" xfId="3"/>
    <xf numFmtId="0" fontId="35" fillId="0" borderId="2" xfId="17" applyFont="1" applyBorder="1"/>
    <xf numFmtId="14" fontId="0" fillId="0" borderId="0" xfId="0" applyNumberFormat="1"/>
    <xf numFmtId="10" fontId="0" fillId="0" borderId="0" xfId="0" applyNumberFormat="1"/>
    <xf numFmtId="8" fontId="0" fillId="0" borderId="0" xfId="0" applyNumberFormat="1"/>
    <xf numFmtId="0" fontId="0" fillId="0" borderId="0" xfId="0" pivotButton="1"/>
    <xf numFmtId="0" fontId="0" fillId="0" borderId="0" xfId="0" applyAlignment="1">
      <alignment horizontal="left"/>
    </xf>
    <xf numFmtId="0" fontId="37" fillId="0" borderId="0" xfId="0" applyFont="1"/>
    <xf numFmtId="14" fontId="31" fillId="0" borderId="0" xfId="0" applyNumberFormat="1" applyFont="1"/>
    <xf numFmtId="14" fontId="31" fillId="0" borderId="0" xfId="0" applyNumberFormat="1" applyFont="1" applyAlignment="1">
      <alignment horizontal="right"/>
    </xf>
    <xf numFmtId="0" fontId="42" fillId="0" borderId="0" xfId="0" applyFont="1"/>
    <xf numFmtId="43" fontId="31" fillId="0" borderId="0" xfId="1" applyFont="1"/>
    <xf numFmtId="43" fontId="31" fillId="0" borderId="0" xfId="0" applyNumberFormat="1" applyFont="1"/>
    <xf numFmtId="0" fontId="24" fillId="5" borderId="2" xfId="3" applyFill="1" applyBorder="1"/>
    <xf numFmtId="0" fontId="22" fillId="4" borderId="0" xfId="0" applyFont="1" applyFill="1"/>
    <xf numFmtId="0" fontId="0" fillId="4" borderId="0" xfId="0" applyFill="1"/>
    <xf numFmtId="0" fontId="22" fillId="4" borderId="4" xfId="51" applyFill="1" applyBorder="1" applyAlignment="1">
      <alignment horizontal="center"/>
    </xf>
    <xf numFmtId="43" fontId="22" fillId="4" borderId="0" xfId="51" applyNumberFormat="1" applyFill="1"/>
    <xf numFmtId="43" fontId="0" fillId="4" borderId="0" xfId="1" applyFont="1" applyFill="1"/>
    <xf numFmtId="44" fontId="0" fillId="0" borderId="0" xfId="0" applyNumberFormat="1"/>
    <xf numFmtId="14" fontId="36" fillId="0" borderId="0" xfId="0" applyNumberFormat="1" applyFont="1" applyAlignment="1">
      <alignment horizontal="left"/>
    </xf>
    <xf numFmtId="43" fontId="0" fillId="0" borderId="11" xfId="0" applyNumberFormat="1" applyBorder="1"/>
    <xf numFmtId="44" fontId="0" fillId="0" borderId="0" xfId="2" applyFont="1"/>
    <xf numFmtId="43" fontId="28" fillId="0" borderId="0" xfId="1" applyFont="1"/>
    <xf numFmtId="43" fontId="58" fillId="0" borderId="2" xfId="1" applyFont="1" applyFill="1" applyBorder="1" applyAlignment="1">
      <alignment wrapText="1"/>
    </xf>
    <xf numFmtId="0" fontId="59" fillId="0" borderId="0" xfId="144" applyAlignment="1">
      <alignment horizontal="left" vertical="top"/>
    </xf>
    <xf numFmtId="0" fontId="59" fillId="17" borderId="22" xfId="144" applyFill="1" applyBorder="1" applyAlignment="1">
      <alignment horizontal="left" vertical="center" wrapText="1"/>
    </xf>
    <xf numFmtId="0" fontId="59" fillId="0" borderId="22" xfId="144" applyBorder="1" applyAlignment="1">
      <alignment horizontal="left" wrapText="1"/>
    </xf>
    <xf numFmtId="0" fontId="59" fillId="17" borderId="22" xfId="144" applyFill="1" applyBorder="1" applyAlignment="1">
      <alignment horizontal="center" vertical="top" wrapText="1"/>
    </xf>
    <xf numFmtId="0" fontId="59" fillId="18" borderId="22" xfId="144" applyFill="1" applyBorder="1" applyAlignment="1">
      <alignment horizontal="center" vertical="top" wrapText="1"/>
    </xf>
    <xf numFmtId="0" fontId="59" fillId="19" borderId="22" xfId="144" applyFill="1" applyBorder="1" applyAlignment="1">
      <alignment horizontal="left" wrapText="1"/>
    </xf>
    <xf numFmtId="0" fontId="59" fillId="20" borderId="22" xfId="144" applyFill="1" applyBorder="1" applyAlignment="1">
      <alignment horizontal="left" wrapText="1"/>
    </xf>
    <xf numFmtId="0" fontId="59" fillId="20" borderId="22" xfId="144" applyFill="1" applyBorder="1" applyAlignment="1">
      <alignment horizontal="left" vertical="center" wrapText="1"/>
    </xf>
    <xf numFmtId="0" fontId="64" fillId="0" borderId="22" xfId="144" applyFont="1" applyBorder="1" applyAlignment="1">
      <alignment horizontal="center" vertical="center" wrapText="1"/>
    </xf>
    <xf numFmtId="2" fontId="66" fillId="0" borderId="22" xfId="144" applyNumberFormat="1" applyFont="1" applyBorder="1" applyAlignment="1">
      <alignment horizontal="right" vertical="center" shrinkToFit="1"/>
    </xf>
    <xf numFmtId="0" fontId="64" fillId="0" borderId="22" xfId="144" applyFont="1" applyBorder="1" applyAlignment="1">
      <alignment horizontal="left" vertical="center" wrapText="1" indent="1"/>
    </xf>
    <xf numFmtId="0" fontId="59" fillId="17" borderId="22" xfId="144" applyFill="1" applyBorder="1" applyAlignment="1">
      <alignment horizontal="left" wrapText="1"/>
    </xf>
    <xf numFmtId="43" fontId="68" fillId="0" borderId="22" xfId="1" applyFont="1" applyBorder="1" applyAlignment="1">
      <alignment horizontal="right" wrapText="1"/>
    </xf>
    <xf numFmtId="43" fontId="68" fillId="19" borderId="22" xfId="144" applyNumberFormat="1" applyFont="1" applyFill="1" applyBorder="1" applyAlignment="1">
      <alignment horizontal="left" wrapText="1"/>
    </xf>
    <xf numFmtId="0" fontId="70" fillId="0" borderId="22" xfId="144" applyFont="1" applyBorder="1" applyAlignment="1">
      <alignment horizontal="left" wrapText="1"/>
    </xf>
    <xf numFmtId="0" fontId="70" fillId="20" borderId="22" xfId="144" applyFont="1" applyFill="1" applyBorder="1" applyAlignment="1">
      <alignment horizontal="left" wrapText="1"/>
    </xf>
    <xf numFmtId="0" fontId="70" fillId="0" borderId="0" xfId="144" applyFont="1" applyAlignment="1">
      <alignment horizontal="left" vertical="top"/>
    </xf>
    <xf numFmtId="0" fontId="70" fillId="0" borderId="22" xfId="144" applyFont="1" applyBorder="1" applyAlignment="1">
      <alignment horizontal="left" vertical="center" wrapText="1"/>
    </xf>
    <xf numFmtId="0" fontId="70" fillId="20" borderId="22" xfId="144" applyFont="1" applyFill="1" applyBorder="1" applyAlignment="1">
      <alignment horizontal="left" vertical="center" wrapText="1"/>
    </xf>
    <xf numFmtId="0" fontId="70" fillId="19" borderId="22" xfId="144" applyFont="1" applyFill="1" applyBorder="1" applyAlignment="1">
      <alignment horizontal="left" wrapText="1"/>
    </xf>
    <xf numFmtId="0" fontId="72" fillId="0" borderId="22" xfId="144" applyFont="1" applyBorder="1" applyAlignment="1">
      <alignment horizontal="center" vertical="center" wrapText="1"/>
    </xf>
    <xf numFmtId="0" fontId="74" fillId="17" borderId="22" xfId="144" applyFont="1" applyFill="1" applyBorder="1" applyAlignment="1">
      <alignment horizontal="left" vertical="top" wrapText="1"/>
    </xf>
    <xf numFmtId="0" fontId="55" fillId="0" borderId="0" xfId="0" applyFont="1"/>
    <xf numFmtId="43" fontId="59" fillId="0" borderId="0" xfId="144" applyNumberFormat="1" applyAlignment="1">
      <alignment horizontal="left" vertical="top"/>
    </xf>
    <xf numFmtId="43" fontId="59" fillId="0" borderId="0" xfId="1" applyFont="1" applyAlignment="1">
      <alignment horizontal="left" vertical="top"/>
    </xf>
    <xf numFmtId="43" fontId="77" fillId="0" borderId="2" xfId="1" applyFont="1" applyFill="1" applyBorder="1" applyAlignment="1">
      <alignment wrapText="1"/>
    </xf>
    <xf numFmtId="0" fontId="43" fillId="21" borderId="18" xfId="93" applyFont="1" applyFill="1" applyBorder="1" applyAlignment="1">
      <alignment horizontal="center" wrapText="1"/>
    </xf>
    <xf numFmtId="44" fontId="43" fillId="21" borderId="18" xfId="2" applyFont="1" applyFill="1" applyBorder="1" applyAlignment="1">
      <alignment horizontal="center" wrapText="1"/>
    </xf>
    <xf numFmtId="0" fontId="43" fillId="21" borderId="18" xfId="93" applyFont="1" applyFill="1" applyBorder="1" applyAlignment="1">
      <alignment horizontal="left" wrapText="1"/>
    </xf>
    <xf numFmtId="0" fontId="43" fillId="21" borderId="13" xfId="93" applyFont="1" applyFill="1" applyBorder="1" applyAlignment="1">
      <alignment horizontal="center" wrapText="1"/>
    </xf>
    <xf numFmtId="44" fontId="43" fillId="21" borderId="13" xfId="2" applyFont="1" applyFill="1" applyBorder="1" applyAlignment="1">
      <alignment horizontal="center" wrapText="1"/>
    </xf>
    <xf numFmtId="0" fontId="43" fillId="21" borderId="14" xfId="93" applyFont="1" applyFill="1" applyBorder="1" applyAlignment="1">
      <alignment horizontal="center" wrapText="1"/>
    </xf>
    <xf numFmtId="44" fontId="0" fillId="0" borderId="15" xfId="0" applyNumberFormat="1" applyBorder="1"/>
    <xf numFmtId="0" fontId="78" fillId="3" borderId="3" xfId="145" applyFont="1" applyFill="1" applyBorder="1" applyAlignment="1">
      <alignment horizontal="center"/>
    </xf>
    <xf numFmtId="0" fontId="78" fillId="0" borderId="2" xfId="145" applyFont="1" applyBorder="1" applyAlignment="1">
      <alignment wrapText="1"/>
    </xf>
    <xf numFmtId="0" fontId="78" fillId="0" borderId="2" xfId="145" applyFont="1" applyBorder="1" applyAlignment="1">
      <alignment horizontal="right" wrapText="1"/>
    </xf>
    <xf numFmtId="172" fontId="78" fillId="0" borderId="2" xfId="145" applyNumberFormat="1" applyFont="1" applyBorder="1" applyAlignment="1">
      <alignment horizontal="right" wrapText="1"/>
    </xf>
    <xf numFmtId="43" fontId="78" fillId="0" borderId="2" xfId="1" applyFont="1" applyFill="1" applyBorder="1" applyAlignment="1">
      <alignment wrapText="1"/>
    </xf>
    <xf numFmtId="44" fontId="0" fillId="4" borderId="0" xfId="0" applyNumberFormat="1" applyFill="1"/>
    <xf numFmtId="43" fontId="0" fillId="0" borderId="11" xfId="1" applyFont="1" applyBorder="1"/>
    <xf numFmtId="0" fontId="75" fillId="17" borderId="22" xfId="144" applyFont="1" applyFill="1" applyBorder="1" applyAlignment="1">
      <alignment horizontal="center" vertical="top" wrapText="1"/>
    </xf>
    <xf numFmtId="0" fontId="75" fillId="17" borderId="22" xfId="144" applyFont="1" applyFill="1" applyBorder="1" applyAlignment="1">
      <alignment horizontal="left" vertical="top" wrapText="1" indent="1"/>
    </xf>
    <xf numFmtId="43" fontId="80" fillId="19" borderId="22" xfId="144" applyNumberFormat="1" applyFont="1" applyFill="1" applyBorder="1" applyAlignment="1">
      <alignment horizontal="left" wrapText="1"/>
    </xf>
    <xf numFmtId="43" fontId="80" fillId="0" borderId="22" xfId="1" applyFont="1" applyBorder="1" applyAlignment="1">
      <alignment horizontal="right" wrapText="1"/>
    </xf>
    <xf numFmtId="0" fontId="81" fillId="0" borderId="22" xfId="144" applyFont="1" applyBorder="1" applyAlignment="1">
      <alignment horizontal="left" wrapText="1"/>
    </xf>
    <xf numFmtId="0" fontId="81" fillId="20" borderId="22" xfId="144" applyFont="1" applyFill="1" applyBorder="1" applyAlignment="1">
      <alignment horizontal="left" wrapText="1"/>
    </xf>
    <xf numFmtId="0" fontId="81" fillId="0" borderId="0" xfId="144" applyFont="1" applyAlignment="1">
      <alignment horizontal="left" vertical="top"/>
    </xf>
    <xf numFmtId="0" fontId="81" fillId="0" borderId="22" xfId="144" applyFont="1" applyBorder="1" applyAlignment="1">
      <alignment horizontal="left" vertical="center" wrapText="1"/>
    </xf>
    <xf numFmtId="0" fontId="81" fillId="20" borderId="22" xfId="144" applyFont="1" applyFill="1" applyBorder="1" applyAlignment="1">
      <alignment horizontal="left" vertical="center" wrapText="1"/>
    </xf>
    <xf numFmtId="43" fontId="80" fillId="20" borderId="22" xfId="1" applyFont="1" applyFill="1" applyBorder="1" applyAlignment="1">
      <alignment horizontal="right" wrapText="1"/>
    </xf>
    <xf numFmtId="0" fontId="81" fillId="19" borderId="22" xfId="144" applyFont="1" applyFill="1" applyBorder="1" applyAlignment="1">
      <alignment horizontal="left" wrapText="1"/>
    </xf>
    <xf numFmtId="0" fontId="68" fillId="17" borderId="22" xfId="144" applyFont="1" applyFill="1" applyBorder="1" applyAlignment="1">
      <alignment horizontal="left" vertical="center" wrapText="1"/>
    </xf>
    <xf numFmtId="0" fontId="68" fillId="17" borderId="22" xfId="144" applyFont="1" applyFill="1" applyBorder="1" applyAlignment="1">
      <alignment horizontal="left" vertical="top" wrapText="1"/>
    </xf>
    <xf numFmtId="0" fontId="74" fillId="19" borderId="22" xfId="144" applyFont="1" applyFill="1" applyBorder="1" applyAlignment="1">
      <alignment horizontal="left" vertical="top" wrapText="1"/>
    </xf>
    <xf numFmtId="0" fontId="82" fillId="17" borderId="22" xfId="144" applyFont="1" applyFill="1" applyBorder="1" applyAlignment="1">
      <alignment horizontal="left" vertical="top" wrapText="1"/>
    </xf>
    <xf numFmtId="0" fontId="82" fillId="17" borderId="22" xfId="144" applyFont="1" applyFill="1" applyBorder="1" applyAlignment="1">
      <alignment horizontal="left" vertical="top" wrapText="1" indent="1"/>
    </xf>
    <xf numFmtId="0" fontId="74" fillId="18" borderId="22" xfId="144" applyFont="1" applyFill="1" applyBorder="1" applyAlignment="1">
      <alignment horizontal="left" vertical="top" wrapText="1"/>
    </xf>
    <xf numFmtId="0" fontId="82" fillId="18" borderId="22" xfId="144" applyFont="1" applyFill="1" applyBorder="1" applyAlignment="1">
      <alignment horizontal="left" vertical="top" wrapText="1"/>
    </xf>
    <xf numFmtId="0" fontId="68" fillId="17" borderId="22" xfId="144" applyFont="1" applyFill="1" applyBorder="1" applyAlignment="1">
      <alignment horizontal="left" vertical="top" wrapText="1" indent="1"/>
    </xf>
    <xf numFmtId="0" fontId="68" fillId="18" borderId="22" xfId="144" applyFont="1" applyFill="1" applyBorder="1" applyAlignment="1">
      <alignment horizontal="left" vertical="top" wrapText="1"/>
    </xf>
    <xf numFmtId="0" fontId="68" fillId="0" borderId="0" xfId="144" applyFont="1" applyAlignment="1">
      <alignment horizontal="left" vertical="top"/>
    </xf>
    <xf numFmtId="0" fontId="70" fillId="17" borderId="22" xfId="144" applyFont="1" applyFill="1" applyBorder="1" applyAlignment="1">
      <alignment horizontal="left" vertical="center" wrapText="1"/>
    </xf>
    <xf numFmtId="0" fontId="70" fillId="17" borderId="22" xfId="144" applyFont="1" applyFill="1" applyBorder="1" applyAlignment="1">
      <alignment horizontal="left" wrapText="1"/>
    </xf>
    <xf numFmtId="0" fontId="71" fillId="17" borderId="22" xfId="144" applyFont="1" applyFill="1" applyBorder="1" applyAlignment="1">
      <alignment horizontal="left" vertical="top" wrapText="1"/>
    </xf>
    <xf numFmtId="0" fontId="70" fillId="17" borderId="22" xfId="144" applyFont="1" applyFill="1" applyBorder="1" applyAlignment="1">
      <alignment horizontal="left" vertical="top" wrapText="1"/>
    </xf>
    <xf numFmtId="0" fontId="71" fillId="19" borderId="22" xfId="144" applyFont="1" applyFill="1" applyBorder="1" applyAlignment="1">
      <alignment horizontal="left" vertical="top" wrapText="1"/>
    </xf>
    <xf numFmtId="0" fontId="72" fillId="17" borderId="22" xfId="144" applyFont="1" applyFill="1" applyBorder="1" applyAlignment="1">
      <alignment horizontal="left" vertical="top" wrapText="1"/>
    </xf>
    <xf numFmtId="0" fontId="72" fillId="17" borderId="22" xfId="144" applyFont="1" applyFill="1" applyBorder="1" applyAlignment="1">
      <alignment horizontal="left" vertical="top" wrapText="1" indent="1"/>
    </xf>
    <xf numFmtId="0" fontId="71" fillId="18" borderId="22" xfId="144" applyFont="1" applyFill="1" applyBorder="1" applyAlignment="1">
      <alignment horizontal="left" vertical="top" wrapText="1"/>
    </xf>
    <xf numFmtId="0" fontId="70" fillId="18" borderId="22" xfId="144" applyFont="1" applyFill="1" applyBorder="1" applyAlignment="1">
      <alignment horizontal="left" vertical="top" wrapText="1"/>
    </xf>
    <xf numFmtId="0" fontId="70" fillId="17" borderId="22" xfId="144" applyFont="1" applyFill="1" applyBorder="1" applyAlignment="1">
      <alignment horizontal="left" vertical="top" wrapText="1" indent="1"/>
    </xf>
    <xf numFmtId="44" fontId="31" fillId="0" borderId="0" xfId="0" applyNumberFormat="1" applyFont="1"/>
    <xf numFmtId="44" fontId="31" fillId="4" borderId="0" xfId="0" applyNumberFormat="1" applyFont="1" applyFill="1"/>
    <xf numFmtId="44" fontId="43" fillId="11" borderId="13" xfId="2" applyFont="1" applyFill="1" applyBorder="1" applyAlignment="1">
      <alignment horizontal="center" wrapText="1"/>
    </xf>
    <xf numFmtId="0" fontId="43" fillId="21" borderId="23" xfId="93" applyFont="1" applyFill="1" applyBorder="1" applyAlignment="1">
      <alignment horizontal="center" wrapText="1"/>
    </xf>
    <xf numFmtId="44" fontId="0" fillId="0" borderId="26" xfId="0" applyNumberFormat="1" applyBorder="1"/>
    <xf numFmtId="44" fontId="56" fillId="11" borderId="13" xfId="2" applyFont="1" applyFill="1" applyBorder="1" applyAlignment="1">
      <alignment horizontal="center" wrapText="1"/>
    </xf>
    <xf numFmtId="43" fontId="0" fillId="14" borderId="11" xfId="1" applyFont="1" applyFill="1" applyBorder="1"/>
    <xf numFmtId="44" fontId="0" fillId="14" borderId="13" xfId="0" applyNumberFormat="1" applyFill="1" applyBorder="1"/>
    <xf numFmtId="44" fontId="43" fillId="22" borderId="18" xfId="2" applyFont="1" applyFill="1" applyBorder="1" applyAlignment="1">
      <alignment horizontal="center" wrapText="1"/>
    </xf>
    <xf numFmtId="44" fontId="22" fillId="0" borderId="0" xfId="0" applyNumberFormat="1" applyFont="1"/>
    <xf numFmtId="44" fontId="0" fillId="10" borderId="11" xfId="0" applyNumberFormat="1" applyFill="1" applyBorder="1"/>
    <xf numFmtId="0" fontId="56" fillId="21" borderId="18" xfId="93" applyFont="1" applyFill="1" applyBorder="1" applyAlignment="1">
      <alignment horizontal="left" wrapText="1"/>
    </xf>
    <xf numFmtId="44" fontId="22" fillId="0" borderId="25" xfId="0" applyNumberFormat="1" applyFont="1" applyBorder="1"/>
    <xf numFmtId="43" fontId="43" fillId="21" borderId="18" xfId="1" applyFont="1" applyFill="1" applyBorder="1" applyAlignment="1">
      <alignment horizontal="center" wrapText="1"/>
    </xf>
    <xf numFmtId="44" fontId="43" fillId="21" borderId="8" xfId="2" applyFont="1" applyFill="1" applyBorder="1" applyAlignment="1">
      <alignment horizontal="center" wrapText="1"/>
    </xf>
    <xf numFmtId="44" fontId="22" fillId="0" borderId="23" xfId="0" applyNumberFormat="1" applyFont="1" applyBorder="1"/>
    <xf numFmtId="0" fontId="44" fillId="21" borderId="18" xfId="93" applyFont="1" applyFill="1" applyBorder="1" applyAlignment="1">
      <alignment horizontal="center" wrapText="1"/>
    </xf>
    <xf numFmtId="0" fontId="44" fillId="21" borderId="18" xfId="93" applyFont="1" applyFill="1" applyBorder="1" applyAlignment="1">
      <alignment horizontal="left" wrapText="1"/>
    </xf>
    <xf numFmtId="43" fontId="44" fillId="21" borderId="18" xfId="1" applyFont="1" applyFill="1" applyBorder="1" applyAlignment="1">
      <alignment horizontal="center" wrapText="1"/>
    </xf>
    <xf numFmtId="0" fontId="44" fillId="21" borderId="13" xfId="93" applyFont="1" applyFill="1" applyBorder="1" applyAlignment="1">
      <alignment horizontal="center" wrapText="1"/>
    </xf>
    <xf numFmtId="0" fontId="71" fillId="0" borderId="22" xfId="144" applyFont="1" applyBorder="1" applyAlignment="1">
      <alignment horizontal="center" vertical="center" wrapText="1"/>
    </xf>
    <xf numFmtId="44" fontId="22" fillId="4" borderId="0" xfId="0" applyNumberFormat="1" applyFont="1" applyFill="1"/>
    <xf numFmtId="0" fontId="90" fillId="0" borderId="0" xfId="144" applyFont="1" applyAlignment="1">
      <alignment horizontal="left" vertical="top"/>
    </xf>
    <xf numFmtId="0" fontId="91" fillId="0" borderId="0" xfId="144" applyFont="1" applyAlignment="1">
      <alignment horizontal="left" vertical="top"/>
    </xf>
    <xf numFmtId="43" fontId="55" fillId="0" borderId="0" xfId="0" applyNumberFormat="1" applyFont="1"/>
    <xf numFmtId="43" fontId="23" fillId="0" borderId="0" xfId="0" applyNumberFormat="1" applyFont="1"/>
    <xf numFmtId="0" fontId="92" fillId="3" borderId="5" xfId="3" applyFont="1" applyFill="1" applyBorder="1" applyAlignment="1">
      <alignment horizontal="center" wrapText="1"/>
    </xf>
    <xf numFmtId="0" fontId="23" fillId="0" borderId="0" xfId="0" applyFont="1"/>
    <xf numFmtId="0" fontId="93" fillId="0" borderId="0" xfId="0" applyFont="1"/>
    <xf numFmtId="0" fontId="94" fillId="0" borderId="0" xfId="0" applyFont="1"/>
    <xf numFmtId="43" fontId="68" fillId="0" borderId="22" xfId="1" applyFont="1" applyFill="1" applyBorder="1" applyAlignment="1">
      <alignment horizontal="right" wrapText="1"/>
    </xf>
    <xf numFmtId="0" fontId="69" fillId="17" borderId="19" xfId="144" applyFont="1" applyFill="1" applyBorder="1" applyAlignment="1">
      <alignment horizontal="left" vertical="top" wrapText="1"/>
    </xf>
    <xf numFmtId="0" fontId="46" fillId="17" borderId="22" xfId="144" applyFont="1" applyFill="1" applyBorder="1" applyAlignment="1">
      <alignment horizontal="center" vertical="top" wrapText="1"/>
    </xf>
    <xf numFmtId="43" fontId="23" fillId="0" borderId="0" xfId="1" applyFont="1"/>
    <xf numFmtId="183" fontId="103" fillId="0" borderId="0" xfId="2" applyNumberFormat="1" applyFont="1" applyAlignment="1">
      <alignment horizontal="left" vertical="top"/>
    </xf>
    <xf numFmtId="0" fontId="103" fillId="0" borderId="0" xfId="144" applyFont="1" applyAlignment="1">
      <alignment horizontal="left" vertical="top"/>
    </xf>
    <xf numFmtId="43" fontId="105" fillId="0" borderId="0" xfId="1" applyFont="1"/>
    <xf numFmtId="43" fontId="104" fillId="0" borderId="0" xfId="1" applyFont="1" applyAlignment="1">
      <alignment horizontal="left" vertical="top"/>
    </xf>
    <xf numFmtId="43" fontId="103" fillId="0" borderId="0" xfId="1" applyFont="1" applyAlignment="1">
      <alignment horizontal="left" vertical="top"/>
    </xf>
    <xf numFmtId="43" fontId="106" fillId="3" borderId="5" xfId="1" applyFont="1" applyFill="1" applyBorder="1" applyAlignment="1">
      <alignment horizontal="center" wrapText="1"/>
    </xf>
    <xf numFmtId="43" fontId="105" fillId="0" borderId="0" xfId="1" applyFont="1" applyBorder="1"/>
    <xf numFmtId="43" fontId="107" fillId="0" borderId="0" xfId="1" applyFont="1" applyBorder="1"/>
    <xf numFmtId="43" fontId="108" fillId="0" borderId="0" xfId="1" applyFont="1" applyBorder="1"/>
    <xf numFmtId="43" fontId="103" fillId="0" borderId="0" xfId="144" applyNumberFormat="1" applyFont="1" applyAlignment="1">
      <alignment horizontal="left" vertical="top"/>
    </xf>
    <xf numFmtId="43" fontId="23" fillId="10" borderId="0" xfId="0" applyNumberFormat="1" applyFont="1" applyFill="1"/>
    <xf numFmtId="0" fontId="102" fillId="10" borderId="2" xfId="95" applyFont="1" applyFill="1" applyBorder="1" applyAlignment="1">
      <alignment wrapText="1"/>
    </xf>
    <xf numFmtId="0" fontId="70" fillId="10" borderId="0" xfId="144" applyFont="1" applyFill="1" applyAlignment="1">
      <alignment horizontal="left" vertical="top"/>
    </xf>
    <xf numFmtId="43" fontId="102" fillId="10" borderId="2" xfId="1" applyFont="1" applyFill="1" applyBorder="1" applyAlignment="1">
      <alignment wrapText="1"/>
    </xf>
    <xf numFmtId="43" fontId="23" fillId="10" borderId="0" xfId="1" applyFont="1" applyFill="1"/>
    <xf numFmtId="43" fontId="81" fillId="10" borderId="0" xfId="144" applyNumberFormat="1" applyFont="1" applyFill="1" applyAlignment="1">
      <alignment horizontal="left" vertical="top"/>
    </xf>
    <xf numFmtId="0" fontId="81" fillId="10" borderId="0" xfId="144" applyFont="1" applyFill="1" applyAlignment="1">
      <alignment horizontal="left" vertical="top"/>
    </xf>
    <xf numFmtId="43" fontId="105" fillId="10" borderId="0" xfId="1" applyFont="1" applyFill="1"/>
    <xf numFmtId="43" fontId="109" fillId="0" borderId="0" xfId="1" applyFont="1" applyAlignment="1">
      <alignment horizontal="left"/>
    </xf>
    <xf numFmtId="43" fontId="55" fillId="0" borderId="16" xfId="0" applyNumberFormat="1" applyFont="1" applyBorder="1"/>
    <xf numFmtId="43" fontId="55" fillId="0" borderId="12" xfId="0" applyNumberFormat="1" applyFont="1" applyBorder="1"/>
    <xf numFmtId="0" fontId="55" fillId="0" borderId="17" xfId="0" applyFont="1" applyBorder="1"/>
    <xf numFmtId="43" fontId="55" fillId="0" borderId="8" xfId="0" applyNumberFormat="1" applyFont="1" applyBorder="1"/>
    <xf numFmtId="0" fontId="92" fillId="0" borderId="29" xfId="3" applyFont="1" applyBorder="1"/>
    <xf numFmtId="43" fontId="55" fillId="0" borderId="7" xfId="0" applyNumberFormat="1" applyFont="1" applyBorder="1"/>
    <xf numFmtId="0" fontId="92" fillId="5" borderId="29" xfId="3" applyFont="1" applyFill="1" applyBorder="1"/>
    <xf numFmtId="0" fontId="55" fillId="0" borderId="7" xfId="0" applyFont="1" applyBorder="1"/>
    <xf numFmtId="0" fontId="92" fillId="3" borderId="28" xfId="3" applyFont="1" applyFill="1" applyBorder="1" applyAlignment="1">
      <alignment horizontal="center" wrapText="1"/>
    </xf>
    <xf numFmtId="0" fontId="92" fillId="0" borderId="29" xfId="3" applyFont="1" applyBorder="1" applyAlignment="1">
      <alignment wrapText="1"/>
    </xf>
    <xf numFmtId="43" fontId="81" fillId="0" borderId="9" xfId="144" applyNumberFormat="1" applyFont="1" applyBorder="1" applyAlignment="1">
      <alignment horizontal="left" vertical="top"/>
    </xf>
    <xf numFmtId="43" fontId="81" fillId="0" borderId="1" xfId="144" applyNumberFormat="1" applyFont="1" applyBorder="1" applyAlignment="1">
      <alignment horizontal="left" vertical="top"/>
    </xf>
    <xf numFmtId="0" fontId="81" fillId="0" borderId="1" xfId="144" applyFont="1" applyBorder="1" applyAlignment="1">
      <alignment horizontal="left" vertical="top"/>
    </xf>
    <xf numFmtId="0" fontId="70" fillId="0" borderId="1" xfId="144" applyFont="1" applyBorder="1" applyAlignment="1">
      <alignment horizontal="left" vertical="top"/>
    </xf>
    <xf numFmtId="0" fontId="81" fillId="0" borderId="10" xfId="144" applyFont="1" applyBorder="1" applyAlignment="1">
      <alignment horizontal="left" vertical="top"/>
    </xf>
    <xf numFmtId="0" fontId="102" fillId="0" borderId="27" xfId="95" applyFont="1" applyBorder="1" applyAlignment="1">
      <alignment wrapText="1"/>
    </xf>
    <xf numFmtId="43" fontId="102" fillId="0" borderId="27" xfId="1" applyFont="1" applyFill="1" applyBorder="1" applyAlignment="1">
      <alignment wrapText="1"/>
    </xf>
    <xf numFmtId="43" fontId="106" fillId="0" borderId="27" xfId="1" applyFont="1" applyFill="1" applyBorder="1" applyAlignment="1">
      <alignment wrapText="1"/>
    </xf>
    <xf numFmtId="43" fontId="105" fillId="0" borderId="16" xfId="0" applyNumberFormat="1" applyFont="1" applyBorder="1"/>
    <xf numFmtId="43" fontId="105" fillId="0" borderId="12" xfId="0" applyNumberFormat="1" applyFont="1" applyBorder="1"/>
    <xf numFmtId="43" fontId="103" fillId="0" borderId="17" xfId="1" applyFont="1" applyBorder="1" applyAlignment="1">
      <alignment horizontal="left" vertical="top"/>
    </xf>
    <xf numFmtId="43" fontId="105" fillId="0" borderId="8" xfId="0" applyNumberFormat="1" applyFont="1" applyBorder="1"/>
    <xf numFmtId="43" fontId="105" fillId="0" borderId="0" xfId="0" applyNumberFormat="1" applyFont="1"/>
    <xf numFmtId="43" fontId="106" fillId="0" borderId="29" xfId="1" applyFont="1" applyFill="1" applyBorder="1" applyAlignment="1"/>
    <xf numFmtId="43" fontId="105" fillId="0" borderId="7" xfId="1" applyFont="1" applyBorder="1"/>
    <xf numFmtId="43" fontId="106" fillId="5" borderId="29" xfId="1" applyFont="1" applyFill="1" applyBorder="1" applyAlignment="1"/>
    <xf numFmtId="0" fontId="105" fillId="0" borderId="8" xfId="0" applyFont="1" applyBorder="1"/>
    <xf numFmtId="0" fontId="105" fillId="0" borderId="0" xfId="0" applyFont="1"/>
    <xf numFmtId="43" fontId="106" fillId="0" borderId="6" xfId="1" applyFont="1" applyFill="1" applyBorder="1" applyAlignment="1">
      <alignment wrapText="1"/>
    </xf>
    <xf numFmtId="43" fontId="103" fillId="0" borderId="7" xfId="1" applyFont="1" applyBorder="1" applyAlignment="1">
      <alignment horizontal="left" vertical="top"/>
    </xf>
    <xf numFmtId="43" fontId="106" fillId="3" borderId="28" xfId="1" applyFont="1" applyFill="1" applyBorder="1" applyAlignment="1">
      <alignment horizontal="center" wrapText="1"/>
    </xf>
    <xf numFmtId="43" fontId="106" fillId="0" borderId="29" xfId="1" applyFont="1" applyFill="1" applyBorder="1" applyAlignment="1">
      <alignment wrapText="1"/>
    </xf>
    <xf numFmtId="43" fontId="105" fillId="0" borderId="9" xfId="0" applyNumberFormat="1" applyFont="1" applyBorder="1"/>
    <xf numFmtId="43" fontId="105" fillId="0" borderId="1" xfId="0" applyNumberFormat="1" applyFont="1" applyBorder="1"/>
    <xf numFmtId="43" fontId="105" fillId="0" borderId="1" xfId="1" applyFont="1" applyBorder="1"/>
    <xf numFmtId="43" fontId="103" fillId="0" borderId="10" xfId="1" applyFont="1" applyBorder="1" applyAlignment="1">
      <alignment horizontal="left" vertical="top"/>
    </xf>
    <xf numFmtId="10" fontId="0" fillId="0" borderId="11" xfId="0" applyNumberFormat="1" applyBorder="1"/>
    <xf numFmtId="10" fontId="0" fillId="4" borderId="0" xfId="0" applyNumberFormat="1" applyFill="1"/>
    <xf numFmtId="0" fontId="112" fillId="0" borderId="0" xfId="144" applyFont="1" applyAlignment="1">
      <alignment horizontal="left" vertical="top"/>
    </xf>
    <xf numFmtId="43" fontId="80" fillId="0" borderId="22" xfId="1" applyFont="1" applyFill="1" applyBorder="1" applyAlignment="1">
      <alignment horizontal="right" wrapText="1"/>
    </xf>
    <xf numFmtId="43" fontId="23" fillId="4" borderId="0" xfId="0" applyNumberFormat="1" applyFont="1" applyFill="1"/>
    <xf numFmtId="178" fontId="103" fillId="0" borderId="0" xfId="144" applyNumberFormat="1" applyFont="1" applyAlignment="1">
      <alignment horizontal="left" vertical="top"/>
    </xf>
    <xf numFmtId="43" fontId="80" fillId="0" borderId="22" xfId="1" applyNumberFormat="1" applyFont="1" applyBorder="1" applyAlignment="1">
      <alignment horizontal="right" wrapText="1"/>
    </xf>
    <xf numFmtId="43" fontId="80" fillId="4" borderId="22" xfId="1" applyNumberFormat="1" applyFont="1" applyFill="1" applyBorder="1" applyAlignment="1">
      <alignment horizontal="right" wrapText="1"/>
    </xf>
    <xf numFmtId="43" fontId="80" fillId="12" borderId="22" xfId="144" applyNumberFormat="1" applyFont="1" applyFill="1" applyBorder="1" applyAlignment="1">
      <alignment horizontal="left" wrapText="1"/>
    </xf>
    <xf numFmtId="44" fontId="113" fillId="0" borderId="0" xfId="0" applyNumberFormat="1" applyFont="1"/>
    <xf numFmtId="0" fontId="71" fillId="17" borderId="22" xfId="144" applyFont="1" applyFill="1" applyBorder="1" applyAlignment="1">
      <alignment horizontal="center" vertical="top" wrapText="1"/>
    </xf>
    <xf numFmtId="0" fontId="70" fillId="17" borderId="22" xfId="144" applyFont="1" applyFill="1" applyBorder="1" applyAlignment="1">
      <alignment horizontal="center" vertical="top" wrapText="1"/>
    </xf>
    <xf numFmtId="0" fontId="71" fillId="17" borderId="22" xfId="144" applyFont="1" applyFill="1" applyBorder="1" applyAlignment="1">
      <alignment horizontal="left" vertical="top" wrapText="1" indent="1"/>
    </xf>
    <xf numFmtId="0" fontId="70" fillId="18" borderId="22" xfId="144" applyFont="1" applyFill="1" applyBorder="1" applyAlignment="1">
      <alignment horizontal="center" vertical="top" wrapText="1"/>
    </xf>
    <xf numFmtId="2" fontId="52" fillId="0" borderId="22" xfId="144" applyNumberFormat="1" applyFont="1" applyBorder="1" applyAlignment="1">
      <alignment horizontal="right" vertical="center" shrinkToFit="1"/>
    </xf>
    <xf numFmtId="2" fontId="53" fillId="0" borderId="22" xfId="144" applyNumberFormat="1" applyFont="1" applyBorder="1" applyAlignment="1">
      <alignment horizontal="right" vertical="center" shrinkToFit="1"/>
    </xf>
    <xf numFmtId="0" fontId="98" fillId="17" borderId="22" xfId="144" applyFont="1" applyFill="1" applyBorder="1" applyAlignment="1">
      <alignment horizontal="left" vertical="top" wrapText="1"/>
    </xf>
    <xf numFmtId="0" fontId="97" fillId="17" borderId="22" xfId="144" applyFont="1" applyFill="1" applyBorder="1" applyAlignment="1">
      <alignment horizontal="left" vertical="center" wrapText="1"/>
    </xf>
    <xf numFmtId="0" fontId="97" fillId="17" borderId="22" xfId="144" applyFont="1" applyFill="1" applyBorder="1" applyAlignment="1">
      <alignment horizontal="left" wrapText="1"/>
    </xf>
    <xf numFmtId="0" fontId="71" fillId="4" borderId="22" xfId="144" applyFont="1" applyFill="1" applyBorder="1" applyAlignment="1">
      <alignment horizontal="center" vertical="center" wrapText="1"/>
    </xf>
    <xf numFmtId="0" fontId="81" fillId="0" borderId="22" xfId="144" applyFont="1" applyFill="1" applyBorder="1" applyAlignment="1">
      <alignment horizontal="left" wrapText="1"/>
    </xf>
    <xf numFmtId="0" fontId="59" fillId="0" borderId="16" xfId="144" applyBorder="1" applyAlignment="1">
      <alignment horizontal="left" vertical="top" wrapText="1"/>
    </xf>
    <xf numFmtId="0" fontId="59" fillId="0" borderId="12" xfId="144" applyBorder="1" applyAlignment="1">
      <alignment horizontal="left" vertical="top"/>
    </xf>
    <xf numFmtId="0" fontId="59" fillId="0" borderId="12" xfId="144" applyBorder="1" applyAlignment="1">
      <alignment horizontal="left" vertical="top" wrapText="1"/>
    </xf>
    <xf numFmtId="0" fontId="59" fillId="0" borderId="17" xfId="144" applyBorder="1" applyAlignment="1">
      <alignment horizontal="left" vertical="top"/>
    </xf>
    <xf numFmtId="43" fontId="59" fillId="0" borderId="8" xfId="144" applyNumberFormat="1" applyBorder="1" applyAlignment="1">
      <alignment horizontal="left" vertical="top"/>
    </xf>
    <xf numFmtId="0" fontId="59" fillId="0" borderId="0" xfId="144" applyBorder="1" applyAlignment="1">
      <alignment horizontal="left" vertical="top"/>
    </xf>
    <xf numFmtId="43" fontId="59" fillId="0" borderId="0" xfId="144" applyNumberFormat="1" applyBorder="1" applyAlignment="1">
      <alignment horizontal="left" vertical="top"/>
    </xf>
    <xf numFmtId="0" fontId="59" fillId="0" borderId="7" xfId="144" applyBorder="1" applyAlignment="1">
      <alignment horizontal="left" vertical="top"/>
    </xf>
    <xf numFmtId="0" fontId="59" fillId="0" borderId="8" xfId="144" applyBorder="1" applyAlignment="1">
      <alignment horizontal="left" vertical="top"/>
    </xf>
    <xf numFmtId="43" fontId="59" fillId="9" borderId="8" xfId="144" applyNumberFormat="1" applyFill="1" applyBorder="1" applyAlignment="1">
      <alignment horizontal="left" vertical="top"/>
    </xf>
    <xf numFmtId="10" fontId="59" fillId="9" borderId="0" xfId="4" applyNumberFormat="1" applyFont="1" applyFill="1" applyBorder="1" applyAlignment="1">
      <alignment horizontal="right" vertical="top"/>
    </xf>
    <xf numFmtId="43" fontId="59" fillId="0" borderId="9" xfId="144" applyNumberFormat="1" applyBorder="1" applyAlignment="1">
      <alignment horizontal="left" vertical="top"/>
    </xf>
    <xf numFmtId="10" fontId="59" fillId="0" borderId="1" xfId="4" applyNumberFormat="1" applyFont="1" applyBorder="1" applyAlignment="1">
      <alignment horizontal="right" vertical="top"/>
    </xf>
    <xf numFmtId="10" fontId="59" fillId="9" borderId="1" xfId="4" applyNumberFormat="1" applyFont="1" applyFill="1" applyBorder="1" applyAlignment="1">
      <alignment horizontal="right" vertical="top"/>
    </xf>
    <xf numFmtId="10" fontId="59" fillId="9" borderId="10" xfId="4" applyNumberFormat="1" applyFont="1" applyFill="1" applyBorder="1" applyAlignment="1">
      <alignment horizontal="right" vertical="top"/>
    </xf>
    <xf numFmtId="43" fontId="59" fillId="9" borderId="1" xfId="144" applyNumberFormat="1" applyFill="1" applyBorder="1" applyAlignment="1">
      <alignment horizontal="left" vertical="top"/>
    </xf>
    <xf numFmtId="43" fontId="59" fillId="0" borderId="11" xfId="144" applyNumberFormat="1" applyBorder="1" applyAlignment="1">
      <alignment horizontal="left" vertical="top"/>
    </xf>
    <xf numFmtId="9" fontId="59" fillId="0" borderId="0" xfId="4" applyFont="1" applyAlignment="1">
      <alignment horizontal="left" vertical="top"/>
    </xf>
    <xf numFmtId="10" fontId="59" fillId="0" borderId="0" xfId="4" applyNumberFormat="1" applyFont="1" applyAlignment="1">
      <alignment horizontal="left" vertical="top"/>
    </xf>
    <xf numFmtId="0" fontId="59" fillId="0" borderId="0" xfId="144" applyAlignment="1">
      <alignment horizontal="right" vertical="top"/>
    </xf>
    <xf numFmtId="10" fontId="59" fillId="0" borderId="0" xfId="4" applyNumberFormat="1" applyFont="1" applyAlignment="1">
      <alignment horizontal="right" vertical="top"/>
    </xf>
    <xf numFmtId="0" fontId="70" fillId="0" borderId="0" xfId="144" applyFont="1" applyAlignment="1">
      <alignment horizontal="right" vertical="top"/>
    </xf>
    <xf numFmtId="0" fontId="91" fillId="0" borderId="0" xfId="144" applyFont="1" applyAlignment="1">
      <alignment horizontal="right" vertical="top"/>
    </xf>
    <xf numFmtId="10" fontId="59" fillId="0" borderId="0" xfId="144" applyNumberFormat="1" applyAlignment="1">
      <alignment horizontal="left" vertical="top"/>
    </xf>
    <xf numFmtId="43" fontId="55" fillId="0" borderId="0" xfId="1" applyFont="1"/>
    <xf numFmtId="0" fontId="34" fillId="0" borderId="0" xfId="0" applyFont="1" applyAlignment="1">
      <alignment vertical="top"/>
    </xf>
    <xf numFmtId="0" fontId="0" fillId="0" borderId="0" xfId="0" applyAlignment="1"/>
    <xf numFmtId="0" fontId="59" fillId="15" borderId="0" xfId="144" applyFill="1" applyAlignment="1">
      <alignment horizontal="left" vertical="top"/>
    </xf>
    <xf numFmtId="43" fontId="55" fillId="8" borderId="8" xfId="0" applyNumberFormat="1" applyFont="1" applyFill="1" applyBorder="1"/>
    <xf numFmtId="0" fontId="59" fillId="4" borderId="22" xfId="144" applyFill="1" applyBorder="1" applyAlignment="1">
      <alignment horizontal="center" vertical="top" wrapText="1"/>
    </xf>
    <xf numFmtId="0" fontId="68" fillId="4" borderId="22" xfId="144" applyFont="1" applyFill="1" applyBorder="1" applyAlignment="1">
      <alignment horizontal="left" vertical="top" wrapText="1"/>
    </xf>
    <xf numFmtId="0" fontId="115" fillId="23" borderId="30" xfId="204" applyFont="1" applyFill="1" applyBorder="1"/>
    <xf numFmtId="0" fontId="116" fillId="23" borderId="31" xfId="204" applyFont="1" applyFill="1" applyBorder="1"/>
    <xf numFmtId="0" fontId="117" fillId="23" borderId="31" xfId="204" applyFont="1" applyFill="1" applyBorder="1"/>
    <xf numFmtId="0" fontId="117" fillId="8" borderId="31" xfId="204" applyFont="1" applyFill="1" applyBorder="1"/>
    <xf numFmtId="0" fontId="51" fillId="8" borderId="31" xfId="204" applyFont="1" applyFill="1" applyBorder="1" applyAlignment="1">
      <alignment horizontal="center"/>
    </xf>
    <xf numFmtId="14" fontId="117" fillId="8" borderId="31" xfId="204" applyNumberFormat="1" applyFont="1" applyFill="1" applyBorder="1" applyAlignment="1">
      <alignment horizontal="center"/>
    </xf>
    <xf numFmtId="14" fontId="117" fillId="8" borderId="32" xfId="204" applyNumberFormat="1" applyFont="1" applyFill="1" applyBorder="1" applyAlignment="1">
      <alignment horizontal="center"/>
    </xf>
    <xf numFmtId="0" fontId="118" fillId="0" borderId="0" xfId="204" applyFont="1"/>
    <xf numFmtId="0" fontId="100" fillId="8" borderId="33" xfId="204" applyFont="1" applyFill="1" applyBorder="1" applyAlignment="1">
      <alignment vertical="top" wrapText="1"/>
    </xf>
    <xf numFmtId="0" fontId="51" fillId="8" borderId="34" xfId="204" applyFont="1" applyFill="1" applyBorder="1" applyAlignment="1">
      <alignment vertical="top" wrapText="1"/>
    </xf>
    <xf numFmtId="0" fontId="51" fillId="8" borderId="35" xfId="204" applyFont="1" applyFill="1" applyBorder="1" applyAlignment="1">
      <alignment horizontal="center"/>
    </xf>
    <xf numFmtId="0" fontId="119" fillId="8" borderId="34" xfId="204" applyFont="1" applyFill="1" applyBorder="1" applyAlignment="1">
      <alignment horizontal="left" vertical="top" wrapText="1"/>
    </xf>
    <xf numFmtId="0" fontId="51" fillId="8" borderId="36" xfId="204" applyFont="1" applyFill="1" applyBorder="1" applyAlignment="1">
      <alignment vertical="top" wrapText="1"/>
    </xf>
    <xf numFmtId="0" fontId="51" fillId="8" borderId="35" xfId="204" applyFont="1" applyFill="1" applyBorder="1" applyAlignment="1">
      <alignment vertical="top" wrapText="1"/>
    </xf>
    <xf numFmtId="0" fontId="119" fillId="8" borderId="34" xfId="204" applyFont="1" applyFill="1" applyBorder="1" applyAlignment="1">
      <alignment vertical="top" wrapText="1"/>
    </xf>
    <xf numFmtId="14" fontId="117" fillId="8" borderId="36" xfId="204" applyNumberFormat="1" applyFont="1" applyFill="1" applyBorder="1" applyAlignment="1">
      <alignment horizontal="center"/>
    </xf>
    <xf numFmtId="14" fontId="120" fillId="8" borderId="37" xfId="204" applyNumberFormat="1" applyFont="1" applyFill="1" applyBorder="1" applyAlignment="1">
      <alignment horizontal="left" vertical="center"/>
    </xf>
    <xf numFmtId="0" fontId="51" fillId="8" borderId="38" xfId="204" applyFont="1" applyFill="1" applyBorder="1" applyAlignment="1">
      <alignment horizontal="center"/>
    </xf>
    <xf numFmtId="0" fontId="99" fillId="8" borderId="34" xfId="204" applyFont="1" applyFill="1" applyBorder="1" applyAlignment="1">
      <alignment vertical="top"/>
    </xf>
    <xf numFmtId="0" fontId="51" fillId="8" borderId="36" xfId="204" applyFont="1" applyFill="1" applyBorder="1"/>
    <xf numFmtId="0" fontId="51" fillId="8" borderId="35" xfId="204" applyFont="1" applyFill="1" applyBorder="1" applyAlignment="1">
      <alignment horizontal="left" vertical="top" wrapText="1"/>
    </xf>
    <xf numFmtId="14" fontId="117" fillId="8" borderId="37" xfId="204" applyNumberFormat="1" applyFont="1" applyFill="1" applyBorder="1" applyAlignment="1">
      <alignment horizontal="center"/>
    </xf>
    <xf numFmtId="0" fontId="115" fillId="0" borderId="33" xfId="204" applyFont="1" applyBorder="1"/>
    <xf numFmtId="0" fontId="54" fillId="0" borderId="36" xfId="204" applyFont="1" applyBorder="1"/>
    <xf numFmtId="0" fontId="115" fillId="0" borderId="36" xfId="204" applyFont="1" applyBorder="1"/>
    <xf numFmtId="0" fontId="54" fillId="0" borderId="35" xfId="204" applyFont="1" applyBorder="1"/>
    <xf numFmtId="0" fontId="54" fillId="0" borderId="37" xfId="204" applyFont="1" applyBorder="1"/>
    <xf numFmtId="0" fontId="121" fillId="8" borderId="38" xfId="204" applyFont="1" applyFill="1" applyBorder="1" applyAlignment="1">
      <alignment horizontal="center" vertical="top" wrapText="1"/>
    </xf>
    <xf numFmtId="0" fontId="121" fillId="8" borderId="39" xfId="204" applyFont="1" applyFill="1" applyBorder="1" applyAlignment="1">
      <alignment horizontal="center" vertical="top" wrapText="1"/>
    </xf>
    <xf numFmtId="0" fontId="122" fillId="8" borderId="39" xfId="204" applyFont="1" applyFill="1" applyBorder="1" applyAlignment="1">
      <alignment horizontal="center" vertical="top" wrapText="1"/>
    </xf>
    <xf numFmtId="0" fontId="121" fillId="8" borderId="40" xfId="204" applyFont="1" applyFill="1" applyBorder="1" applyAlignment="1">
      <alignment horizontal="center" vertical="top" wrapText="1"/>
    </xf>
    <xf numFmtId="0" fontId="121" fillId="13" borderId="38" xfId="204" applyFont="1" applyFill="1" applyBorder="1" applyAlignment="1">
      <alignment vertical="top" wrapText="1"/>
    </xf>
    <xf numFmtId="40" fontId="121" fillId="13" borderId="39" xfId="205" applyNumberFormat="1" applyFont="1" applyFill="1" applyBorder="1" applyAlignment="1">
      <alignment vertical="top"/>
    </xf>
    <xf numFmtId="40" fontId="121" fillId="13" borderId="40" xfId="205" applyNumberFormat="1" applyFont="1" applyFill="1" applyBorder="1" applyAlignment="1">
      <alignment vertical="top"/>
    </xf>
    <xf numFmtId="0" fontId="123" fillId="8" borderId="38" xfId="204" applyFont="1" applyFill="1" applyBorder="1" applyAlignment="1">
      <alignment vertical="top" wrapText="1"/>
    </xf>
    <xf numFmtId="40" fontId="123" fillId="0" borderId="39" xfId="205" applyNumberFormat="1" applyFont="1" applyBorder="1" applyAlignment="1">
      <alignment vertical="top"/>
    </xf>
    <xf numFmtId="40" fontId="123" fillId="24" borderId="40" xfId="205" applyNumberFormat="1" applyFont="1" applyFill="1" applyBorder="1" applyAlignment="1">
      <alignment vertical="top"/>
    </xf>
    <xf numFmtId="40" fontId="121" fillId="24" borderId="40" xfId="205" applyNumberFormat="1" applyFont="1" applyFill="1" applyBorder="1" applyAlignment="1">
      <alignment vertical="top"/>
    </xf>
    <xf numFmtId="40" fontId="123" fillId="24" borderId="39" xfId="205" applyNumberFormat="1" applyFont="1" applyFill="1" applyBorder="1" applyAlignment="1">
      <alignment vertical="top"/>
    </xf>
    <xf numFmtId="0" fontId="121" fillId="8" borderId="38" xfId="204" applyFont="1" applyFill="1" applyBorder="1" applyAlignment="1">
      <alignment vertical="top" wrapText="1"/>
    </xf>
    <xf numFmtId="40" fontId="123" fillId="0" borderId="40" xfId="205" applyNumberFormat="1" applyFont="1" applyFill="1" applyBorder="1" applyAlignment="1">
      <alignment vertical="top"/>
    </xf>
    <xf numFmtId="0" fontId="123" fillId="8" borderId="33" xfId="204" applyFont="1" applyFill="1" applyBorder="1" applyAlignment="1">
      <alignment vertical="top" wrapText="1"/>
    </xf>
    <xf numFmtId="40" fontId="123" fillId="0" borderId="40" xfId="205" applyNumberFormat="1" applyFont="1" applyBorder="1" applyAlignment="1">
      <alignment vertical="top"/>
    </xf>
    <xf numFmtId="0" fontId="121" fillId="13" borderId="33" xfId="204" applyFont="1" applyFill="1" applyBorder="1" applyAlignment="1">
      <alignment vertical="top" wrapText="1"/>
    </xf>
    <xf numFmtId="0" fontId="123" fillId="8" borderId="41" xfId="204" applyFont="1" applyFill="1" applyBorder="1"/>
    <xf numFmtId="0" fontId="123" fillId="8" borderId="42" xfId="204" applyFont="1" applyFill="1" applyBorder="1"/>
    <xf numFmtId="0" fontId="123" fillId="8" borderId="42" xfId="204" applyFont="1" applyFill="1" applyBorder="1" applyAlignment="1">
      <alignment vertical="top"/>
    </xf>
    <xf numFmtId="0" fontId="123" fillId="8" borderId="43" xfId="204" applyFont="1" applyFill="1" applyBorder="1" applyAlignment="1">
      <alignment vertical="top"/>
    </xf>
    <xf numFmtId="0" fontId="121" fillId="8" borderId="34" xfId="204" applyFont="1" applyFill="1" applyBorder="1" applyAlignment="1">
      <alignment horizontal="center"/>
    </xf>
    <xf numFmtId="0" fontId="123" fillId="8" borderId="34" xfId="204" applyFont="1" applyFill="1" applyBorder="1" applyAlignment="1">
      <alignment horizontal="center"/>
    </xf>
    <xf numFmtId="0" fontId="121" fillId="24" borderId="34" xfId="204" applyFont="1" applyFill="1" applyBorder="1" applyAlignment="1">
      <alignment horizontal="right"/>
    </xf>
    <xf numFmtId="0" fontId="121" fillId="24" borderId="40" xfId="204" applyFont="1" applyFill="1" applyBorder="1" applyAlignment="1">
      <alignment horizontal="right"/>
    </xf>
    <xf numFmtId="40" fontId="121" fillId="0" borderId="39" xfId="205" applyNumberFormat="1" applyFont="1" applyFill="1" applyBorder="1"/>
    <xf numFmtId="40" fontId="123" fillId="0" borderId="39" xfId="205" applyNumberFormat="1" applyFont="1" applyBorder="1"/>
    <xf numFmtId="40" fontId="121" fillId="24" borderId="39" xfId="205" applyNumberFormat="1" applyFont="1" applyFill="1" applyBorder="1"/>
    <xf numFmtId="40" fontId="121" fillId="24" borderId="40" xfId="205" applyNumberFormat="1" applyFont="1" applyFill="1" applyBorder="1"/>
    <xf numFmtId="0" fontId="123" fillId="0" borderId="34" xfId="204" applyFont="1" applyBorder="1" applyAlignment="1">
      <alignment horizontal="center"/>
    </xf>
    <xf numFmtId="0" fontId="128" fillId="24" borderId="39" xfId="204" applyFont="1" applyFill="1" applyBorder="1" applyAlignment="1">
      <alignment horizontal="center"/>
    </xf>
    <xf numFmtId="0" fontId="128" fillId="24" borderId="40" xfId="204" applyFont="1" applyFill="1" applyBorder="1" applyAlignment="1">
      <alignment horizontal="center"/>
    </xf>
    <xf numFmtId="0" fontId="129" fillId="0" borderId="33" xfId="204" applyFont="1" applyBorder="1"/>
    <xf numFmtId="0" fontId="130" fillId="0" borderId="36" xfId="204" applyFont="1" applyBorder="1"/>
    <xf numFmtId="0" fontId="129" fillId="0" borderId="36" xfId="204" applyFont="1" applyBorder="1"/>
    <xf numFmtId="0" fontId="130" fillId="0" borderId="37" xfId="204" applyFont="1" applyBorder="1"/>
    <xf numFmtId="0" fontId="123" fillId="0" borderId="0" xfId="33" applyFont="1"/>
    <xf numFmtId="0" fontId="121" fillId="8" borderId="41" xfId="33" applyFont="1" applyFill="1" applyBorder="1"/>
    <xf numFmtId="0" fontId="123" fillId="8" borderId="42" xfId="33" applyFont="1" applyFill="1" applyBorder="1"/>
    <xf numFmtId="38" fontId="123" fillId="8" borderId="42" xfId="33" applyNumberFormat="1" applyFont="1" applyFill="1" applyBorder="1"/>
    <xf numFmtId="38" fontId="123" fillId="8" borderId="43" xfId="33" applyNumberFormat="1" applyFont="1" applyFill="1" applyBorder="1"/>
    <xf numFmtId="0" fontId="121" fillId="8" borderId="8" xfId="33" applyFont="1" applyFill="1" applyBorder="1" applyAlignment="1">
      <alignment vertical="top"/>
    </xf>
    <xf numFmtId="0" fontId="123" fillId="8" borderId="0" xfId="33" applyFont="1" applyFill="1" applyAlignment="1">
      <alignment vertical="top"/>
    </xf>
    <xf numFmtId="38" fontId="123" fillId="8" borderId="0" xfId="33" applyNumberFormat="1" applyFont="1" applyFill="1" applyAlignment="1">
      <alignment vertical="top"/>
    </xf>
    <xf numFmtId="38" fontId="123" fillId="8" borderId="7" xfId="33" applyNumberFormat="1" applyFont="1" applyFill="1" applyBorder="1" applyAlignment="1">
      <alignment vertical="top"/>
    </xf>
    <xf numFmtId="0" fontId="125" fillId="8" borderId="38" xfId="204" applyFont="1" applyFill="1" applyBorder="1" applyAlignment="1">
      <alignment vertical="top" wrapText="1"/>
    </xf>
    <xf numFmtId="0" fontId="131" fillId="8" borderId="34" xfId="204" applyFont="1" applyFill="1" applyBorder="1" applyAlignment="1">
      <alignment vertical="top"/>
    </xf>
    <xf numFmtId="0" fontId="123" fillId="8" borderId="36" xfId="204" applyFont="1" applyFill="1" applyBorder="1" applyAlignment="1">
      <alignment vertical="top"/>
    </xf>
    <xf numFmtId="0" fontId="123" fillId="8" borderId="37" xfId="204" applyFont="1" applyFill="1" applyBorder="1" applyAlignment="1">
      <alignment vertical="top"/>
    </xf>
    <xf numFmtId="0" fontId="125" fillId="8" borderId="34" xfId="204" applyFont="1" applyFill="1" applyBorder="1" applyAlignment="1">
      <alignment vertical="top" wrapText="1"/>
    </xf>
    <xf numFmtId="0" fontId="121" fillId="8" borderId="44" xfId="204" applyFont="1" applyFill="1" applyBorder="1" applyAlignment="1">
      <alignment vertical="top" wrapText="1"/>
    </xf>
    <xf numFmtId="43" fontId="122" fillId="19" borderId="22" xfId="144" applyNumberFormat="1" applyFont="1" applyFill="1" applyBorder="1" applyAlignment="1">
      <alignment horizontal="left" wrapText="1"/>
    </xf>
    <xf numFmtId="43" fontId="80" fillId="13" borderId="22" xfId="144" applyNumberFormat="1" applyFont="1" applyFill="1" applyBorder="1" applyAlignment="1">
      <alignment horizontal="left" wrapText="1"/>
    </xf>
    <xf numFmtId="43" fontId="70" fillId="0" borderId="0" xfId="144" applyNumberFormat="1" applyFont="1" applyAlignment="1">
      <alignment horizontal="left" vertical="top"/>
    </xf>
    <xf numFmtId="43" fontId="80" fillId="12" borderId="22" xfId="1" applyFont="1" applyFill="1" applyBorder="1" applyAlignment="1">
      <alignment horizontal="right" wrapText="1"/>
    </xf>
    <xf numFmtId="43" fontId="97" fillId="0" borderId="0" xfId="144" applyNumberFormat="1" applyFont="1" applyAlignment="1">
      <alignment horizontal="left" vertical="top"/>
    </xf>
    <xf numFmtId="40" fontId="132" fillId="12" borderId="39" xfId="205" applyNumberFormat="1" applyFont="1" applyFill="1" applyBorder="1" applyAlignment="1">
      <alignment vertical="top"/>
    </xf>
    <xf numFmtId="43" fontId="98" fillId="12" borderId="22" xfId="1" applyFont="1" applyFill="1" applyBorder="1" applyAlignment="1">
      <alignment horizontal="right" wrapText="1"/>
    </xf>
    <xf numFmtId="43" fontId="98" fillId="19" borderId="22" xfId="144" applyNumberFormat="1" applyFont="1" applyFill="1" applyBorder="1" applyAlignment="1">
      <alignment horizontal="left" wrapText="1"/>
    </xf>
    <xf numFmtId="40" fontId="100" fillId="13" borderId="39" xfId="205" applyNumberFormat="1" applyFont="1" applyFill="1" applyBorder="1" applyAlignment="1">
      <alignment vertical="top"/>
    </xf>
    <xf numFmtId="43" fontId="98" fillId="0" borderId="22" xfId="1" applyFont="1" applyBorder="1" applyAlignment="1">
      <alignment horizontal="right" wrapText="1"/>
    </xf>
    <xf numFmtId="40" fontId="132" fillId="24" borderId="39" xfId="205" applyNumberFormat="1" applyFont="1" applyFill="1" applyBorder="1" applyAlignment="1">
      <alignment vertical="top"/>
    </xf>
    <xf numFmtId="43" fontId="133" fillId="19" borderId="22" xfId="144" applyNumberFormat="1" applyFont="1" applyFill="1" applyBorder="1" applyAlignment="1">
      <alignment horizontal="left" wrapText="1"/>
    </xf>
    <xf numFmtId="43" fontId="98" fillId="0" borderId="22" xfId="1" applyFont="1" applyFill="1" applyBorder="1" applyAlignment="1">
      <alignment horizontal="right" wrapText="1"/>
    </xf>
    <xf numFmtId="40" fontId="132" fillId="0" borderId="39" xfId="205" applyNumberFormat="1" applyFont="1" applyBorder="1" applyAlignment="1">
      <alignment vertical="top"/>
    </xf>
    <xf numFmtId="43" fontId="98" fillId="12" borderId="22" xfId="144" applyNumberFormat="1" applyFont="1" applyFill="1" applyBorder="1" applyAlignment="1">
      <alignment horizontal="left" wrapText="1"/>
    </xf>
    <xf numFmtId="40" fontId="118" fillId="13" borderId="39" xfId="205" applyNumberFormat="1" applyFont="1" applyFill="1" applyBorder="1" applyAlignment="1">
      <alignment vertical="top"/>
    </xf>
    <xf numFmtId="40" fontId="123" fillId="12" borderId="39" xfId="205" applyNumberFormat="1" applyFont="1" applyFill="1" applyBorder="1"/>
    <xf numFmtId="43" fontId="134" fillId="19" borderId="22" xfId="144" applyNumberFormat="1" applyFont="1" applyFill="1" applyBorder="1" applyAlignment="1">
      <alignment horizontal="left" wrapText="1"/>
    </xf>
    <xf numFmtId="43" fontId="81" fillId="0" borderId="0" xfId="144" applyNumberFormat="1" applyFont="1" applyAlignment="1">
      <alignment horizontal="left" vertical="top"/>
    </xf>
    <xf numFmtId="0" fontId="51" fillId="8" borderId="36" xfId="204" applyFont="1" applyFill="1" applyBorder="1" applyAlignment="1">
      <alignment horizontal="center" vertical="top"/>
    </xf>
    <xf numFmtId="0" fontId="121" fillId="8" borderId="45" xfId="204" applyFont="1" applyFill="1" applyBorder="1" applyAlignment="1">
      <alignment horizontal="center" vertical="top" wrapText="1"/>
    </xf>
    <xf numFmtId="0" fontId="121" fillId="8" borderId="46" xfId="204" applyFont="1" applyFill="1" applyBorder="1" applyAlignment="1">
      <alignment horizontal="center" vertical="top" wrapText="1"/>
    </xf>
    <xf numFmtId="0" fontId="121" fillId="8" borderId="47" xfId="204" applyFont="1" applyFill="1" applyBorder="1" applyAlignment="1">
      <alignment horizontal="center" vertical="top" wrapText="1"/>
    </xf>
    <xf numFmtId="0" fontId="60" fillId="17" borderId="19" xfId="144" applyFont="1" applyFill="1" applyBorder="1" applyAlignment="1">
      <alignment horizontal="left" vertical="top" wrapText="1"/>
    </xf>
    <xf numFmtId="0" fontId="60" fillId="17" borderId="20" xfId="144" applyFont="1" applyFill="1" applyBorder="1" applyAlignment="1">
      <alignment horizontal="left" vertical="top" wrapText="1"/>
    </xf>
    <xf numFmtId="0" fontId="60" fillId="17" borderId="21" xfId="144" applyFont="1" applyFill="1" applyBorder="1" applyAlignment="1">
      <alignment horizontal="left" vertical="top" wrapText="1"/>
    </xf>
    <xf numFmtId="0" fontId="98" fillId="17" borderId="19" xfId="144" applyFont="1" applyFill="1" applyBorder="1" applyAlignment="1">
      <alignment horizontal="left" vertical="top" wrapText="1"/>
    </xf>
    <xf numFmtId="0" fontId="98" fillId="17" borderId="21" xfId="144" applyFont="1" applyFill="1" applyBorder="1" applyAlignment="1">
      <alignment horizontal="left" vertical="top" wrapText="1"/>
    </xf>
    <xf numFmtId="0" fontId="100" fillId="17" borderId="19" xfId="144" applyFont="1" applyFill="1" applyBorder="1" applyAlignment="1">
      <alignment horizontal="left" vertical="top" wrapText="1"/>
    </xf>
    <xf numFmtId="0" fontId="98" fillId="17" borderId="20" xfId="144" applyFont="1" applyFill="1" applyBorder="1" applyAlignment="1">
      <alignment horizontal="left" vertical="top" wrapText="1"/>
    </xf>
    <xf numFmtId="0" fontId="89" fillId="17" borderId="19" xfId="144" applyFont="1" applyFill="1" applyBorder="1" applyAlignment="1">
      <alignment horizontal="left" vertical="top" wrapText="1"/>
    </xf>
    <xf numFmtId="0" fontId="89" fillId="17" borderId="20" xfId="144" applyFont="1" applyFill="1" applyBorder="1" applyAlignment="1">
      <alignment horizontal="left" vertical="top" wrapText="1"/>
    </xf>
    <xf numFmtId="0" fontId="89" fillId="17" borderId="21" xfId="144" applyFont="1" applyFill="1" applyBorder="1" applyAlignment="1">
      <alignment horizontal="left" vertical="top" wrapText="1"/>
    </xf>
    <xf numFmtId="0" fontId="71" fillId="17" borderId="19" xfId="144" applyFont="1" applyFill="1" applyBorder="1" applyAlignment="1">
      <alignment horizontal="left" vertical="top" wrapText="1"/>
    </xf>
    <xf numFmtId="0" fontId="71" fillId="17" borderId="20" xfId="144" applyFont="1" applyFill="1" applyBorder="1" applyAlignment="1">
      <alignment horizontal="left" vertical="top" wrapText="1"/>
    </xf>
    <xf numFmtId="0" fontId="71" fillId="17" borderId="21" xfId="144" applyFont="1" applyFill="1" applyBorder="1" applyAlignment="1">
      <alignment horizontal="left" vertical="top" wrapText="1"/>
    </xf>
    <xf numFmtId="0" fontId="61" fillId="0" borderId="19" xfId="144" applyFont="1" applyBorder="1" applyAlignment="1">
      <alignment horizontal="left" vertical="top" wrapText="1"/>
    </xf>
    <xf numFmtId="0" fontId="61" fillId="0" borderId="20" xfId="144" applyFont="1" applyBorder="1" applyAlignment="1">
      <alignment horizontal="left" vertical="top" wrapText="1"/>
    </xf>
    <xf numFmtId="0" fontId="61" fillId="0" borderId="21" xfId="144" applyFont="1" applyBorder="1" applyAlignment="1">
      <alignment horizontal="left" vertical="top" wrapText="1"/>
    </xf>
    <xf numFmtId="0" fontId="72" fillId="17" borderId="19" xfId="144" applyFont="1" applyFill="1" applyBorder="1" applyAlignment="1">
      <alignment horizontal="left" vertical="top" wrapText="1"/>
    </xf>
    <xf numFmtId="0" fontId="72" fillId="17" borderId="20" xfId="144" applyFont="1" applyFill="1" applyBorder="1" applyAlignment="1">
      <alignment horizontal="left" vertical="top" wrapText="1"/>
    </xf>
    <xf numFmtId="0" fontId="72" fillId="17" borderId="21" xfId="144" applyFont="1" applyFill="1" applyBorder="1" applyAlignment="1">
      <alignment horizontal="left" vertical="top" wrapText="1"/>
    </xf>
    <xf numFmtId="0" fontId="70" fillId="17" borderId="19" xfId="144" applyFont="1" applyFill="1" applyBorder="1" applyAlignment="1">
      <alignment horizontal="left" vertical="top" wrapText="1"/>
    </xf>
    <xf numFmtId="0" fontId="70" fillId="17" borderId="20" xfId="144" applyFont="1" applyFill="1" applyBorder="1" applyAlignment="1">
      <alignment horizontal="left" vertical="top" wrapText="1"/>
    </xf>
    <xf numFmtId="0" fontId="70" fillId="17" borderId="21" xfId="144" applyFont="1" applyFill="1" applyBorder="1" applyAlignment="1">
      <alignment horizontal="left" vertical="top" wrapText="1"/>
    </xf>
    <xf numFmtId="0" fontId="65" fillId="17" borderId="19" xfId="144" applyFont="1" applyFill="1" applyBorder="1" applyAlignment="1">
      <alignment horizontal="left" vertical="top" wrapText="1"/>
    </xf>
    <xf numFmtId="0" fontId="65" fillId="17" borderId="20" xfId="144" applyFont="1" applyFill="1" applyBorder="1" applyAlignment="1">
      <alignment horizontal="left" vertical="top" wrapText="1"/>
    </xf>
    <xf numFmtId="0" fontId="65" fillId="17" borderId="21" xfId="144" applyFont="1" applyFill="1" applyBorder="1" applyAlignment="1">
      <alignment horizontal="left" vertical="top" wrapText="1"/>
    </xf>
    <xf numFmtId="0" fontId="97" fillId="17" borderId="19" xfId="144" applyFont="1" applyFill="1" applyBorder="1" applyAlignment="1">
      <alignment horizontal="left" vertical="top" wrapText="1"/>
    </xf>
    <xf numFmtId="0" fontId="97" fillId="17" borderId="20" xfId="144" applyFont="1" applyFill="1" applyBorder="1" applyAlignment="1">
      <alignment horizontal="left" vertical="top" wrapText="1"/>
    </xf>
    <xf numFmtId="0" fontId="97" fillId="17" borderId="21" xfId="144" applyFont="1" applyFill="1" applyBorder="1" applyAlignment="1">
      <alignment horizontal="left" vertical="top" wrapText="1"/>
    </xf>
    <xf numFmtId="0" fontId="95" fillId="17" borderId="19" xfId="144" applyFont="1" applyFill="1" applyBorder="1" applyAlignment="1">
      <alignment horizontal="left" vertical="top" wrapText="1"/>
    </xf>
    <xf numFmtId="0" fontId="111" fillId="17" borderId="19" xfId="144" applyFont="1" applyFill="1" applyBorder="1" applyAlignment="1">
      <alignment horizontal="left" vertical="top" wrapText="1"/>
    </xf>
    <xf numFmtId="0" fontId="64" fillId="17" borderId="19" xfId="144" applyFont="1" applyFill="1" applyBorder="1" applyAlignment="1">
      <alignment horizontal="left" vertical="top" wrapText="1"/>
    </xf>
    <xf numFmtId="0" fontId="64" fillId="17" borderId="20" xfId="144" applyFont="1" applyFill="1" applyBorder="1" applyAlignment="1">
      <alignment horizontal="left" vertical="top" wrapText="1"/>
    </xf>
    <xf numFmtId="0" fontId="64" fillId="17" borderId="21" xfId="144" applyFont="1" applyFill="1" applyBorder="1" applyAlignment="1">
      <alignment horizontal="left" vertical="top" wrapText="1"/>
    </xf>
    <xf numFmtId="0" fontId="50" fillId="17" borderId="19" xfId="144" applyFont="1" applyFill="1" applyBorder="1" applyAlignment="1">
      <alignment horizontal="left" vertical="top" wrapText="1"/>
    </xf>
    <xf numFmtId="0" fontId="50" fillId="17" borderId="20" xfId="144" applyFont="1" applyFill="1" applyBorder="1" applyAlignment="1">
      <alignment horizontal="left" vertical="top" wrapText="1"/>
    </xf>
    <xf numFmtId="0" fontId="50" fillId="17" borderId="21" xfId="144" applyFont="1" applyFill="1" applyBorder="1" applyAlignment="1">
      <alignment horizontal="left" vertical="top" wrapText="1"/>
    </xf>
    <xf numFmtId="0" fontId="59" fillId="17" borderId="19" xfId="144" applyFill="1" applyBorder="1" applyAlignment="1">
      <alignment horizontal="left" vertical="top" wrapText="1"/>
    </xf>
    <xf numFmtId="0" fontId="59" fillId="17" borderId="20" xfId="144" applyFill="1" applyBorder="1" applyAlignment="1">
      <alignment horizontal="left" vertical="top" wrapText="1"/>
    </xf>
    <xf numFmtId="0" fontId="59" fillId="17" borderId="21" xfId="144" applyFill="1" applyBorder="1" applyAlignment="1">
      <alignment horizontal="left" vertical="top" wrapText="1"/>
    </xf>
    <xf numFmtId="0" fontId="56" fillId="17" borderId="19" xfId="144" applyFont="1" applyFill="1" applyBorder="1" applyAlignment="1">
      <alignment horizontal="left" vertical="top" wrapText="1"/>
    </xf>
    <xf numFmtId="43" fontId="80" fillId="0" borderId="22" xfId="1" applyNumberFormat="1" applyFont="1" applyFill="1" applyBorder="1" applyAlignment="1">
      <alignment horizontal="right" wrapText="1"/>
    </xf>
  </cellXfs>
  <cellStyles count="206">
    <cellStyle name="Accent2 2" xfId="57" xr:uid="{00000000-0005-0000-0000-000000000000}"/>
    <cellStyle name="Accent6 2" xfId="54" xr:uid="{00000000-0005-0000-0000-000002000000}"/>
    <cellStyle name="Accent6 3" xfId="58" xr:uid="{00000000-0005-0000-0000-000003000000}"/>
    <cellStyle name="Comma" xfId="1" builtinId="3"/>
    <cellStyle name="Comma 10" xfId="160" xr:uid="{FCBE1150-4CB0-458D-AB80-F7C0A51B64F5}"/>
    <cellStyle name="Comma 11" xfId="166" xr:uid="{864D6404-CD62-49FA-892A-DB2C2F714309}"/>
    <cellStyle name="Comma 12" xfId="187" xr:uid="{4DB45A6E-96BF-4B26-844A-7B2A69A93CA2}"/>
    <cellStyle name="Comma 13" xfId="192" xr:uid="{6D7C4B9A-C01C-4AE4-AF63-B54F8CCF32B5}"/>
    <cellStyle name="Comma 14" xfId="197" xr:uid="{5CC0FDBE-78D1-4F54-9CDD-A32637B20BD7}"/>
    <cellStyle name="Comma 15" xfId="199" xr:uid="{12A3F9AF-1419-4DD8-9155-46D7789FC507}"/>
    <cellStyle name="Comma 16" xfId="205" xr:uid="{08865C1D-29C8-4DBE-8CE9-E93DA878703D}"/>
    <cellStyle name="Comma 2" xfId="16" xr:uid="{00000000-0005-0000-0000-000006000000}"/>
    <cellStyle name="Comma 2 2" xfId="21" xr:uid="{00000000-0005-0000-0000-000007000000}"/>
    <cellStyle name="Comma 2 2 2" xfId="178" xr:uid="{79FC7440-CB83-4035-86E4-B34DA23F7A77}"/>
    <cellStyle name="Comma 2 3" xfId="46" xr:uid="{00000000-0005-0000-0000-000008000000}"/>
    <cellStyle name="Comma 2 3 2" xfId="59" xr:uid="{00000000-0005-0000-0000-000009000000}"/>
    <cellStyle name="Comma 2 3 2 2" xfId="119" xr:uid="{22540A52-3DE5-4F6F-AE5A-4BB3107DE0BF}"/>
    <cellStyle name="Comma 2 3 3" xfId="116" xr:uid="{71AC1ACD-CA5D-40E3-8993-53BBD4E5CF5B}"/>
    <cellStyle name="Comma 2 4" xfId="168" xr:uid="{A93E9EC3-BCAC-4AF8-926D-6E7796B15438}"/>
    <cellStyle name="Comma 2 5" xfId="190" xr:uid="{67208376-A871-4917-9DB4-ECD878D8BF3A}"/>
    <cellStyle name="Comma 2 6" xfId="195" xr:uid="{55AE982B-1447-4C8F-B464-B5F7FB85BC71}"/>
    <cellStyle name="Comma 2 7" xfId="202" xr:uid="{9DDF225D-26D9-4E77-828F-EB6180DDDB2D}"/>
    <cellStyle name="Comma 3" xfId="20" xr:uid="{00000000-0005-0000-0000-00000A000000}"/>
    <cellStyle name="Comma 3 2" xfId="60" xr:uid="{00000000-0005-0000-0000-00000B000000}"/>
    <cellStyle name="Comma 3 3" xfId="169" xr:uid="{D69988A6-ACE4-42EA-8728-7FD0CC6CA7C9}"/>
    <cellStyle name="Comma 4" xfId="61" xr:uid="{00000000-0005-0000-0000-00000C000000}"/>
    <cellStyle name="Comma 4 2" xfId="180" xr:uid="{64D41E5F-69C2-422B-97D3-382DC916AE67}"/>
    <cellStyle name="Comma 4 3" xfId="172" xr:uid="{070509A5-5FCC-4E31-8D56-21C6843AA1AA}"/>
    <cellStyle name="Comma 5" xfId="94" xr:uid="{00000000-0005-0000-0000-00000D000000}"/>
    <cellStyle name="Comma 6" xfId="147" xr:uid="{1382429C-05F3-40A4-8666-5E35E5F48230}"/>
    <cellStyle name="Comma 7" xfId="151" xr:uid="{28C52ACD-3F3F-4989-B6B1-90F51084670D}"/>
    <cellStyle name="Comma 8" xfId="154" xr:uid="{2A3BC848-CBE8-4F0E-9C80-624EA1EB1D0B}"/>
    <cellStyle name="Comma 9" xfId="156" xr:uid="{B4776EAF-1A56-468C-964C-961374A9EE7C}"/>
    <cellStyle name="Currency" xfId="2" builtinId="4"/>
    <cellStyle name="Currency 10" xfId="193" xr:uid="{AE08C91E-C1DD-4C47-AFEC-47277EA3ED73}"/>
    <cellStyle name="Currency 11" xfId="200" xr:uid="{73712DF2-C990-4622-8ADA-A91E7369DB72}"/>
    <cellStyle name="Currency 2" xfId="12" xr:uid="{00000000-0005-0000-0000-00000F000000}"/>
    <cellStyle name="Currency 2 2" xfId="22" xr:uid="{00000000-0005-0000-0000-000010000000}"/>
    <cellStyle name="Currency 2 2 2" xfId="47" xr:uid="{00000000-0005-0000-0000-000011000000}"/>
    <cellStyle name="Currency 2 2 2 2" xfId="63" xr:uid="{00000000-0005-0000-0000-000012000000}"/>
    <cellStyle name="Currency 2 2 2 2 2" xfId="120" xr:uid="{1C81844C-8536-4D0F-B579-AB46AB7E956D}"/>
    <cellStyle name="Currency 2 2 2 3" xfId="117" xr:uid="{60E4BAC7-B89A-4982-A920-71AF5FE331C2}"/>
    <cellStyle name="Currency 2 2 3" xfId="181" xr:uid="{1E3BD4EF-58BF-474E-B34E-D49AB7AC0B98}"/>
    <cellStyle name="Currency 2 3" xfId="62" xr:uid="{00000000-0005-0000-0000-000013000000}"/>
    <cellStyle name="Currency 2 4" xfId="173" xr:uid="{8FEEA6B9-0C33-422F-A0F7-AD63DEE96943}"/>
    <cellStyle name="Currency 3" xfId="15" xr:uid="{00000000-0005-0000-0000-000014000000}"/>
    <cellStyle name="Currency 3 2" xfId="43" xr:uid="{00000000-0005-0000-0000-000015000000}"/>
    <cellStyle name="Currency 3 2 2" xfId="64" xr:uid="{00000000-0005-0000-0000-000016000000}"/>
    <cellStyle name="Currency 3 2 2 2" xfId="121" xr:uid="{C33CEDF7-AB9B-4A61-B226-FFEF5275F948}"/>
    <cellStyle name="Currency 3 2 3" xfId="114" xr:uid="{9DC7BC9E-9E23-4089-BAB2-3758D3D937A0}"/>
    <cellStyle name="Currency 3 3" xfId="48" xr:uid="{00000000-0005-0000-0000-000017000000}"/>
    <cellStyle name="Currency 4" xfId="65" xr:uid="{00000000-0005-0000-0000-000018000000}"/>
    <cellStyle name="Currency 5" xfId="148" xr:uid="{53AB5AE1-4A55-4D77-9871-4AFE419277C7}"/>
    <cellStyle name="Currency 6" xfId="157" xr:uid="{04D16F14-62DD-48CB-A411-912BC188787E}"/>
    <cellStyle name="Currency 7" xfId="161" xr:uid="{7ACD410B-28B3-46BF-BFFF-7455BEFE0D7A}"/>
    <cellStyle name="Currency 8" xfId="185" xr:uid="{910DA4C7-6CB2-4162-BDCB-8DE5CE52C95B}"/>
    <cellStyle name="Currency 9" xfId="188" xr:uid="{2DB9A904-DEA2-484E-AFED-FAC047C7331A}"/>
    <cellStyle name="Hyperlink 2" xfId="56" xr:uid="{00000000-0005-0000-0000-00001A000000}"/>
    <cellStyle name="Normal" xfId="0" builtinId="0"/>
    <cellStyle name="Normal 10" xfId="23" xr:uid="{00000000-0005-0000-0000-00001C000000}"/>
    <cellStyle name="Normal 10 2" xfId="66" xr:uid="{00000000-0005-0000-0000-00001D000000}"/>
    <cellStyle name="Normal 10 2 2" xfId="122" xr:uid="{35881A57-680A-4755-AC3B-22C65EB4C5B8}"/>
    <cellStyle name="Normal 10 3" xfId="96" xr:uid="{29AB20BC-BE1A-4D7A-B087-DDC1D8765805}"/>
    <cellStyle name="Normal 11" xfId="24" xr:uid="{00000000-0005-0000-0000-00001E000000}"/>
    <cellStyle name="Normal 11 2" xfId="67" xr:uid="{00000000-0005-0000-0000-00001F000000}"/>
    <cellStyle name="Normal 11 2 2" xfId="123" xr:uid="{DE509E4C-8D49-4C55-880F-7C6406DE5A35}"/>
    <cellStyle name="Normal 11 3" xfId="97" xr:uid="{83693D69-AC56-484D-A0B8-4FCDBBBFD4C0}"/>
    <cellStyle name="Normal 12" xfId="25" xr:uid="{00000000-0005-0000-0000-000020000000}"/>
    <cellStyle name="Normal 12 2" xfId="68" xr:uid="{00000000-0005-0000-0000-000021000000}"/>
    <cellStyle name="Normal 12 2 2" xfId="124" xr:uid="{E08F57CF-58EA-47C9-A0D8-226A414CDD61}"/>
    <cellStyle name="Normal 12 3" xfId="98" xr:uid="{835036DD-37F5-431F-ABA1-6F42A1BC4E68}"/>
    <cellStyle name="Normal 13" xfId="26" xr:uid="{00000000-0005-0000-0000-000022000000}"/>
    <cellStyle name="Normal 13 2" xfId="69" xr:uid="{00000000-0005-0000-0000-000023000000}"/>
    <cellStyle name="Normal 13 2 2" xfId="125" xr:uid="{6B7153DE-F452-4167-AFEB-1A3710DDCE6D}"/>
    <cellStyle name="Normal 13 3" xfId="99" xr:uid="{577BD1BC-CA41-427C-92EB-D1EDEA7FCEFB}"/>
    <cellStyle name="Normal 14" xfId="27" xr:uid="{00000000-0005-0000-0000-000024000000}"/>
    <cellStyle name="Normal 14 2" xfId="70" xr:uid="{00000000-0005-0000-0000-000025000000}"/>
    <cellStyle name="Normal 14 2 2" xfId="126" xr:uid="{A96404F8-C721-41EE-AA9F-2766680FA966}"/>
    <cellStyle name="Normal 14 3" xfId="100" xr:uid="{DF99C32F-5138-488E-A109-DB212EA923F7}"/>
    <cellStyle name="Normal 15" xfId="28" xr:uid="{00000000-0005-0000-0000-000026000000}"/>
    <cellStyle name="Normal 15 2" xfId="71" xr:uid="{00000000-0005-0000-0000-000027000000}"/>
    <cellStyle name="Normal 15 2 2" xfId="127" xr:uid="{FA5E04DC-68F2-4493-8ED7-A5D6C5A71C1D}"/>
    <cellStyle name="Normal 15 3" xfId="101" xr:uid="{F5C53245-7CFE-48E2-BBAC-469E8AA626AB}"/>
    <cellStyle name="Normal 16" xfId="29" xr:uid="{00000000-0005-0000-0000-000028000000}"/>
    <cellStyle name="Normal 16 2" xfId="72" xr:uid="{00000000-0005-0000-0000-000029000000}"/>
    <cellStyle name="Normal 16 2 2" xfId="128" xr:uid="{CAB4E859-76CF-403E-BEE1-00B2F691931E}"/>
    <cellStyle name="Normal 16 3" xfId="102" xr:uid="{4EF469BC-119C-44A7-9D04-D621D43871DD}"/>
    <cellStyle name="Normal 17" xfId="30" xr:uid="{00000000-0005-0000-0000-00002A000000}"/>
    <cellStyle name="Normal 17 2" xfId="73" xr:uid="{00000000-0005-0000-0000-00002B000000}"/>
    <cellStyle name="Normal 17 2 2" xfId="129" xr:uid="{68799DC7-C281-49D8-A68E-37A05DFAB721}"/>
    <cellStyle name="Normal 17 3" xfId="103" xr:uid="{0AA3345E-DCC4-45CB-8EA2-F876ADA784F0}"/>
    <cellStyle name="Normal 18" xfId="31" xr:uid="{00000000-0005-0000-0000-00002C000000}"/>
    <cellStyle name="Normal 18 2" xfId="74" xr:uid="{00000000-0005-0000-0000-00002D000000}"/>
    <cellStyle name="Normal 18 2 2" xfId="130" xr:uid="{804EBBA2-3303-401F-886D-200CC889D47C}"/>
    <cellStyle name="Normal 18 3" xfId="104" xr:uid="{042251B8-4774-4DE0-8B74-00EBF5E01399}"/>
    <cellStyle name="Normal 19" xfId="32" xr:uid="{00000000-0005-0000-0000-00002E000000}"/>
    <cellStyle name="Normal 19 2" xfId="75" xr:uid="{00000000-0005-0000-0000-00002F000000}"/>
    <cellStyle name="Normal 19 2 2" xfId="131" xr:uid="{A5F27BE9-15B2-4D30-BD5C-6F7E6594AF01}"/>
    <cellStyle name="Normal 19 3" xfId="105" xr:uid="{12FFF6DE-CD31-4C30-A74C-7B6F375A65A1}"/>
    <cellStyle name="Normal 2" xfId="11" xr:uid="{00000000-0005-0000-0000-000030000000}"/>
    <cellStyle name="Normal 2 2" xfId="33" xr:uid="{00000000-0005-0000-0000-000031000000}"/>
    <cellStyle name="Normal 2 2 2" xfId="50" xr:uid="{00000000-0005-0000-0000-000032000000}"/>
    <cellStyle name="Normal 2 3" xfId="49" xr:uid="{00000000-0005-0000-0000-000033000000}"/>
    <cellStyle name="Normal 2 4" xfId="76" xr:uid="{00000000-0005-0000-0000-000034000000}"/>
    <cellStyle name="Normal 20" xfId="34" xr:uid="{00000000-0005-0000-0000-000035000000}"/>
    <cellStyle name="Normal 20 2" xfId="77" xr:uid="{00000000-0005-0000-0000-000036000000}"/>
    <cellStyle name="Normal 20 2 2" xfId="132" xr:uid="{572AA6D6-C88B-4D72-957B-50C83A823F49}"/>
    <cellStyle name="Normal 20 3" xfId="106" xr:uid="{B5FFFB1C-9C27-4304-BD17-FD1F09895346}"/>
    <cellStyle name="Normal 21" xfId="35" xr:uid="{00000000-0005-0000-0000-000037000000}"/>
    <cellStyle name="Normal 21 2" xfId="78" xr:uid="{00000000-0005-0000-0000-000038000000}"/>
    <cellStyle name="Normal 21 2 2" xfId="133" xr:uid="{58B400C0-4E90-4581-AE05-2F66D13192B0}"/>
    <cellStyle name="Normal 21 3" xfId="107" xr:uid="{457DA1CF-EBBB-4EB3-BF62-6447CF2C2B2B}"/>
    <cellStyle name="Normal 22" xfId="36" xr:uid="{00000000-0005-0000-0000-000039000000}"/>
    <cellStyle name="Normal 22 2" xfId="79" xr:uid="{00000000-0005-0000-0000-00003A000000}"/>
    <cellStyle name="Normal 22 2 2" xfId="134" xr:uid="{22DFE086-8A48-4601-8205-659E5635AC27}"/>
    <cellStyle name="Normal 22 3" xfId="108" xr:uid="{6435EB1C-F7AB-441C-9F9F-5D005FA5A1E3}"/>
    <cellStyle name="Normal 23" xfId="37" xr:uid="{00000000-0005-0000-0000-00003B000000}"/>
    <cellStyle name="Normal 23 2" xfId="80" xr:uid="{00000000-0005-0000-0000-00003C000000}"/>
    <cellStyle name="Normal 23 2 2" xfId="135" xr:uid="{671F7936-9189-4140-8C8F-0921D12964F3}"/>
    <cellStyle name="Normal 23 3" xfId="109" xr:uid="{87E0AC2D-9081-4018-AD8D-A784DEB180D7}"/>
    <cellStyle name="Normal 24" xfId="81" xr:uid="{00000000-0005-0000-0000-00003D000000}"/>
    <cellStyle name="Normal 25" xfId="82" xr:uid="{00000000-0005-0000-0000-00003E000000}"/>
    <cellStyle name="Normal 25 2" xfId="136" xr:uid="{A4B25D6C-90B7-481A-BB55-BFCC1D4898CE}"/>
    <cellStyle name="Normal 26" xfId="55" xr:uid="{00000000-0005-0000-0000-00003F000000}"/>
    <cellStyle name="Normal 26 2" xfId="118" xr:uid="{EF60EC5F-9A18-4B07-8910-0283A0289D65}"/>
    <cellStyle name="Normal 27" xfId="91" xr:uid="{00000000-0005-0000-0000-000040000000}"/>
    <cellStyle name="Normal 27 2" xfId="142" xr:uid="{16CAC1AB-E928-4A74-9CAE-281B7BD9384E}"/>
    <cellStyle name="Normal 28" xfId="92" xr:uid="{00000000-0005-0000-0000-000041000000}"/>
    <cellStyle name="Normal 29" xfId="144" xr:uid="{65B59D86-CB1A-4492-8654-ED85F921EB38}"/>
    <cellStyle name="Normal 3" xfId="13" xr:uid="{00000000-0005-0000-0000-000042000000}"/>
    <cellStyle name="Normal 3 2" xfId="44" xr:uid="{00000000-0005-0000-0000-000043000000}"/>
    <cellStyle name="Normal 3 2 2" xfId="83" xr:uid="{00000000-0005-0000-0000-000044000000}"/>
    <cellStyle name="Normal 3 2 2 2" xfId="137" xr:uid="{589EBDEF-18B3-412F-98E3-D001CFC4C10D}"/>
    <cellStyle name="Normal 3 2 3" xfId="115" xr:uid="{BCBABAAC-7910-4923-97C0-51DA89526DE5}"/>
    <cellStyle name="Normal 3 3" xfId="170" xr:uid="{BAE71AC2-0963-49ED-97F5-A4A0C1106811}"/>
    <cellStyle name="Normal 30" xfId="146" xr:uid="{B394DF28-9A5D-4524-8EF4-A9F50D33DA70}"/>
    <cellStyle name="Normal 31" xfId="150" xr:uid="{7C195AD3-83C6-4E99-928F-66726E368E39}"/>
    <cellStyle name="Normal 32" xfId="153" xr:uid="{A12B994A-BE6C-45E4-AA47-C73DF7313FF3}"/>
    <cellStyle name="Normal 33" xfId="155" xr:uid="{A3CB8115-A548-4FFC-BF61-B765F3AAAEDF}"/>
    <cellStyle name="Normal 34" xfId="159" xr:uid="{F34048CF-450D-49F6-92E7-20D8EA9C060E}"/>
    <cellStyle name="Normal 35" xfId="163" xr:uid="{21983B83-4D1C-40D2-9A04-52947CCB5A74}"/>
    <cellStyle name="Normal 36" xfId="164" xr:uid="{CA1705FA-2A9C-40D9-BD97-1FE0758D2B82}"/>
    <cellStyle name="Normal 37" xfId="186" xr:uid="{2185A2DB-1C38-4F4D-B1A8-1E9EE07933ED}"/>
    <cellStyle name="Normal 38" xfId="191" xr:uid="{F9CE3EAC-46E2-48CC-B0D7-7018260879F3}"/>
    <cellStyle name="Normal 39" xfId="196" xr:uid="{8E326FD8-5F4D-4B0B-896E-F105BCCA12A0}"/>
    <cellStyle name="Normal 4" xfId="14" xr:uid="{00000000-0005-0000-0000-000045000000}"/>
    <cellStyle name="Normal 4 2" xfId="51" xr:uid="{00000000-0005-0000-0000-000046000000}"/>
    <cellStyle name="Normal 4 2 2" xfId="177" xr:uid="{663E0B86-88F6-4ED1-ADFE-A606FF50843C}"/>
    <cellStyle name="Normal 4 3" xfId="167" xr:uid="{31C4E040-F637-4746-AF63-75A343791152}"/>
    <cellStyle name="Normal 40" xfId="198" xr:uid="{52D41546-E9AF-4E8F-8923-E98152843410}"/>
    <cellStyle name="Normal 41" xfId="203" xr:uid="{ADFAB5F8-7477-4DF3-ADD6-CE8C97AA7F88}"/>
    <cellStyle name="Normal 42" xfId="204" xr:uid="{C8E963C6-CFD1-4C4C-A484-45330B6A0A06}"/>
    <cellStyle name="Normal 5" xfId="18" xr:uid="{00000000-0005-0000-0000-000047000000}"/>
    <cellStyle name="Normal 5 2" xfId="84" xr:uid="{00000000-0005-0000-0000-000048000000}"/>
    <cellStyle name="Normal 5 2 2" xfId="179" xr:uid="{D37FEA81-BDD7-4BA8-AEBE-038D7C1005FB}"/>
    <cellStyle name="Normal 5 3" xfId="171" xr:uid="{9CC6C2F5-EA2A-4A46-BD1B-C79BC08B2296}"/>
    <cellStyle name="Normal 6" xfId="38" xr:uid="{00000000-0005-0000-0000-000049000000}"/>
    <cellStyle name="Normal 6 2" xfId="85" xr:uid="{00000000-0005-0000-0000-00004A000000}"/>
    <cellStyle name="Normal 6 2 2" xfId="138" xr:uid="{664EDA36-A183-41D3-9E11-2719C237417B}"/>
    <cellStyle name="Normal 6 2 2 2" xfId="184" xr:uid="{EC524592-9AAB-4D9F-B392-8EFDDE5CBDC0}"/>
    <cellStyle name="Normal 6 2 2 3" xfId="176" xr:uid="{67B15814-0375-4649-A94F-C139D91EFBAB}"/>
    <cellStyle name="Normal 6 2 3" xfId="183" xr:uid="{759A0DEA-1CDF-4A96-A541-5131ED8F6138}"/>
    <cellStyle name="Normal 6 2 4" xfId="175" xr:uid="{5430BAEE-FF67-4342-9747-B179B000F750}"/>
    <cellStyle name="Normal 6 3" xfId="110" xr:uid="{3913B2D8-14CE-4ECB-B957-41037ED2F636}"/>
    <cellStyle name="Normal 6 3 2" xfId="182" xr:uid="{7C8A9609-541A-4335-A9B6-BEADF98ADB0E}"/>
    <cellStyle name="Normal 6 4" xfId="174" xr:uid="{0FB4899D-E2D4-43A8-A8A4-952088C39CCF}"/>
    <cellStyle name="Normal 7" xfId="39" xr:uid="{00000000-0005-0000-0000-00004B000000}"/>
    <cellStyle name="Normal 7 2" xfId="86" xr:uid="{00000000-0005-0000-0000-00004C000000}"/>
    <cellStyle name="Normal 7 2 2" xfId="139" xr:uid="{C4499C49-CD83-424C-B0F3-9CB97D61517C}"/>
    <cellStyle name="Normal 7 3" xfId="111" xr:uid="{CD94FB8D-1D32-4A93-B7E8-345C8C97767D}"/>
    <cellStyle name="Normal 8" xfId="40" xr:uid="{00000000-0005-0000-0000-00004D000000}"/>
    <cellStyle name="Normal 8 2" xfId="87" xr:uid="{00000000-0005-0000-0000-00004E000000}"/>
    <cellStyle name="Normal 8 2 2" xfId="140" xr:uid="{75E1A7FA-19D7-4D06-B1F0-A215B4AF948E}"/>
    <cellStyle name="Normal 8 3" xfId="112" xr:uid="{0DD02211-1E34-47BE-97D2-C5CB7ECB56F1}"/>
    <cellStyle name="Normal 9" xfId="41" xr:uid="{00000000-0005-0000-0000-00004F000000}"/>
    <cellStyle name="Normal 9 2" xfId="88" xr:uid="{00000000-0005-0000-0000-000050000000}"/>
    <cellStyle name="Normal 9 2 2" xfId="141" xr:uid="{DD77DFE3-0B2F-4440-8333-E0C44658F7CC}"/>
    <cellStyle name="Normal 9 3" xfId="113" xr:uid="{5F694906-CF2A-412F-BBE6-310A7CABFE4A}"/>
    <cellStyle name="Normal_2021 Certs Recd_2" xfId="145" xr:uid="{F80C68AB-9E67-4FA6-AC3F-13F090772D0A}"/>
    <cellStyle name="Normal_data" xfId="3" xr:uid="{00000000-0005-0000-0000-00005C000000}"/>
    <cellStyle name="Normal_Data_2" xfId="95" xr:uid="{0ACC19E3-AE9C-4D87-91F4-E25FDF526642}"/>
    <cellStyle name="Normal_Sheet1" xfId="17" xr:uid="{00000000-0005-0000-0000-000068000000}"/>
    <cellStyle name="Normal_Sheet9" xfId="93" xr:uid="{00000000-0005-0000-0000-00006B000000}"/>
    <cellStyle name="Note 2" xfId="143" xr:uid="{70AEE898-3B6B-4587-B24E-AF1B21A4DAC7}"/>
    <cellStyle name="Note 3" xfId="149" xr:uid="{38464E1C-61A3-490F-98C6-DC4E92D36C61}"/>
    <cellStyle name="Note 4" xfId="189" xr:uid="{EA4055BE-F078-4225-8493-E7ADCC71FAA4}"/>
    <cellStyle name="Note 5" xfId="194" xr:uid="{F57FF7A9-0D18-46EC-A984-3D574273A7BF}"/>
    <cellStyle name="Note 6" xfId="201" xr:uid="{6AA13948-67B4-41B8-AC68-58C71F865D1B}"/>
    <cellStyle name="Percent" xfId="4" builtinId="5"/>
    <cellStyle name="Percent 2" xfId="19" xr:uid="{00000000-0005-0000-0000-000076000000}"/>
    <cellStyle name="Percent 2 2" xfId="42" xr:uid="{00000000-0005-0000-0000-000077000000}"/>
    <cellStyle name="Percent 2 2 2" xfId="53" xr:uid="{00000000-0005-0000-0000-000078000000}"/>
    <cellStyle name="Percent 2 3" xfId="52" xr:uid="{00000000-0005-0000-0000-000079000000}"/>
    <cellStyle name="Percent 2 4" xfId="89" xr:uid="{00000000-0005-0000-0000-00007A000000}"/>
    <cellStyle name="Percent 3" xfId="45" xr:uid="{00000000-0005-0000-0000-00007B000000}"/>
    <cellStyle name="Percent 4" xfId="90" xr:uid="{00000000-0005-0000-0000-00007C000000}"/>
    <cellStyle name="Percent 5" xfId="152" xr:uid="{8E6249E0-9C10-48E7-BC87-C2CACFCDCE16}"/>
    <cellStyle name="Percent 6" xfId="158" xr:uid="{E6EF2170-AFA0-42CD-A144-229043675E2C}"/>
    <cellStyle name="Percent 7" xfId="162" xr:uid="{E1848CBF-FCEB-4178-AF01-D481A1FBE5E9}"/>
    <cellStyle name="Percent 8" xfId="165" xr:uid="{4095D10B-C39D-4DFA-81E3-B7A7A7B3DF31}"/>
    <cellStyle name="PSChar" xfId="5" xr:uid="{00000000-0005-0000-0000-00007D000000}"/>
    <cellStyle name="PSDate" xfId="6" xr:uid="{00000000-0005-0000-0000-00007E000000}"/>
    <cellStyle name="PSDec" xfId="7" xr:uid="{00000000-0005-0000-0000-00007F000000}"/>
    <cellStyle name="PSHeading" xfId="8" xr:uid="{00000000-0005-0000-0000-000080000000}"/>
    <cellStyle name="PSInt" xfId="9" xr:uid="{00000000-0005-0000-0000-000081000000}"/>
    <cellStyle name="PSSpacer" xfId="10" xr:uid="{00000000-0005-0000-0000-000082000000}"/>
  </cellStyles>
  <dxfs count="11">
    <dxf>
      <font>
        <color rgb="FF9C0006"/>
      </font>
      <fill>
        <patternFill>
          <bgColor rgb="FFFFC7CE"/>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ont>
        <color rgb="FFFF0000"/>
      </font>
    </dxf>
    <dxf>
      <fill>
        <patternFill patternType="solid">
          <bgColor rgb="FFFFFF00"/>
        </patternFill>
      </fill>
    </dxf>
    <dxf>
      <fill>
        <patternFill patternType="solid">
          <bgColor rgb="FFFFFF00"/>
        </patternFill>
      </fill>
    </dxf>
  </dxfs>
  <tableStyles count="0" defaultTableStyle="TableStyleMedium9" defaultPivotStyle="PivotStyleLight16"/>
  <colors>
    <mruColors>
      <color rgb="FFFFFFCC"/>
      <color rgb="FFCECA22"/>
      <color rgb="FFCCFFCC"/>
      <color rgb="FF0000FF"/>
      <color rgb="FFFF3399"/>
      <color rgb="FF2338FD"/>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885825</xdr:colOff>
      <xdr:row>48</xdr:row>
      <xdr:rowOff>95250</xdr:rowOff>
    </xdr:from>
    <xdr:to>
      <xdr:col>5</xdr:col>
      <xdr:colOff>972142</xdr:colOff>
      <xdr:row>57</xdr:row>
      <xdr:rowOff>152615</xdr:rowOff>
    </xdr:to>
    <xdr:pic>
      <xdr:nvPicPr>
        <xdr:cNvPr id="2" name="Picture 1">
          <a:extLst>
            <a:ext uri="{FF2B5EF4-FFF2-40B4-BE49-F238E27FC236}">
              <a16:creationId xmlns:a16="http://schemas.microsoft.com/office/drawing/2014/main" id="{41098157-98D0-2B32-8284-53C6E88F0AB5}"/>
            </a:ext>
          </a:extLst>
        </xdr:cNvPr>
        <xdr:cNvPicPr>
          <a:picLocks noChangeAspect="1"/>
        </xdr:cNvPicPr>
      </xdr:nvPicPr>
      <xdr:blipFill>
        <a:blip xmlns:r="http://schemas.openxmlformats.org/officeDocument/2006/relationships" r:embed="rId1"/>
        <a:stretch>
          <a:fillRect/>
        </a:stretch>
      </xdr:blipFill>
      <xdr:spPr>
        <a:xfrm>
          <a:off x="5229225" y="9715500"/>
          <a:ext cx="4239217" cy="1543265"/>
        </a:xfrm>
        <a:prstGeom prst="rect">
          <a:avLst/>
        </a:prstGeom>
      </xdr:spPr>
    </xdr:pic>
    <xdr:clientData/>
  </xdr:twoCellAnchor>
  <xdr:twoCellAnchor editAs="oneCell">
    <xdr:from>
      <xdr:col>0</xdr:col>
      <xdr:colOff>0</xdr:colOff>
      <xdr:row>58</xdr:row>
      <xdr:rowOff>133350</xdr:rowOff>
    </xdr:from>
    <xdr:to>
      <xdr:col>12</xdr:col>
      <xdr:colOff>659506</xdr:colOff>
      <xdr:row>71</xdr:row>
      <xdr:rowOff>133644</xdr:rowOff>
    </xdr:to>
    <xdr:pic>
      <xdr:nvPicPr>
        <xdr:cNvPr id="3" name="Picture 2">
          <a:extLst>
            <a:ext uri="{FF2B5EF4-FFF2-40B4-BE49-F238E27FC236}">
              <a16:creationId xmlns:a16="http://schemas.microsoft.com/office/drawing/2014/main" id="{17B3FB74-CB72-F33D-2406-9BF620468ECD}"/>
            </a:ext>
          </a:extLst>
        </xdr:cNvPr>
        <xdr:cNvPicPr>
          <a:picLocks noChangeAspect="1"/>
        </xdr:cNvPicPr>
      </xdr:nvPicPr>
      <xdr:blipFill>
        <a:blip xmlns:r="http://schemas.openxmlformats.org/officeDocument/2006/relationships" r:embed="rId2"/>
        <a:stretch>
          <a:fillRect/>
        </a:stretch>
      </xdr:blipFill>
      <xdr:spPr>
        <a:xfrm>
          <a:off x="0" y="11401425"/>
          <a:ext cx="16347181" cy="21053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60614</xdr:colOff>
      <xdr:row>46</xdr:row>
      <xdr:rowOff>107223</xdr:rowOff>
    </xdr:from>
    <xdr:to>
      <xdr:col>10</xdr:col>
      <xdr:colOff>785061</xdr:colOff>
      <xdr:row>54</xdr:row>
      <xdr:rowOff>122333</xdr:rowOff>
    </xdr:to>
    <xdr:pic>
      <xdr:nvPicPr>
        <xdr:cNvPr id="2" name="Picture 1">
          <a:extLst>
            <a:ext uri="{FF2B5EF4-FFF2-40B4-BE49-F238E27FC236}">
              <a16:creationId xmlns:a16="http://schemas.microsoft.com/office/drawing/2014/main" id="{05649D3D-EDCA-439E-C203-79A4277FFED6}"/>
            </a:ext>
          </a:extLst>
        </xdr:cNvPr>
        <xdr:cNvPicPr>
          <a:picLocks noChangeAspect="1"/>
        </xdr:cNvPicPr>
      </xdr:nvPicPr>
      <xdr:blipFill>
        <a:blip xmlns:r="http://schemas.openxmlformats.org/officeDocument/2006/relationships" r:embed="rId1"/>
        <a:stretch>
          <a:fillRect/>
        </a:stretch>
      </xdr:blipFill>
      <xdr:spPr>
        <a:xfrm>
          <a:off x="60614" y="10489473"/>
          <a:ext cx="13262811" cy="1400565"/>
        </a:xfrm>
        <a:prstGeom prst="rect">
          <a:avLst/>
        </a:prstGeom>
      </xdr:spPr>
    </xdr:pic>
    <xdr:clientData/>
  </xdr:twoCellAnchor>
  <xdr:twoCellAnchor editAs="oneCell">
    <xdr:from>
      <xdr:col>12</xdr:col>
      <xdr:colOff>259773</xdr:colOff>
      <xdr:row>37</xdr:row>
      <xdr:rowOff>278130</xdr:rowOff>
    </xdr:from>
    <xdr:to>
      <xdr:col>19</xdr:col>
      <xdr:colOff>277955</xdr:colOff>
      <xdr:row>39</xdr:row>
      <xdr:rowOff>88365</xdr:rowOff>
    </xdr:to>
    <xdr:pic>
      <xdr:nvPicPr>
        <xdr:cNvPr id="3" name="Picture 2">
          <a:extLst>
            <a:ext uri="{FF2B5EF4-FFF2-40B4-BE49-F238E27FC236}">
              <a16:creationId xmlns:a16="http://schemas.microsoft.com/office/drawing/2014/main" id="{7B44076E-3212-F766-9EF2-8076B754A59F}"/>
            </a:ext>
          </a:extLst>
        </xdr:cNvPr>
        <xdr:cNvPicPr>
          <a:picLocks noChangeAspect="1"/>
        </xdr:cNvPicPr>
      </xdr:nvPicPr>
      <xdr:blipFill>
        <a:blip xmlns:r="http://schemas.openxmlformats.org/officeDocument/2006/relationships" r:embed="rId2"/>
        <a:stretch>
          <a:fillRect/>
        </a:stretch>
      </xdr:blipFill>
      <xdr:spPr>
        <a:xfrm>
          <a:off x="15006205" y="8192539"/>
          <a:ext cx="5291568" cy="2605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32</xdr:row>
      <xdr:rowOff>0</xdr:rowOff>
    </xdr:from>
    <xdr:to>
      <xdr:col>18</xdr:col>
      <xdr:colOff>648546</xdr:colOff>
      <xdr:row>32</xdr:row>
      <xdr:rowOff>304843</xdr:rowOff>
    </xdr:to>
    <xdr:pic>
      <xdr:nvPicPr>
        <xdr:cNvPr id="3" name="Picture 2">
          <a:extLst>
            <a:ext uri="{FF2B5EF4-FFF2-40B4-BE49-F238E27FC236}">
              <a16:creationId xmlns:a16="http://schemas.microsoft.com/office/drawing/2014/main" id="{5C7BA4C9-F49F-9666-A289-584B79205380}"/>
            </a:ext>
          </a:extLst>
        </xdr:cNvPr>
        <xdr:cNvPicPr>
          <a:picLocks noChangeAspect="1"/>
        </xdr:cNvPicPr>
      </xdr:nvPicPr>
      <xdr:blipFill>
        <a:blip xmlns:r="http://schemas.openxmlformats.org/officeDocument/2006/relationships" r:embed="rId1"/>
        <a:stretch>
          <a:fillRect/>
        </a:stretch>
      </xdr:blipFill>
      <xdr:spPr>
        <a:xfrm>
          <a:off x="13925550" y="5981700"/>
          <a:ext cx="6058746" cy="304843"/>
        </a:xfrm>
        <a:prstGeom prst="rect">
          <a:avLst/>
        </a:prstGeom>
      </xdr:spPr>
    </xdr:pic>
    <xdr:clientData/>
  </xdr:twoCellAnchor>
  <xdr:twoCellAnchor editAs="oneCell">
    <xdr:from>
      <xdr:col>0</xdr:col>
      <xdr:colOff>38100</xdr:colOff>
      <xdr:row>46</xdr:row>
      <xdr:rowOff>126863</xdr:rowOff>
    </xdr:from>
    <xdr:to>
      <xdr:col>12</xdr:col>
      <xdr:colOff>2300</xdr:colOff>
      <xdr:row>55</xdr:row>
      <xdr:rowOff>28823</xdr:rowOff>
    </xdr:to>
    <xdr:pic>
      <xdr:nvPicPr>
        <xdr:cNvPr id="4" name="Picture 3">
          <a:extLst>
            <a:ext uri="{FF2B5EF4-FFF2-40B4-BE49-F238E27FC236}">
              <a16:creationId xmlns:a16="http://schemas.microsoft.com/office/drawing/2014/main" id="{13932B02-4DE2-635A-272F-FCFDEB99B611}"/>
            </a:ext>
          </a:extLst>
        </xdr:cNvPr>
        <xdr:cNvPicPr>
          <a:picLocks noChangeAspect="1"/>
        </xdr:cNvPicPr>
      </xdr:nvPicPr>
      <xdr:blipFill>
        <a:blip xmlns:r="http://schemas.openxmlformats.org/officeDocument/2006/relationships" r:embed="rId2"/>
        <a:stretch>
          <a:fillRect/>
        </a:stretch>
      </xdr:blipFill>
      <xdr:spPr>
        <a:xfrm>
          <a:off x="38100" y="9842363"/>
          <a:ext cx="13280150" cy="1435485"/>
        </a:xfrm>
        <a:prstGeom prst="rect">
          <a:avLst/>
        </a:prstGeom>
      </xdr:spPr>
    </xdr:pic>
    <xdr:clientData/>
  </xdr:twoCellAnchor>
  <xdr:twoCellAnchor editAs="oneCell">
    <xdr:from>
      <xdr:col>0</xdr:col>
      <xdr:colOff>266700</xdr:colOff>
      <xdr:row>55</xdr:row>
      <xdr:rowOff>28575</xdr:rowOff>
    </xdr:from>
    <xdr:to>
      <xdr:col>1</xdr:col>
      <xdr:colOff>1229314</xdr:colOff>
      <xdr:row>63</xdr:row>
      <xdr:rowOff>114493</xdr:rowOff>
    </xdr:to>
    <xdr:pic>
      <xdr:nvPicPr>
        <xdr:cNvPr id="2" name="Picture 1">
          <a:extLst>
            <a:ext uri="{FF2B5EF4-FFF2-40B4-BE49-F238E27FC236}">
              <a16:creationId xmlns:a16="http://schemas.microsoft.com/office/drawing/2014/main" id="{DD6B9499-5BB8-58C2-6619-6C2B06D34A36}"/>
            </a:ext>
          </a:extLst>
        </xdr:cNvPr>
        <xdr:cNvPicPr>
          <a:picLocks noChangeAspect="1"/>
        </xdr:cNvPicPr>
      </xdr:nvPicPr>
      <xdr:blipFill>
        <a:blip xmlns:r="http://schemas.openxmlformats.org/officeDocument/2006/relationships" r:embed="rId3"/>
        <a:stretch>
          <a:fillRect/>
        </a:stretch>
      </xdr:blipFill>
      <xdr:spPr>
        <a:xfrm>
          <a:off x="266700" y="11277600"/>
          <a:ext cx="4220164" cy="13813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0</xdr:colOff>
      <xdr:row>32</xdr:row>
      <xdr:rowOff>0</xdr:rowOff>
    </xdr:from>
    <xdr:to>
      <xdr:col>19</xdr:col>
      <xdr:colOff>538041</xdr:colOff>
      <xdr:row>32</xdr:row>
      <xdr:rowOff>262925</xdr:rowOff>
    </xdr:to>
    <xdr:pic>
      <xdr:nvPicPr>
        <xdr:cNvPr id="4" name="Picture 3">
          <a:extLst>
            <a:ext uri="{FF2B5EF4-FFF2-40B4-BE49-F238E27FC236}">
              <a16:creationId xmlns:a16="http://schemas.microsoft.com/office/drawing/2014/main" id="{B2B48CAE-E879-A043-BCBB-4D93D7250D98}"/>
            </a:ext>
          </a:extLst>
        </xdr:cNvPr>
        <xdr:cNvPicPr>
          <a:picLocks noChangeAspect="1"/>
        </xdr:cNvPicPr>
      </xdr:nvPicPr>
      <xdr:blipFill>
        <a:blip xmlns:r="http://schemas.openxmlformats.org/officeDocument/2006/relationships" r:embed="rId1"/>
        <a:stretch>
          <a:fillRect/>
        </a:stretch>
      </xdr:blipFill>
      <xdr:spPr>
        <a:xfrm>
          <a:off x="12734925" y="5895975"/>
          <a:ext cx="5953956" cy="247685"/>
        </a:xfrm>
        <a:prstGeom prst="rect">
          <a:avLst/>
        </a:prstGeom>
      </xdr:spPr>
    </xdr:pic>
    <xdr:clientData/>
  </xdr:twoCellAnchor>
  <xdr:twoCellAnchor editAs="oneCell">
    <xdr:from>
      <xdr:col>0</xdr:col>
      <xdr:colOff>0</xdr:colOff>
      <xdr:row>45</xdr:row>
      <xdr:rowOff>0</xdr:rowOff>
    </xdr:from>
    <xdr:to>
      <xdr:col>1</xdr:col>
      <xdr:colOff>949276</xdr:colOff>
      <xdr:row>53</xdr:row>
      <xdr:rowOff>114507</xdr:rowOff>
    </xdr:to>
    <xdr:pic>
      <xdr:nvPicPr>
        <xdr:cNvPr id="5" name="Picture 4">
          <a:extLst>
            <a:ext uri="{FF2B5EF4-FFF2-40B4-BE49-F238E27FC236}">
              <a16:creationId xmlns:a16="http://schemas.microsoft.com/office/drawing/2014/main" id="{70D225B2-6064-5E44-AC08-CDAEC2DCA663}"/>
            </a:ext>
          </a:extLst>
        </xdr:cNvPr>
        <xdr:cNvPicPr>
          <a:picLocks noChangeAspect="1"/>
        </xdr:cNvPicPr>
      </xdr:nvPicPr>
      <xdr:blipFill>
        <a:blip xmlns:r="http://schemas.openxmlformats.org/officeDocument/2006/relationships" r:embed="rId2"/>
        <a:stretch>
          <a:fillRect/>
        </a:stretch>
      </xdr:blipFill>
      <xdr:spPr>
        <a:xfrm>
          <a:off x="0" y="9344025"/>
          <a:ext cx="4201111" cy="1486107"/>
        </a:xfrm>
        <a:prstGeom prst="rect">
          <a:avLst/>
        </a:prstGeom>
      </xdr:spPr>
    </xdr:pic>
    <xdr:clientData/>
  </xdr:twoCellAnchor>
  <xdr:twoCellAnchor editAs="oneCell">
    <xdr:from>
      <xdr:col>0</xdr:col>
      <xdr:colOff>0</xdr:colOff>
      <xdr:row>54</xdr:row>
      <xdr:rowOff>76200</xdr:rowOff>
    </xdr:from>
    <xdr:to>
      <xdr:col>16</xdr:col>
      <xdr:colOff>301385</xdr:colOff>
      <xdr:row>64</xdr:row>
      <xdr:rowOff>152637</xdr:rowOff>
    </xdr:to>
    <xdr:pic>
      <xdr:nvPicPr>
        <xdr:cNvPr id="6" name="Picture 5">
          <a:extLst>
            <a:ext uri="{FF2B5EF4-FFF2-40B4-BE49-F238E27FC236}">
              <a16:creationId xmlns:a16="http://schemas.microsoft.com/office/drawing/2014/main" id="{AAA29E01-9672-AB46-D8EC-2C1CBA1AB87E}"/>
            </a:ext>
          </a:extLst>
        </xdr:cNvPr>
        <xdr:cNvPicPr>
          <a:picLocks noChangeAspect="1"/>
        </xdr:cNvPicPr>
      </xdr:nvPicPr>
      <xdr:blipFill>
        <a:blip xmlns:r="http://schemas.openxmlformats.org/officeDocument/2006/relationships" r:embed="rId3"/>
        <a:stretch>
          <a:fillRect/>
        </a:stretch>
      </xdr:blipFill>
      <xdr:spPr>
        <a:xfrm>
          <a:off x="0" y="10953750"/>
          <a:ext cx="16480550" cy="1695687"/>
        </a:xfrm>
        <a:prstGeom prst="rect">
          <a:avLst/>
        </a:prstGeom>
      </xdr:spPr>
    </xdr:pic>
    <xdr:clientData/>
  </xdr:twoCellAnchor>
  <xdr:twoCellAnchor editAs="oneCell">
    <xdr:from>
      <xdr:col>14</xdr:col>
      <xdr:colOff>9525</xdr:colOff>
      <xdr:row>32</xdr:row>
      <xdr:rowOff>57150</xdr:rowOff>
    </xdr:from>
    <xdr:to>
      <xdr:col>18</xdr:col>
      <xdr:colOff>238751</xdr:colOff>
      <xdr:row>32</xdr:row>
      <xdr:rowOff>276256</xdr:rowOff>
    </xdr:to>
    <xdr:pic>
      <xdr:nvPicPr>
        <xdr:cNvPr id="7" name="Picture 6">
          <a:extLst>
            <a:ext uri="{FF2B5EF4-FFF2-40B4-BE49-F238E27FC236}">
              <a16:creationId xmlns:a16="http://schemas.microsoft.com/office/drawing/2014/main" id="{B35D8026-178E-01CE-AEBA-080C1B52238F}"/>
            </a:ext>
          </a:extLst>
        </xdr:cNvPr>
        <xdr:cNvPicPr>
          <a:picLocks noChangeAspect="1"/>
        </xdr:cNvPicPr>
      </xdr:nvPicPr>
      <xdr:blipFill>
        <a:blip xmlns:r="http://schemas.openxmlformats.org/officeDocument/2006/relationships" r:embed="rId4"/>
        <a:stretch>
          <a:fillRect/>
        </a:stretch>
      </xdr:blipFill>
      <xdr:spPr>
        <a:xfrm>
          <a:off x="14125575" y="5991225"/>
          <a:ext cx="4486901" cy="219106"/>
        </a:xfrm>
        <a:prstGeom prst="rect">
          <a:avLst/>
        </a:prstGeom>
      </xdr:spPr>
    </xdr:pic>
    <xdr:clientData/>
  </xdr:twoCellAnchor>
  <xdr:twoCellAnchor editAs="oneCell">
    <xdr:from>
      <xdr:col>18</xdr:col>
      <xdr:colOff>457200</xdr:colOff>
      <xdr:row>32</xdr:row>
      <xdr:rowOff>47625</xdr:rowOff>
    </xdr:from>
    <xdr:to>
      <xdr:col>19</xdr:col>
      <xdr:colOff>571677</xdr:colOff>
      <xdr:row>32</xdr:row>
      <xdr:rowOff>276257</xdr:rowOff>
    </xdr:to>
    <xdr:pic>
      <xdr:nvPicPr>
        <xdr:cNvPr id="8" name="Picture 7">
          <a:extLst>
            <a:ext uri="{FF2B5EF4-FFF2-40B4-BE49-F238E27FC236}">
              <a16:creationId xmlns:a16="http://schemas.microsoft.com/office/drawing/2014/main" id="{75547C9F-E41F-2D4D-677E-02AE7EC2A930}"/>
            </a:ext>
          </a:extLst>
        </xdr:cNvPr>
        <xdr:cNvPicPr>
          <a:picLocks noChangeAspect="1"/>
        </xdr:cNvPicPr>
      </xdr:nvPicPr>
      <xdr:blipFill>
        <a:blip xmlns:r="http://schemas.openxmlformats.org/officeDocument/2006/relationships" r:embed="rId5"/>
        <a:stretch>
          <a:fillRect/>
        </a:stretch>
      </xdr:blipFill>
      <xdr:spPr>
        <a:xfrm>
          <a:off x="18830925" y="5981700"/>
          <a:ext cx="1267002" cy="228632"/>
        </a:xfrm>
        <a:prstGeom prst="rect">
          <a:avLst/>
        </a:prstGeom>
      </xdr:spPr>
    </xdr:pic>
    <xdr:clientData/>
  </xdr:twoCellAnchor>
  <xdr:twoCellAnchor editAs="oneCell">
    <xdr:from>
      <xdr:col>4</xdr:col>
      <xdr:colOff>161925</xdr:colOff>
      <xdr:row>47</xdr:row>
      <xdr:rowOff>95250</xdr:rowOff>
    </xdr:from>
    <xdr:to>
      <xdr:col>7</xdr:col>
      <xdr:colOff>972181</xdr:colOff>
      <xdr:row>49</xdr:row>
      <xdr:rowOff>9564</xdr:rowOff>
    </xdr:to>
    <xdr:pic>
      <xdr:nvPicPr>
        <xdr:cNvPr id="2" name="Picture 1">
          <a:extLst>
            <a:ext uri="{FF2B5EF4-FFF2-40B4-BE49-F238E27FC236}">
              <a16:creationId xmlns:a16="http://schemas.microsoft.com/office/drawing/2014/main" id="{FAD9018C-11C7-26CA-92EA-89716D7F854C}"/>
            </a:ext>
          </a:extLst>
        </xdr:cNvPr>
        <xdr:cNvPicPr>
          <a:picLocks noChangeAspect="1"/>
        </xdr:cNvPicPr>
      </xdr:nvPicPr>
      <xdr:blipFill>
        <a:blip xmlns:r="http://schemas.openxmlformats.org/officeDocument/2006/relationships" r:embed="rId6"/>
        <a:stretch>
          <a:fillRect/>
        </a:stretch>
      </xdr:blipFill>
      <xdr:spPr>
        <a:xfrm>
          <a:off x="7334250" y="9925050"/>
          <a:ext cx="4525006" cy="276264"/>
        </a:xfrm>
        <a:prstGeom prst="rect">
          <a:avLst/>
        </a:prstGeom>
      </xdr:spPr>
    </xdr:pic>
    <xdr:clientData/>
  </xdr:twoCellAnchor>
  <xdr:twoCellAnchor editAs="oneCell">
    <xdr:from>
      <xdr:col>6</xdr:col>
      <xdr:colOff>0</xdr:colOff>
      <xdr:row>50</xdr:row>
      <xdr:rowOff>0</xdr:rowOff>
    </xdr:from>
    <xdr:to>
      <xdr:col>15</xdr:col>
      <xdr:colOff>534243</xdr:colOff>
      <xdr:row>51</xdr:row>
      <xdr:rowOff>76233</xdr:rowOff>
    </xdr:to>
    <xdr:pic>
      <xdr:nvPicPr>
        <xdr:cNvPr id="3" name="Picture 2">
          <a:extLst>
            <a:ext uri="{FF2B5EF4-FFF2-40B4-BE49-F238E27FC236}">
              <a16:creationId xmlns:a16="http://schemas.microsoft.com/office/drawing/2014/main" id="{DE4DDDED-AFCD-1B48-DAD4-23963F51807B}"/>
            </a:ext>
          </a:extLst>
        </xdr:cNvPr>
        <xdr:cNvPicPr>
          <a:picLocks noChangeAspect="1"/>
        </xdr:cNvPicPr>
      </xdr:nvPicPr>
      <xdr:blipFill>
        <a:blip xmlns:r="http://schemas.openxmlformats.org/officeDocument/2006/relationships" r:embed="rId7"/>
        <a:stretch>
          <a:fillRect/>
        </a:stretch>
      </xdr:blipFill>
      <xdr:spPr>
        <a:xfrm>
          <a:off x="9648825" y="10391775"/>
          <a:ext cx="6039693" cy="2381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12</xdr:row>
      <xdr:rowOff>0</xdr:rowOff>
    </xdr:from>
    <xdr:to>
      <xdr:col>2</xdr:col>
      <xdr:colOff>504825</xdr:colOff>
      <xdr:row>13</xdr:row>
      <xdr:rowOff>71718</xdr:rowOff>
    </xdr:to>
    <xdr:sp macro="" textlink="">
      <xdr:nvSpPr>
        <xdr:cNvPr id="2" name="TextBox 1">
          <a:extLst>
            <a:ext uri="{FF2B5EF4-FFF2-40B4-BE49-F238E27FC236}">
              <a16:creationId xmlns:a16="http://schemas.microsoft.com/office/drawing/2014/main" id="{2A7864D1-E463-46DD-A803-FA39E7BA0C35}"/>
            </a:ext>
          </a:extLst>
        </xdr:cNvPr>
        <xdr:cNvSpPr txBox="1"/>
      </xdr:nvSpPr>
      <xdr:spPr>
        <a:xfrm>
          <a:off x="2828925" y="4105275"/>
          <a:ext cx="504825" cy="233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B2/3</a:t>
          </a:r>
        </a:p>
      </xdr:txBody>
    </xdr:sp>
    <xdr:clientData/>
  </xdr:twoCellAnchor>
  <xdr:twoCellAnchor>
    <xdr:from>
      <xdr:col>2</xdr:col>
      <xdr:colOff>89647</xdr:colOff>
      <xdr:row>12</xdr:row>
      <xdr:rowOff>44823</xdr:rowOff>
    </xdr:from>
    <xdr:to>
      <xdr:col>2</xdr:col>
      <xdr:colOff>268942</xdr:colOff>
      <xdr:row>14</xdr:row>
      <xdr:rowOff>78441</xdr:rowOff>
    </xdr:to>
    <xdr:grpSp>
      <xdr:nvGrpSpPr>
        <xdr:cNvPr id="3" name="Group 2">
          <a:extLst>
            <a:ext uri="{FF2B5EF4-FFF2-40B4-BE49-F238E27FC236}">
              <a16:creationId xmlns:a16="http://schemas.microsoft.com/office/drawing/2014/main" id="{155FC882-37F8-409F-90D6-BAADE8529199}"/>
            </a:ext>
          </a:extLst>
        </xdr:cNvPr>
        <xdr:cNvGrpSpPr/>
      </xdr:nvGrpSpPr>
      <xdr:grpSpPr>
        <a:xfrm>
          <a:off x="2918572" y="2083173"/>
          <a:ext cx="179295" cy="357468"/>
          <a:chOff x="7896225" y="6953250"/>
          <a:chExt cx="161925" cy="514350"/>
        </a:xfrm>
      </xdr:grpSpPr>
      <xdr:cxnSp macro="">
        <xdr:nvCxnSpPr>
          <xdr:cNvPr id="4" name="Straight Connector 3">
            <a:extLst>
              <a:ext uri="{FF2B5EF4-FFF2-40B4-BE49-F238E27FC236}">
                <a16:creationId xmlns:a16="http://schemas.microsoft.com/office/drawing/2014/main" id="{62FDB98F-B37C-4DB3-BA14-8D17987A54FF}"/>
              </a:ext>
            </a:extLst>
          </xdr:cNvPr>
          <xdr:cNvCxnSpPr/>
        </xdr:nvCxnSpPr>
        <xdr:spPr>
          <a:xfrm>
            <a:off x="7981950" y="6953250"/>
            <a:ext cx="0" cy="514350"/>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5" name="Straight Connector 4">
            <a:extLst>
              <a:ext uri="{FF2B5EF4-FFF2-40B4-BE49-F238E27FC236}">
                <a16:creationId xmlns:a16="http://schemas.microsoft.com/office/drawing/2014/main" id="{47670DA8-F666-4247-ACFD-05246E3F9673}"/>
              </a:ext>
            </a:extLst>
          </xdr:cNvPr>
          <xdr:cNvCxnSpPr/>
        </xdr:nvCxnSpPr>
        <xdr:spPr>
          <a:xfrm>
            <a:off x="7896225" y="7467600"/>
            <a:ext cx="161925" cy="0"/>
          </a:xfrm>
          <a:prstGeom prst="line">
            <a:avLst/>
          </a:prstGeom>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uthanne.Decker\Desktop\__CCDF%20STATISTICS\COPY_various%20alloc%20files\copy____2019%20CCDF%20Alloc%20Sheet%20from%20Jyothi%2007-03-2019%20JUST%20FOR%20STATE%20DISC%20FUND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uthanne.Decker\Desktop\__CCDF%20STATISTICS\2019%20CCDF%20Allocs_Stats%20Corrections\_______GY2018%20CCDF%20--%20RAD%20recalc%20using%20correct%20PCI%20data%20source%20(March24_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uthanne.Decker\Desktop\Statistics\OGM%20Statamatic%20Workbook_2019%20pop%20under%2013%20(for%20GY2021%20CCDF%20awar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F"/>
      <sheetName val="States"/>
      <sheetName val="Territories"/>
      <sheetName val="Tribes"/>
      <sheetName val="States_Reallotment"/>
      <sheetName val="Reprog_PY1"/>
      <sheetName val="IO_Vars"/>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F"/>
      <sheetName val="States"/>
      <sheetName val="Territories"/>
      <sheetName val="Tribes"/>
      <sheetName val="States_Reallotment"/>
      <sheetName val="Reprog_PY1"/>
      <sheetName val="IO_Vars"/>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Census Population in Age Range"/>
      <sheetName val="Census Total Population"/>
      <sheetName val="Raw Data - Census Populations"/>
      <sheetName val="Lookup - Statistic Types"/>
      <sheetName val="Census Dataset List"/>
      <sheetName val="PEP Date Codes"/>
      <sheetName val="Lookup - States"/>
      <sheetName val="Parameters"/>
      <sheetName val="System"/>
      <sheetName val="OGM Statamatic Workbook_2019 po"/>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Aguilar,Martha" id="{5DD3B3F0-FB70-48AF-B251-982D69CAB725}" userId="S::martha.aguilar@twc.texas.gov::7c2c9969-8a61-455b-b756-d07937a91c8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ilar,Martha" refreshedDate="45307.61129212963" createdVersion="7" refreshedVersion="8" minRefreshableVersion="3" recordCount="571" xr:uid="{238011BB-9DC2-40F1-A2A1-83BA896B21B6}">
  <cacheSource type="worksheet">
    <worksheetSource ref="A21:M600" sheet="2021 Certs Recd "/>
  </cacheSource>
  <cacheFields count="13">
    <cacheField name="FEE_CD" numFmtId="0">
      <sharedItems containsBlank="1" count="4">
        <s v="CERTD"/>
        <s v="CERTQ"/>
        <s v=""/>
        <m/>
      </sharedItems>
    </cacheField>
    <cacheField name="CUST_ID" numFmtId="0">
      <sharedItems containsBlank="1"/>
    </cacheField>
    <cacheField name="NAME1" numFmtId="0">
      <sharedItems containsBlank="1"/>
    </cacheField>
    <cacheField name="CONTRACT_NUM" numFmtId="0">
      <sharedItems containsBlank="1"/>
    </cacheField>
    <cacheField name="PO_REF" numFmtId="0">
      <sharedItems containsBlank="1"/>
    </cacheField>
    <cacheField name="ITEM" numFmtId="0">
      <sharedItems containsBlank="1"/>
    </cacheField>
    <cacheField name="ITEM_LINE" numFmtId="0">
      <sharedItems containsBlank="1"/>
    </cacheField>
    <cacheField name="DOCUMENT" numFmtId="0">
      <sharedItems containsBlank="1"/>
    </cacheField>
    <cacheField name="BANK_ACCT_KEY" numFmtId="0">
      <sharedItems containsBlank="1"/>
    </cacheField>
    <cacheField name="SumOfPAYMENT_AMT" numFmtId="0">
      <sharedItems containsBlank="1" containsMixedTypes="1" containsNumber="1" minValue="-1700000" maxValue="-46.5"/>
    </cacheField>
    <cacheField name="ENTRY_DT" numFmtId="0">
      <sharedItems containsDate="1" containsBlank="1" containsMixedTypes="1" minDate="2021-01-26T00:00:00" maxDate="2022-03-17T00:00:00"/>
    </cacheField>
    <cacheField name="ACCOUNTING_DT" numFmtId="0">
      <sharedItems containsDate="1" containsBlank="1" containsMixedTypes="1" minDate="2021-01-26T00:00:00" maxDate="2022-03-17T00:00:00"/>
    </cacheField>
    <cacheField name="POST_DT" numFmtId="0">
      <sharedItems containsDate="1" containsBlank="1" containsMixedTypes="1" minDate="2021-01-26T00:00:00" maxDate="2022-03-19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ilar,Martha" refreshedDate="45307.61129270833" createdVersion="7" refreshedVersion="8" minRefreshableVersion="3" recordCount="571" xr:uid="{35F0AA7F-230C-4320-B4BE-2D21E295FE64}">
  <cacheSource type="worksheet">
    <worksheetSource ref="A21:N600" sheet="2021 Certs Recd "/>
  </cacheSource>
  <cacheFields count="14">
    <cacheField name="FEE_CD" numFmtId="0">
      <sharedItems containsBlank="1" count="4">
        <s v="CERTD"/>
        <s v="CERTQ"/>
        <s v=""/>
        <m/>
      </sharedItems>
    </cacheField>
    <cacheField name="CUST_ID" numFmtId="0">
      <sharedItems containsBlank="1"/>
    </cacheField>
    <cacheField name="NAME1" numFmtId="0">
      <sharedItems containsBlank="1"/>
    </cacheField>
    <cacheField name="CONTRACT_NUM" numFmtId="0">
      <sharedItems containsBlank="1" count="30">
        <s v="1921CCM001"/>
        <s v="1021CCM001"/>
        <s v="2821CCM001"/>
        <s v="1321CCM001"/>
        <s v="2221CCM001"/>
        <s v="1521CCM001"/>
        <s v="1821CCM001"/>
        <s v="2321CCM001"/>
        <s v="2421CCM001"/>
        <s v="1621CCM001"/>
        <s v="2021CCM001"/>
        <s v="2721CCM001"/>
        <s v="2521CCM001"/>
        <s v="1221CCM001"/>
        <s v="0621CCM001"/>
        <s v="0321CCM001"/>
        <s v="1121CCM001"/>
        <s v="0421CCM001"/>
        <s v="0821CCM001"/>
        <s v="0221CCM001"/>
        <s v="0721CCM001"/>
        <s v="1721CCM001"/>
        <s v="0121CCM001"/>
        <s v="0921CCM001"/>
        <s v="2621CCM001"/>
        <s v="1421CCM001"/>
        <s v="2121CCM001"/>
        <s v="0521CCM001"/>
        <s v=""/>
        <m/>
      </sharedItems>
    </cacheField>
    <cacheField name="PO_REF" numFmtId="0">
      <sharedItems containsBlank="1"/>
    </cacheField>
    <cacheField name="ITEM" numFmtId="0">
      <sharedItems containsBlank="1"/>
    </cacheField>
    <cacheField name="ITEM_LINE" numFmtId="0">
      <sharedItems containsBlank="1"/>
    </cacheField>
    <cacheField name="DOCUMENT" numFmtId="0">
      <sharedItems containsBlank="1"/>
    </cacheField>
    <cacheField name="BANK_ACCT_KEY" numFmtId="0">
      <sharedItems containsBlank="1"/>
    </cacheField>
    <cacheField name="SumOfPAYMENT_AMT" numFmtId="0">
      <sharedItems containsBlank="1" containsMixedTypes="1" containsNumber="1" minValue="-1700000" maxValue="-46.5"/>
    </cacheField>
    <cacheField name="ENTRY_DT" numFmtId="0">
      <sharedItems containsDate="1" containsBlank="1" containsMixedTypes="1" minDate="2021-01-26T00:00:00" maxDate="2022-03-17T00:00:00"/>
    </cacheField>
    <cacheField name="ACCOUNTING_DT" numFmtId="0">
      <sharedItems containsDate="1" containsBlank="1" containsMixedTypes="1" minDate="2021-01-26T00:00:00" maxDate="2022-03-17T00:00:00"/>
    </cacheField>
    <cacheField name="POST_DT" numFmtId="0">
      <sharedItems containsDate="1" containsBlank="1" containsMixedTypes="1" minDate="2021-01-26T00:00:00" maxDate="2022-03-19T00:00:00"/>
    </cacheField>
    <cacheField name="ENTRY_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1">
  <r>
    <x v="0"/>
    <s v="376576576"/>
    <s v="UNIVERSITY OF HOUSTON-VICTORIA"/>
    <s v="1921CCM001"/>
    <s v=" "/>
    <s v="08200C16_F21"/>
    <s v="1"/>
    <s v=" "/>
    <s v="CERT"/>
    <n v="-276421"/>
    <d v="2022-02-11T00:00:00"/>
    <d v="2022-02-11T00:00:00"/>
    <d v="2022-02-28T00:00:00"/>
  </r>
  <r>
    <x v="0"/>
    <s v="1030607018"/>
    <s v="US Dept of the Army, CYS"/>
    <s v="1021CCM001"/>
    <s v=" "/>
    <s v="1021CCMC02_F21"/>
    <s v="1"/>
    <s v=" "/>
    <s v="CERT"/>
    <n v="-100000"/>
    <d v="2021-10-27T00:00:00"/>
    <d v="2021-10-27T00:00:00"/>
    <d v="2021-10-29T00:00:00"/>
  </r>
  <r>
    <x v="0"/>
    <s v="1030607018"/>
    <s v="US Dept of the Army, CYS"/>
    <s v="1021CCM001"/>
    <s v=" "/>
    <s v="1021CCMC02_F21"/>
    <s v="2"/>
    <s v=" "/>
    <s v="CERT"/>
    <n v="-100000"/>
    <d v="2021-10-27T00:00:00"/>
    <d v="2021-10-27T00:00:00"/>
    <d v="2021-10-29T00:00:00"/>
  </r>
  <r>
    <x v="0"/>
    <s v="1030607018"/>
    <s v="US Dept of the Army, CYS"/>
    <s v="1021CCM001"/>
    <s v=" "/>
    <s v="1021CCMC02_F21"/>
    <s v="3"/>
    <s v=" "/>
    <s v="CERT"/>
    <n v="-100000"/>
    <d v="2021-10-27T00:00:00"/>
    <d v="2021-10-27T00:00:00"/>
    <d v="2021-10-29T00:00:00"/>
  </r>
  <r>
    <x v="0"/>
    <s v="1741167964"/>
    <s v="UNITED WAY OF TEXAS GULF"/>
    <s v="2821CCM001"/>
    <s v=" "/>
    <s v="2821CCMD08_F21"/>
    <s v="1"/>
    <s v=" "/>
    <s v="CERT"/>
    <n v="-100000"/>
    <d v="2021-07-30T00:00:00"/>
    <d v="2021-07-30T00:00:00"/>
    <d v="2021-07-30T00:00:00"/>
  </r>
  <r>
    <x v="0"/>
    <s v="1741541260"/>
    <s v="MCLENNAN COMMUNITY COLLEGE"/>
    <s v="1321CCM001"/>
    <s v=" "/>
    <s v="1321CCMC14_F21"/>
    <s v="0"/>
    <s v=" "/>
    <s v="CERT"/>
    <n v="-50000"/>
    <d v="2022-01-20T00:00:00"/>
    <d v="2022-01-20T00:00:00"/>
    <d v="2022-01-20T00:00:00"/>
  </r>
  <r>
    <x v="0"/>
    <s v="1741542306"/>
    <s v="COASTAL BEND"/>
    <s v="2221CCM001"/>
    <s v=" "/>
    <s v="11192C04_F21"/>
    <s v="1"/>
    <s v=" "/>
    <s v="CERT"/>
    <n v="-70000"/>
    <d v="2021-04-30T00:00:00"/>
    <d v="2021-04-30T00:00:00"/>
    <d v="2021-04-30T00:00:00"/>
  </r>
  <r>
    <x v="0"/>
    <s v="1741542306"/>
    <s v="COASTAL BEND"/>
    <s v="2221CCM001"/>
    <s v=" "/>
    <s v="11192C04_F21"/>
    <s v="2"/>
    <s v=" "/>
    <s v="CERT"/>
    <n v="-70000"/>
    <d v="2022-02-16T00:00:00"/>
    <d v="2022-02-16T00:00:00"/>
    <d v="2022-02-28T00:00:00"/>
  </r>
  <r>
    <x v="0"/>
    <s v="1741587518"/>
    <s v="HAYS ISD"/>
    <s v="1521CCM001"/>
    <s v=" "/>
    <s v="1521CCMC12_F21"/>
    <s v="1"/>
    <s v=" "/>
    <s v="CERT"/>
    <n v="-162559"/>
    <d v="2022-01-20T00:00:00"/>
    <d v="2022-01-20T00:00:00"/>
    <d v="2022-01-20T00:00:00"/>
  </r>
  <r>
    <x v="0"/>
    <s v="1741675043"/>
    <s v="SOUTH EAST TEXAS REGIONAL PLANNING COMM"/>
    <s v="1821CCM001"/>
    <s v=" "/>
    <s v="1821CCM002_F21"/>
    <s v="1"/>
    <s v=" "/>
    <s v="CERT"/>
    <n v="-122078"/>
    <d v="2021-06-02T00:00:00"/>
    <d v="2021-06-02T00:00:00"/>
    <d v="2021-06-02T00:00:00"/>
  </r>
  <r>
    <x v="0"/>
    <s v="1741675043"/>
    <s v="SOUTH EAST TEXAS REGIONAL PLANNING COMM"/>
    <s v="1821CCM001"/>
    <s v=" "/>
    <s v="1821CCM002_F21"/>
    <s v="1"/>
    <s v=" "/>
    <s v="CERT"/>
    <n v="-18922"/>
    <d v="2022-01-20T00:00:00"/>
    <d v="2022-01-20T00:00:00"/>
    <d v="2022-01-20T00:00:00"/>
  </r>
  <r>
    <x v="0"/>
    <s v="1741675043"/>
    <s v="SOUTH EAST TEXAS REGIONAL PLANNING COMM"/>
    <s v="1821CCM001"/>
    <s v=" "/>
    <s v="1821CCM002_F21"/>
    <s v="2"/>
    <s v=" "/>
    <s v="CERT"/>
    <n v="-142990"/>
    <d v="2022-01-20T00:00:00"/>
    <d v="2022-01-20T00:00:00"/>
    <d v="2022-01-20T00:00:00"/>
  </r>
  <r>
    <x v="0"/>
    <s v="1741760663"/>
    <s v="TEXAS A&amp;M UNIVERSITY-CORPUS CHRISTI"/>
    <s v="2221CCM001"/>
    <s v=" "/>
    <s v="11192C08_F21"/>
    <s v="1"/>
    <s v=" "/>
    <s v="CERT"/>
    <n v="-17500"/>
    <d v="2021-04-30T00:00:00"/>
    <d v="2021-04-30T00:00:00"/>
    <d v="2021-04-30T00:00:00"/>
  </r>
  <r>
    <x v="0"/>
    <s v="1741760663"/>
    <s v="TEXAS A&amp;M UNIVERSITY-CORPUS CHRISTI"/>
    <s v="2221CCM001"/>
    <s v=" "/>
    <s v="11192C08_F21"/>
    <s v="2"/>
    <s v=" "/>
    <s v="CERT"/>
    <n v="-17500"/>
    <d v="2021-10-27T00:00:00"/>
    <d v="2021-10-27T00:00:00"/>
    <d v="2021-10-29T00:00:00"/>
  </r>
  <r>
    <x v="0"/>
    <s v="1742683499"/>
    <s v="SOUTH TEXAS COMM COLLEGE"/>
    <s v="2321CCM001"/>
    <s v=" "/>
    <s v="11180C02_F21"/>
    <s v="1"/>
    <s v=" "/>
    <s v="CERT"/>
    <n v="-85000"/>
    <d v="2021-04-02T00:00:00"/>
    <d v="2021-04-02T00:00:00"/>
    <d v="2021-04-12T00:00:00"/>
  </r>
  <r>
    <x v="0"/>
    <s v="1742683499"/>
    <s v="SOUTH TEXAS COMM COLLEGE"/>
    <s v="2321CCM001"/>
    <s v=" "/>
    <s v="11180C02_F21"/>
    <s v="2"/>
    <s v=" "/>
    <s v="CERT"/>
    <n v="-9991.09"/>
    <d v="2021-04-02T00:00:00"/>
    <d v="2021-04-02T00:00:00"/>
    <d v="2021-04-12T00:00:00"/>
  </r>
  <r>
    <x v="0"/>
    <s v="1742683499"/>
    <s v="SOUTH TEXAS COMM COLLEGE"/>
    <s v="2321CCM001"/>
    <s v=" "/>
    <s v="11180C02_F21"/>
    <s v="2"/>
    <s v=" "/>
    <s v="CERT"/>
    <n v="-75008.91"/>
    <d v="2021-04-13T00:00:00"/>
    <d v="2021-04-13T00:00:00"/>
    <d v="2021-04-28T00:00:00"/>
  </r>
  <r>
    <x v="0"/>
    <s v="1742683499"/>
    <s v="SOUTH TEXAS COMM COLLEGE"/>
    <s v="2321CCM001"/>
    <s v=" "/>
    <s v="11180C02_F21"/>
    <s v="3"/>
    <s v=" "/>
    <s v="CERT"/>
    <n v="-31310.76"/>
    <d v="2021-04-13T00:00:00"/>
    <d v="2021-04-13T00:00:00"/>
    <d v="2021-04-28T00:00:00"/>
  </r>
  <r>
    <x v="0"/>
    <s v="1742683499"/>
    <s v="SOUTH TEXAS COMM COLLEGE"/>
    <s v="2321CCM001"/>
    <s v=" "/>
    <s v="11180C02_F21"/>
    <s v="3"/>
    <s v=" "/>
    <s v="CERT"/>
    <n v="-33689.24"/>
    <d v="2021-07-16T00:00:00"/>
    <d v="2021-07-16T00:00:00"/>
    <d v="2021-07-30T00:00:00"/>
  </r>
  <r>
    <x v="0"/>
    <s v="1742683499"/>
    <s v="SOUTH TEXAS COMM COLLEGE"/>
    <s v="2321CCM001"/>
    <s v=" "/>
    <s v="11180C02_F21"/>
    <s v="4"/>
    <s v=" "/>
    <s v="CERT"/>
    <n v="-35000"/>
    <d v="2021-07-16T00:00:00"/>
    <d v="2021-07-16T00:00:00"/>
    <d v="2021-07-30T00:00:00"/>
  </r>
  <r>
    <x v="0"/>
    <s v="1742683499"/>
    <s v="SOUTH TEXAS COMM COLLEGE"/>
    <s v="2321CCM001"/>
    <s v=" "/>
    <s v="11180C02_F21"/>
    <s v="5"/>
    <s v=" "/>
    <s v="CERT"/>
    <n v="-143163.44"/>
    <d v="2022-02-17T00:00:00"/>
    <d v="2022-02-17T00:00:00"/>
    <d v="2022-02-28T00:00:00"/>
  </r>
  <r>
    <x v="0"/>
    <s v="1746000027"/>
    <s v="SUL ROSS STATE UNIVERSITY"/>
    <s v="1021CCM001"/>
    <s v=" "/>
    <s v="1021CCMC03_F21"/>
    <s v="3"/>
    <s v=" "/>
    <s v="CERT"/>
    <n v="-8043.05"/>
    <d v="2021-07-06T00:00:00"/>
    <d v="2021-07-06T00:00:00"/>
    <d v="2021-07-09T00:00:00"/>
  </r>
  <r>
    <x v="0"/>
    <s v="1746000230"/>
    <s v="BASTROP ISD"/>
    <s v="1521CCM001"/>
    <s v=" "/>
    <s v="1521CCMC11_F21"/>
    <s v="1"/>
    <s v=" "/>
    <s v="CERT"/>
    <n v="-154000"/>
    <d v="2022-01-20T00:00:00"/>
    <d v="2022-01-20T00:00:00"/>
    <d v="2022-01-20T00:00:00"/>
  </r>
  <r>
    <x v="0"/>
    <s v="1746000340"/>
    <s v="LA VEGA ISD"/>
    <s v="1321CCM001"/>
    <s v=" "/>
    <s v="1321CCMC16_F21"/>
    <s v="1"/>
    <s v=" "/>
    <s v="CERT"/>
    <n v="-20000"/>
    <d v="2022-03-03T00:00:00"/>
    <d v="2022-03-03T00:00:00"/>
    <d v="2022-03-18T00:00:00"/>
  </r>
  <r>
    <x v="0"/>
    <s v="1746000422"/>
    <s v="CITY OF BROWNSVILLE"/>
    <s v="2421CCM001"/>
    <s v=" "/>
    <s v="11300C05_F21"/>
    <s v="1"/>
    <s v=" "/>
    <s v="CERT"/>
    <n v="-42265.36"/>
    <d v="2021-04-12T00:00:00"/>
    <d v="2021-04-12T00:00:00"/>
    <d v="2021-04-12T00:00:00"/>
  </r>
  <r>
    <x v="0"/>
    <s v="1746000422"/>
    <s v="CITY OF BROWNSVILLE"/>
    <s v="2421CCM001"/>
    <s v=" "/>
    <s v="11300C05_F21"/>
    <s v="1"/>
    <s v=" "/>
    <s v="CERT"/>
    <n v="-46007.31"/>
    <d v="2021-07-28T00:00:00"/>
    <d v="2021-07-28T00:00:00"/>
    <d v="2021-07-30T00:00:00"/>
  </r>
  <r>
    <x v="0"/>
    <s v="1746000422"/>
    <s v="CITY OF BROWNSVILLE"/>
    <s v="2421CCM001"/>
    <s v=" "/>
    <s v="11300C05_F21"/>
    <s v="1"/>
    <s v=" "/>
    <s v="CERT"/>
    <n v="-161727.32999999999"/>
    <d v="2021-10-08T00:00:00"/>
    <d v="2021-10-08T00:00:00"/>
    <d v="2021-10-25T00:00:00"/>
  </r>
  <r>
    <x v="0"/>
    <s v="1746000422"/>
    <s v="CITY OF BROWNSVILLE"/>
    <s v="2421CCM001"/>
    <s v=" "/>
    <s v="11300C05_F21"/>
    <s v="2"/>
    <s v=" "/>
    <s v="CERT"/>
    <n v="-250000"/>
    <d v="2021-10-08T00:00:00"/>
    <d v="2021-10-08T00:00:00"/>
    <d v="2021-10-25T00:00:00"/>
  </r>
  <r>
    <x v="0"/>
    <s v="1746000528"/>
    <s v="COLLEGE STATION ISD"/>
    <s v="1621CCM001"/>
    <s v=" "/>
    <s v="07120C03_F21"/>
    <s v="1"/>
    <s v=" "/>
    <s v="CERT"/>
    <n v="-465548"/>
    <d v="2022-02-24T00:00:00"/>
    <d v="2022-02-24T00:00:00"/>
    <d v="2022-02-28T00:00:00"/>
  </r>
  <r>
    <x v="0"/>
    <s v="1746000574"/>
    <s v="CITY OF CORPUS CHRISTI"/>
    <s v="2221CCM001"/>
    <s v=" "/>
    <s v="11192C05_F21"/>
    <s v="1"/>
    <s v=" "/>
    <s v="CERT"/>
    <n v="-200141.5"/>
    <d v="2021-04-30T00:00:00"/>
    <d v="2021-04-30T00:00:00"/>
    <d v="2021-04-30T00:00:00"/>
  </r>
  <r>
    <x v="0"/>
    <s v="1746000574"/>
    <s v="CITY OF CORPUS CHRISTI"/>
    <s v="2221CCM001"/>
    <s v=" "/>
    <s v="11192C05_F21"/>
    <s v="2"/>
    <s v=" "/>
    <s v="CERT"/>
    <n v="-200141.5"/>
    <d v="2022-02-16T00:00:00"/>
    <d v="2022-02-16T00:00:00"/>
    <d v="2022-02-28T00:00:00"/>
  </r>
  <r>
    <x v="0"/>
    <s v="1746000691"/>
    <s v="DONNA ISD"/>
    <s v="2321CCM001"/>
    <s v=" "/>
    <s v="11180C08_F21"/>
    <s v="1"/>
    <s v=" "/>
    <s v="CERT"/>
    <n v="-48000"/>
    <d v="2021-07-27T00:00:00"/>
    <d v="2021-07-27T00:00:00"/>
    <d v="2021-07-30T00:00:00"/>
  </r>
  <r>
    <x v="0"/>
    <s v="1746000691"/>
    <s v="DONNA ISD"/>
    <s v="2321CCM001"/>
    <s v=" "/>
    <s v="11180C08_F21"/>
    <s v="2"/>
    <s v=" "/>
    <s v="CERT"/>
    <n v="-35347.71"/>
    <d v="2021-07-27T00:00:00"/>
    <d v="2021-07-27T00:00:00"/>
    <d v="2021-07-30T00:00:00"/>
  </r>
  <r>
    <x v="0"/>
    <s v="1746000691"/>
    <s v="DONNA ISD"/>
    <s v="2321CCM001"/>
    <s v=" "/>
    <s v="11180C08_F21"/>
    <s v="2"/>
    <s v=" "/>
    <s v="CERT"/>
    <n v="-12652.29"/>
    <d v="2021-10-08T00:00:00"/>
    <d v="2021-10-08T00:00:00"/>
    <d v="2021-10-25T00:00:00"/>
  </r>
  <r>
    <x v="0"/>
    <s v="1746000691"/>
    <s v="DONNA ISD"/>
    <s v="2321CCM001"/>
    <s v=" "/>
    <s v="11180C08_F21"/>
    <s v="3"/>
    <s v=" "/>
    <s v="CERT"/>
    <n v="-24710.74"/>
    <d v="2021-10-08T00:00:00"/>
    <d v="2021-10-08T00:00:00"/>
    <d v="2021-10-25T00:00:00"/>
  </r>
  <r>
    <x v="0"/>
    <s v="1746000710"/>
    <s v="EDCOUCH-ELSA ISD"/>
    <s v="2321CCM001"/>
    <s v=" "/>
    <s v="11180C07_F21"/>
    <s v="1"/>
    <s v=" "/>
    <s v="CERT"/>
    <n v="-15000"/>
    <d v="2021-04-02T00:00:00"/>
    <d v="2021-04-02T00:00:00"/>
    <d v="2021-04-12T00:00:00"/>
  </r>
  <r>
    <x v="0"/>
    <s v="1746000710"/>
    <s v="EDCOUCH-ELSA ISD"/>
    <s v="2321CCM001"/>
    <s v=" "/>
    <s v="11180C07_F21"/>
    <s v="2"/>
    <s v=" "/>
    <s v="CERT"/>
    <n v="-15000"/>
    <d v="2021-04-02T00:00:00"/>
    <d v="2021-04-02T00:00:00"/>
    <d v="2021-04-12T00:00:00"/>
  </r>
  <r>
    <x v="0"/>
    <s v="1746000710"/>
    <s v="EDCOUCH-ELSA ISD"/>
    <s v="2321CCM001"/>
    <s v=" "/>
    <s v="11180C07_F21"/>
    <s v="3"/>
    <s v=" "/>
    <s v="CERT"/>
    <n v="-7500"/>
    <d v="2021-04-02T00:00:00"/>
    <d v="2021-04-02T00:00:00"/>
    <d v="2021-04-12T00:00:00"/>
  </r>
  <r>
    <x v="0"/>
    <s v="1746000710"/>
    <s v="EDCOUCH-ELSA ISD"/>
    <s v="2321CCM001"/>
    <s v=" "/>
    <s v="11180C07_F21"/>
    <s v="4"/>
    <s v=" "/>
    <s v="CERT"/>
    <n v="-1605.25"/>
    <d v="2021-04-02T00:00:00"/>
    <d v="2021-04-02T00:00:00"/>
    <d v="2021-04-12T00:00:00"/>
  </r>
  <r>
    <x v="0"/>
    <s v="1746000710"/>
    <s v="EDCOUCH-ELSA ISD"/>
    <s v="2321CCM001"/>
    <s v=" "/>
    <s v="11180C07_F21"/>
    <s v="4"/>
    <s v=" "/>
    <s v="CERT"/>
    <n v="-5894.75"/>
    <d v="2021-04-30T00:00:00"/>
    <d v="2021-04-30T00:00:00"/>
    <d v="2021-04-30T00:00:00"/>
  </r>
  <r>
    <x v="0"/>
    <s v="1746000710"/>
    <s v="EDCOUCH-ELSA ISD"/>
    <s v="2321CCM001"/>
    <s v=" "/>
    <s v="11180C07_F21"/>
    <s v="5"/>
    <s v=" "/>
    <s v="CERT"/>
    <n v="-98939.23"/>
    <d v="2022-02-17T00:00:00"/>
    <d v="2022-02-17T00:00:00"/>
    <d v="2022-02-28T00:00:00"/>
  </r>
  <r>
    <x v="0"/>
    <s v="1746000715"/>
    <s v="EDINBURG CISD"/>
    <s v="2321CCM001"/>
    <s v=" "/>
    <s v="11180C06_F21"/>
    <s v="1"/>
    <s v=" "/>
    <s v="CERT"/>
    <n v="-52500"/>
    <d v="2021-04-02T00:00:00"/>
    <d v="2021-04-02T00:00:00"/>
    <d v="2021-04-12T00:00:00"/>
  </r>
  <r>
    <x v="0"/>
    <s v="1746000715"/>
    <s v="EDINBURG CISD"/>
    <s v="2321CCM001"/>
    <s v=" "/>
    <s v="11180C06_F21"/>
    <s v="2"/>
    <s v=" "/>
    <s v="CERT"/>
    <n v="-519.66"/>
    <d v="2021-04-02T00:00:00"/>
    <d v="2021-04-02T00:00:00"/>
    <d v="2021-04-12T00:00:00"/>
  </r>
  <r>
    <x v="0"/>
    <s v="1746000715"/>
    <s v="EDINBURG CISD"/>
    <s v="2321CCM001"/>
    <s v=" "/>
    <s v="11180C06_F21"/>
    <s v="2"/>
    <s v=" "/>
    <s v="CERT"/>
    <n v="-51980.34"/>
    <d v="2021-04-30T00:00:00"/>
    <d v="2021-04-30T00:00:00"/>
    <d v="2021-04-30T00:00:00"/>
  </r>
  <r>
    <x v="0"/>
    <s v="1746000715"/>
    <s v="EDINBURG CISD"/>
    <s v="2321CCM001"/>
    <s v=" "/>
    <s v="11180C06_F21"/>
    <s v="3"/>
    <s v=" "/>
    <s v="CERT"/>
    <n v="-5153.0600000000004"/>
    <d v="2021-04-30T00:00:00"/>
    <d v="2021-04-30T00:00:00"/>
    <d v="2021-04-30T00:00:00"/>
  </r>
  <r>
    <x v="0"/>
    <s v="1746000715"/>
    <s v="EDINBURG CISD"/>
    <s v="2321CCM001"/>
    <s v=" "/>
    <s v="11180C06_F21"/>
    <s v="3"/>
    <s v=" "/>
    <s v="CERT"/>
    <n v="-29846.94"/>
    <d v="2021-07-27T00:00:00"/>
    <d v="2021-07-27T00:00:00"/>
    <d v="2021-07-30T00:00:00"/>
  </r>
  <r>
    <x v="0"/>
    <s v="1746000715"/>
    <s v="EDINBURG CISD"/>
    <s v="2321CCM001"/>
    <s v=" "/>
    <s v="11180C06_F21"/>
    <s v="4"/>
    <s v=" "/>
    <s v="CERT"/>
    <n v="-25000"/>
    <d v="2021-07-27T00:00:00"/>
    <d v="2021-07-27T00:00:00"/>
    <d v="2021-07-30T00:00:00"/>
  </r>
  <r>
    <x v="0"/>
    <s v="1746000715"/>
    <s v="EDINBURG CISD"/>
    <s v="2321CCM001"/>
    <s v=" "/>
    <s v="11180C06_F21"/>
    <s v="5"/>
    <s v=" "/>
    <s v="CERT"/>
    <n v="-58404.26"/>
    <d v="2022-02-17T00:00:00"/>
    <d v="2022-02-17T00:00:00"/>
    <d v="2022-02-28T00:00:00"/>
  </r>
  <r>
    <x v="0"/>
    <s v="1746000975"/>
    <s v="GEORGETOWN ISD"/>
    <s v="1521CCM001"/>
    <s v=" "/>
    <s v="1521CCMC15_F21"/>
    <s v="2"/>
    <s v=" "/>
    <s v="CERT"/>
    <n v="-6040"/>
    <d v="2022-02-16T00:00:00"/>
    <d v="2022-02-16T00:00:00"/>
    <d v="2022-02-28T00:00:00"/>
  </r>
  <r>
    <x v="0"/>
    <s v="1746001082"/>
    <s v="MIDWAY ISD"/>
    <s v="1321CCM001"/>
    <s v=" "/>
    <s v="1321CCMC19_F21"/>
    <s v="1"/>
    <s v=" "/>
    <s v="CERT"/>
    <n v="-20000"/>
    <d v="2022-01-20T00:00:00"/>
    <d v="2022-01-20T00:00:00"/>
    <d v="2022-01-20T00:00:00"/>
  </r>
  <r>
    <x v="0"/>
    <s v="1746001530"/>
    <s v="TEXAS A&amp;M UNIVERSITY-KINGSVILLE"/>
    <s v="2221CCM001"/>
    <s v=" "/>
    <s v="11192C07_F21"/>
    <s v="1"/>
    <s v=" "/>
    <s v="CERT"/>
    <n v="-70000"/>
    <d v="2021-04-30T00:00:00"/>
    <d v="2021-04-30T00:00:00"/>
    <d v="2021-04-30T00:00:00"/>
  </r>
  <r>
    <x v="0"/>
    <s v="1746001530"/>
    <s v="TEXAS A&amp;M UNIVERSITY-KINGSVILLE"/>
    <s v="2221CCM001"/>
    <s v=" "/>
    <s v="11192C07_F21"/>
    <s v="2"/>
    <s v=" "/>
    <s v="CERT"/>
    <n v="-70000"/>
    <d v="2022-02-16T00:00:00"/>
    <d v="2022-02-16T00:00:00"/>
    <d v="2022-02-28T00:00:00"/>
  </r>
  <r>
    <x v="0"/>
    <s v="1746001550"/>
    <s v="LA JOYA ISD"/>
    <s v="2321CCM001"/>
    <s v=" "/>
    <s v="11180C15_F21"/>
    <s v="1"/>
    <s v=" "/>
    <s v="CERT"/>
    <n v="-85000"/>
    <d v="2021-04-02T00:00:00"/>
    <d v="2021-04-02T00:00:00"/>
    <d v="2021-04-12T00:00:00"/>
  </r>
  <r>
    <x v="0"/>
    <s v="1746001550"/>
    <s v="LA JOYA ISD"/>
    <s v="2321CCM001"/>
    <s v=" "/>
    <s v="11180C15_F21"/>
    <s v="2"/>
    <s v=" "/>
    <s v="CERT"/>
    <n v="-3102.82"/>
    <d v="2021-04-02T00:00:00"/>
    <d v="2021-04-02T00:00:00"/>
    <d v="2021-04-12T00:00:00"/>
  </r>
  <r>
    <x v="0"/>
    <s v="1746001550"/>
    <s v="LA JOYA ISD"/>
    <s v="2321CCM001"/>
    <s v=" "/>
    <s v="11180C15_F21"/>
    <s v="2"/>
    <s v=" "/>
    <s v="CERT"/>
    <n v="-81897.179999999993"/>
    <d v="2021-04-13T00:00:00"/>
    <d v="2021-04-13T00:00:00"/>
    <d v="2021-04-28T00:00:00"/>
  </r>
  <r>
    <x v="0"/>
    <s v="1746001550"/>
    <s v="LA JOYA ISD"/>
    <s v="2321CCM001"/>
    <s v=" "/>
    <s v="11180C15_F21"/>
    <s v="3"/>
    <s v=" "/>
    <s v="CERT"/>
    <n v="-1662.09"/>
    <d v="2021-04-13T00:00:00"/>
    <d v="2021-04-13T00:00:00"/>
    <d v="2021-04-28T00:00:00"/>
  </r>
  <r>
    <x v="0"/>
    <s v="1746001550"/>
    <s v="LA JOYA ISD"/>
    <s v="2321CCM001"/>
    <s v=" "/>
    <s v="11180C15_F21"/>
    <s v="3"/>
    <s v=" "/>
    <s v="CERT"/>
    <n v="-68337.91"/>
    <d v="2021-07-16T00:00:00"/>
    <d v="2021-07-16T00:00:00"/>
    <d v="2021-07-30T00:00:00"/>
  </r>
  <r>
    <x v="0"/>
    <s v="1746001550"/>
    <s v="LA JOYA ISD"/>
    <s v="2321CCM001"/>
    <s v=" "/>
    <s v="11180C15_F21"/>
    <s v="4"/>
    <s v=" "/>
    <s v="CERT"/>
    <n v="-14930.95"/>
    <d v="2021-07-16T00:00:00"/>
    <d v="2021-07-16T00:00:00"/>
    <d v="2021-07-30T00:00:00"/>
  </r>
  <r>
    <x v="0"/>
    <s v="1746001550"/>
    <s v="LA JOYA ISD"/>
    <s v="2321CCM001"/>
    <s v=" "/>
    <s v="11180C15_F21"/>
    <s v="4"/>
    <s v=" "/>
    <s v="CERT"/>
    <n v="-45069.05"/>
    <d v="2021-10-25T00:00:00"/>
    <d v="2021-10-25T00:00:00"/>
    <d v="2021-10-29T00:00:00"/>
  </r>
  <r>
    <x v="0"/>
    <s v="1746001550"/>
    <s v="LA JOYA ISD"/>
    <s v="2321CCM001"/>
    <s v=" "/>
    <s v="11180C15_F21"/>
    <s v="5"/>
    <s v=" "/>
    <s v="CERT"/>
    <n v="-44695.62"/>
    <d v="2022-02-17T00:00:00"/>
    <d v="2022-02-17T00:00:00"/>
    <d v="2022-02-28T00:00:00"/>
  </r>
  <r>
    <x v="0"/>
    <s v="1746001635"/>
    <s v="LOCKHART ISD"/>
    <s v="1521CCM001"/>
    <s v=" "/>
    <s v="1521CCMC02_F21"/>
    <s v="1"/>
    <s v=" "/>
    <s v="CERT"/>
    <n v="-48805"/>
    <d v="2022-01-20T00:00:00"/>
    <d v="2022-01-20T00:00:00"/>
    <d v="2022-01-20T00:00:00"/>
  </r>
  <r>
    <x v="0"/>
    <s v="1746001648"/>
    <s v="LYFORD ISD"/>
    <s v="2321CCM001"/>
    <s v=" "/>
    <s v="11180C09_F21"/>
    <s v="1"/>
    <s v=" "/>
    <s v="CERT"/>
    <n v="-20000"/>
    <d v="2021-04-02T00:00:00"/>
    <d v="2021-04-02T00:00:00"/>
    <d v="2021-04-12T00:00:00"/>
  </r>
  <r>
    <x v="0"/>
    <s v="1746001648"/>
    <s v="LYFORD ISD"/>
    <s v="2321CCM001"/>
    <s v=" "/>
    <s v="11180C09_F21"/>
    <s v="2"/>
    <s v=" "/>
    <s v="CERT"/>
    <n v="-4186.2700000000004"/>
    <d v="2021-04-02T00:00:00"/>
    <d v="2021-04-02T00:00:00"/>
    <d v="2021-04-12T00:00:00"/>
  </r>
  <r>
    <x v="0"/>
    <s v="1746001648"/>
    <s v="LYFORD ISD"/>
    <s v="2321CCM001"/>
    <s v=" "/>
    <s v="11180C09_F21"/>
    <s v="2"/>
    <s v=" "/>
    <s v="CERT"/>
    <n v="-15813.73"/>
    <d v="2021-04-30T00:00:00"/>
    <d v="2021-04-30T00:00:00"/>
    <d v="2021-04-30T00:00:00"/>
  </r>
  <r>
    <x v="0"/>
    <s v="1746001648"/>
    <s v="LYFORD ISD"/>
    <s v="2321CCM001"/>
    <s v=" "/>
    <s v="11180C09_F21"/>
    <s v="3"/>
    <s v=" "/>
    <s v="CERT"/>
    <n v="-10982.42"/>
    <d v="2021-04-30T00:00:00"/>
    <d v="2021-04-30T00:00:00"/>
    <d v="2021-04-30T00:00:00"/>
  </r>
  <r>
    <x v="0"/>
    <s v="1746001648"/>
    <s v="LYFORD ISD"/>
    <s v="2321CCM001"/>
    <s v=" "/>
    <s v="11180C09_F21"/>
    <s v="3"/>
    <s v=" "/>
    <s v="CERT"/>
    <n v="-4017.58"/>
    <d v="2021-10-28T00:00:00"/>
    <d v="2021-10-28T00:00:00"/>
    <d v="2021-10-29T00:00:00"/>
  </r>
  <r>
    <x v="0"/>
    <s v="1746001648"/>
    <s v="LYFORD ISD"/>
    <s v="2321CCM001"/>
    <s v=" "/>
    <s v="11180C09_F21"/>
    <s v="4"/>
    <s v=" "/>
    <s v="CERT"/>
    <n v="-5000"/>
    <d v="2021-10-28T00:00:00"/>
    <d v="2021-10-28T00:00:00"/>
    <d v="2021-10-29T00:00:00"/>
  </r>
  <r>
    <x v="0"/>
    <s v="1746001648"/>
    <s v="LYFORD ISD"/>
    <s v="2321CCM001"/>
    <s v=" "/>
    <s v="11180C09_F21"/>
    <s v="5"/>
    <s v=" "/>
    <s v="CERT"/>
    <n v="-35902.730000000003"/>
    <d v="2022-02-17T00:00:00"/>
    <d v="2022-02-17T00:00:00"/>
    <d v="2022-02-28T00:00:00"/>
  </r>
  <r>
    <x v="0"/>
    <s v="1746001658"/>
    <s v="MCALLEN I.S.D."/>
    <s v="2321CCM001"/>
    <s v=" "/>
    <s v="11180C17_F21"/>
    <s v="1"/>
    <s v=" "/>
    <s v="CERT"/>
    <n v="-40000"/>
    <d v="2021-04-02T00:00:00"/>
    <d v="2021-04-02T00:00:00"/>
    <d v="2021-04-12T00:00:00"/>
  </r>
  <r>
    <x v="0"/>
    <s v="1746001658"/>
    <s v="MCALLEN I.S.D."/>
    <s v="2321CCM001"/>
    <s v=" "/>
    <s v="11180C17_F21"/>
    <s v="2"/>
    <s v=" "/>
    <s v="CERT"/>
    <n v="-6131"/>
    <d v="2021-04-02T00:00:00"/>
    <d v="2021-04-02T00:00:00"/>
    <d v="2021-04-12T00:00:00"/>
  </r>
  <r>
    <x v="0"/>
    <s v="1746001658"/>
    <s v="MCALLEN I.S.D."/>
    <s v="2321CCM001"/>
    <s v=" "/>
    <s v="11180C17_F21"/>
    <s v="2"/>
    <s v=" "/>
    <s v="CERT"/>
    <n v="-28869"/>
    <d v="2021-04-13T00:00:00"/>
    <d v="2021-04-13T00:00:00"/>
    <d v="2021-04-28T00:00:00"/>
  </r>
  <r>
    <x v="0"/>
    <s v="1746001658"/>
    <s v="MCALLEN I.S.D."/>
    <s v="2321CCM001"/>
    <s v=" "/>
    <s v="11180C17_F21"/>
    <s v="3"/>
    <s v=" "/>
    <s v="CERT"/>
    <n v="-17262"/>
    <d v="2021-04-13T00:00:00"/>
    <d v="2021-04-13T00:00:00"/>
    <d v="2021-04-28T00:00:00"/>
  </r>
  <r>
    <x v="0"/>
    <s v="1746001658"/>
    <s v="MCALLEN I.S.D."/>
    <s v="2321CCM001"/>
    <s v=" "/>
    <s v="11180C17_F21"/>
    <s v="3"/>
    <s v=" "/>
    <s v="CERT"/>
    <n v="-2738"/>
    <d v="2021-07-16T00:00:00"/>
    <d v="2021-07-16T00:00:00"/>
    <d v="2021-07-30T00:00:00"/>
  </r>
  <r>
    <x v="0"/>
    <s v="1746001658"/>
    <s v="MCALLEN I.S.D."/>
    <s v="2321CCM001"/>
    <s v=" "/>
    <s v="11180C17_F21"/>
    <s v="4"/>
    <s v=" "/>
    <s v="CERT"/>
    <n v="-6334.5"/>
    <d v="2021-07-16T00:00:00"/>
    <d v="2021-07-16T00:00:00"/>
    <d v="2021-07-30T00:00:00"/>
  </r>
  <r>
    <x v="0"/>
    <s v="1746001658"/>
    <s v="MCALLEN I.S.D."/>
    <s v="2321CCM001"/>
    <s v=" "/>
    <s v="11180C17_F21"/>
    <s v="4"/>
    <s v=" "/>
    <s v="CERT"/>
    <n v="-8665.5"/>
    <d v="2021-10-28T00:00:00"/>
    <d v="2021-10-28T00:00:00"/>
    <d v="2021-10-29T00:00:00"/>
  </r>
  <r>
    <x v="0"/>
    <s v="1746001660"/>
    <s v="CITY OF MCALLEN"/>
    <s v="2321CCM001"/>
    <s v=" "/>
    <s v="11180C03_F21"/>
    <s v="1"/>
    <s v=" "/>
    <s v="CERT"/>
    <n v="-116666.69"/>
    <d v="2021-06-02T00:00:00"/>
    <d v="2021-06-02T00:00:00"/>
    <d v="2021-06-02T00:00:00"/>
  </r>
  <r>
    <x v="0"/>
    <s v="1746001660"/>
    <s v="CITY OF MCALLEN"/>
    <s v="2321CCM001"/>
    <s v=" "/>
    <s v="11180C03_F21"/>
    <s v="1"/>
    <s v=" "/>
    <s v="CERT"/>
    <n v="-58333.31"/>
    <d v="2022-01-27T00:00:00"/>
    <d v="2022-01-27T00:00:00"/>
    <d v="2022-01-31T00:00:00"/>
  </r>
  <r>
    <x v="0"/>
    <s v="1746001660"/>
    <s v="CITY OF MCALLEN"/>
    <s v="2321CCM001"/>
    <s v=" "/>
    <s v="11180C03_F21"/>
    <s v="2"/>
    <s v=" "/>
    <s v="CERT"/>
    <n v="-150000"/>
    <d v="2022-01-27T00:00:00"/>
    <d v="2022-01-27T00:00:00"/>
    <d v="2022-01-31T00:00:00"/>
  </r>
  <r>
    <x v="0"/>
    <s v="1746001718"/>
    <s v="MERCEDES ISD"/>
    <s v="2321CCM001"/>
    <s v=" "/>
    <s v="11180C14_F21"/>
    <s v="1"/>
    <s v=" "/>
    <s v="CERT"/>
    <n v="-14136.81"/>
    <d v="2021-01-26T00:00:00"/>
    <d v="2021-01-26T00:00:00"/>
    <d v="2021-01-26T00:00:00"/>
  </r>
  <r>
    <x v="0"/>
    <s v="1746001718"/>
    <s v="MERCEDES ISD"/>
    <s v="2321CCM001"/>
    <s v=" "/>
    <s v="11180C14_F21"/>
    <s v="1"/>
    <s v=" "/>
    <s v="CERT"/>
    <n v="-2363.19"/>
    <d v="2021-04-30T00:00:00"/>
    <d v="2021-04-30T00:00:00"/>
    <d v="2021-04-30T00:00:00"/>
  </r>
  <r>
    <x v="0"/>
    <s v="1746001718"/>
    <s v="MERCEDES ISD"/>
    <s v="2321CCM001"/>
    <s v=" "/>
    <s v="11180C14_F21"/>
    <s v="2"/>
    <s v=" "/>
    <s v="CERT"/>
    <n v="-11838.42"/>
    <d v="2021-04-30T00:00:00"/>
    <d v="2021-04-30T00:00:00"/>
    <d v="2021-04-30T00:00:00"/>
  </r>
  <r>
    <x v="0"/>
    <s v="1746001718"/>
    <s v="MERCEDES ISD"/>
    <s v="2321CCM001"/>
    <s v=" "/>
    <s v="11180C14_F21"/>
    <s v="2"/>
    <s v=" "/>
    <s v="CERT"/>
    <n v="-4661.58"/>
    <d v="2021-07-16T00:00:00"/>
    <d v="2021-07-16T00:00:00"/>
    <d v="2021-07-30T00:00:00"/>
  </r>
  <r>
    <x v="0"/>
    <s v="1746001718"/>
    <s v="MERCEDES ISD"/>
    <s v="2321CCM001"/>
    <s v=" "/>
    <s v="11180C14_F21"/>
    <s v="3"/>
    <s v=" "/>
    <s v="CERT"/>
    <n v="-9577.86"/>
    <d v="2021-07-16T00:00:00"/>
    <d v="2021-07-16T00:00:00"/>
    <d v="2021-07-30T00:00:00"/>
  </r>
  <r>
    <x v="0"/>
    <s v="1746001718"/>
    <s v="MERCEDES ISD"/>
    <s v="2321CCM001"/>
    <s v=" "/>
    <s v="11180C14_F21"/>
    <s v="3"/>
    <s v=" "/>
    <s v="CERT"/>
    <n v="-7422.14"/>
    <d v="2021-10-28T00:00:00"/>
    <d v="2021-10-28T00:00:00"/>
    <d v="2021-10-29T00:00:00"/>
  </r>
  <r>
    <x v="0"/>
    <s v="1746001718"/>
    <s v="MERCEDES ISD"/>
    <s v="2321CCM001"/>
    <s v=" "/>
    <s v="11180C14_F21"/>
    <s v="4"/>
    <s v=" "/>
    <s v="CERT"/>
    <n v="-7919.97"/>
    <d v="2022-02-17T00:00:00"/>
    <d v="2022-02-17T00:00:00"/>
    <d v="2022-02-28T00:00:00"/>
  </r>
  <r>
    <x v="0"/>
    <s v="1746001876"/>
    <s v="PHARR-SAN JUAN-ALAMO ISD"/>
    <s v="2321CCM001"/>
    <s v=" "/>
    <s v="11180C16_F21"/>
    <s v="1"/>
    <s v=" "/>
    <s v="CERT"/>
    <n v="-15000"/>
    <d v="2021-04-22T00:00:00"/>
    <d v="2021-04-22T00:00:00"/>
    <d v="2021-04-28T00:00:00"/>
  </r>
  <r>
    <x v="0"/>
    <s v="1746001876"/>
    <s v="PHARR-SAN JUAN-ALAMO ISD"/>
    <s v="2321CCM001"/>
    <s v=" "/>
    <s v="11180C16_F21"/>
    <s v="2"/>
    <s v=" "/>
    <s v="CERT"/>
    <n v="-300.45"/>
    <d v="2021-04-22T00:00:00"/>
    <d v="2021-04-22T00:00:00"/>
    <d v="2021-04-28T00:00:00"/>
  </r>
  <r>
    <x v="0"/>
    <s v="1746001876"/>
    <s v="PHARR-SAN JUAN-ALAMO ISD"/>
    <s v="2321CCM001"/>
    <s v=" "/>
    <s v="11180C16_F21"/>
    <s v="2"/>
    <s v=" "/>
    <s v="CERT"/>
    <n v="-12233.55"/>
    <d v="2021-07-30T00:00:00"/>
    <d v="2021-07-30T00:00:00"/>
    <d v="2021-07-30T00:00:00"/>
  </r>
  <r>
    <x v="0"/>
    <s v="1746001876"/>
    <s v="PHARR-SAN JUAN-ALAMO ISD"/>
    <s v="2321CCM001"/>
    <s v=" "/>
    <s v="11180C16_F21"/>
    <s v="2"/>
    <s v=" "/>
    <s v="CERT"/>
    <n v="-2466"/>
    <d v="2022-01-20T00:00:00"/>
    <d v="2022-01-20T00:00:00"/>
    <d v="2022-01-20T00:00:00"/>
  </r>
  <r>
    <x v="0"/>
    <s v="1746001876"/>
    <s v="PHARR-SAN JUAN-ALAMO ISD"/>
    <s v="2321CCM001"/>
    <s v=" "/>
    <s v="11180C16_F21"/>
    <s v="3"/>
    <s v=" "/>
    <s v="CERT"/>
    <n v="-4000"/>
    <d v="2022-01-20T00:00:00"/>
    <d v="2022-01-20T00:00:00"/>
    <d v="2022-01-20T00:00:00"/>
  </r>
  <r>
    <x v="0"/>
    <s v="1746001876"/>
    <s v="PHARR-SAN JUAN-ALAMO ISD"/>
    <s v="2321CCM001"/>
    <s v=" "/>
    <s v="11180C16_F21"/>
    <s v="4"/>
    <s v=" "/>
    <s v="CERT"/>
    <n v="-322"/>
    <d v="2022-01-20T00:00:00"/>
    <d v="2022-01-20T00:00:00"/>
    <d v="2022-01-20T00:00:00"/>
  </r>
  <r>
    <x v="0"/>
    <s v="1746001885"/>
    <s v="CITY OF PORT ARTHUR"/>
    <s v="1821CCM001"/>
    <s v=" "/>
    <s v="1821CCM001_F21"/>
    <s v="1"/>
    <s v=" "/>
    <s v="CERT"/>
    <n v="-120000"/>
    <d v="2021-05-04T00:00:00"/>
    <d v="2021-05-04T00:00:00"/>
    <d v="2021-05-14T00:00:00"/>
  </r>
  <r>
    <x v="0"/>
    <s v="1746001885"/>
    <s v="CITY OF PORT ARTHUR"/>
    <s v="1821CCM001"/>
    <s v=" "/>
    <s v="1821CCM001_F21"/>
    <s v="2"/>
    <s v=" "/>
    <s v="CERT"/>
    <n v="-8800"/>
    <d v="2021-05-04T00:00:00"/>
    <d v="2021-05-04T00:00:00"/>
    <d v="2021-05-14T00:00:00"/>
  </r>
  <r>
    <x v="0"/>
    <s v="1746001885"/>
    <s v="CITY OF PORT ARTHUR"/>
    <s v="1821CCM001"/>
    <s v=" "/>
    <s v="1821CCM001_F21"/>
    <s v="2"/>
    <s v=" "/>
    <s v="CERT"/>
    <n v="-155190"/>
    <d v="2022-01-20T00:00:00"/>
    <d v="2022-01-20T00:00:00"/>
    <d v="2022-01-20T00:00:00"/>
  </r>
  <r>
    <x v="0"/>
    <s v="1746002018"/>
    <s v="ROUND ROCK ISD"/>
    <s v="1521CCM001"/>
    <s v=" "/>
    <s v="1521CCMC16_F21"/>
    <s v="1"/>
    <s v=" "/>
    <s v="CERT"/>
    <n v="-208285.13"/>
    <d v="2022-01-20T00:00:00"/>
    <d v="2022-01-20T00:00:00"/>
    <d v="2022-01-20T00:00:00"/>
  </r>
  <r>
    <x v="0"/>
    <s v="1746002070"/>
    <s v="CITY OF SAN ANTONIO"/>
    <s v="2021CCM001"/>
    <s v=" "/>
    <s v="2021CCM001_F21"/>
    <s v="1"/>
    <s v=" "/>
    <s v="CERT"/>
    <n v="-178122.75"/>
    <d v="2021-04-16T00:00:00"/>
    <d v="2021-04-16T00:00:00"/>
    <d v="2021-04-28T00:00:00"/>
  </r>
  <r>
    <x v="0"/>
    <s v="1746002070"/>
    <s v="CITY OF SAN ANTONIO"/>
    <s v="2021CCM001"/>
    <s v=" "/>
    <s v="2021CCM001_F21"/>
    <s v="1"/>
    <s v=" "/>
    <s v="CERT"/>
    <n v="-122881.7"/>
    <d v="2021-07-14T00:00:00"/>
    <d v="2021-07-14T00:00:00"/>
    <d v="2021-07-30T00:00:00"/>
  </r>
  <r>
    <x v="0"/>
    <s v="1746002070"/>
    <s v="CITY OF SAN ANTONIO"/>
    <s v="2021CCM001"/>
    <s v=" "/>
    <s v="2021CCM001_F21"/>
    <s v="2"/>
    <s v=" "/>
    <s v="CERT"/>
    <n v="-301611.36"/>
    <d v="2021-07-14T00:00:00"/>
    <d v="2021-07-14T00:00:00"/>
    <d v="2021-07-30T00:00:00"/>
  </r>
  <r>
    <x v="0"/>
    <s v="1746002070"/>
    <s v="CITY OF SAN ANTONIO"/>
    <s v="2021CCM001"/>
    <s v=" "/>
    <s v="2021CCM001_F21"/>
    <s v="3"/>
    <s v=" "/>
    <s v="CERT"/>
    <n v="-484026.13"/>
    <d v="2022-02-11T00:00:00"/>
    <d v="2022-02-11T00:00:00"/>
    <d v="2022-02-28T00:00:00"/>
  </r>
  <r>
    <x v="0"/>
    <s v="1746002246"/>
    <s v="SAN MARCOS CONSOLIDATED ISD"/>
    <s v="1521CCM001"/>
    <s v=" "/>
    <s v="1521CCMC01_F21"/>
    <s v="1"/>
    <s v=" "/>
    <s v="CERT"/>
    <n v="-190000"/>
    <d v="2022-01-20T00:00:00"/>
    <d v="2022-01-20T00:00:00"/>
    <d v="2022-01-20T00:00:00"/>
  </r>
  <r>
    <x v="0"/>
    <s v="1746002357"/>
    <s v="TAYLOR ISD"/>
    <s v="1521CCM001"/>
    <s v=" "/>
    <s v="1521CCMC03_F21"/>
    <s v="1"/>
    <s v=" "/>
    <s v="CERT"/>
    <n v="-78750"/>
    <d v="2022-01-20T00:00:00"/>
    <d v="2022-01-20T00:00:00"/>
    <d v="2022-01-20T00:00:00"/>
  </r>
  <r>
    <x v="0"/>
    <s v="1746002357"/>
    <s v="TAYLOR ISD"/>
    <s v="1521CCM001"/>
    <s v=" "/>
    <s v="1521CCMC03_F21"/>
    <s v="2"/>
    <s v=" "/>
    <s v="CERT"/>
    <n v="-112474"/>
    <d v="2022-02-16T00:00:00"/>
    <d v="2022-02-16T00:00:00"/>
    <d v="2022-02-28T00:00:00"/>
  </r>
  <r>
    <x v="0"/>
    <s v="1746002420"/>
    <s v="SOUTHWEST TEXAS JUNIOR COL"/>
    <s v="2721CCM001"/>
    <s v=" "/>
    <s v="08232CO_F21"/>
    <s v="1"/>
    <s v=" "/>
    <s v="CERT"/>
    <n v="-116078"/>
    <d v="2022-01-27T00:00:00"/>
    <d v="2022-01-27T00:00:00"/>
    <d v="2022-01-31T00:00:00"/>
  </r>
  <r>
    <x v="0"/>
    <s v="1746002420"/>
    <s v="SOUTHWEST TEXAS JUNIOR COL"/>
    <s v="2721CCM001"/>
    <s v=" "/>
    <s v="08232CO_F21"/>
    <s v="2"/>
    <s v=" "/>
    <s v="CERT"/>
    <n v="-13653.9"/>
    <d v="2022-01-27T00:00:00"/>
    <d v="2022-01-27T00:00:00"/>
    <d v="2022-01-31T00:00:00"/>
  </r>
  <r>
    <x v="0"/>
    <s v="1746002420"/>
    <s v="SOUTHWEST TEXAS JUNIOR COL"/>
    <s v="2721CCM001"/>
    <s v=" "/>
    <s v="08232CO_F21"/>
    <s v="2"/>
    <s v=" "/>
    <s v="CERT"/>
    <n v="-102424.1"/>
    <d v="2022-02-11T00:00:00"/>
    <d v="2022-02-11T00:00:00"/>
    <d v="2022-02-28T00:00:00"/>
  </r>
  <r>
    <x v="0"/>
    <s v="1746002420"/>
    <s v="SOUTHWEST TEXAS JUNIOR COL"/>
    <s v="2721CCM001"/>
    <s v=" "/>
    <s v="08232CO_F21"/>
    <s v="3"/>
    <s v=" "/>
    <s v="CERT"/>
    <n v="-116077"/>
    <d v="2022-02-11T00:00:00"/>
    <d v="2022-02-11T00:00:00"/>
    <d v="2022-02-28T00:00:00"/>
  </r>
  <r>
    <x v="0"/>
    <s v="1746002468"/>
    <s v="CITY OF WACO"/>
    <s v="1321CCM001"/>
    <s v=" "/>
    <s v="1321CCM09_F21"/>
    <s v="1"/>
    <s v=" "/>
    <s v="CERT"/>
    <n v="-108615"/>
    <d v="2022-02-11T00:00:00"/>
    <d v="2022-02-11T00:00:00"/>
    <d v="2022-02-28T00:00:00"/>
  </r>
  <r>
    <x v="0"/>
    <s v="1746002468"/>
    <s v="CITY OF WACO"/>
    <s v="2521CCM001"/>
    <s v=" "/>
    <s v="03111CO6_F21"/>
    <s v="1"/>
    <s v=" "/>
    <s v="CERT"/>
    <n v="-106385"/>
    <d v="2022-02-11T00:00:00"/>
    <d v="2022-02-11T00:00:00"/>
    <d v="2022-02-28T00:00:00"/>
  </r>
  <r>
    <x v="0"/>
    <s v="1746002548"/>
    <s v="WESLACO ISD"/>
    <s v="2321CCM001"/>
    <s v=" "/>
    <s v="11180C13_F21"/>
    <s v="1"/>
    <s v=" "/>
    <s v="CERT"/>
    <n v="-252000"/>
    <d v="2021-04-13T00:00:00"/>
    <d v="2021-04-13T00:00:00"/>
    <d v="2021-04-28T00:00:00"/>
  </r>
  <r>
    <x v="0"/>
    <s v="1746002548"/>
    <s v="WESLACO ISD"/>
    <s v="2321CCM001"/>
    <s v=" "/>
    <s v="11180C13_F21"/>
    <s v="2"/>
    <s v=" "/>
    <s v="CERT"/>
    <n v="-252000"/>
    <d v="2021-04-13T00:00:00"/>
    <d v="2021-04-13T00:00:00"/>
    <d v="2021-04-28T00:00:00"/>
  </r>
  <r>
    <x v="0"/>
    <s v="1746002548"/>
    <s v="WESLACO ISD"/>
    <s v="2321CCM001"/>
    <s v=" "/>
    <s v="11180C13_F21"/>
    <s v="3"/>
    <s v=" "/>
    <s v="CERT"/>
    <n v="-68889.27"/>
    <d v="2021-04-13T00:00:00"/>
    <d v="2021-04-13T00:00:00"/>
    <d v="2021-04-28T00:00:00"/>
  </r>
  <r>
    <x v="0"/>
    <s v="1746002548"/>
    <s v="WESLACO ISD"/>
    <s v="2321CCM001"/>
    <s v=" "/>
    <s v="11180C13_F21"/>
    <s v="3"/>
    <s v=" "/>
    <s v="CERT"/>
    <n v="-182110.73"/>
    <d v="2022-02-11T00:00:00"/>
    <d v="2022-02-11T00:00:00"/>
    <d v="2022-02-28T00:00:00"/>
  </r>
  <r>
    <x v="0"/>
    <s v="1746002548"/>
    <s v="WESLACO ISD"/>
    <s v="2321CCM001"/>
    <s v=" "/>
    <s v="11180C13_F21"/>
    <s v="4"/>
    <s v=" "/>
    <s v="CERT"/>
    <n v="-251000"/>
    <d v="2022-02-11T00:00:00"/>
    <d v="2022-02-11T00:00:00"/>
    <d v="2022-02-28T00:00:00"/>
  </r>
  <r>
    <x v="0"/>
    <s v="1746003571"/>
    <s v="CONNALLY ISD"/>
    <s v="1321CCM001"/>
    <s v=" "/>
    <s v="1320CCMC05_F21"/>
    <s v="1"/>
    <s v=" "/>
    <s v="CERT"/>
    <n v="-20000"/>
    <d v="2022-02-22T00:00:00"/>
    <d v="2022-02-22T00:00:00"/>
    <d v="2022-02-28T00:00:00"/>
  </r>
  <r>
    <x v="0"/>
    <s v="1750903158"/>
    <s v="GOODFELLOW AIR FORCE BASE CDC"/>
    <s v="1221CCM001"/>
    <s v=" "/>
    <s v="2112CCMC48_F21"/>
    <s v="1"/>
    <s v=" "/>
    <s v="CERT"/>
    <n v="-350000"/>
    <d v="2021-06-02T00:00:00"/>
    <d v="2021-06-02T00:00:00"/>
    <d v="2021-06-02T00:00:00"/>
  </r>
  <r>
    <x v="0"/>
    <s v="1750903158"/>
    <s v="GOODFELLOW AIR FORCE BASE CDC"/>
    <s v="1221CCM001"/>
    <s v=" "/>
    <s v="2112CCMC48_F21"/>
    <s v="2"/>
    <s v=" "/>
    <s v="CERT"/>
    <n v="-16973"/>
    <d v="2021-06-02T00:00:00"/>
    <d v="2021-06-02T00:00:00"/>
    <d v="2021-06-02T00:00:00"/>
  </r>
  <r>
    <x v="0"/>
    <s v="1750903158"/>
    <s v="GOODFELLOW AIR FORCE BASE CDC"/>
    <s v="1221CCM001"/>
    <s v=" "/>
    <s v="2112CCMC48_F21"/>
    <s v="2"/>
    <s v=" "/>
    <s v="CERT"/>
    <n v="-333027"/>
    <d v="2022-01-20T00:00:00"/>
    <d v="2022-01-20T00:00:00"/>
    <d v="2022-01-20T00:00:00"/>
  </r>
  <r>
    <x v="0"/>
    <s v="1750903158"/>
    <s v="GOODFELLOW AIR FORCE BASE CDC"/>
    <s v="1221CCM001"/>
    <s v=" "/>
    <s v="2112CCMC48_F21"/>
    <s v="3"/>
    <s v=" "/>
    <s v="CERT"/>
    <n v="-10283"/>
    <d v="2022-02-16T00:00:00"/>
    <d v="2022-02-16T00:00:00"/>
    <d v="2022-02-28T00:00:00"/>
  </r>
  <r>
    <x v="0"/>
    <s v="1750903158"/>
    <s v="GOODFELLOW AIR FORCE BASE CDC"/>
    <s v="1221CCM001"/>
    <s v=" "/>
    <s v="2112CCMC49_F21"/>
    <s v="1"/>
    <s v=" "/>
    <s v="CERT"/>
    <n v="-72651"/>
    <d v="2021-06-02T00:00:00"/>
    <d v="2021-06-02T00:00:00"/>
    <d v="2021-06-02T00:00:00"/>
  </r>
  <r>
    <x v="0"/>
    <s v="1750903158"/>
    <s v="GOODFELLOW AIR FORCE BASE CDC"/>
    <s v="1221CCM001"/>
    <s v=" "/>
    <s v="2112CCMC49_F21"/>
    <s v="1"/>
    <s v=" "/>
    <s v="CERT"/>
    <n v="-14849"/>
    <d v="2022-01-20T00:00:00"/>
    <d v="2022-01-20T00:00:00"/>
    <d v="2022-01-20T00:00:00"/>
  </r>
  <r>
    <x v="0"/>
    <s v="1750903158"/>
    <s v="GOODFELLOW AIR FORCE BASE CDC"/>
    <s v="1221CCM001"/>
    <s v=" "/>
    <s v="2112CCMC49_F21"/>
    <s v="2"/>
    <s v=" "/>
    <s v="CERT"/>
    <n v="-79111"/>
    <d v="2022-01-20T00:00:00"/>
    <d v="2022-01-20T00:00:00"/>
    <d v="2022-01-20T00:00:00"/>
  </r>
  <r>
    <x v="0"/>
    <s v="1751213149"/>
    <s v="DALLAS COUNTY COMM COLLEGE"/>
    <s v="0621CCM001"/>
    <s v=" "/>
    <s v="0621CCM05_F21"/>
    <s v="2"/>
    <s v=" "/>
    <s v="CERT"/>
    <n v="-41225.25"/>
    <d v="2021-04-02T00:00:00"/>
    <d v="2021-04-02T00:00:00"/>
    <d v="2021-04-12T00:00:00"/>
  </r>
  <r>
    <x v="0"/>
    <s v="1751213149"/>
    <s v="DALLAS COUNTY COMM COLLEGE"/>
    <s v="0621CCM001"/>
    <s v=" "/>
    <s v="0621CCM05_F21"/>
    <s v="3"/>
    <s v=" "/>
    <s v="CERT"/>
    <n v="-1909.47"/>
    <d v="2021-04-02T00:00:00"/>
    <d v="2021-04-02T00:00:00"/>
    <d v="2021-04-12T00:00:00"/>
  </r>
  <r>
    <x v="0"/>
    <s v="1751213149"/>
    <s v="DALLAS COUNTY COMM COLLEGE"/>
    <s v="0621CCM001"/>
    <s v=" "/>
    <s v="0621CCM05_F21"/>
    <s v="4"/>
    <s v=" "/>
    <s v="CERT"/>
    <n v="-360"/>
    <d v="2021-05-04T00:00:00"/>
    <d v="2021-05-04T00:00:00"/>
    <d v="2021-05-14T00:00:00"/>
  </r>
  <r>
    <x v="0"/>
    <s v="1751213149"/>
    <s v="DALLAS COUNTY COMM COLLEGE"/>
    <s v="0621CCM001"/>
    <s v=" "/>
    <s v="0621CCM05_F21"/>
    <s v="5"/>
    <s v=" "/>
    <s v="CERT"/>
    <n v="-189626.05"/>
    <d v="2022-02-16T00:00:00"/>
    <d v="2022-02-16T00:00:00"/>
    <d v="2022-02-28T00:00:00"/>
  </r>
  <r>
    <x v="0"/>
    <s v="1751325933"/>
    <s v="VERNON COLLEGE"/>
    <s v="0321CCM001"/>
    <s v=" "/>
    <s v="0321CCM04_F21"/>
    <s v="1"/>
    <s v=" "/>
    <s v="CERT"/>
    <n v="-45000"/>
    <d v="2022-02-22T00:00:00"/>
    <d v="2022-02-22T00:00:00"/>
    <d v="2022-02-28T00:00:00"/>
  </r>
  <r>
    <x v="0"/>
    <s v="1751403958"/>
    <s v="MIDLAND COLLEGE"/>
    <s v="1121CCM001"/>
    <s v=" "/>
    <s v="1121CCM004_F21"/>
    <s v="1"/>
    <s v=" "/>
    <s v="CERT"/>
    <n v="-77914"/>
    <d v="2022-01-20T00:00:00"/>
    <d v="2022-01-20T00:00:00"/>
    <d v="2022-01-20T00:00:00"/>
  </r>
  <r>
    <x v="0"/>
    <s v="1751404239"/>
    <s v="HILL COUNTY JUNIOR COLLEGE"/>
    <s v="0421CCM001"/>
    <s v=" "/>
    <s v="0421C04_F21"/>
    <s v="1"/>
    <s v=" "/>
    <s v="CERT"/>
    <n v="-48765.5"/>
    <d v="2021-04-29T00:00:00"/>
    <d v="2021-04-29T00:00:00"/>
    <d v="2021-04-29T00:00:00"/>
  </r>
  <r>
    <x v="0"/>
    <s v="1751404239"/>
    <s v="HILL COUNTY JUNIOR COLLEGE"/>
    <s v="0421CCM001"/>
    <s v=" "/>
    <s v="0421C04_F21"/>
    <s v="2"/>
    <s v=" "/>
    <s v="CERT"/>
    <n v="-2034.41"/>
    <d v="2021-04-29T00:00:00"/>
    <d v="2021-04-29T00:00:00"/>
    <d v="2021-04-29T00:00:00"/>
  </r>
  <r>
    <x v="0"/>
    <s v="1756000508"/>
    <s v="CITY OF DALLAS MARSHAL'S"/>
    <s v="0621CCM001"/>
    <s v=" "/>
    <s v="0621CCM03_F21"/>
    <s v="1"/>
    <s v=" "/>
    <s v="CERT"/>
    <n v="-93663.3"/>
    <d v="2021-04-29T00:00:00"/>
    <d v="2021-04-29T00:00:00"/>
    <d v="2021-04-29T00:00:00"/>
  </r>
  <r>
    <x v="0"/>
    <s v="1756000508"/>
    <s v="CITY OF DALLAS MARSHAL'S"/>
    <s v="0621CCM001"/>
    <s v=" "/>
    <s v="0621CCM03_F21"/>
    <s v="2"/>
    <s v=" "/>
    <s v="CERT"/>
    <n v="-12399.29"/>
    <d v="2021-04-29T00:00:00"/>
    <d v="2021-04-29T00:00:00"/>
    <d v="2021-04-29T00:00:00"/>
  </r>
  <r>
    <x v="0"/>
    <s v="1756000508"/>
    <s v="CITY OF DALLAS MARSHAL'S"/>
    <s v="0621CCM001"/>
    <s v=" "/>
    <s v="0621CCM03_F21"/>
    <s v="2"/>
    <s v=" "/>
    <s v="CERT"/>
    <n v="-100100.71"/>
    <d v="2021-08-04T00:00:00"/>
    <d v="2021-08-04T00:00:00"/>
    <d v="2021-08-26T00:00:00"/>
  </r>
  <r>
    <x v="0"/>
    <s v="1756000508"/>
    <s v="CITY OF DALLAS MARSHAL'S"/>
    <s v="0621CCM001"/>
    <s v=" "/>
    <s v="0621CCM03_F21"/>
    <s v="3"/>
    <s v=" "/>
    <s v="CERT"/>
    <n v="-32110.25"/>
    <d v="2021-08-04T00:00:00"/>
    <d v="2021-08-04T00:00:00"/>
    <d v="2021-08-26T00:00:00"/>
  </r>
  <r>
    <x v="0"/>
    <s v="1756000508"/>
    <s v="CITY OF DALLAS MARSHAL'S"/>
    <s v="0621CCM001"/>
    <s v=" "/>
    <s v="0621CCM03_F21"/>
    <s v="3"/>
    <s v=" "/>
    <s v="CERT"/>
    <n v="-80389.75"/>
    <d v="2021-10-29T00:00:00"/>
    <d v="2021-10-29T00:00:00"/>
    <d v="2021-10-29T00:00:00"/>
  </r>
  <r>
    <x v="0"/>
    <s v="1756000508"/>
    <s v="CITY OF DALLAS MARSHAL'S"/>
    <s v="0621CCM001"/>
    <s v=" "/>
    <s v="0621CCM03_F21"/>
    <s v="4"/>
    <s v=" "/>
    <s v="CERT"/>
    <n v="-77701.83"/>
    <d v="2021-10-29T00:00:00"/>
    <d v="2021-10-29T00:00:00"/>
    <d v="2021-10-29T00:00:00"/>
  </r>
  <r>
    <x v="0"/>
    <s v="1756000514"/>
    <s v="CITY OF DENTON"/>
    <s v="0421CCM001"/>
    <s v=" "/>
    <s v="0421C00_F21"/>
    <s v="1"/>
    <s v=" "/>
    <s v="CERT"/>
    <n v="-32534.3"/>
    <d v="2021-04-16T00:00:00"/>
    <d v="2021-04-16T00:00:00"/>
    <d v="2021-04-28T00:00:00"/>
  </r>
  <r>
    <x v="0"/>
    <s v="1756000514"/>
    <s v="CITY OF DENTON"/>
    <s v="0421CCM001"/>
    <s v=" "/>
    <s v="0421C00_F21"/>
    <s v="1"/>
    <s v=" "/>
    <s v="CERT"/>
    <n v="-8135.7"/>
    <d v="2021-12-20T00:00:00"/>
    <d v="2021-12-20T00:00:00"/>
    <d v="2021-12-20T00:00:00"/>
  </r>
  <r>
    <x v="0"/>
    <s v="1756000514"/>
    <s v="CITY OF DENTON"/>
    <s v="0421CCM001"/>
    <s v=" "/>
    <s v="0421C00_F21"/>
    <s v="2"/>
    <s v=" "/>
    <s v="CERT"/>
    <n v="-29012.16"/>
    <d v="2021-12-20T00:00:00"/>
    <d v="2021-12-20T00:00:00"/>
    <d v="2021-12-20T00:00:00"/>
  </r>
  <r>
    <x v="0"/>
    <s v="1756000588"/>
    <s v="CITY OF LONGVIEW"/>
    <s v="0821CCM001"/>
    <s v=" "/>
    <s v="04161C24_F21"/>
    <s v="1"/>
    <s v=" "/>
    <s v="CERT"/>
    <n v="-16250"/>
    <d v="2021-07-15T00:00:00"/>
    <d v="2021-07-15T00:00:00"/>
    <d v="2021-07-30T00:00:00"/>
  </r>
  <r>
    <x v="0"/>
    <s v="1756000588"/>
    <s v="CITY OF LONGVIEW"/>
    <s v="0821CCM001"/>
    <s v=" "/>
    <s v="04161C24_F21"/>
    <s v="2"/>
    <s v=" "/>
    <s v="CERT"/>
    <n v="-3839.6"/>
    <d v="2021-07-15T00:00:00"/>
    <d v="2021-07-15T00:00:00"/>
    <d v="2021-07-30T00:00:00"/>
  </r>
  <r>
    <x v="0"/>
    <s v="1756000588"/>
    <s v="CITY OF LONGVIEW"/>
    <s v="0821CCM001"/>
    <s v=" "/>
    <s v="04161C24_F21"/>
    <s v="2"/>
    <s v=" "/>
    <s v="CERT"/>
    <n v="-12410.4"/>
    <d v="2021-12-27T00:00:00"/>
    <d v="2021-12-27T00:00:00"/>
    <d v="2021-12-27T00:00:00"/>
  </r>
  <r>
    <x v="0"/>
    <s v="1756000588"/>
    <s v="CITY OF LONGVIEW"/>
    <s v="0821CCM001"/>
    <s v=" "/>
    <s v="04161C24_F21"/>
    <s v="3"/>
    <s v=" "/>
    <s v="CERT"/>
    <n v="-16250"/>
    <d v="2021-12-27T00:00:00"/>
    <d v="2021-12-27T00:00:00"/>
    <d v="2021-12-27T00:00:00"/>
  </r>
  <r>
    <x v="0"/>
    <s v="1756000588"/>
    <s v="CITY OF LONGVIEW"/>
    <s v="0821CCM001"/>
    <s v=" "/>
    <s v="04161C24_F21"/>
    <s v="4"/>
    <s v=" "/>
    <s v="CERT"/>
    <n v="-10250"/>
    <d v="2021-12-27T00:00:00"/>
    <d v="2021-12-27T00:00:00"/>
    <d v="2021-12-27T00:00:00"/>
  </r>
  <r>
    <x v="0"/>
    <s v="1756000714"/>
    <s v="CITY OF WICHITA FALLS"/>
    <s v="0321CCM001"/>
    <s v=" "/>
    <s v="0321CCMC01_F21"/>
    <s v="1"/>
    <s v=" "/>
    <s v="CERT"/>
    <n v="-130882"/>
    <d v="2021-10-15T00:00:00"/>
    <d v="2021-10-15T00:00:00"/>
    <d v="2021-10-25T00:00:00"/>
  </r>
  <r>
    <x v="0"/>
    <s v="1756001278"/>
    <s v="DALLAS ISD"/>
    <s v="0621CCM001"/>
    <s v=" "/>
    <s v="0621CCM04_F21"/>
    <s v="1"/>
    <s v=" "/>
    <s v="CERT"/>
    <n v="-250000"/>
    <d v="2021-03-15T00:00:00"/>
    <d v="2021-03-15T00:00:00"/>
    <d v="2021-03-29T00:00:00"/>
  </r>
  <r>
    <x v="0"/>
    <s v="1756001278"/>
    <s v="DALLAS ISD"/>
    <s v="0621CCM001"/>
    <s v=" "/>
    <s v="0621CCM04_F21"/>
    <s v="2"/>
    <s v=" "/>
    <s v="CERT"/>
    <n v="-250000"/>
    <d v="2021-03-15T00:00:00"/>
    <d v="2021-03-15T00:00:00"/>
    <d v="2021-03-29T00:00:00"/>
  </r>
  <r>
    <x v="0"/>
    <s v="1756001278"/>
    <s v="DALLAS ISD"/>
    <s v="0621CCM001"/>
    <s v=" "/>
    <s v="0621CCM04_F21"/>
    <s v="3"/>
    <s v=" "/>
    <s v="CERT"/>
    <n v="-250000"/>
    <d v="2021-03-15T00:00:00"/>
    <d v="2021-03-15T00:00:00"/>
    <d v="2021-03-29T00:00:00"/>
  </r>
  <r>
    <x v="0"/>
    <s v="1756001278"/>
    <s v="DALLAS ISD"/>
    <s v="0621CCM001"/>
    <s v=" "/>
    <s v="0621CCM04_F21"/>
    <s v="4"/>
    <s v=" "/>
    <s v="CERT"/>
    <n v="-250000"/>
    <d v="2021-03-15T00:00:00"/>
    <d v="2021-03-15T00:00:00"/>
    <d v="2021-03-29T00:00:00"/>
  </r>
  <r>
    <x v="0"/>
    <s v="1756001278"/>
    <s v="DALLAS ISD"/>
    <s v="0621CCM001"/>
    <s v=" "/>
    <s v="0621CCM04_F21"/>
    <s v="5"/>
    <s v=" "/>
    <s v="CERT"/>
    <n v="-373605"/>
    <d v="2021-10-27T00:00:00"/>
    <d v="2021-10-27T00:00:00"/>
    <d v="2021-10-29T00:00:00"/>
  </r>
  <r>
    <x v="0"/>
    <s v="1756001353"/>
    <s v="TEXAS A&amp;M UNIV-COMMERCE"/>
    <s v="0421CCM001"/>
    <s v=" "/>
    <s v="0421C07_F21"/>
    <s v="1"/>
    <s v=" "/>
    <s v="CERT"/>
    <n v="-491357.37"/>
    <d v="2021-04-29T00:00:00"/>
    <d v="2021-04-29T00:00:00"/>
    <d v="2021-04-29T00:00:00"/>
  </r>
  <r>
    <x v="0"/>
    <s v="1756001362"/>
    <s v="ECTOR COUNTY ISD"/>
    <s v="1121CCM001"/>
    <s v=" "/>
    <s v="1121CCM001_F21"/>
    <s v="1"/>
    <s v=" "/>
    <s v="CERT"/>
    <n v="-100000"/>
    <d v="2022-01-20T00:00:00"/>
    <d v="2022-01-20T00:00:00"/>
    <d v="2022-01-20T00:00:00"/>
  </r>
  <r>
    <x v="0"/>
    <s v="1756001854"/>
    <s v="IRVING ISD"/>
    <s v="0621CCM001"/>
    <s v=" "/>
    <s v="0621CCM02_F21"/>
    <s v="1"/>
    <s v=" "/>
    <s v="CERT"/>
    <n v="-87500"/>
    <d v="2021-04-02T00:00:00"/>
    <d v="2021-04-02T00:00:00"/>
    <d v="2021-04-12T00:00:00"/>
  </r>
  <r>
    <x v="0"/>
    <s v="1756001854"/>
    <s v="IRVING ISD"/>
    <s v="0621CCM001"/>
    <s v=" "/>
    <s v="0621CCM02_F21"/>
    <s v="2"/>
    <s v=" "/>
    <s v="CERT"/>
    <n v="-31417.15"/>
    <d v="2021-04-02T00:00:00"/>
    <d v="2021-04-02T00:00:00"/>
    <d v="2021-04-12T00:00:00"/>
  </r>
  <r>
    <x v="0"/>
    <s v="1756001854"/>
    <s v="IRVING ISD"/>
    <s v="0621CCM001"/>
    <s v=" "/>
    <s v="0621CCM02_F21"/>
    <s v="2"/>
    <s v=" "/>
    <s v="CERT"/>
    <n v="-56082.85"/>
    <d v="2021-05-04T00:00:00"/>
    <d v="2021-05-04T00:00:00"/>
    <d v="2021-05-14T00:00:00"/>
  </r>
  <r>
    <x v="0"/>
    <s v="1756001854"/>
    <s v="IRVING ISD"/>
    <s v="0621CCM001"/>
    <s v=" "/>
    <s v="0621CCM02_F21"/>
    <s v="3"/>
    <s v=" "/>
    <s v="CERT"/>
    <n v="-63899.03"/>
    <d v="2021-05-04T00:00:00"/>
    <d v="2021-05-04T00:00:00"/>
    <d v="2021-05-14T00:00:00"/>
  </r>
  <r>
    <x v="0"/>
    <s v="1756001854"/>
    <s v="IRVING ISD"/>
    <s v="0621CCM001"/>
    <s v=" "/>
    <s v="0621CCM02_F21"/>
    <s v="3"/>
    <s v=" "/>
    <s v="CERT"/>
    <n v="-23600.97"/>
    <d v="2021-08-09T00:00:00"/>
    <d v="2021-08-09T00:00:00"/>
    <d v="2021-08-26T00:00:00"/>
  </r>
  <r>
    <x v="0"/>
    <s v="1756001854"/>
    <s v="IRVING ISD"/>
    <s v="0621CCM001"/>
    <s v=" "/>
    <s v="0621CCM02_F21"/>
    <s v="4"/>
    <s v=" "/>
    <s v="CERT"/>
    <n v="-87500"/>
    <d v="2021-08-09T00:00:00"/>
    <d v="2021-08-09T00:00:00"/>
    <d v="2021-08-26T00:00:00"/>
  </r>
  <r>
    <x v="0"/>
    <s v="1756001989"/>
    <s v="LUBBOCK ISD"/>
    <s v="0221CCM001"/>
    <s v=" "/>
    <s v="0221CCM01_F21"/>
    <s v="1"/>
    <s v=" "/>
    <s v="CERT"/>
    <n v="-51660"/>
    <d v="2021-02-05T00:00:00"/>
    <d v="2021-02-05T00:00:00"/>
    <d v="2021-02-26T00:00:00"/>
  </r>
  <r>
    <x v="0"/>
    <s v="1756001989"/>
    <s v="LUBBOCK ISD"/>
    <s v="0221CCM001"/>
    <s v=" "/>
    <s v="0221CCM01_F21"/>
    <s v="2"/>
    <s v=" "/>
    <s v="CERT"/>
    <n v="-51660"/>
    <d v="2021-06-08T00:00:00"/>
    <d v="2021-06-08T00:00:00"/>
    <d v="2021-06-29T00:00:00"/>
  </r>
  <r>
    <x v="0"/>
    <s v="1756001989"/>
    <s v="LUBBOCK ISD"/>
    <s v="0221CCM001"/>
    <s v=" "/>
    <s v="0221CCM01_F21"/>
    <s v="3"/>
    <s v=" "/>
    <s v="CERT"/>
    <n v="-17220"/>
    <d v="2021-06-08T00:00:00"/>
    <d v="2021-06-08T00:00:00"/>
    <d v="2021-06-29T00:00:00"/>
  </r>
  <r>
    <x v="0"/>
    <s v="1756001989"/>
    <s v="LUBBOCK ISD"/>
    <s v="0221CCM001"/>
    <s v=" "/>
    <s v="0221CCM01_F21"/>
    <s v="3"/>
    <s v=" "/>
    <s v="CERT"/>
    <n v="-34440"/>
    <d v="2021-10-27T00:00:00"/>
    <d v="2021-10-27T00:00:00"/>
    <d v="2021-10-29T00:00:00"/>
  </r>
  <r>
    <x v="0"/>
    <s v="1756002064"/>
    <s v="MIDLAND ISD"/>
    <s v="1121CCM001"/>
    <s v=" "/>
    <s v="1121CCM002_F21"/>
    <s v="1"/>
    <s v=" "/>
    <s v="CERT"/>
    <n v="-141000"/>
    <d v="2022-01-20T00:00:00"/>
    <d v="2022-01-20T00:00:00"/>
    <d v="2022-01-20T00:00:00"/>
  </r>
  <r>
    <x v="0"/>
    <s v="1756002105"/>
    <s v="MT. PLEASANT ISD-CHILD DEV"/>
    <s v="0721CCM001"/>
    <s v=" "/>
    <s v="04170C06_F21"/>
    <s v="1"/>
    <s v=" "/>
    <s v="CERT"/>
    <n v="-12000"/>
    <d v="2021-10-15T00:00:00"/>
    <d v="2021-10-15T00:00:00"/>
    <d v="2021-10-25T00:00:00"/>
  </r>
  <r>
    <x v="0"/>
    <s v="1756002165"/>
    <s v="OLNEY ISD"/>
    <s v="0321CCM001"/>
    <s v=" "/>
    <s v="0321CCMC03_F21"/>
    <s v="1"/>
    <s v=" "/>
    <s v="CERT"/>
    <n v="-40000"/>
    <d v="2022-02-22T00:00:00"/>
    <d v="2022-02-22T00:00:00"/>
    <d v="2022-02-28T00:00:00"/>
  </r>
  <r>
    <x v="0"/>
    <s v="1756002311"/>
    <s v="RICHARDSON ISD"/>
    <s v="0621CCM001"/>
    <s v=" "/>
    <s v="0621CCM06_F21"/>
    <s v="1"/>
    <s v=" "/>
    <s v="CERT"/>
    <n v="-250000"/>
    <d v="2021-04-02T00:00:00"/>
    <d v="2021-04-02T00:00:00"/>
    <d v="2021-04-12T00:00:00"/>
  </r>
  <r>
    <x v="0"/>
    <s v="1756002311"/>
    <s v="RICHARDSON ISD"/>
    <s v="0621CCM001"/>
    <s v=" "/>
    <s v="0621CCM06_F21"/>
    <s v="2"/>
    <s v=" "/>
    <s v="CERT"/>
    <n v="-52978.15"/>
    <d v="2021-04-02T00:00:00"/>
    <d v="2021-04-02T00:00:00"/>
    <d v="2021-04-12T00:00:00"/>
  </r>
  <r>
    <x v="0"/>
    <s v="1756002311"/>
    <s v="RICHARDSON ISD"/>
    <s v="0621CCM001"/>
    <s v=" "/>
    <s v="0621CCM06_F21"/>
    <s v="2"/>
    <s v=" "/>
    <s v="CERT"/>
    <n v="-197021.85"/>
    <d v="2021-04-30T00:00:00"/>
    <d v="2021-04-30T00:00:00"/>
    <d v="2021-04-30T00:00:00"/>
  </r>
  <r>
    <x v="0"/>
    <s v="1756002311"/>
    <s v="RICHARDSON ISD"/>
    <s v="0621CCM001"/>
    <s v=" "/>
    <s v="0621CCM06_F21"/>
    <s v="3"/>
    <s v=" "/>
    <s v="CERT"/>
    <n v="-20243.900000000001"/>
    <d v="2021-04-30T00:00:00"/>
    <d v="2021-04-30T00:00:00"/>
    <d v="2021-04-30T00:00:00"/>
  </r>
  <r>
    <x v="0"/>
    <s v="1756002311"/>
    <s v="RICHARDSON ISD"/>
    <s v="0621CCM001"/>
    <s v=" "/>
    <s v="0621CCM06_F21"/>
    <s v="3"/>
    <s v=" "/>
    <s v="CERT"/>
    <n v="-184216.53"/>
    <d v="2021-08-09T00:00:00"/>
    <d v="2021-08-09T00:00:00"/>
    <d v="2021-08-26T00:00:00"/>
  </r>
  <r>
    <x v="0"/>
    <s v="1756002311"/>
    <s v="RICHARDSON ISD"/>
    <s v="0621CCM001"/>
    <s v=" "/>
    <s v="0621CCM06_F21"/>
    <s v="3"/>
    <s v=" "/>
    <s v="CERT"/>
    <n v="-45539.57"/>
    <d v="2022-01-20T00:00:00"/>
    <d v="2022-01-20T00:00:00"/>
    <d v="2022-01-20T00:00:00"/>
  </r>
  <r>
    <x v="0"/>
    <s v="1756002311"/>
    <s v="RICHARDSON ISD"/>
    <s v="0621CCM001"/>
    <s v=" "/>
    <s v="0621CCM06_F21"/>
    <s v="4"/>
    <s v=" "/>
    <s v="CERT"/>
    <n v="-250000"/>
    <d v="2022-01-20T00:00:00"/>
    <d v="2022-01-20T00:00:00"/>
    <d v="2022-01-20T00:00:00"/>
  </r>
  <r>
    <x v="0"/>
    <s v="1756002404"/>
    <s v="SAN ANGELO ISD"/>
    <s v="1221CCM001"/>
    <s v=" "/>
    <s v="2112CCMC45_F21"/>
    <s v="1"/>
    <s v=" "/>
    <s v="CERT"/>
    <n v="-50000"/>
    <d v="2021-04-29T00:00:00"/>
    <d v="2021-04-29T00:00:00"/>
    <d v="2021-04-29T00:00:00"/>
  </r>
  <r>
    <x v="0"/>
    <s v="1756002404"/>
    <s v="SAN ANGELO ISD"/>
    <s v="1221CCM001"/>
    <s v=" "/>
    <s v="2112CCMC45_F21"/>
    <s v="2"/>
    <s v=" "/>
    <s v="CERT"/>
    <n v="-50000"/>
    <d v="2021-12-27T00:00:00"/>
    <d v="2021-12-27T00:00:00"/>
    <d v="2021-12-27T00:00:00"/>
  </r>
  <r>
    <x v="0"/>
    <s v="1756002404"/>
    <s v="SAN ANGELO ISD"/>
    <s v="1221CCM001"/>
    <s v=" "/>
    <s v="2112CCMC45_F21"/>
    <s v="3"/>
    <s v=" "/>
    <s v="CERT"/>
    <n v="-10000"/>
    <d v="2022-02-16T00:00:00"/>
    <d v="2022-02-16T00:00:00"/>
    <d v="2022-02-28T00:00:00"/>
  </r>
  <r>
    <x v="0"/>
    <s v="1756002514"/>
    <s v="STEPHEN F AUSTIN UNIVERSITY"/>
    <s v="1721CCM001"/>
    <s v=" "/>
    <s v="05240C31_F21"/>
    <s v="1"/>
    <s v=" "/>
    <s v="CERT"/>
    <n v="-445000"/>
    <d v="2022-02-11T00:00:00"/>
    <d v="2022-02-11T00:00:00"/>
    <d v="2022-02-28T00:00:00"/>
  </r>
  <r>
    <x v="0"/>
    <s v="1756002579"/>
    <s v="TEXARKANA ISD"/>
    <s v="0721CCM001"/>
    <s v=" "/>
    <s v="04170C05_F21"/>
    <s v="2"/>
    <s v=" "/>
    <s v="CERT"/>
    <n v="-90000"/>
    <d v="2022-02-22T00:00:00"/>
    <d v="2022-02-22T00:00:00"/>
    <d v="2022-02-28T00:00:00"/>
  </r>
  <r>
    <x v="0"/>
    <s v="1756004667"/>
    <s v="SOUTH PLAINS COLLEGE"/>
    <s v="0221CCM001"/>
    <s v=" "/>
    <s v="0221CCM02_F21"/>
    <s v="1"/>
    <s v=" "/>
    <s v="CERT"/>
    <n v="-19334"/>
    <d v="2021-02-10T00:00:00"/>
    <d v="2021-02-10T00:00:00"/>
    <d v="2021-02-26T00:00:00"/>
  </r>
  <r>
    <x v="0"/>
    <s v="1756004667"/>
    <s v="SOUTH PLAINS COLLEGE"/>
    <s v="0221CCM001"/>
    <s v=" "/>
    <s v="0221CCM02_F21"/>
    <s v="2"/>
    <s v=" "/>
    <s v="CERT"/>
    <n v="-1819.4"/>
    <d v="2021-02-10T00:00:00"/>
    <d v="2021-02-10T00:00:00"/>
    <d v="2021-02-26T00:00:00"/>
  </r>
  <r>
    <x v="0"/>
    <s v="1756004667"/>
    <s v="SOUTH PLAINS COLLEGE"/>
    <s v="0221CCM001"/>
    <s v=" "/>
    <s v="0221CCM02_F21"/>
    <s v="2"/>
    <s v=" "/>
    <s v="CERT"/>
    <n v="-17513.599999999999"/>
    <d v="2021-06-08T00:00:00"/>
    <d v="2021-06-08T00:00:00"/>
    <d v="2021-06-29T00:00:00"/>
  </r>
  <r>
    <x v="0"/>
    <s v="1756004667"/>
    <s v="SOUTH PLAINS COLLEGE"/>
    <s v="0221CCM001"/>
    <s v=" "/>
    <s v="0221CCM02_F21"/>
    <s v="3"/>
    <s v=" "/>
    <s v="CERT"/>
    <n v="-5836.17"/>
    <d v="2021-06-08T00:00:00"/>
    <d v="2021-06-08T00:00:00"/>
    <d v="2021-06-29T00:00:00"/>
  </r>
  <r>
    <x v="0"/>
    <s v="1756004667"/>
    <s v="SOUTH PLAINS COLLEGE"/>
    <s v="0221CCM001"/>
    <s v=" "/>
    <s v="0221CCM02_F21"/>
    <s v="3"/>
    <s v=" "/>
    <s v="CERT"/>
    <n v="-13496.83"/>
    <d v="2021-10-27T00:00:00"/>
    <d v="2021-10-27T00:00:00"/>
    <d v="2021-10-29T00:00:00"/>
  </r>
  <r>
    <x v="0"/>
    <s v="1756031405"/>
    <s v="WEST TEXAS A&amp;M UNIVERSITY"/>
    <s v="0121CCM001"/>
    <s v=" "/>
    <s v="01010C01_F21"/>
    <s v="1"/>
    <s v=" "/>
    <s v="CERT"/>
    <n v="-281319.90999999997"/>
    <d v="2021-12-20T00:00:00"/>
    <d v="2021-12-20T00:00:00"/>
    <d v="2021-12-27T00:00:00"/>
  </r>
  <r>
    <x v="0"/>
    <s v="1766002907"/>
    <s v="ODESSA COLLEGE"/>
    <s v="1121CCM001"/>
    <s v=" "/>
    <s v="1121CCM005_F21"/>
    <s v="1"/>
    <s v=" "/>
    <s v="CERT"/>
    <n v="-158000"/>
    <d v="2022-01-20T00:00:00"/>
    <d v="2022-01-20T00:00:00"/>
    <d v="2022-01-20T00:00:00"/>
  </r>
  <r>
    <x v="0"/>
    <s v="3733733733"/>
    <s v="TEXAS TECH UNIVERSITY"/>
    <s v="0121CCM001"/>
    <s v=" "/>
    <s v="01010C02_F21"/>
    <s v="1"/>
    <s v=" "/>
    <s v="CERT"/>
    <n v="-36000"/>
    <d v="2021-04-02T00:00:00"/>
    <d v="2021-04-02T00:00:00"/>
    <d v="2021-04-12T00:00:00"/>
  </r>
  <r>
    <x v="0"/>
    <s v="3733733733"/>
    <s v="TEXAS TECH UNIVERSITY"/>
    <s v="0121CCM001"/>
    <s v=" "/>
    <s v="01010C02_F21"/>
    <s v="2"/>
    <s v=" "/>
    <s v="CERT"/>
    <n v="-11220.22"/>
    <d v="2021-04-02T00:00:00"/>
    <d v="2021-04-02T00:00:00"/>
    <d v="2021-04-12T00:00:00"/>
  </r>
  <r>
    <x v="0"/>
    <s v="3733733733"/>
    <s v="TEXAS TECH UNIVERSITY"/>
    <s v="0121CCM001"/>
    <s v=" "/>
    <s v="01010C02_F21"/>
    <s v="2"/>
    <s v=" "/>
    <s v="CERT"/>
    <n v="-24779.78"/>
    <d v="2021-06-16T00:00:00"/>
    <d v="2021-06-16T00:00:00"/>
    <d v="2021-06-29T00:00:00"/>
  </r>
  <r>
    <x v="0"/>
    <s v="3733733733"/>
    <s v="TEXAS TECH UNIVERSITY"/>
    <s v="0121CCM001"/>
    <s v=" "/>
    <s v="01010C02_F21"/>
    <s v="3"/>
    <s v=" "/>
    <s v="CERT"/>
    <n v="-22158.84"/>
    <d v="2021-06-16T00:00:00"/>
    <d v="2021-06-16T00:00:00"/>
    <d v="2021-06-29T00:00:00"/>
  </r>
  <r>
    <x v="0"/>
    <s v="3733733733"/>
    <s v="TEXAS TECH UNIVERSITY"/>
    <s v="0121CCM001"/>
    <s v=" "/>
    <s v="01010C02_F21"/>
    <s v="3"/>
    <s v=" "/>
    <s v="CERT"/>
    <n v="-13841.16"/>
    <d v="2021-10-27T00:00:00"/>
    <d v="2021-10-27T00:00:00"/>
    <d v="2021-10-29T00:00:00"/>
  </r>
  <r>
    <x v="0"/>
    <s v="3733733733"/>
    <s v="TEXAS TECH UNIVERSITY"/>
    <s v="0221CCM001"/>
    <s v=" "/>
    <s v="0221CCM03_F21"/>
    <s v="1"/>
    <s v=" "/>
    <s v="CERT"/>
    <n v="-145382"/>
    <d v="2021-04-02T00:00:00"/>
    <d v="2021-04-02T00:00:00"/>
    <d v="2021-04-12T00:00:00"/>
  </r>
  <r>
    <x v="0"/>
    <s v="3733733733"/>
    <s v="TEXAS TECH UNIVERSITY"/>
    <s v="0221CCM001"/>
    <s v=" "/>
    <s v="0221CCM03_F21"/>
    <s v="2"/>
    <s v=" "/>
    <s v="CERT"/>
    <n v="-45342.5"/>
    <d v="2021-04-02T00:00:00"/>
    <d v="2021-04-02T00:00:00"/>
    <d v="2021-04-12T00:00:00"/>
  </r>
  <r>
    <x v="0"/>
    <s v="3733733733"/>
    <s v="TEXAS TECH UNIVERSITY"/>
    <s v="0221CCM001"/>
    <s v=" "/>
    <s v="0221CCM03_F21"/>
    <s v="2"/>
    <s v=" "/>
    <s v="CERT"/>
    <n v="-100039.5"/>
    <d v="2021-06-16T00:00:00"/>
    <d v="2021-06-16T00:00:00"/>
    <d v="2021-06-29T00:00:00"/>
  </r>
  <r>
    <x v="0"/>
    <s v="3733733733"/>
    <s v="TEXAS TECH UNIVERSITY"/>
    <s v="0221CCM001"/>
    <s v=" "/>
    <s v="0221CCM03_F21"/>
    <s v="3"/>
    <s v=" "/>
    <s v="CERT"/>
    <n v="-89547.6"/>
    <d v="2021-06-16T00:00:00"/>
    <d v="2021-06-16T00:00:00"/>
    <d v="2021-06-29T00:00:00"/>
  </r>
  <r>
    <x v="0"/>
    <s v="3733733733"/>
    <s v="TEXAS TECH UNIVERSITY"/>
    <s v="0221CCM001"/>
    <s v=" "/>
    <s v="0221CCM03_F21"/>
    <s v="3"/>
    <s v=" "/>
    <s v="CERT"/>
    <n v="-55834.400000000001"/>
    <d v="2021-10-27T00:00:00"/>
    <d v="2021-10-27T00:00:00"/>
    <d v="2021-10-29T00:00:00"/>
  </r>
  <r>
    <x v="0"/>
    <s v="3733733733"/>
    <s v="TEXAS TECH UNIVERSITY"/>
    <s v="0921CCM001"/>
    <s v=" "/>
    <s v="0921CCMC78_F21"/>
    <s v="1"/>
    <s v=" "/>
    <s v="CERT"/>
    <n v="-45285"/>
    <d v="2021-04-02T00:00:00"/>
    <d v="2021-04-02T00:00:00"/>
    <d v="2021-04-12T00:00:00"/>
  </r>
  <r>
    <x v="0"/>
    <s v="3733733733"/>
    <s v="TEXAS TECH UNIVERSITY"/>
    <s v="0921CCM001"/>
    <s v=" "/>
    <s v="0921CCMC78_F21"/>
    <s v="2"/>
    <s v=" "/>
    <s v="CERT"/>
    <n v="-14126.84"/>
    <d v="2021-04-02T00:00:00"/>
    <d v="2021-04-02T00:00:00"/>
    <d v="2021-04-12T00:00:00"/>
  </r>
  <r>
    <x v="0"/>
    <s v="3733733733"/>
    <s v="TEXAS TECH UNIVERSITY"/>
    <s v="0921CCM001"/>
    <s v=" "/>
    <s v="0921CCMC78_F21"/>
    <s v="2"/>
    <s v=" "/>
    <s v="CERT"/>
    <n v="-31158.16"/>
    <d v="2021-06-16T00:00:00"/>
    <d v="2021-06-16T00:00:00"/>
    <d v="2021-06-29T00:00:00"/>
  </r>
  <r>
    <x v="0"/>
    <s v="3733733733"/>
    <s v="TEXAS TECH UNIVERSITY"/>
    <s v="0921CCM001"/>
    <s v=" "/>
    <s v="0921CCMC78_F21"/>
    <s v="3"/>
    <s v=" "/>
    <s v="CERT"/>
    <n v="-27899.38"/>
    <d v="2021-06-16T00:00:00"/>
    <d v="2021-06-16T00:00:00"/>
    <d v="2021-06-29T00:00:00"/>
  </r>
  <r>
    <x v="0"/>
    <s v="3733733733"/>
    <s v="TEXAS TECH UNIVERSITY"/>
    <s v="0921CCM001"/>
    <s v=" "/>
    <s v="0921CCMC78_F21"/>
    <s v="3"/>
    <s v=" "/>
    <s v="CERT"/>
    <n v="-17384.62"/>
    <d v="2021-10-27T00:00:00"/>
    <d v="2021-10-27T00:00:00"/>
    <d v="2021-10-29T00:00:00"/>
  </r>
  <r>
    <x v="0"/>
    <s v="3742742742"/>
    <s v="UNIVERSITY OF TEXAS OF THE PERMIAN BASIN"/>
    <s v="1121CCM001"/>
    <s v=" "/>
    <s v="1121CCM003_F21"/>
    <s v="1"/>
    <s v=" "/>
    <s v="CERT"/>
    <n v="-165000"/>
    <d v="2022-01-20T00:00:00"/>
    <d v="2022-01-20T00:00:00"/>
    <d v="2022-01-20T00:00:00"/>
  </r>
  <r>
    <x v="0"/>
    <s v="3960960960"/>
    <s v="DEL MAR COLLEGE"/>
    <s v="2221CCM001"/>
    <s v=" "/>
    <s v="11192C06_F21"/>
    <s v="1"/>
    <s v=" "/>
    <s v="CERT"/>
    <n v="-92500"/>
    <d v="2021-04-30T00:00:00"/>
    <d v="2021-04-30T00:00:00"/>
    <d v="2021-04-30T00:00:00"/>
  </r>
  <r>
    <x v="0"/>
    <s v="3960960960"/>
    <s v="DEL MAR COLLEGE"/>
    <s v="2221CCM001"/>
    <s v=" "/>
    <s v="11192C06_F21"/>
    <s v="2"/>
    <s v=" "/>
    <s v="CERT"/>
    <n v="-92500"/>
    <d v="2022-02-16T00:00:00"/>
    <d v="2022-02-16T00:00:00"/>
    <d v="2022-02-28T00:00:00"/>
  </r>
  <r>
    <x v="0"/>
    <s v="17560001152"/>
    <s v="Archer City ISD"/>
    <s v="0321CCM001"/>
    <s v=" "/>
    <s v="0321CCMC02_F21"/>
    <s v="1"/>
    <s v=" "/>
    <s v="CERT"/>
    <n v="-66527"/>
    <d v="2021-10-15T00:00:00"/>
    <d v="2021-10-15T00:00:00"/>
    <d v="2021-10-25T00:00:00"/>
  </r>
  <r>
    <x v="1"/>
    <s v="1741539003"/>
    <s v="CENTRAL TEXAS COLLEGE DISTRICT"/>
    <s v="2621CCM001"/>
    <s v=" "/>
    <s v="07130C02_F21"/>
    <s v="1"/>
    <s v=" "/>
    <s v="CERT"/>
    <n v="-100000"/>
    <d v="2021-07-14T00:00:00"/>
    <d v="2021-07-14T00:00:00"/>
    <d v="2021-07-30T00:00:00"/>
  </r>
  <r>
    <x v="1"/>
    <s v="1741541260"/>
    <s v="MCLENNAN COMMUNITY COLLEGE"/>
    <s v="1321CCM001"/>
    <s v=" "/>
    <s v="1321CCMC14_F21"/>
    <s v="0"/>
    <s v=" "/>
    <s v="CERT"/>
    <n v="-60000"/>
    <d v="2022-01-20T00:00:00"/>
    <d v="2022-01-20T00:00:00"/>
    <d v="2022-01-20T00:00:00"/>
  </r>
  <r>
    <x v="1"/>
    <s v="1741587881"/>
    <s v="BRAZOSPORT COLLEGE"/>
    <s v="2821CCM001"/>
    <s v=" "/>
    <s v="2821CCMC33_F21"/>
    <s v="1"/>
    <s v=" "/>
    <s v="CERT"/>
    <n v="-195000"/>
    <d v="2021-02-05T00:00:00"/>
    <d v="2021-02-05T00:00:00"/>
    <d v="2021-02-26T00:00:00"/>
  </r>
  <r>
    <x v="1"/>
    <s v="1741587881"/>
    <s v="BRAZOSPORT COLLEGE"/>
    <s v="2821CCM001"/>
    <s v=" "/>
    <s v="2821CCMC33_F21"/>
    <s v="2"/>
    <s v=" "/>
    <s v="CERT"/>
    <n v="-1010.63"/>
    <d v="2021-02-05T00:00:00"/>
    <d v="2021-02-05T00:00:00"/>
    <d v="2021-02-26T00:00:00"/>
  </r>
  <r>
    <x v="1"/>
    <s v="1741587881"/>
    <s v="BRAZOSPORT COLLEGE"/>
    <s v="2821CCM001"/>
    <s v=" "/>
    <s v="2821CCMC33_F21"/>
    <s v="2"/>
    <s v=" "/>
    <s v="CERT"/>
    <n v="-193989.37"/>
    <d v="2021-07-01T00:00:00"/>
    <d v="2021-07-01T00:00:00"/>
    <d v="2021-07-30T00:00:00"/>
  </r>
  <r>
    <x v="1"/>
    <s v="1741587881"/>
    <s v="BRAZOSPORT COLLEGE"/>
    <s v="2821CCM001"/>
    <s v=" "/>
    <s v="2821CCMC33_F21"/>
    <s v="3"/>
    <s v=" "/>
    <s v="CERT"/>
    <n v="-2096.62"/>
    <d v="2021-07-01T00:00:00"/>
    <d v="2021-07-01T00:00:00"/>
    <d v="2021-07-30T00:00:00"/>
  </r>
  <r>
    <x v="1"/>
    <s v="1741587881"/>
    <s v="BRAZOSPORT COLLEGE"/>
    <s v="2821CCM001"/>
    <s v=" "/>
    <s v="2821CCMC33_F21"/>
    <s v="3"/>
    <s v=" "/>
    <s v="CERT"/>
    <n v="-192903.38"/>
    <d v="2021-10-15T00:00:00"/>
    <d v="2021-10-15T00:00:00"/>
    <d v="2021-10-25T00:00:00"/>
  </r>
  <r>
    <x v="1"/>
    <s v="1741587881"/>
    <s v="BRAZOSPORT COLLEGE"/>
    <s v="2821CCM001"/>
    <s v=" "/>
    <s v="2821CCMC33_F21"/>
    <s v="4"/>
    <s v=" "/>
    <s v="CERT"/>
    <n v="-3952.46"/>
    <d v="2021-10-15T00:00:00"/>
    <d v="2021-10-15T00:00:00"/>
    <d v="2021-10-25T00:00:00"/>
  </r>
  <r>
    <x v="1"/>
    <s v="1741587881"/>
    <s v="BRAZOSPORT COLLEGE"/>
    <s v="2821CCM001"/>
    <s v=" "/>
    <s v="2821CCMC33_F21"/>
    <s v="4"/>
    <s v=" "/>
    <s v="CERT"/>
    <n v="-111047.54"/>
    <d v="2022-03-02T00:00:00"/>
    <d v="2022-03-02T00:00:00"/>
    <d v="2022-03-18T00:00:00"/>
  </r>
  <r>
    <x v="1"/>
    <s v="1741588568"/>
    <s v="REGION 19 EDUCATION SERVICE CENTER"/>
    <s v="1021CCM001"/>
    <s v=" "/>
    <s v="1021CCMC04_F21"/>
    <s v="1"/>
    <s v=" "/>
    <s v="CERT"/>
    <n v="-113750"/>
    <d v="2021-04-02T00:00:00"/>
    <d v="2021-04-02T00:00:00"/>
    <d v="2021-04-12T00:00:00"/>
  </r>
  <r>
    <x v="1"/>
    <s v="1741588568"/>
    <s v="REGION 19 EDUCATION SERVICE CENTER"/>
    <s v="1021CCM001"/>
    <s v=" "/>
    <s v="1021CCMC04_F21"/>
    <s v="2"/>
    <s v=" "/>
    <s v="CERT"/>
    <n v="-93792.38"/>
    <d v="2021-04-02T00:00:00"/>
    <d v="2021-04-02T00:00:00"/>
    <d v="2021-04-12T00:00:00"/>
  </r>
  <r>
    <x v="1"/>
    <s v="1741588568"/>
    <s v="REGION 19 EDUCATION SERVICE CENTER"/>
    <s v="1021CCM001"/>
    <s v=" "/>
    <s v="1021CCMC04_F21"/>
    <s v="2"/>
    <s v=" "/>
    <s v="CERT"/>
    <n v="-19957.62"/>
    <d v="2021-04-12T00:00:00"/>
    <d v="2021-04-12T00:00:00"/>
    <d v="2021-04-12T00:00:00"/>
  </r>
  <r>
    <x v="1"/>
    <s v="1741588568"/>
    <s v="REGION 19 EDUCATION SERVICE CENTER"/>
    <s v="1021CCM001"/>
    <s v=" "/>
    <s v="1021CCMC04_F21"/>
    <s v="3"/>
    <s v=" "/>
    <s v="CERT"/>
    <n v="-113750"/>
    <d v="2021-04-12T00:00:00"/>
    <d v="2021-04-12T00:00:00"/>
    <d v="2021-04-12T00:00:00"/>
  </r>
  <r>
    <x v="1"/>
    <s v="1741588568"/>
    <s v="REGION 19 EDUCATION SERVICE CENTER"/>
    <s v="1021CCM001"/>
    <s v=" "/>
    <s v="1021CCMC04_F21"/>
    <s v="4"/>
    <s v=" "/>
    <s v="CERT"/>
    <n v="-64261.67"/>
    <d v="2021-04-12T00:00:00"/>
    <d v="2021-04-12T00:00:00"/>
    <d v="2021-04-12T00:00:00"/>
  </r>
  <r>
    <x v="1"/>
    <s v="1741588568"/>
    <s v="REGION 19 EDUCATION SERVICE CENTER"/>
    <s v="1021CCM001"/>
    <s v=" "/>
    <s v="1021CCMC04_F21"/>
    <s v="4"/>
    <s v=" "/>
    <s v="CERT"/>
    <n v="-49488.33"/>
    <d v="2021-07-14T00:00:00"/>
    <d v="2021-07-14T00:00:00"/>
    <d v="2021-07-30T00:00:00"/>
  </r>
  <r>
    <x v="1"/>
    <s v="1741588568"/>
    <s v="REGION 19 EDUCATION SERVICE CENTER"/>
    <s v="1021CCM001"/>
    <s v=" "/>
    <s v="1021CCMC04_F21"/>
    <s v="5"/>
    <s v=" "/>
    <s v="CERT"/>
    <n v="-298349.51"/>
    <d v="2022-02-16T00:00:00"/>
    <d v="2022-02-16T00:00:00"/>
    <d v="2022-02-28T00:00:00"/>
  </r>
  <r>
    <x v="1"/>
    <s v="1741690850"/>
    <s v="EL PASO COMM COLLEGE"/>
    <s v="1021CCM001"/>
    <s v=" "/>
    <s v="1021CCMC05_F21"/>
    <s v="1"/>
    <s v=" "/>
    <s v="CERT"/>
    <n v="-100000"/>
    <d v="2021-06-30T00:00:00"/>
    <d v="2021-06-30T00:00:00"/>
    <d v="2021-06-30T00:00:00"/>
  </r>
  <r>
    <x v="1"/>
    <s v="1741690850"/>
    <s v="EL PASO COMM COLLEGE"/>
    <s v="1021CCM001"/>
    <s v=" "/>
    <s v="1021CCMC05_F21"/>
    <s v="2"/>
    <s v=" "/>
    <s v="CERT"/>
    <n v="-39752.080000000002"/>
    <d v="2021-06-30T00:00:00"/>
    <d v="2021-06-30T00:00:00"/>
    <d v="2021-06-30T00:00:00"/>
  </r>
  <r>
    <x v="1"/>
    <s v="1741690850"/>
    <s v="EL PASO COMM COLLEGE"/>
    <s v="1021CCM001"/>
    <s v=" "/>
    <s v="1021CCMC05_F21"/>
    <s v="2"/>
    <s v=" "/>
    <s v="CERT"/>
    <n v="-60247.92"/>
    <d v="2021-07-01T00:00:00"/>
    <d v="2021-07-01T00:00:00"/>
    <d v="2021-07-01T00:00:00"/>
  </r>
  <r>
    <x v="1"/>
    <s v="1741690850"/>
    <s v="EL PASO COMM COLLEGE"/>
    <s v="1021CCM001"/>
    <s v=" "/>
    <s v="1021CCMC05_F21"/>
    <s v="3"/>
    <s v=" "/>
    <s v="CERT"/>
    <n v="-54182.05"/>
    <d v="2021-07-01T00:00:00"/>
    <d v="2021-07-01T00:00:00"/>
    <d v="2021-07-01T00:00:00"/>
  </r>
  <r>
    <x v="1"/>
    <s v="1741690850"/>
    <s v="EL PASO COMM COLLEGE"/>
    <s v="1021CCM001"/>
    <s v=" "/>
    <s v="1021CCMC05_F21"/>
    <s v="3"/>
    <s v=" "/>
    <s v="CERT"/>
    <n v="-45817.95"/>
    <d v="2021-07-09T00:00:00"/>
    <d v="2021-07-09T00:00:00"/>
    <d v="2021-07-30T00:00:00"/>
  </r>
  <r>
    <x v="1"/>
    <s v="1741690850"/>
    <s v="EL PASO COMM COLLEGE"/>
    <s v="1021CCM001"/>
    <s v=" "/>
    <s v="1021CCMC05_F21"/>
    <s v="4"/>
    <s v=" "/>
    <s v="CERT"/>
    <n v="-57192.58"/>
    <d v="2021-07-09T00:00:00"/>
    <d v="2021-07-09T00:00:00"/>
    <d v="2021-07-30T00:00:00"/>
  </r>
  <r>
    <x v="1"/>
    <s v="1741690850"/>
    <s v="EL PASO COMM COLLEGE"/>
    <s v="1021CCM001"/>
    <s v=" "/>
    <s v="1021CCMC05_F21"/>
    <s v="4"/>
    <s v=" "/>
    <s v="CERT"/>
    <n v="-42807.42"/>
    <d v="2021-12-27T00:00:00"/>
    <d v="2021-12-27T00:00:00"/>
    <d v="2021-12-27T00:00:00"/>
  </r>
  <r>
    <x v="1"/>
    <s v="1741690850"/>
    <s v="EL PASO COMM COLLEGE"/>
    <s v="1021CCM001"/>
    <s v=" "/>
    <s v="1021CCMC05_F21"/>
    <s v="5"/>
    <s v=" "/>
    <s v="CERT"/>
    <n v="-19804.79"/>
    <d v="2022-02-16T00:00:00"/>
    <d v="2022-02-16T00:00:00"/>
    <d v="2022-02-28T00:00:00"/>
  </r>
  <r>
    <x v="1"/>
    <s v="1741709152"/>
    <s v="HOUSTON COMM COLLEGE SYSTEM"/>
    <s v="2821CCM001"/>
    <s v=" "/>
    <s v="2821CCMC27_F21"/>
    <s v="1"/>
    <s v=" "/>
    <s v="CERT"/>
    <n v="-75000"/>
    <d v="2021-07-01T00:00:00"/>
    <d v="2021-07-01T00:00:00"/>
    <d v="2021-07-30T00:00:00"/>
  </r>
  <r>
    <x v="1"/>
    <s v="1741709152"/>
    <s v="HOUSTON COMM COLLEGE SYSTEM"/>
    <s v="2821CCM001"/>
    <s v=" "/>
    <s v="2821CCMC27_F21"/>
    <s v="2"/>
    <s v=" "/>
    <s v="CERT"/>
    <n v="-23080.83"/>
    <d v="2021-07-01T00:00:00"/>
    <d v="2021-07-01T00:00:00"/>
    <d v="2021-07-30T00:00:00"/>
  </r>
  <r>
    <x v="1"/>
    <s v="1741709152"/>
    <s v="HOUSTON COMM COLLEGE SYSTEM"/>
    <s v="2821CCM001"/>
    <s v=" "/>
    <s v="2821CCMC27_F21"/>
    <s v="2"/>
    <s v=" "/>
    <s v="CERT"/>
    <n v="-51919.17"/>
    <d v="2021-07-14T00:00:00"/>
    <d v="2021-07-14T00:00:00"/>
    <d v="2021-07-30T00:00:00"/>
  </r>
  <r>
    <x v="1"/>
    <s v="1741709152"/>
    <s v="HOUSTON COMM COLLEGE SYSTEM"/>
    <s v="2821CCM001"/>
    <s v=" "/>
    <s v="2821CCMC27_F21"/>
    <s v="3"/>
    <s v=" "/>
    <s v="CERT"/>
    <n v="-52157.33"/>
    <d v="2021-07-14T00:00:00"/>
    <d v="2021-07-14T00:00:00"/>
    <d v="2021-07-30T00:00:00"/>
  </r>
  <r>
    <x v="1"/>
    <s v="1741709152"/>
    <s v="HOUSTON COMM COLLEGE SYSTEM"/>
    <s v="2821CCM001"/>
    <s v=" "/>
    <s v="2821CCMC27_F21"/>
    <s v="3"/>
    <s v=" "/>
    <s v="CERT"/>
    <n v="-22842.67"/>
    <d v="2021-10-11T00:00:00"/>
    <d v="2021-10-11T00:00:00"/>
    <d v="2021-10-25T00:00:00"/>
  </r>
  <r>
    <x v="1"/>
    <s v="1741709152"/>
    <s v="HOUSTON COMM COLLEGE SYSTEM"/>
    <s v="2821CCM001"/>
    <s v=" "/>
    <s v="2821CCMC27_F21"/>
    <s v="4"/>
    <s v=" "/>
    <s v="CERT"/>
    <n v="-57934.93"/>
    <d v="2021-10-11T00:00:00"/>
    <d v="2021-10-11T00:00:00"/>
    <d v="2021-10-25T00:00:00"/>
  </r>
  <r>
    <x v="1"/>
    <s v="1741709152"/>
    <s v="HOUSTON COMM COLLEGE SYSTEM"/>
    <s v="2821CCM001"/>
    <s v=" "/>
    <s v="2821CCMC27_F21"/>
    <s v="4"/>
    <s v=" "/>
    <s v="CERT"/>
    <n v="-17065.07"/>
    <d v="2022-03-03T00:00:00"/>
    <d v="2022-03-03T00:00:00"/>
    <d v="2022-03-18T00:00:00"/>
  </r>
  <r>
    <x v="1"/>
    <s v="1741742036"/>
    <s v="AUSTIN COMMUNITY COLLEGE"/>
    <s v="1421CCM001"/>
    <s v=" "/>
    <s v="1419CCMC04_F21"/>
    <s v="1"/>
    <s v=" "/>
    <s v="CERT"/>
    <n v="-100040.75"/>
    <d v="2021-08-03T00:00:00"/>
    <d v="2021-08-03T00:00:00"/>
    <d v="2021-08-26T00:00:00"/>
  </r>
  <r>
    <x v="1"/>
    <s v="1741742036"/>
    <s v="AUSTIN COMMUNITY COLLEGE"/>
    <s v="1421CCM001"/>
    <s v=" "/>
    <s v="1419CCMC04_F21"/>
    <s v="2"/>
    <s v=" "/>
    <s v="CERT"/>
    <n v="-100040.75"/>
    <d v="2021-08-18T00:00:00"/>
    <d v="2021-08-18T00:00:00"/>
    <d v="2021-08-26T00:00:00"/>
  </r>
  <r>
    <x v="1"/>
    <s v="1741742036"/>
    <s v="AUSTIN COMMUNITY COLLEGE"/>
    <s v="1421CCM001"/>
    <s v=" "/>
    <s v="1419CCMC04_F21"/>
    <s v="3"/>
    <s v=" "/>
    <s v="CERT"/>
    <n v="-100040.75"/>
    <d v="2021-08-18T00:00:00"/>
    <d v="2021-08-18T00:00:00"/>
    <d v="2021-08-26T00:00:00"/>
  </r>
  <r>
    <x v="1"/>
    <s v="1741742036"/>
    <s v="AUSTIN COMMUNITY COLLEGE"/>
    <s v="1421CCM001"/>
    <s v=" "/>
    <s v="1419CCMC04_F21"/>
    <s v="4"/>
    <s v=" "/>
    <s v="CERT"/>
    <n v="-100040.75"/>
    <d v="2022-01-20T00:00:00"/>
    <d v="2022-01-20T00:00:00"/>
    <d v="2022-01-20T00:00:00"/>
  </r>
  <r>
    <x v="1"/>
    <s v="1742841106"/>
    <s v="US DEPT OF ARMY -- CYSS"/>
    <s v="2621CCM001"/>
    <s v=" "/>
    <s v="07130C86_F21"/>
    <s v="1"/>
    <s v=" "/>
    <s v="CERT"/>
    <n v="-500000"/>
    <d v="2021-08-12T00:00:00"/>
    <d v="2021-08-12T00:00:00"/>
    <d v="2021-08-26T00:00:00"/>
  </r>
  <r>
    <x v="1"/>
    <s v="1746000019"/>
    <s v="ALIEF ISD"/>
    <s v="2821CCM001"/>
    <s v=" "/>
    <s v="2821CCMC22_F21"/>
    <s v="1"/>
    <s v=" "/>
    <s v="CERT"/>
    <n v="-33000"/>
    <d v="2021-02-05T00:00:00"/>
    <d v="2021-02-05T00:00:00"/>
    <d v="2021-02-26T00:00:00"/>
  </r>
  <r>
    <x v="1"/>
    <s v="1746000019"/>
    <s v="ALIEF ISD"/>
    <s v="2821CCM001"/>
    <s v=" "/>
    <s v="2821CCMC22_F21"/>
    <s v="2"/>
    <s v=" "/>
    <s v="CERT"/>
    <n v="-3623.28"/>
    <d v="2021-02-05T00:00:00"/>
    <d v="2021-02-05T00:00:00"/>
    <d v="2021-02-26T00:00:00"/>
  </r>
  <r>
    <x v="1"/>
    <s v="1746000019"/>
    <s v="ALIEF ISD"/>
    <s v="2821CCM001"/>
    <s v=" "/>
    <s v="2821CCMC22_F21"/>
    <s v="2"/>
    <s v=" "/>
    <s v="CERT"/>
    <n v="-23293.8"/>
    <d v="2021-07-01T00:00:00"/>
    <d v="2021-07-01T00:00:00"/>
    <d v="2021-07-30T00:00:00"/>
  </r>
  <r>
    <x v="1"/>
    <s v="1746000019"/>
    <s v="ALIEF ISD"/>
    <s v="2821CCM001"/>
    <s v=" "/>
    <s v="2821CCMC22_F21"/>
    <s v="2"/>
    <s v=" "/>
    <s v="CERT"/>
    <n v="-6082.92"/>
    <d v="2022-03-02T00:00:00"/>
    <d v="2022-03-02T00:00:00"/>
    <d v="2022-03-03T00:00:00"/>
  </r>
  <r>
    <x v="1"/>
    <s v="1746000019"/>
    <s v="ALIEF ISD"/>
    <s v="2821CCM001"/>
    <s v=" "/>
    <s v="2821CCMC22_F21"/>
    <s v="3"/>
    <s v=" "/>
    <s v="CERT"/>
    <n v="-13935.35"/>
    <d v="2022-03-02T00:00:00"/>
    <d v="2022-03-02T00:00:00"/>
    <d v="2022-03-03T00:00:00"/>
  </r>
  <r>
    <x v="1"/>
    <s v="1746000019"/>
    <s v="ALIEF ISD"/>
    <s v="2821CCM001"/>
    <s v=" "/>
    <s v="2821CCMC22_F21"/>
    <s v="3"/>
    <s v=" "/>
    <s v="CERT"/>
    <n v="-13064.65"/>
    <d v="2022-03-03T00:00:00"/>
    <d v="2022-03-03T00:00:00"/>
    <d v="2022-03-18T00:00:00"/>
  </r>
  <r>
    <x v="1"/>
    <s v="1746000027"/>
    <s v="SUL ROSS STATE UNIVERSITY"/>
    <s v="1021CCM001"/>
    <s v=" "/>
    <s v="1021CCMC03_F21"/>
    <s v="1"/>
    <s v=" "/>
    <s v="CERT"/>
    <n v="-22500"/>
    <d v="2021-07-06T00:00:00"/>
    <d v="2021-07-06T00:00:00"/>
    <d v="2021-07-09T00:00:00"/>
  </r>
  <r>
    <x v="1"/>
    <s v="1746000027"/>
    <s v="SUL ROSS STATE UNIVERSITY"/>
    <s v="1021CCM001"/>
    <s v=" "/>
    <s v="1021CCMC03_F21"/>
    <s v="2"/>
    <s v=" "/>
    <s v="CERT"/>
    <n v="-22500"/>
    <d v="2021-07-06T00:00:00"/>
    <d v="2021-07-06T00:00:00"/>
    <d v="2021-07-09T00:00:00"/>
  </r>
  <r>
    <x v="1"/>
    <s v="1746000027"/>
    <s v="SUL ROSS STATE UNIVERSITY"/>
    <s v="1021CCM001"/>
    <s v=" "/>
    <s v="1021CCMC03_F21"/>
    <s v="3"/>
    <s v=" "/>
    <s v="CERT"/>
    <n v="-8146.18"/>
    <d v="2021-07-06T00:00:00"/>
    <d v="2021-07-06T00:00:00"/>
    <d v="2021-07-09T00:00:00"/>
  </r>
  <r>
    <x v="1"/>
    <s v="1746000027"/>
    <s v="SUL ROSS STATE UNIVERSITY"/>
    <s v="1021CCM001"/>
    <s v=" "/>
    <s v="1021CCMC03_F21"/>
    <s v="3"/>
    <s v=" "/>
    <s v="CERT"/>
    <n v="-6310.77"/>
    <d v="2021-07-09T00:00:00"/>
    <d v="2021-07-09T00:00:00"/>
    <d v="2021-07-30T00:00:00"/>
  </r>
  <r>
    <x v="1"/>
    <s v="1746000027"/>
    <s v="SUL ROSS STATE UNIVERSITY"/>
    <s v="1021CCM001"/>
    <s v=" "/>
    <s v="1021CCMC03_F21"/>
    <s v="4"/>
    <s v=" "/>
    <s v="CERT"/>
    <n v="-22500"/>
    <d v="2021-07-09T00:00:00"/>
    <d v="2021-07-09T00:00:00"/>
    <d v="2021-07-30T00:00:00"/>
  </r>
  <r>
    <x v="1"/>
    <s v="1746000064"/>
    <s v="AUSTIN ISD"/>
    <s v="1421CCM001"/>
    <s v=" "/>
    <s v="1419CCMC01_F21"/>
    <s v="1"/>
    <s v=" "/>
    <s v="CERT"/>
    <n v="-132337"/>
    <d v="2021-10-27T00:00:00"/>
    <d v="2021-10-27T00:00:00"/>
    <d v="2021-10-29T00:00:00"/>
  </r>
  <r>
    <x v="1"/>
    <s v="1746000064"/>
    <s v="AUSTIN ISD"/>
    <s v="1421CCM001"/>
    <s v=" "/>
    <s v="1419CCMC01_F21"/>
    <s v="2"/>
    <s v=" "/>
    <s v="CERT"/>
    <n v="-132337"/>
    <d v="2021-10-27T00:00:00"/>
    <d v="2021-10-27T00:00:00"/>
    <d v="2021-10-29T00:00:00"/>
  </r>
  <r>
    <x v="1"/>
    <s v="1746000085"/>
    <s v="CITY OF AUSTIN FINANCIL SVCS"/>
    <s v="1421CCM001"/>
    <s v=" "/>
    <s v="1420CCMC05_F21"/>
    <s v="1"/>
    <s v=" "/>
    <s v="CERT"/>
    <n v="-361811.85"/>
    <d v="2021-07-02T00:00:00"/>
    <d v="2021-07-02T00:00:00"/>
    <d v="2021-07-02T00:00:00"/>
  </r>
  <r>
    <x v="1"/>
    <s v="1746000085"/>
    <s v="CITY OF AUSTIN FINANCIL SVCS"/>
    <s v="1421CCM001"/>
    <s v=" "/>
    <s v="1420CCMC05_F21"/>
    <s v="1"/>
    <s v=" "/>
    <s v="CERT"/>
    <n v="-3763.15"/>
    <d v="2021-07-02T00:00:00"/>
    <d v="2021-07-02T00:00:00"/>
    <d v="2021-07-28T00:00:00"/>
  </r>
  <r>
    <x v="1"/>
    <s v="1746000085"/>
    <s v="CITY OF AUSTIN FINANCIL SVCS"/>
    <s v="1421CCM001"/>
    <s v=" "/>
    <s v="1420CCMC05_F21"/>
    <s v="2"/>
    <s v=" "/>
    <s v="CERT"/>
    <n v="-183708.35"/>
    <d v="2021-07-02T00:00:00"/>
    <d v="2021-07-02T00:00:00"/>
    <d v="2021-07-28T00:00:00"/>
  </r>
  <r>
    <x v="1"/>
    <s v="1746000085"/>
    <s v="CITY OF AUSTIN FINANCIL SVCS"/>
    <s v="1421CCM001"/>
    <s v=" "/>
    <s v="1420CCMC05_F21"/>
    <s v="2"/>
    <s v=" "/>
    <s v="CERT"/>
    <n v="-181866.65"/>
    <d v="2021-07-28T00:00:00"/>
    <d v="2021-07-28T00:00:00"/>
    <d v="2021-07-30T00:00:00"/>
  </r>
  <r>
    <x v="1"/>
    <s v="1746000085"/>
    <s v="CITY OF AUSTIN FINANCIL SVCS"/>
    <s v="1421CCM001"/>
    <s v=" "/>
    <s v="1420CCMC05_F21"/>
    <s v="3"/>
    <s v=" "/>
    <s v="CERT"/>
    <n v="-265195.84000000003"/>
    <d v="2021-07-28T00:00:00"/>
    <d v="2021-07-28T00:00:00"/>
    <d v="2021-07-30T00:00:00"/>
  </r>
  <r>
    <x v="1"/>
    <s v="1746000085"/>
    <s v="CITY OF AUSTIN FINANCIL SVCS"/>
    <s v="1421CCM001"/>
    <s v=" "/>
    <s v="1420CCMC05_F21"/>
    <s v="3"/>
    <s v=" "/>
    <s v="CERT"/>
    <n v="-100379.16"/>
    <d v="2022-01-20T00:00:00"/>
    <d v="2022-01-20T00:00:00"/>
    <d v="2022-01-20T00:00:00"/>
  </r>
  <r>
    <x v="1"/>
    <s v="1746000085"/>
    <s v="CITY OF AUSTIN FINANCIL SVCS"/>
    <s v="1421CCM001"/>
    <s v=" "/>
    <s v="1420CCMC05_F21"/>
    <s v="4"/>
    <s v=" "/>
    <s v="CERT"/>
    <n v="-248419.71"/>
    <d v="2022-01-20T00:00:00"/>
    <d v="2022-01-20T00:00:00"/>
    <d v="2022-01-20T00:00:00"/>
  </r>
  <r>
    <x v="1"/>
    <s v="1746000192"/>
    <s v="TRAVIS COUNTY"/>
    <s v="1421CCM001"/>
    <s v=" "/>
    <s v="1419CCM03_F21"/>
    <s v="1"/>
    <s v=" "/>
    <s v="CERT"/>
    <n v="-122500"/>
    <d v="2021-10-27T00:00:00"/>
    <d v="2021-10-27T00:00:00"/>
    <d v="2021-10-29T00:00:00"/>
  </r>
  <r>
    <x v="1"/>
    <s v="1746000192"/>
    <s v="TRAVIS COUNTY"/>
    <s v="1421CCM001"/>
    <s v=" "/>
    <s v="1419CCM03_F21"/>
    <s v="2"/>
    <s v=" "/>
    <s v="CERT"/>
    <n v="-122500"/>
    <d v="2021-10-27T00:00:00"/>
    <d v="2021-10-27T00:00:00"/>
    <d v="2021-10-29T00:00:00"/>
  </r>
  <r>
    <x v="1"/>
    <s v="1746000251"/>
    <s v="GOOSE CREEK CONSOLIDATED ISD"/>
    <s v="2821CCM001"/>
    <s v=" "/>
    <s v="2821CCMC04_F21"/>
    <s v="1"/>
    <s v=" "/>
    <s v="CERT"/>
    <n v="-25000"/>
    <d v="2021-02-09T00:00:00"/>
    <d v="2021-02-09T00:00:00"/>
    <d v="2021-02-26T00:00:00"/>
  </r>
  <r>
    <x v="1"/>
    <s v="1746000251"/>
    <s v="GOOSE CREEK CONSOLIDATED ISD"/>
    <s v="2821CCM001"/>
    <s v=" "/>
    <s v="2821CCMC04_F21"/>
    <s v="2"/>
    <s v=" "/>
    <s v="CERT"/>
    <n v="-9224.2099999999991"/>
    <d v="2021-02-09T00:00:00"/>
    <d v="2021-02-09T00:00:00"/>
    <d v="2021-02-26T00:00:00"/>
  </r>
  <r>
    <x v="1"/>
    <s v="1746000251"/>
    <s v="GOOSE CREEK CONSOLIDATED ISD"/>
    <s v="2821CCM001"/>
    <s v=" "/>
    <s v="2821CCMC04_F21"/>
    <s v="2"/>
    <s v=" "/>
    <s v="CERT"/>
    <n v="-15775.79"/>
    <d v="2021-07-01T00:00:00"/>
    <d v="2021-07-01T00:00:00"/>
    <d v="2021-07-30T00:00:00"/>
  </r>
  <r>
    <x v="1"/>
    <s v="1746000251"/>
    <s v="GOOSE CREEK CONSOLIDATED ISD"/>
    <s v="2821CCM001"/>
    <s v=" "/>
    <s v="2821CCMC04_F21"/>
    <s v="3"/>
    <s v=" "/>
    <s v="CERT"/>
    <n v="-14868.4"/>
    <d v="2021-07-01T00:00:00"/>
    <d v="2021-07-01T00:00:00"/>
    <d v="2021-07-30T00:00:00"/>
  </r>
  <r>
    <x v="1"/>
    <s v="1746000251"/>
    <s v="GOOSE CREEK CONSOLIDATED ISD"/>
    <s v="2821CCM001"/>
    <s v=" "/>
    <s v="2821CCMC04_F21"/>
    <s v="3"/>
    <s v=" "/>
    <s v="CERT"/>
    <n v="-10131.6"/>
    <d v="2021-10-15T00:00:00"/>
    <d v="2021-10-15T00:00:00"/>
    <d v="2021-10-25T00:00:00"/>
  </r>
  <r>
    <x v="1"/>
    <s v="1746000251"/>
    <s v="GOOSE CREEK CONSOLIDATED ISD"/>
    <s v="2821CCM001"/>
    <s v=" "/>
    <s v="2821CCMC04_F21"/>
    <s v="4"/>
    <s v=" "/>
    <s v="CERT"/>
    <n v="-15000"/>
    <d v="2021-10-15T00:00:00"/>
    <d v="2021-10-15T00:00:00"/>
    <d v="2021-10-25T00:00:00"/>
  </r>
  <r>
    <x v="1"/>
    <s v="1746000348"/>
    <s v="BELL COUNTY"/>
    <s v="2621CCM001"/>
    <s v=" "/>
    <s v="07130C94_F21"/>
    <s v="1"/>
    <s v=" "/>
    <s v="CERT"/>
    <n v="-30000"/>
    <d v="2021-08-09T00:00:00"/>
    <d v="2021-08-09T00:00:00"/>
    <d v="2021-08-26T00:00:00"/>
  </r>
  <r>
    <x v="1"/>
    <s v="1746000422"/>
    <s v="CITY OF BROWNSVILLE"/>
    <s v="2421CCM001"/>
    <s v=" "/>
    <s v="11300C05_F21"/>
    <s v="3"/>
    <s v=" "/>
    <s v="CERT"/>
    <n v="-255092"/>
    <d v="2022-02-16T00:00:00"/>
    <d v="2022-02-16T00:00:00"/>
    <d v="2022-02-28T00:00:00"/>
  </r>
  <r>
    <x v="1"/>
    <s v="1746000507"/>
    <s v="CHANNELVIEW ISD"/>
    <s v="2821CCM001"/>
    <s v=" "/>
    <s v="2821CCMC01_F21"/>
    <s v="1"/>
    <s v=" "/>
    <s v="CERT"/>
    <n v="-85000"/>
    <d v="2021-02-05T00:00:00"/>
    <d v="2021-02-05T00:00:00"/>
    <d v="2021-02-26T00:00:00"/>
  </r>
  <r>
    <x v="1"/>
    <s v="1746000507"/>
    <s v="CHANNELVIEW ISD"/>
    <s v="2821CCM001"/>
    <s v=" "/>
    <s v="2821CCMC01_F21"/>
    <s v="2"/>
    <s v=" "/>
    <s v="CERT"/>
    <n v="-22823.09"/>
    <d v="2021-02-05T00:00:00"/>
    <d v="2021-02-05T00:00:00"/>
    <d v="2021-02-26T00:00:00"/>
  </r>
  <r>
    <x v="1"/>
    <s v="1746000507"/>
    <s v="CHANNELVIEW ISD"/>
    <s v="2821CCM001"/>
    <s v=" "/>
    <s v="2821CCMC01_F21"/>
    <s v="2"/>
    <s v=" "/>
    <s v="CERT"/>
    <n v="-62176.91"/>
    <d v="2021-07-01T00:00:00"/>
    <d v="2021-07-01T00:00:00"/>
    <d v="2021-07-30T00:00:00"/>
  </r>
  <r>
    <x v="1"/>
    <s v="1746000507"/>
    <s v="CHANNELVIEW ISD"/>
    <s v="2821CCM001"/>
    <s v=" "/>
    <s v="2821CCMC01_F21"/>
    <s v="3"/>
    <s v=" "/>
    <s v="CERT"/>
    <n v="-40674.57"/>
    <d v="2021-07-01T00:00:00"/>
    <d v="2021-07-01T00:00:00"/>
    <d v="2021-07-30T00:00:00"/>
  </r>
  <r>
    <x v="1"/>
    <s v="1746000507"/>
    <s v="CHANNELVIEW ISD"/>
    <s v="2821CCM001"/>
    <s v=" "/>
    <s v="2821CCMC01_F21"/>
    <s v="3"/>
    <s v=" "/>
    <s v="CERT"/>
    <n v="-39325.43"/>
    <d v="2021-10-15T00:00:00"/>
    <d v="2021-10-15T00:00:00"/>
    <d v="2021-10-25T00:00:00"/>
  </r>
  <r>
    <x v="1"/>
    <s v="1746000507"/>
    <s v="CHANNELVIEW ISD"/>
    <s v="2821CCM001"/>
    <s v=" "/>
    <s v="2821CCMC01_F21"/>
    <s v="4"/>
    <s v=" "/>
    <s v="CERT"/>
    <n v="-64744.32"/>
    <d v="2021-10-15T00:00:00"/>
    <d v="2021-10-15T00:00:00"/>
    <d v="2021-10-25T00:00:00"/>
  </r>
  <r>
    <x v="1"/>
    <s v="1746000507"/>
    <s v="CHANNELVIEW ISD"/>
    <s v="2821CCM001"/>
    <s v=" "/>
    <s v="2821CCMC01_F21"/>
    <s v="4"/>
    <s v=" "/>
    <s v="CERT"/>
    <n v="-15255.68"/>
    <d v="2022-03-02T00:00:00"/>
    <d v="2022-03-02T00:00:00"/>
    <d v="2022-03-18T00:00:00"/>
  </r>
  <r>
    <x v="1"/>
    <s v="1746000556"/>
    <s v="CONROE ISD"/>
    <s v="2821CCM001"/>
    <s v=" "/>
    <s v="2821CCMC19_F21"/>
    <s v="1"/>
    <s v=" "/>
    <s v="CERT"/>
    <n v="-15000"/>
    <d v="2021-02-05T00:00:00"/>
    <d v="2021-02-05T00:00:00"/>
    <d v="2021-02-26T00:00:00"/>
  </r>
  <r>
    <x v="1"/>
    <s v="1746000556"/>
    <s v="CONROE ISD"/>
    <s v="2821CCM001"/>
    <s v=" "/>
    <s v="2821CCMC19_F21"/>
    <s v="2"/>
    <s v=" "/>
    <s v="CERT"/>
    <n v="-4627.8900000000003"/>
    <d v="2021-02-05T00:00:00"/>
    <d v="2021-02-05T00:00:00"/>
    <d v="2021-02-26T00:00:00"/>
  </r>
  <r>
    <x v="1"/>
    <s v="1746000556"/>
    <s v="CONROE ISD"/>
    <s v="2821CCM001"/>
    <s v=" "/>
    <s v="2821CCMC19_F21"/>
    <s v="2"/>
    <s v=" "/>
    <s v="CERT"/>
    <n v="-10372.11"/>
    <d v="2021-07-01T00:00:00"/>
    <d v="2021-07-01T00:00:00"/>
    <d v="2021-07-30T00:00:00"/>
  </r>
  <r>
    <x v="1"/>
    <s v="1746000556"/>
    <s v="CONROE ISD"/>
    <s v="2821CCM001"/>
    <s v=" "/>
    <s v="2821CCMC19_F21"/>
    <s v="3"/>
    <s v=" "/>
    <s v="CERT"/>
    <n v="-9603.51"/>
    <d v="2021-07-01T00:00:00"/>
    <d v="2021-07-01T00:00:00"/>
    <d v="2021-07-30T00:00:00"/>
  </r>
  <r>
    <x v="1"/>
    <s v="1746000556"/>
    <s v="CONROE ISD"/>
    <s v="2821CCM001"/>
    <s v=" "/>
    <s v="2821CCMC19_F21"/>
    <s v="3"/>
    <s v=" "/>
    <s v="CERT"/>
    <n v="-5396.49"/>
    <d v="2021-10-15T00:00:00"/>
    <d v="2021-10-15T00:00:00"/>
    <d v="2021-10-25T00:00:00"/>
  </r>
  <r>
    <x v="1"/>
    <s v="1746000556"/>
    <s v="CONROE ISD"/>
    <s v="2821CCM001"/>
    <s v=" "/>
    <s v="2821CCMC19_F21"/>
    <s v="4"/>
    <s v=" "/>
    <s v="CERT"/>
    <n v="-13000"/>
    <d v="2021-10-15T00:00:00"/>
    <d v="2021-10-15T00:00:00"/>
    <d v="2021-10-25T00:00:00"/>
  </r>
  <r>
    <x v="1"/>
    <s v="1746000654"/>
    <s v="CYPRESS-FAIRBANKS ISD"/>
    <s v="2821CCM001"/>
    <s v=" "/>
    <s v="2821CCMC05_F21"/>
    <s v="1"/>
    <s v=" "/>
    <s v="CERT"/>
    <n v="-5000"/>
    <d v="2021-02-05T00:00:00"/>
    <d v="2021-02-05T00:00:00"/>
    <d v="2021-02-26T00:00:00"/>
  </r>
  <r>
    <x v="1"/>
    <s v="1746000654"/>
    <s v="CYPRESS-FAIRBANKS ISD"/>
    <s v="2821CCM001"/>
    <s v=" "/>
    <s v="2821CCMC05_F21"/>
    <s v="2"/>
    <s v=" "/>
    <s v="CERT"/>
    <n v="-5000"/>
    <d v="2021-02-05T00:00:00"/>
    <d v="2021-02-05T00:00:00"/>
    <d v="2021-02-26T00:00:00"/>
  </r>
  <r>
    <x v="1"/>
    <s v="1746000654"/>
    <s v="CYPRESS-FAIRBANKS ISD"/>
    <s v="2821CCM001"/>
    <s v=" "/>
    <s v="2821CCMC05_F21"/>
    <s v="3"/>
    <s v=" "/>
    <s v="CERT"/>
    <n v="-3271.36"/>
    <d v="2021-02-05T00:00:00"/>
    <d v="2021-02-05T00:00:00"/>
    <d v="2021-02-26T00:00:00"/>
  </r>
  <r>
    <x v="1"/>
    <s v="1746000654"/>
    <s v="CYPRESS-FAIRBANKS ISD"/>
    <s v="2821CCM001"/>
    <s v=" "/>
    <s v="2821CCMC05_F21"/>
    <s v="3"/>
    <s v=" "/>
    <s v="CERT"/>
    <n v="-1728.64"/>
    <d v="2021-07-01T00:00:00"/>
    <d v="2021-07-01T00:00:00"/>
    <d v="2021-07-30T00:00:00"/>
  </r>
  <r>
    <x v="1"/>
    <s v="1746000654"/>
    <s v="CYPRESS-FAIRBANKS ISD"/>
    <s v="2821CCM001"/>
    <s v=" "/>
    <s v="2821CCMC05_F21"/>
    <s v="4"/>
    <s v=" "/>
    <s v="CERT"/>
    <n v="-5000"/>
    <d v="2021-07-01T00:00:00"/>
    <d v="2021-07-01T00:00:00"/>
    <d v="2021-07-30T00:00:00"/>
  </r>
  <r>
    <x v="1"/>
    <s v="1746000813"/>
    <s v="UNIVERSITY OF TEXAS AT EL PASO (UTEP)"/>
    <s v="1021CCM001"/>
    <s v=" "/>
    <s v="1021CCMC08_F21"/>
    <s v="1"/>
    <s v=" "/>
    <s v="CERT"/>
    <n v="-51973"/>
    <d v="2021-08-04T00:00:00"/>
    <d v="2021-08-04T00:00:00"/>
    <d v="2021-08-04T00:00:00"/>
  </r>
  <r>
    <x v="1"/>
    <s v="1746000813"/>
    <s v="UNIVERSITY OF TEXAS AT EL PASO (UTEP)"/>
    <s v="1021CCM001"/>
    <s v=" "/>
    <s v="1021CCMC08_F21"/>
    <s v="2"/>
    <s v=" "/>
    <s v="CERT"/>
    <n v="-36128.54"/>
    <d v="2021-08-04T00:00:00"/>
    <d v="2021-08-04T00:00:00"/>
    <d v="2021-08-04T00:00:00"/>
  </r>
  <r>
    <x v="1"/>
    <s v="1746000813"/>
    <s v="UNIVERSITY OF TEXAS AT EL PASO (UTEP)"/>
    <s v="1021CCM001"/>
    <s v=" "/>
    <s v="1021CCMC08_F21"/>
    <s v="2"/>
    <s v=" "/>
    <s v="CERT"/>
    <n v="-15844.46"/>
    <d v="2021-08-04T00:00:00"/>
    <d v="2021-08-04T00:00:00"/>
    <d v="2021-08-26T00:00:00"/>
  </r>
  <r>
    <x v="1"/>
    <s v="1746000813"/>
    <s v="UNIVERSITY OF TEXAS AT EL PASO (UTEP)"/>
    <s v="1021CCM001"/>
    <s v=" "/>
    <s v="1021CCMC08_F21"/>
    <s v="3"/>
    <s v=" "/>
    <s v="CERT"/>
    <n v="-51973"/>
    <d v="2021-08-04T00:00:00"/>
    <d v="2021-08-04T00:00:00"/>
    <d v="2021-08-26T00:00:00"/>
  </r>
  <r>
    <x v="1"/>
    <s v="1746000813"/>
    <s v="UNIVERSITY OF TEXAS AT EL PASO (UTEP)"/>
    <s v="1021CCM001"/>
    <s v=" "/>
    <s v="1021CCMC08_F21"/>
    <s v="4"/>
    <s v=" "/>
    <s v="CERT"/>
    <n v="-25994.400000000001"/>
    <d v="2021-08-04T00:00:00"/>
    <d v="2021-08-04T00:00:00"/>
    <d v="2021-08-26T00:00:00"/>
  </r>
  <r>
    <x v="1"/>
    <s v="1746000813"/>
    <s v="UNIVERSITY OF TEXAS AT EL PASO (UTEP)"/>
    <s v="1021CCM001"/>
    <s v=" "/>
    <s v="1021CCMC08_F21"/>
    <s v="4"/>
    <s v=" "/>
    <s v="CERT"/>
    <n v="-25978.6"/>
    <d v="2022-03-16T00:00:00"/>
    <d v="2022-03-16T00:00:00"/>
    <d v="2022-03-18T00:00:00"/>
  </r>
  <r>
    <x v="1"/>
    <s v="1746000813"/>
    <s v="UNIVERSITY OF TEXAS AT EL PASO (UTEP)"/>
    <s v="1021CCM001"/>
    <s v=" "/>
    <s v="1021CCMC08_F21"/>
    <s v="5"/>
    <s v=" "/>
    <s v="CERT"/>
    <n v="-29265"/>
    <d v="2022-03-16T00:00:00"/>
    <d v="2022-03-16T00:00:00"/>
    <d v="2022-03-18T00:00:00"/>
  </r>
  <r>
    <x v="1"/>
    <s v="1746000895"/>
    <s v="GALENA PARK ISD"/>
    <s v="2821CCM001"/>
    <s v=" "/>
    <s v="2821CCMC09_F21"/>
    <s v="1"/>
    <s v=" "/>
    <s v="CERT"/>
    <n v="-120000"/>
    <d v="2021-02-05T00:00:00"/>
    <d v="2021-02-05T00:00:00"/>
    <d v="2021-02-26T00:00:00"/>
  </r>
  <r>
    <x v="1"/>
    <s v="1746000895"/>
    <s v="GALENA PARK ISD"/>
    <s v="2821CCM001"/>
    <s v=" "/>
    <s v="2821CCMC09_F21"/>
    <s v="2"/>
    <s v=" "/>
    <s v="CERT"/>
    <n v="-58484.18"/>
    <d v="2021-02-05T00:00:00"/>
    <d v="2021-02-05T00:00:00"/>
    <d v="2021-02-26T00:00:00"/>
  </r>
  <r>
    <x v="1"/>
    <s v="1746000895"/>
    <s v="GALENA PARK ISD"/>
    <s v="2821CCM001"/>
    <s v=" "/>
    <s v="2821CCMC09_F21"/>
    <s v="2"/>
    <s v=" "/>
    <s v="CERT"/>
    <n v="-61515.82"/>
    <d v="2021-07-01T00:00:00"/>
    <d v="2021-07-01T00:00:00"/>
    <d v="2021-07-30T00:00:00"/>
  </r>
  <r>
    <x v="1"/>
    <s v="1746000895"/>
    <s v="GALENA PARK ISD"/>
    <s v="2821CCM001"/>
    <s v=" "/>
    <s v="2821CCMC09_F21"/>
    <s v="3"/>
    <s v=" "/>
    <s v="CERT"/>
    <n v="-120000"/>
    <d v="2021-07-01T00:00:00"/>
    <d v="2021-07-01T00:00:00"/>
    <d v="2021-07-30T00:00:00"/>
  </r>
  <r>
    <x v="1"/>
    <s v="1746000895"/>
    <s v="GALENA PARK ISD"/>
    <s v="2821CCM001"/>
    <s v=" "/>
    <s v="2821CCMC09_F21"/>
    <s v="4"/>
    <s v=" "/>
    <s v="CERT"/>
    <n v="-28449.43"/>
    <d v="2021-07-01T00:00:00"/>
    <d v="2021-07-01T00:00:00"/>
    <d v="2021-07-30T00:00:00"/>
  </r>
  <r>
    <x v="1"/>
    <s v="1746000895"/>
    <s v="GALENA PARK ISD"/>
    <s v="2821CCM001"/>
    <s v=" "/>
    <s v="2821CCMC09_F21"/>
    <s v="4"/>
    <s v=" "/>
    <s v="CERT"/>
    <n v="-66550.570000000007"/>
    <d v="2021-10-15T00:00:00"/>
    <d v="2021-10-15T00:00:00"/>
    <d v="2021-10-25T00:00:00"/>
  </r>
  <r>
    <x v="1"/>
    <s v="1746000921"/>
    <s v="GALVESTON ISD"/>
    <s v="2821CCM001"/>
    <s v=" "/>
    <s v="2821CCMC08_F21"/>
    <s v="1"/>
    <s v=" "/>
    <s v="CERT"/>
    <n v="-17000"/>
    <d v="2021-02-05T00:00:00"/>
    <d v="2021-02-05T00:00:00"/>
    <d v="2021-02-26T00:00:00"/>
  </r>
  <r>
    <x v="1"/>
    <s v="1746000921"/>
    <s v="GALVESTON ISD"/>
    <s v="2821CCM001"/>
    <s v=" "/>
    <s v="2821CCMC08_F21"/>
    <s v="2"/>
    <s v=" "/>
    <s v="CERT"/>
    <n v="-8405.3700000000008"/>
    <d v="2021-02-05T00:00:00"/>
    <d v="2021-02-05T00:00:00"/>
    <d v="2021-02-26T00:00:00"/>
  </r>
  <r>
    <x v="1"/>
    <s v="1746000921"/>
    <s v="GALVESTON ISD"/>
    <s v="2821CCM001"/>
    <s v=" "/>
    <s v="2821CCMC08_F21"/>
    <s v="2"/>
    <s v=" "/>
    <s v="CERT"/>
    <n v="-8594.6299999999992"/>
    <d v="2021-07-01T00:00:00"/>
    <d v="2021-07-01T00:00:00"/>
    <d v="2021-07-30T00:00:00"/>
  </r>
  <r>
    <x v="1"/>
    <s v="1746000921"/>
    <s v="GALVESTON ISD"/>
    <s v="2821CCM001"/>
    <s v=" "/>
    <s v="2821CCMC08_F21"/>
    <s v="3"/>
    <s v=" "/>
    <s v="CERT"/>
    <n v="-12731.98"/>
    <d v="2021-07-01T00:00:00"/>
    <d v="2021-07-01T00:00:00"/>
    <d v="2021-07-30T00:00:00"/>
  </r>
  <r>
    <x v="1"/>
    <s v="1746000921"/>
    <s v="GALVESTON ISD"/>
    <s v="2821CCM001"/>
    <s v=" "/>
    <s v="2821CCMC08_F21"/>
    <s v="3"/>
    <s v=" "/>
    <s v="CERT"/>
    <n v="-4268.0200000000004"/>
    <d v="2021-10-15T00:00:00"/>
    <d v="2021-10-15T00:00:00"/>
    <d v="2021-10-25T00:00:00"/>
  </r>
  <r>
    <x v="1"/>
    <s v="1746000921"/>
    <s v="GALVESTON ISD"/>
    <s v="2821CCM001"/>
    <s v=" "/>
    <s v="2821CCMC08_F21"/>
    <s v="4"/>
    <s v=" "/>
    <s v="CERT"/>
    <n v="-14000"/>
    <d v="2021-10-15T00:00:00"/>
    <d v="2021-10-15T00:00:00"/>
    <d v="2021-10-25T00:00:00"/>
  </r>
  <r>
    <x v="1"/>
    <s v="1746000975"/>
    <s v="GEORGETOWN ISD"/>
    <s v="1521CCM001"/>
    <s v=" "/>
    <s v="1521CCMC15_F21"/>
    <s v="1"/>
    <s v=" "/>
    <s v="CERT"/>
    <n v="-445000"/>
    <d v="2021-10-15T00:00:00"/>
    <d v="2021-10-15T00:00:00"/>
    <d v="2021-10-25T00:00:00"/>
  </r>
  <r>
    <x v="1"/>
    <s v="1746001047"/>
    <s v="CITY OF HARLINGEN"/>
    <s v="2421CCM001"/>
    <s v=" "/>
    <s v="11300C06_F21"/>
    <s v="1"/>
    <s v=" "/>
    <s v="CERT"/>
    <n v="-70398.899999999994"/>
    <d v="2021-05-06T00:00:00"/>
    <d v="2021-05-06T00:00:00"/>
    <d v="2021-05-14T00:00:00"/>
  </r>
  <r>
    <x v="1"/>
    <s v="1746001047"/>
    <s v="CITY OF HARLINGEN"/>
    <s v="2421CCM001"/>
    <s v=" "/>
    <s v="11300C06_F21"/>
    <s v="1"/>
    <s v=" "/>
    <s v="CERT"/>
    <n v="-46020.1"/>
    <d v="2021-07-28T00:00:00"/>
    <d v="2021-07-28T00:00:00"/>
    <d v="2021-07-30T00:00:00"/>
  </r>
  <r>
    <x v="1"/>
    <s v="1746001047"/>
    <s v="CITY OF HARLINGEN"/>
    <s v="2421CCM001"/>
    <s v=" "/>
    <s v="11300C06_F21"/>
    <s v="2"/>
    <s v=" "/>
    <s v="CERT"/>
    <n v="-116419"/>
    <d v="2021-07-28T00:00:00"/>
    <d v="2021-07-28T00:00:00"/>
    <d v="2021-07-30T00:00:00"/>
  </r>
  <r>
    <x v="1"/>
    <s v="1746001047"/>
    <s v="CITY OF HARLINGEN"/>
    <s v="2421CCM001"/>
    <s v=" "/>
    <s v="11300C06_F21"/>
    <s v="3"/>
    <s v=" "/>
    <s v="CERT"/>
    <n v="-116419"/>
    <d v="2021-07-28T00:00:00"/>
    <d v="2021-07-28T00:00:00"/>
    <d v="2021-07-30T00:00:00"/>
  </r>
  <r>
    <x v="1"/>
    <s v="1746001047"/>
    <s v="CITY OF HARLINGEN"/>
    <s v="2421CCM001"/>
    <s v=" "/>
    <s v="11300C06_F21"/>
    <s v="4"/>
    <s v=" "/>
    <s v="CERT"/>
    <n v="-72929.08"/>
    <d v="2021-07-28T00:00:00"/>
    <d v="2021-07-28T00:00:00"/>
    <d v="2021-07-30T00:00:00"/>
  </r>
  <r>
    <x v="1"/>
    <s v="1746001047"/>
    <s v="CITY OF HARLINGEN"/>
    <s v="2421CCM001"/>
    <s v=" "/>
    <s v="11300C06_F21"/>
    <s v="4"/>
    <s v=" "/>
    <s v="CERT"/>
    <n v="-43489.919999999998"/>
    <d v="2021-10-15T00:00:00"/>
    <d v="2021-10-15T00:00:00"/>
    <d v="2021-10-25T00:00:00"/>
  </r>
  <r>
    <x v="1"/>
    <s v="1746001082"/>
    <s v="MIDWAY ISD"/>
    <s v="1321CCM001"/>
    <s v=" "/>
    <s v="1321CCMC19_F21"/>
    <s v="1"/>
    <s v=" "/>
    <s v="CERT"/>
    <n v="-20000"/>
    <d v="2022-01-20T00:00:00"/>
    <d v="2022-01-20T00:00:00"/>
    <d v="2022-01-20T00:00:00"/>
  </r>
  <r>
    <x v="1"/>
    <s v="1746001110"/>
    <s v="ALDINE ISD"/>
    <s v="2821CCM001"/>
    <s v=" "/>
    <s v="2821CCMC37_F21"/>
    <s v="1"/>
    <s v=" "/>
    <s v="CERT"/>
    <n v="-90000"/>
    <d v="2021-02-05T00:00:00"/>
    <d v="2021-02-05T00:00:00"/>
    <d v="2021-02-26T00:00:00"/>
  </r>
  <r>
    <x v="1"/>
    <s v="1746001110"/>
    <s v="ALDINE ISD"/>
    <s v="2821CCM001"/>
    <s v=" "/>
    <s v="2821CCMC37_F21"/>
    <s v="2"/>
    <s v=" "/>
    <s v="CERT"/>
    <n v="-22393.15"/>
    <d v="2021-02-05T00:00:00"/>
    <d v="2021-02-05T00:00:00"/>
    <d v="2021-02-26T00:00:00"/>
  </r>
  <r>
    <x v="1"/>
    <s v="1746001110"/>
    <s v="ALDINE ISD"/>
    <s v="2821CCM001"/>
    <s v=" "/>
    <s v="2821CCMC37_F21"/>
    <s v="2"/>
    <s v=" "/>
    <s v="CERT"/>
    <n v="-62606.85"/>
    <d v="2021-07-01T00:00:00"/>
    <d v="2021-07-01T00:00:00"/>
    <d v="2021-07-30T00:00:00"/>
  </r>
  <r>
    <x v="1"/>
    <s v="1746001110"/>
    <s v="ALDINE ISD"/>
    <s v="2821CCM001"/>
    <s v=" "/>
    <s v="2821CCMC37_F21"/>
    <s v="3"/>
    <s v=" "/>
    <s v="CERT"/>
    <n v="-35625.279999999999"/>
    <d v="2021-07-01T00:00:00"/>
    <d v="2021-07-01T00:00:00"/>
    <d v="2021-07-30T00:00:00"/>
  </r>
  <r>
    <x v="1"/>
    <s v="1746001110"/>
    <s v="ALDINE ISD"/>
    <s v="2821CCM001"/>
    <s v=" "/>
    <s v="2821CCMC37_F21"/>
    <s v="3"/>
    <s v=" "/>
    <s v="CERT"/>
    <n v="-49374.720000000001"/>
    <d v="2021-10-15T00:00:00"/>
    <d v="2021-10-15T00:00:00"/>
    <d v="2021-10-25T00:00:00"/>
  </r>
  <r>
    <x v="1"/>
    <s v="1746001110"/>
    <s v="ALDINE ISD"/>
    <s v="2821CCM001"/>
    <s v=" "/>
    <s v="2821CCMC37_F21"/>
    <s v="4"/>
    <s v=" "/>
    <s v="CERT"/>
    <n v="-45089.46"/>
    <d v="2021-10-15T00:00:00"/>
    <d v="2021-10-15T00:00:00"/>
    <d v="2021-10-25T00:00:00"/>
  </r>
  <r>
    <x v="1"/>
    <s v="1746001110"/>
    <s v="ALDINE ISD"/>
    <s v="2821CCM001"/>
    <s v=" "/>
    <s v="2821CCMC37_F21"/>
    <s v="4"/>
    <s v=" "/>
    <s v="CERT"/>
    <n v="-14910.54"/>
    <d v="2022-03-02T00:00:00"/>
    <d v="2022-03-02T00:00:00"/>
    <d v="2022-03-18T00:00:00"/>
  </r>
  <r>
    <x v="1"/>
    <s v="1746001164"/>
    <s v="CITY OF HOUSTON"/>
    <s v="2821CCM001"/>
    <s v=" "/>
    <s v="2821CCMC06_F21"/>
    <s v="1"/>
    <s v=" "/>
    <s v="CERT"/>
    <n v="-75000"/>
    <d v="2021-07-01T00:00:00"/>
    <d v="2021-07-01T00:00:00"/>
    <d v="2021-07-30T00:00:00"/>
  </r>
  <r>
    <x v="1"/>
    <s v="1746001164"/>
    <s v="CITY OF HOUSTON"/>
    <s v="2821CCM001"/>
    <s v=" "/>
    <s v="2821CCMC06_F21"/>
    <s v="2"/>
    <s v=" "/>
    <s v="CERT"/>
    <n v="-7071.47"/>
    <d v="2021-07-01T00:00:00"/>
    <d v="2021-07-01T00:00:00"/>
    <d v="2021-07-30T00:00:00"/>
  </r>
  <r>
    <x v="1"/>
    <s v="1746001164"/>
    <s v="CITY OF HOUSTON"/>
    <s v="2821CCM001"/>
    <s v=" "/>
    <s v="2821CCMC06_F21"/>
    <s v="2"/>
    <s v=" "/>
    <s v="CERT"/>
    <n v="-50416.21"/>
    <d v="2021-07-14T00:00:00"/>
    <d v="2021-07-14T00:00:00"/>
    <d v="2021-07-30T00:00:00"/>
  </r>
  <r>
    <x v="1"/>
    <s v="1746001164"/>
    <s v="CITY OF HOUSTON"/>
    <s v="2821CCM001"/>
    <s v=" "/>
    <s v="2821CCMC06_F21"/>
    <s v="2"/>
    <s v=" "/>
    <s v="CERT"/>
    <n v="-17512.32"/>
    <d v="2021-10-15T00:00:00"/>
    <d v="2021-10-15T00:00:00"/>
    <d v="2021-10-25T00:00:00"/>
  </r>
  <r>
    <x v="1"/>
    <s v="1746001164"/>
    <s v="CITY OF HOUSTON"/>
    <s v="2821CCM001"/>
    <s v=" "/>
    <s v="2821CCMC06_F21"/>
    <s v="3"/>
    <s v=" "/>
    <s v="CERT"/>
    <n v="-32455.98"/>
    <d v="2021-10-15T00:00:00"/>
    <d v="2021-10-15T00:00:00"/>
    <d v="2021-10-25T00:00:00"/>
  </r>
  <r>
    <x v="1"/>
    <s v="1746001164"/>
    <s v="CITY OF HOUSTON"/>
    <s v="2821CCM001"/>
    <s v=" "/>
    <s v="2821CCMC06_F21"/>
    <s v="4"/>
    <s v=" "/>
    <s v="CERT"/>
    <n v="-27544.02"/>
    <d v="2022-03-03T00:00:00"/>
    <d v="2022-03-03T00:00:00"/>
    <d v="2022-03-18T00:00:00"/>
  </r>
  <r>
    <x v="1"/>
    <s v="1746001164"/>
    <s v="CITY OF HOUSTON"/>
    <s v="2821CCM001"/>
    <s v=" "/>
    <s v="2821CCMC07_F21"/>
    <s v="1"/>
    <s v=" "/>
    <s v="CERT"/>
    <n v="-70000"/>
    <d v="2021-07-14T00:00:00"/>
    <d v="2021-07-14T00:00:00"/>
    <d v="2021-07-30T00:00:00"/>
  </r>
  <r>
    <x v="1"/>
    <s v="1746001164"/>
    <s v="CITY OF HOUSTON"/>
    <s v="2821CCM001"/>
    <s v=" "/>
    <s v="2821CCMC07_F21"/>
    <s v="2"/>
    <s v=" "/>
    <s v="CERT"/>
    <n v="-421499.97"/>
    <d v="2021-07-14T00:00:00"/>
    <d v="2021-07-14T00:00:00"/>
    <d v="2021-07-30T00:00:00"/>
  </r>
  <r>
    <x v="1"/>
    <s v="1746001164"/>
    <s v="CITY OF HOUSTON"/>
    <s v="2821CCM001"/>
    <s v=" "/>
    <s v="2821CCMC07_F21"/>
    <s v="2"/>
    <s v=" "/>
    <s v="CERT"/>
    <n v="-258500.03"/>
    <d v="2021-10-15T00:00:00"/>
    <d v="2021-10-15T00:00:00"/>
    <d v="2021-10-25T00:00:00"/>
  </r>
  <r>
    <x v="1"/>
    <s v="1746001164"/>
    <s v="CITY OF HOUSTON"/>
    <s v="2821CCM001"/>
    <s v=" "/>
    <s v="2821CCMC07_F21"/>
    <s v="3"/>
    <s v=" "/>
    <s v="CERT"/>
    <n v="-228633.34"/>
    <d v="2021-10-15T00:00:00"/>
    <d v="2021-10-15T00:00:00"/>
    <d v="2021-10-25T00:00:00"/>
  </r>
  <r>
    <x v="1"/>
    <s v="1746001164"/>
    <s v="CITY OF HOUSTON"/>
    <s v="2821CCM001"/>
    <s v=" "/>
    <s v="2821CCMC07_F21"/>
    <s v="3"/>
    <s v=" "/>
    <s v="CERT"/>
    <n v="-21366.66"/>
    <d v="2022-03-03T00:00:00"/>
    <d v="2022-03-03T00:00:00"/>
    <d v="2022-03-18T00:00:00"/>
  </r>
  <r>
    <x v="1"/>
    <s v="1746001215"/>
    <s v="HARRIS COUNTY DEPT OF EDUC"/>
    <s v="2821CCM001"/>
    <s v=" "/>
    <s v="2821CCMC24_F21"/>
    <s v="1"/>
    <s v=" "/>
    <s v="CERT"/>
    <n v="-118493.01"/>
    <d v="2021-02-09T00:00:00"/>
    <d v="2021-02-09T00:00:00"/>
    <d v="2021-02-26T00:00:00"/>
  </r>
  <r>
    <x v="1"/>
    <s v="1746001215"/>
    <s v="HARRIS COUNTY DEPT OF EDUC"/>
    <s v="2821CCM001"/>
    <s v=" "/>
    <s v="2821CCMC24_F21"/>
    <s v="1"/>
    <s v=" "/>
    <s v="CERT"/>
    <n v="-81506.990000000005"/>
    <d v="2021-07-02T00:00:00"/>
    <d v="2021-07-02T00:00:00"/>
    <d v="2021-07-30T00:00:00"/>
  </r>
  <r>
    <x v="1"/>
    <s v="1746001215"/>
    <s v="HARRIS COUNTY DEPT OF EDUC"/>
    <s v="2821CCM001"/>
    <s v=" "/>
    <s v="2821CCMC24_F21"/>
    <s v="2"/>
    <s v=" "/>
    <s v="CERT"/>
    <n v="-700000"/>
    <d v="2021-07-02T00:00:00"/>
    <d v="2021-07-02T00:00:00"/>
    <d v="2021-07-30T00:00:00"/>
  </r>
  <r>
    <x v="1"/>
    <s v="1746001215"/>
    <s v="HARRIS COUNTY DEPT OF EDUC"/>
    <s v="2821CCM001"/>
    <s v=" "/>
    <s v="2821CCMC24_F21"/>
    <s v="3"/>
    <s v=" "/>
    <s v="CERT"/>
    <n v="-89804.32"/>
    <d v="2021-07-02T00:00:00"/>
    <d v="2021-07-02T00:00:00"/>
    <d v="2021-07-30T00:00:00"/>
  </r>
  <r>
    <x v="1"/>
    <s v="1746001215"/>
    <s v="HARRIS COUNTY DEPT OF EDUC"/>
    <s v="2821CCM001"/>
    <s v=" "/>
    <s v="2821CCMC24_F21"/>
    <s v="3"/>
    <s v=" "/>
    <s v="CERT"/>
    <n v="-510195.68"/>
    <d v="2022-03-02T00:00:00"/>
    <d v="2022-03-02T00:00:00"/>
    <d v="2022-03-18T00:00:00"/>
  </r>
  <r>
    <x v="1"/>
    <s v="1746001255"/>
    <s v="HOUSTON ISD"/>
    <s v="2821CCM001"/>
    <s v=" "/>
    <s v="2821CCMC11_F21"/>
    <s v="1"/>
    <s v=" "/>
    <s v="CERT"/>
    <n v="-250000"/>
    <d v="2021-02-09T00:00:00"/>
    <d v="2021-02-09T00:00:00"/>
    <d v="2021-02-26T00:00:00"/>
  </r>
  <r>
    <x v="1"/>
    <s v="1746001255"/>
    <s v="HOUSTON ISD"/>
    <s v="2821CCM001"/>
    <s v=" "/>
    <s v="2821CCMC11_F21"/>
    <s v="2"/>
    <s v=" "/>
    <s v="CERT"/>
    <n v="-60413.96"/>
    <d v="2021-02-09T00:00:00"/>
    <d v="2021-02-09T00:00:00"/>
    <d v="2021-02-26T00:00:00"/>
  </r>
  <r>
    <x v="1"/>
    <s v="1746001255"/>
    <s v="HOUSTON ISD"/>
    <s v="2821CCM001"/>
    <s v=" "/>
    <s v="2821CCMC11_F21"/>
    <s v="2"/>
    <s v=" "/>
    <s v="CERT"/>
    <n v="-189586.04"/>
    <d v="2021-07-01T00:00:00"/>
    <d v="2021-07-01T00:00:00"/>
    <d v="2021-07-30T00:00:00"/>
  </r>
  <r>
    <x v="1"/>
    <s v="1746001255"/>
    <s v="HOUSTON ISD"/>
    <s v="2821CCM001"/>
    <s v=" "/>
    <s v="2821CCMC11_F21"/>
    <s v="3"/>
    <s v=" "/>
    <s v="CERT"/>
    <n v="-90417.03"/>
    <d v="2021-07-01T00:00:00"/>
    <d v="2021-07-01T00:00:00"/>
    <d v="2021-07-30T00:00:00"/>
  </r>
  <r>
    <x v="1"/>
    <s v="1746001255"/>
    <s v="HOUSTON ISD"/>
    <s v="2821CCM001"/>
    <s v=" "/>
    <s v="2821CCMC11_F21"/>
    <s v="3"/>
    <s v=" "/>
    <s v="CERT"/>
    <n v="-109582.97"/>
    <d v="2021-10-11T00:00:00"/>
    <d v="2021-10-11T00:00:00"/>
    <d v="2021-10-25T00:00:00"/>
  </r>
  <r>
    <x v="1"/>
    <s v="1746001255"/>
    <s v="HOUSTON ISD"/>
    <s v="2821CCM001"/>
    <s v=" "/>
    <s v="2821CCMC11_F21"/>
    <s v="4"/>
    <s v=" "/>
    <s v="CERT"/>
    <n v="-200000"/>
    <d v="2021-10-11T00:00:00"/>
    <d v="2021-10-11T00:00:00"/>
    <d v="2021-10-25T00:00:00"/>
  </r>
  <r>
    <x v="1"/>
    <s v="1746001354"/>
    <s v="PEARLAND INDEPENDENT SCHOOL DISTRICT"/>
    <s v="2821CCM001"/>
    <s v=" "/>
    <s v="2821CCMC38_F21"/>
    <s v="1"/>
    <s v=" "/>
    <s v="CERT"/>
    <n v="-13000"/>
    <d v="2021-02-09T00:00:00"/>
    <d v="2021-02-09T00:00:00"/>
    <d v="2021-02-26T00:00:00"/>
  </r>
  <r>
    <x v="1"/>
    <s v="1746001354"/>
    <s v="PEARLAND INDEPENDENT SCHOOL DISTRICT"/>
    <s v="2821CCM001"/>
    <s v=" "/>
    <s v="2821CCMC38_F21"/>
    <s v="2"/>
    <s v=" "/>
    <s v="CERT"/>
    <n v="-4079.04"/>
    <d v="2021-02-09T00:00:00"/>
    <d v="2021-02-09T00:00:00"/>
    <d v="2021-02-26T00:00:00"/>
  </r>
  <r>
    <x v="1"/>
    <s v="1746001354"/>
    <s v="PEARLAND INDEPENDENT SCHOOL DISTRICT"/>
    <s v="2821CCM001"/>
    <s v=" "/>
    <s v="2821CCMC38_F21"/>
    <s v="2"/>
    <s v=" "/>
    <s v="CERT"/>
    <n v="-8920.9599999999991"/>
    <d v="2021-07-02T00:00:00"/>
    <d v="2021-07-02T00:00:00"/>
    <d v="2021-07-30T00:00:00"/>
  </r>
  <r>
    <x v="1"/>
    <s v="1746001354"/>
    <s v="PEARLAND INDEPENDENT SCHOOL DISTRICT"/>
    <s v="2821CCM001"/>
    <s v=" "/>
    <s v="2821CCMC38_F21"/>
    <s v="3"/>
    <s v=" "/>
    <s v="CERT"/>
    <n v="-7158.08"/>
    <d v="2021-07-02T00:00:00"/>
    <d v="2021-07-02T00:00:00"/>
    <d v="2021-07-30T00:00:00"/>
  </r>
  <r>
    <x v="1"/>
    <s v="1746001354"/>
    <s v="PEARLAND INDEPENDENT SCHOOL DISTRICT"/>
    <s v="2821CCM001"/>
    <s v=" "/>
    <s v="2821CCMC38_F21"/>
    <s v="3"/>
    <s v=" "/>
    <s v="CERT"/>
    <n v="-5841.92"/>
    <d v="2021-10-11T00:00:00"/>
    <d v="2021-10-11T00:00:00"/>
    <d v="2021-10-25T00:00:00"/>
  </r>
  <r>
    <x v="1"/>
    <s v="1746001354"/>
    <s v="PEARLAND INDEPENDENT SCHOOL DISTRICT"/>
    <s v="2821CCM001"/>
    <s v=" "/>
    <s v="2821CCMC38_F21"/>
    <s v="4"/>
    <s v=" "/>
    <s v="CERT"/>
    <n v="-10387.120000000001"/>
    <d v="2021-10-11T00:00:00"/>
    <d v="2021-10-11T00:00:00"/>
    <d v="2021-10-25T00:00:00"/>
  </r>
  <r>
    <x v="1"/>
    <s v="1746001354"/>
    <s v="PEARLAND INDEPENDENT SCHOOL DISTRICT"/>
    <s v="2821CCM001"/>
    <s v=" "/>
    <s v="2821CCMC38_F21"/>
    <s v="4"/>
    <s v=" "/>
    <s v="CERT"/>
    <n v="-2612.88"/>
    <d v="2022-03-02T00:00:00"/>
    <d v="2022-03-02T00:00:00"/>
    <d v="2022-03-18T00:00:00"/>
  </r>
  <r>
    <x v="1"/>
    <s v="1746001379"/>
    <s v="SPRING BRANCH ISD"/>
    <s v="2821CCM001"/>
    <s v=" "/>
    <s v="2821CCMC03_F21"/>
    <s v="1"/>
    <s v=" "/>
    <s v="CERT"/>
    <n v="-40000"/>
    <d v="2021-02-09T00:00:00"/>
    <d v="2021-02-09T00:00:00"/>
    <d v="2021-02-26T00:00:00"/>
  </r>
  <r>
    <x v="1"/>
    <s v="1746001379"/>
    <s v="SPRING BRANCH ISD"/>
    <s v="2821CCM001"/>
    <s v=" "/>
    <s v="2821CCMC03_F21"/>
    <s v="2"/>
    <s v=" "/>
    <s v="CERT"/>
    <n v="-853.05"/>
    <d v="2021-02-09T00:00:00"/>
    <d v="2021-02-09T00:00:00"/>
    <d v="2021-02-26T00:00:00"/>
  </r>
  <r>
    <x v="1"/>
    <s v="1746001379"/>
    <s v="SPRING BRANCH ISD"/>
    <s v="2821CCM001"/>
    <s v=" "/>
    <s v="2821CCMC03_F21"/>
    <s v="2"/>
    <s v=" "/>
    <s v="CERT"/>
    <n v="-39042.22"/>
    <d v="2021-07-02T00:00:00"/>
    <d v="2021-07-02T00:00:00"/>
    <d v="2021-07-30T00:00:00"/>
  </r>
  <r>
    <x v="1"/>
    <s v="1746001379"/>
    <s v="SPRING BRANCH ISD"/>
    <s v="2821CCM001"/>
    <s v=" "/>
    <s v="2821CCMC03_F21"/>
    <s v="2"/>
    <s v=" "/>
    <s v="CERT"/>
    <n v="-104.73"/>
    <d v="2021-10-11T00:00:00"/>
    <d v="2021-10-11T00:00:00"/>
    <d v="2021-10-25T00:00:00"/>
  </r>
  <r>
    <x v="1"/>
    <s v="1746001379"/>
    <s v="SPRING BRANCH ISD"/>
    <s v="2821CCM001"/>
    <s v=" "/>
    <s v="2821CCMC03_F21"/>
    <s v="3"/>
    <s v=" "/>
    <s v="CERT"/>
    <n v="-39929.949999999997"/>
    <d v="2021-10-11T00:00:00"/>
    <d v="2021-10-11T00:00:00"/>
    <d v="2021-10-25T00:00:00"/>
  </r>
  <r>
    <x v="1"/>
    <s v="1746001379"/>
    <s v="SPRING BRANCH ISD"/>
    <s v="2821CCM001"/>
    <s v=" "/>
    <s v="2821CCMC03_F21"/>
    <s v="3"/>
    <s v=" "/>
    <s v="CERT"/>
    <n v="-70.05"/>
    <d v="2022-03-02T00:00:00"/>
    <d v="2022-03-02T00:00:00"/>
    <d v="2022-03-18T00:00:00"/>
  </r>
  <r>
    <x v="1"/>
    <s v="1746001379"/>
    <s v="SPRING BRANCH ISD"/>
    <s v="2821CCM001"/>
    <s v=" "/>
    <s v="2821CCMC03_F21"/>
    <s v="4"/>
    <s v=" "/>
    <s v="CERT"/>
    <n v="-20000"/>
    <d v="2022-03-02T00:00:00"/>
    <d v="2022-03-02T00:00:00"/>
    <d v="2022-03-18T00:00:00"/>
  </r>
  <r>
    <x v="1"/>
    <s v="1746001391"/>
    <s v="TEXAS SOUTHERN UNIVERSITY"/>
    <s v="2821CCM001"/>
    <s v=" "/>
    <s v="2821CCMC29_F21"/>
    <s v="1"/>
    <s v=" "/>
    <s v="CERT"/>
    <n v="-46000"/>
    <d v="2021-02-09T00:00:00"/>
    <d v="2021-02-09T00:00:00"/>
    <d v="2021-02-26T00:00:00"/>
  </r>
  <r>
    <x v="1"/>
    <s v="1746001391"/>
    <s v="TEXAS SOUTHERN UNIVERSITY"/>
    <s v="2821CCM001"/>
    <s v=" "/>
    <s v="2821CCMC29_F21"/>
    <s v="2"/>
    <s v=" "/>
    <s v="CERT"/>
    <n v="-19802.64"/>
    <d v="2021-02-09T00:00:00"/>
    <d v="2021-02-09T00:00:00"/>
    <d v="2021-02-26T00:00:00"/>
  </r>
  <r>
    <x v="1"/>
    <s v="1746001391"/>
    <s v="TEXAS SOUTHERN UNIVERSITY"/>
    <s v="2821CCM001"/>
    <s v=" "/>
    <s v="2821CCMC29_F21"/>
    <s v="2"/>
    <s v=" "/>
    <s v="CERT"/>
    <n v="-25197.360000000001"/>
    <d v="2021-07-02T00:00:00"/>
    <d v="2021-07-02T00:00:00"/>
    <d v="2021-07-30T00:00:00"/>
  </r>
  <r>
    <x v="1"/>
    <s v="1746001391"/>
    <s v="TEXAS SOUTHERN UNIVERSITY"/>
    <s v="2821CCM001"/>
    <s v=" "/>
    <s v="2821CCMC29_F21"/>
    <s v="3"/>
    <s v=" "/>
    <s v="CERT"/>
    <n v="-32282.34"/>
    <d v="2021-07-02T00:00:00"/>
    <d v="2021-07-02T00:00:00"/>
    <d v="2021-07-30T00:00:00"/>
  </r>
  <r>
    <x v="1"/>
    <s v="1746001391"/>
    <s v="TEXAS SOUTHERN UNIVERSITY"/>
    <s v="2821CCM001"/>
    <s v=" "/>
    <s v="2821CCMC29_F21"/>
    <s v="3"/>
    <s v=" "/>
    <s v="CERT"/>
    <n v="-12717.66"/>
    <d v="2021-10-08T00:00:00"/>
    <d v="2021-10-08T00:00:00"/>
    <d v="2021-10-25T00:00:00"/>
  </r>
  <r>
    <x v="1"/>
    <s v="1746001391"/>
    <s v="TEXAS SOUTHERN UNIVERSITY"/>
    <s v="2821CCM001"/>
    <s v=" "/>
    <s v="2821CCMC29_F21"/>
    <s v="4"/>
    <s v=" "/>
    <s v="CERT"/>
    <n v="-44762.04"/>
    <d v="2021-10-08T00:00:00"/>
    <d v="2021-10-08T00:00:00"/>
    <d v="2021-10-25T00:00:00"/>
  </r>
  <r>
    <x v="1"/>
    <s v="1746001391"/>
    <s v="TEXAS SOUTHERN UNIVERSITY"/>
    <s v="2821CCM001"/>
    <s v=" "/>
    <s v="2821CCMC29_F21"/>
    <s v="4"/>
    <s v=" "/>
    <s v="CERT"/>
    <n v="-237.96"/>
    <d v="2022-03-02T00:00:00"/>
    <d v="2022-03-02T00:00:00"/>
    <d v="2022-03-18T00:00:00"/>
  </r>
  <r>
    <x v="1"/>
    <s v="1746001399"/>
    <s v="UNIVERSITY OF HOUSTON"/>
    <s v="2821CCM001"/>
    <s v=" "/>
    <s v="2821CCMC30_F21"/>
    <s v="1"/>
    <s v=" "/>
    <s v="CERT"/>
    <n v="-40000"/>
    <d v="2021-02-09T00:00:00"/>
    <d v="2021-02-09T00:00:00"/>
    <d v="2021-02-26T00:00:00"/>
  </r>
  <r>
    <x v="1"/>
    <s v="1746001399"/>
    <s v="UNIVERSITY OF HOUSTON"/>
    <s v="2821CCM001"/>
    <s v=" "/>
    <s v="2821CCMC30_F21"/>
    <s v="2"/>
    <s v=" "/>
    <s v="CERT"/>
    <n v="-16357.25"/>
    <d v="2021-02-09T00:00:00"/>
    <d v="2021-02-09T00:00:00"/>
    <d v="2021-02-26T00:00:00"/>
  </r>
  <r>
    <x v="1"/>
    <s v="1746001399"/>
    <s v="UNIVERSITY OF HOUSTON"/>
    <s v="2821CCM001"/>
    <s v=" "/>
    <s v="2821CCMC30_F21"/>
    <s v="2"/>
    <s v=" "/>
    <s v="CERT"/>
    <n v="-23642.75"/>
    <d v="2021-07-02T00:00:00"/>
    <d v="2021-07-02T00:00:00"/>
    <d v="2021-07-30T00:00:00"/>
  </r>
  <r>
    <x v="1"/>
    <s v="1746001399"/>
    <s v="UNIVERSITY OF HOUSTON"/>
    <s v="2821CCM001"/>
    <s v=" "/>
    <s v="2821CCMC30_F21"/>
    <s v="3"/>
    <s v=" "/>
    <s v="CERT"/>
    <n v="-32714.5"/>
    <d v="2021-07-02T00:00:00"/>
    <d v="2021-07-02T00:00:00"/>
    <d v="2021-07-30T00:00:00"/>
  </r>
  <r>
    <x v="1"/>
    <s v="1746001399"/>
    <s v="UNIVERSITY OF HOUSTON"/>
    <s v="2821CCM001"/>
    <s v=" "/>
    <s v="2821CCMC30_F21"/>
    <s v="3"/>
    <s v=" "/>
    <s v="CERT"/>
    <n v="-7285.5"/>
    <d v="2021-10-08T00:00:00"/>
    <d v="2021-10-08T00:00:00"/>
    <d v="2021-10-25T00:00:00"/>
  </r>
  <r>
    <x v="1"/>
    <s v="1746001399"/>
    <s v="UNIVERSITY OF HOUSTON"/>
    <s v="2821CCM001"/>
    <s v=" "/>
    <s v="2821CCMC30_F21"/>
    <s v="4"/>
    <s v=" "/>
    <s v="CERT"/>
    <n v="-19000"/>
    <d v="2021-10-08T00:00:00"/>
    <d v="2021-10-08T00:00:00"/>
    <d v="2021-10-25T00:00:00"/>
  </r>
  <r>
    <x v="1"/>
    <s v="1746001399"/>
    <s v="UNIVERSITY OF HOUSTON"/>
    <s v="2821CCM001"/>
    <s v=" "/>
    <s v="2821CCMC39_F21"/>
    <s v="1"/>
    <s v=" "/>
    <s v="CERT"/>
    <n v="-43200.31"/>
    <d v="2021-02-09T00:00:00"/>
    <d v="2021-02-09T00:00:00"/>
    <d v="2021-02-26T00:00:00"/>
  </r>
  <r>
    <x v="1"/>
    <s v="1746001399"/>
    <s v="UNIVERSITY OF HOUSTON"/>
    <s v="2821CCM001"/>
    <s v=" "/>
    <s v="2821CCMC39_F21"/>
    <s v="1"/>
    <s v=" "/>
    <s v="CERT"/>
    <n v="-1799.69"/>
    <d v="2021-07-02T00:00:00"/>
    <d v="2021-07-02T00:00:00"/>
    <d v="2021-07-30T00:00:00"/>
  </r>
  <r>
    <x v="1"/>
    <s v="1746001399"/>
    <s v="UNIVERSITY OF HOUSTON"/>
    <s v="2821CCM001"/>
    <s v=" "/>
    <s v="2821CCMC39_F21"/>
    <s v="2"/>
    <s v=" "/>
    <s v="CERT"/>
    <n v="-45000"/>
    <d v="2021-07-02T00:00:00"/>
    <d v="2021-07-02T00:00:00"/>
    <d v="2021-07-30T00:00:00"/>
  </r>
  <r>
    <x v="1"/>
    <s v="1746001399"/>
    <s v="UNIVERSITY OF HOUSTON"/>
    <s v="2821CCM001"/>
    <s v=" "/>
    <s v="2821CCMC39_F21"/>
    <s v="3"/>
    <s v=" "/>
    <s v="CERT"/>
    <n v="-26609.31"/>
    <d v="2021-07-02T00:00:00"/>
    <d v="2021-07-02T00:00:00"/>
    <d v="2021-07-30T00:00:00"/>
  </r>
  <r>
    <x v="1"/>
    <s v="1746001399"/>
    <s v="UNIVERSITY OF HOUSTON"/>
    <s v="2821CCM001"/>
    <s v=" "/>
    <s v="2821CCMC39_F21"/>
    <s v="3"/>
    <s v=" "/>
    <s v="CERT"/>
    <n v="-18390.689999999999"/>
    <d v="2021-10-08T00:00:00"/>
    <d v="2021-10-08T00:00:00"/>
    <d v="2021-10-25T00:00:00"/>
  </r>
  <r>
    <x v="1"/>
    <s v="1746001399"/>
    <s v="UNIVERSITY OF HOUSTON"/>
    <s v="2821CCM001"/>
    <s v=" "/>
    <s v="2821CCMC39_F21"/>
    <s v="4"/>
    <s v=" "/>
    <s v="CERT"/>
    <n v="-45000"/>
    <d v="2021-10-08T00:00:00"/>
    <d v="2021-10-08T00:00:00"/>
    <d v="2021-10-25T00:00:00"/>
  </r>
  <r>
    <x v="1"/>
    <s v="1746001430"/>
    <s v="SAM HOUSTON STATE UNIVERSITY"/>
    <s v="2821CCM001"/>
    <s v=" "/>
    <s v="2821CCMC43_F21"/>
    <s v="1"/>
    <s v=" "/>
    <s v="CERT"/>
    <n v="-80000"/>
    <d v="2021-02-09T00:00:00"/>
    <d v="2021-02-09T00:00:00"/>
    <d v="2021-02-26T00:00:00"/>
  </r>
  <r>
    <x v="1"/>
    <s v="1746001430"/>
    <s v="SAM HOUSTON STATE UNIVERSITY"/>
    <s v="2821CCM001"/>
    <s v=" "/>
    <s v="2821CCMC43_F21"/>
    <s v="2"/>
    <s v=" "/>
    <s v="CERT"/>
    <n v="-24978.62"/>
    <d v="2021-02-09T00:00:00"/>
    <d v="2021-02-09T00:00:00"/>
    <d v="2021-02-26T00:00:00"/>
  </r>
  <r>
    <x v="1"/>
    <s v="1746001430"/>
    <s v="SAM HOUSTON STATE UNIVERSITY"/>
    <s v="2821CCM001"/>
    <s v=" "/>
    <s v="2821CCMC43_F21"/>
    <s v="2"/>
    <s v=" "/>
    <s v="CERT"/>
    <n v="-45021.38"/>
    <d v="2021-07-02T00:00:00"/>
    <d v="2021-07-02T00:00:00"/>
    <d v="2021-07-30T00:00:00"/>
  </r>
  <r>
    <x v="1"/>
    <s v="1746001430"/>
    <s v="SAM HOUSTON STATE UNIVERSITY"/>
    <s v="2821CCM001"/>
    <s v=" "/>
    <s v="2821CCMC43_F21"/>
    <s v="3"/>
    <s v=" "/>
    <s v="CERT"/>
    <n v="-69164.88"/>
    <d v="2021-07-02T00:00:00"/>
    <d v="2021-07-02T00:00:00"/>
    <d v="2021-07-30T00:00:00"/>
  </r>
  <r>
    <x v="1"/>
    <s v="1746001430"/>
    <s v="SAM HOUSTON STATE UNIVERSITY"/>
    <s v="2821CCM001"/>
    <s v=" "/>
    <s v="2821CCMC43_F21"/>
    <s v="3"/>
    <s v=" "/>
    <s v="CERT"/>
    <n v="-835.12"/>
    <d v="2021-10-11T00:00:00"/>
    <d v="2021-10-11T00:00:00"/>
    <d v="2021-10-25T00:00:00"/>
  </r>
  <r>
    <x v="1"/>
    <s v="1746001430"/>
    <s v="SAM HOUSTON STATE UNIVERSITY"/>
    <s v="2821CCM001"/>
    <s v=" "/>
    <s v="2821CCMC43_F21"/>
    <s v="4"/>
    <s v=" "/>
    <s v="CERT"/>
    <n v="-10000"/>
    <d v="2021-10-11T00:00:00"/>
    <d v="2021-10-11T00:00:00"/>
    <d v="2021-10-25T00:00:00"/>
  </r>
  <r>
    <x v="1"/>
    <s v="1746001484"/>
    <s v="KATY ISD"/>
    <s v="2821CCM001"/>
    <s v=" "/>
    <s v="2821CCMC36_F21"/>
    <s v="1"/>
    <s v=" "/>
    <s v="CERT"/>
    <n v="-43000"/>
    <d v="2021-02-09T00:00:00"/>
    <d v="2021-02-09T00:00:00"/>
    <d v="2021-02-26T00:00:00"/>
  </r>
  <r>
    <x v="1"/>
    <s v="1746001484"/>
    <s v="KATY ISD"/>
    <s v="2821CCM001"/>
    <s v=" "/>
    <s v="2821CCMC36_F21"/>
    <s v="2"/>
    <s v=" "/>
    <s v="CERT"/>
    <n v="-8742.67"/>
    <d v="2021-02-09T00:00:00"/>
    <d v="2021-02-09T00:00:00"/>
    <d v="2021-02-26T00:00:00"/>
  </r>
  <r>
    <x v="1"/>
    <s v="1746001484"/>
    <s v="KATY ISD"/>
    <s v="2821CCM001"/>
    <s v=" "/>
    <s v="2821CCMC36_F21"/>
    <s v="2"/>
    <s v=" "/>
    <s v="CERT"/>
    <n v="-34257.33"/>
    <d v="2021-07-01T00:00:00"/>
    <d v="2021-07-01T00:00:00"/>
    <d v="2021-07-30T00:00:00"/>
  </r>
  <r>
    <x v="1"/>
    <s v="1746001484"/>
    <s v="KATY ISD"/>
    <s v="2821CCM001"/>
    <s v=" "/>
    <s v="2821CCMC36_F21"/>
    <s v="3"/>
    <s v=" "/>
    <s v="CERT"/>
    <n v="-15451.41"/>
    <d v="2021-07-01T00:00:00"/>
    <d v="2021-07-01T00:00:00"/>
    <d v="2021-07-30T00:00:00"/>
  </r>
  <r>
    <x v="1"/>
    <s v="1746001484"/>
    <s v="KATY ISD"/>
    <s v="2821CCM001"/>
    <s v=" "/>
    <s v="2821CCMC36_F21"/>
    <s v="3"/>
    <s v=" "/>
    <s v="CERT"/>
    <n v="-27548.59"/>
    <d v="2021-10-11T00:00:00"/>
    <d v="2021-10-11T00:00:00"/>
    <d v="2021-10-25T00:00:00"/>
  </r>
  <r>
    <x v="1"/>
    <s v="1746001484"/>
    <s v="KATY ISD"/>
    <s v="2821CCM001"/>
    <s v=" "/>
    <s v="2821CCMC36_F21"/>
    <s v="4"/>
    <s v=" "/>
    <s v="CERT"/>
    <n v="-25021.7"/>
    <d v="2021-10-11T00:00:00"/>
    <d v="2021-10-11T00:00:00"/>
    <d v="2021-10-25T00:00:00"/>
  </r>
  <r>
    <x v="1"/>
    <s v="1746001484"/>
    <s v="KATY ISD"/>
    <s v="2821CCM001"/>
    <s v=" "/>
    <s v="2821CCMC36_F21"/>
    <s v="4"/>
    <s v=" "/>
    <s v="CERT"/>
    <n v="-5978.3"/>
    <d v="2022-03-02T00:00:00"/>
    <d v="2022-03-02T00:00:00"/>
    <d v="2022-03-18T00:00:00"/>
  </r>
  <r>
    <x v="1"/>
    <s v="1746001582"/>
    <s v="LAREDO COMM COLLEGE"/>
    <s v="2121CCM001"/>
    <s v=" "/>
    <s v="11211C04_F21"/>
    <s v="1"/>
    <s v=" "/>
    <s v="CERT"/>
    <n v="-150000"/>
    <d v="2021-07-14T00:00:00"/>
    <d v="2021-07-14T00:00:00"/>
    <d v="2021-07-30T00:00:00"/>
  </r>
  <r>
    <x v="1"/>
    <s v="1746001582"/>
    <s v="LAREDO COMM COLLEGE"/>
    <s v="2121CCM001"/>
    <s v=" "/>
    <s v="11211C04_F21"/>
    <s v="2"/>
    <s v=" "/>
    <s v="CERT"/>
    <n v="-150000"/>
    <d v="2021-07-14T00:00:00"/>
    <d v="2021-07-14T00:00:00"/>
    <d v="2021-07-30T00:00:00"/>
  </r>
  <r>
    <x v="1"/>
    <s v="1746001582"/>
    <s v="LAREDO COMM COLLEGE"/>
    <s v="2121CCM001"/>
    <s v=" "/>
    <s v="11211C04_F21"/>
    <s v="3"/>
    <s v=" "/>
    <s v="CERT"/>
    <n v="-50000"/>
    <d v="2021-07-14T00:00:00"/>
    <d v="2021-07-14T00:00:00"/>
    <d v="2021-07-30T00:00:00"/>
  </r>
  <r>
    <x v="1"/>
    <s v="1746001592"/>
    <s v="CLEAR CREEK ISD"/>
    <s v="2821CCM001"/>
    <s v=" "/>
    <s v="2821CCMC34_F21"/>
    <s v="1"/>
    <s v=" "/>
    <s v="CERT"/>
    <n v="-22000"/>
    <d v="2021-02-05T00:00:00"/>
    <d v="2021-02-05T00:00:00"/>
    <d v="2021-02-26T00:00:00"/>
  </r>
  <r>
    <x v="1"/>
    <s v="1746001592"/>
    <s v="CLEAR CREEK ISD"/>
    <s v="2821CCM001"/>
    <s v=" "/>
    <s v="2821CCMC34_F21"/>
    <s v="2"/>
    <s v=" "/>
    <s v="CERT"/>
    <n v="-9377.42"/>
    <d v="2021-02-05T00:00:00"/>
    <d v="2021-02-05T00:00:00"/>
    <d v="2021-02-26T00:00:00"/>
  </r>
  <r>
    <x v="1"/>
    <s v="1746001592"/>
    <s v="CLEAR CREEK ISD"/>
    <s v="2821CCM001"/>
    <s v=" "/>
    <s v="2821CCMC34_F21"/>
    <s v="2"/>
    <s v=" "/>
    <s v="CERT"/>
    <n v="-12622.58"/>
    <d v="2021-07-14T00:00:00"/>
    <d v="2021-07-14T00:00:00"/>
    <d v="2021-07-30T00:00:00"/>
  </r>
  <r>
    <x v="1"/>
    <s v="1746001592"/>
    <s v="CLEAR CREEK ISD"/>
    <s v="2821CCM001"/>
    <s v=" "/>
    <s v="2821CCMC34_F21"/>
    <s v="3"/>
    <s v=" "/>
    <s v="CERT"/>
    <n v="-13794.84"/>
    <d v="2021-07-14T00:00:00"/>
    <d v="2021-07-14T00:00:00"/>
    <d v="2021-07-30T00:00:00"/>
  </r>
  <r>
    <x v="1"/>
    <s v="1746001592"/>
    <s v="CLEAR CREEK ISD"/>
    <s v="2821CCM001"/>
    <s v=" "/>
    <s v="2821CCMC34_F21"/>
    <s v="3"/>
    <s v=" "/>
    <s v="CERT"/>
    <n v="-6205.16"/>
    <d v="2021-10-15T00:00:00"/>
    <d v="2021-10-15T00:00:00"/>
    <d v="2021-10-25T00:00:00"/>
  </r>
  <r>
    <x v="1"/>
    <s v="1746001592"/>
    <s v="CLEAR CREEK ISD"/>
    <s v="2821CCM001"/>
    <s v=" "/>
    <s v="2821CCMC34_F21"/>
    <s v="4"/>
    <s v=" "/>
    <s v="CERT"/>
    <n v="-16000"/>
    <d v="2021-10-15T00:00:00"/>
    <d v="2021-10-15T00:00:00"/>
    <d v="2021-10-25T00:00:00"/>
  </r>
  <r>
    <x v="1"/>
    <s v="1746001996"/>
    <s v="ROCKDALE ISD"/>
    <s v="2621CCM001"/>
    <s v=" "/>
    <s v="07130C14_F21"/>
    <s v="1"/>
    <s v=" "/>
    <s v="CERT"/>
    <n v="-40000"/>
    <d v="2021-08-04T00:00:00"/>
    <d v="2021-08-04T00:00:00"/>
    <d v="2021-08-26T00:00:00"/>
  </r>
  <r>
    <x v="1"/>
    <s v="1746002016"/>
    <s v="LAMAR CISD"/>
    <s v="2821CCM001"/>
    <s v=" "/>
    <s v="2821CCMC10_F21"/>
    <s v="1"/>
    <s v=" "/>
    <s v="CERT"/>
    <n v="-15000"/>
    <d v="2021-02-09T00:00:00"/>
    <d v="2021-02-09T00:00:00"/>
    <d v="2021-02-26T00:00:00"/>
  </r>
  <r>
    <x v="1"/>
    <s v="1746002016"/>
    <s v="LAMAR CISD"/>
    <s v="2821CCM001"/>
    <s v=" "/>
    <s v="2821CCMC10_F21"/>
    <s v="2"/>
    <s v=" "/>
    <s v="CERT"/>
    <n v="-1337.52"/>
    <d v="2021-02-09T00:00:00"/>
    <d v="2021-02-09T00:00:00"/>
    <d v="2021-02-26T00:00:00"/>
  </r>
  <r>
    <x v="1"/>
    <s v="1746002016"/>
    <s v="LAMAR CISD"/>
    <s v="2821CCM001"/>
    <s v=" "/>
    <s v="2821CCMC10_F21"/>
    <s v="2"/>
    <s v=" "/>
    <s v="CERT"/>
    <n v="-13662.48"/>
    <d v="2021-07-02T00:00:00"/>
    <d v="2021-07-02T00:00:00"/>
    <d v="2021-07-30T00:00:00"/>
  </r>
  <r>
    <x v="1"/>
    <s v="1746002016"/>
    <s v="LAMAR CISD"/>
    <s v="2821CCM001"/>
    <s v=" "/>
    <s v="2821CCMC10_F21"/>
    <s v="3"/>
    <s v=" "/>
    <s v="CERT"/>
    <n v="-2675.04"/>
    <d v="2021-07-02T00:00:00"/>
    <d v="2021-07-02T00:00:00"/>
    <d v="2021-07-30T00:00:00"/>
  </r>
  <r>
    <x v="1"/>
    <s v="1746002016"/>
    <s v="LAMAR CISD"/>
    <s v="2821CCM001"/>
    <s v=" "/>
    <s v="2821CCMC10_F21"/>
    <s v="3"/>
    <s v=" "/>
    <s v="CERT"/>
    <n v="-12324.96"/>
    <d v="2021-10-11T00:00:00"/>
    <d v="2021-10-11T00:00:00"/>
    <d v="2021-10-25T00:00:00"/>
  </r>
  <r>
    <x v="1"/>
    <s v="1746002016"/>
    <s v="LAMAR CISD"/>
    <s v="2821CCM001"/>
    <s v=" "/>
    <s v="2821CCMC10_F21"/>
    <s v="4"/>
    <s v=" "/>
    <s v="CERT"/>
    <n v="-4012.56"/>
    <d v="2021-10-11T00:00:00"/>
    <d v="2021-10-11T00:00:00"/>
    <d v="2021-10-25T00:00:00"/>
  </r>
  <r>
    <x v="1"/>
    <s v="1746002016"/>
    <s v="LAMAR CISD"/>
    <s v="2821CCM001"/>
    <s v=" "/>
    <s v="2821CCMC10_F21"/>
    <s v="4"/>
    <s v=" "/>
    <s v="CERT"/>
    <n v="-5987.44"/>
    <d v="2022-03-02T00:00:00"/>
    <d v="2022-03-02T00:00:00"/>
    <d v="2022-03-18T00:00:00"/>
  </r>
  <r>
    <x v="1"/>
    <s v="1746002070"/>
    <s v="CITY OF SAN ANTONIO"/>
    <s v="2021CCM001"/>
    <s v=" "/>
    <s v="2021CCM001_F21"/>
    <s v="1"/>
    <s v=" "/>
    <s v="CERT"/>
    <n v="-48995.55"/>
    <d v="2021-04-16T00:00:00"/>
    <d v="2021-04-16T00:00:00"/>
    <d v="2021-04-28T00:00:00"/>
  </r>
  <r>
    <x v="1"/>
    <s v="1746002070"/>
    <s v="CITY OF SAN ANTONIO"/>
    <s v="2021CCM001"/>
    <s v=" "/>
    <s v="2021CCM001_F21"/>
    <s v="2"/>
    <s v=" "/>
    <s v="CERT"/>
    <n v="-448388.64"/>
    <d v="2021-07-14T00:00:00"/>
    <d v="2021-07-14T00:00:00"/>
    <d v="2021-07-30T00:00:00"/>
  </r>
  <r>
    <x v="1"/>
    <s v="1746002070"/>
    <s v="CITY OF SAN ANTONIO"/>
    <s v="2021CCM001"/>
    <s v=" "/>
    <s v="2021CCM001_F21"/>
    <s v="3"/>
    <s v=" "/>
    <s v="CERT"/>
    <n v="-475775.45"/>
    <d v="2021-07-14T00:00:00"/>
    <d v="2021-07-14T00:00:00"/>
    <d v="2021-07-30T00:00:00"/>
  </r>
  <r>
    <x v="1"/>
    <s v="1746002070"/>
    <s v="CITY OF SAN ANTONIO"/>
    <s v="2021CCM001"/>
    <s v=" "/>
    <s v="2021CCM001_F21"/>
    <s v="3"/>
    <s v=" "/>
    <s v="CERT"/>
    <n v="-40198.42"/>
    <d v="2022-02-11T00:00:00"/>
    <d v="2022-02-11T00:00:00"/>
    <d v="2022-02-28T00:00:00"/>
  </r>
  <r>
    <x v="1"/>
    <s v="1746002070"/>
    <s v="CITY OF SAN ANTONIO"/>
    <s v="2021CCM001"/>
    <s v=" "/>
    <s v="2021CCM001_F21"/>
    <s v="4"/>
    <s v=" "/>
    <s v="CERT"/>
    <n v="-1522287"/>
    <d v="2022-02-11T00:00:00"/>
    <d v="2022-02-11T00:00:00"/>
    <d v="2022-02-28T00:00:00"/>
  </r>
  <r>
    <x v="1"/>
    <s v="1746002290"/>
    <s v="SHELDON ISD"/>
    <s v="2821CCM001"/>
    <s v=" "/>
    <s v="2821CCMC42_F21"/>
    <s v="1"/>
    <s v=" "/>
    <s v="CERT"/>
    <n v="-75649.320000000007"/>
    <d v="2021-02-09T00:00:00"/>
    <d v="2021-02-09T00:00:00"/>
    <d v="2021-02-26T00:00:00"/>
  </r>
  <r>
    <x v="1"/>
    <s v="1746002290"/>
    <s v="SHELDON ISD"/>
    <s v="2821CCM001"/>
    <s v=" "/>
    <s v="2821CCMC42_F21"/>
    <s v="1"/>
    <s v=" "/>
    <s v="CERT"/>
    <n v="-4350.68"/>
    <d v="2021-07-02T00:00:00"/>
    <d v="2021-07-02T00:00:00"/>
    <d v="2021-07-30T00:00:00"/>
  </r>
  <r>
    <x v="1"/>
    <s v="1746002290"/>
    <s v="SHELDON ISD"/>
    <s v="2821CCM001"/>
    <s v=" "/>
    <s v="2821CCMC42_F21"/>
    <s v="2"/>
    <s v=" "/>
    <s v="CERT"/>
    <n v="-67954.75"/>
    <d v="2021-07-02T00:00:00"/>
    <d v="2021-07-02T00:00:00"/>
    <d v="2021-07-30T00:00:00"/>
  </r>
  <r>
    <x v="1"/>
    <s v="1746002290"/>
    <s v="SHELDON ISD"/>
    <s v="2821CCM001"/>
    <s v=" "/>
    <s v="2821CCMC42_F21"/>
    <s v="2"/>
    <s v=" "/>
    <s v="CERT"/>
    <n v="-7045.25"/>
    <d v="2021-10-11T00:00:00"/>
    <d v="2021-10-11T00:00:00"/>
    <d v="2021-10-25T00:00:00"/>
  </r>
  <r>
    <x v="1"/>
    <s v="1746002290"/>
    <s v="SHELDON ISD"/>
    <s v="2821CCM001"/>
    <s v=" "/>
    <s v="2821CCMC42_F21"/>
    <s v="3"/>
    <s v=" "/>
    <s v="CERT"/>
    <n v="-70441.710000000006"/>
    <d v="2021-10-11T00:00:00"/>
    <d v="2021-10-11T00:00:00"/>
    <d v="2021-10-25T00:00:00"/>
  </r>
  <r>
    <x v="1"/>
    <s v="1746002290"/>
    <s v="SHELDON ISD"/>
    <s v="2821CCM001"/>
    <s v=" "/>
    <s v="2821CCMC42_F21"/>
    <s v="3"/>
    <s v=" "/>
    <s v="CERT"/>
    <n v="-4558.29"/>
    <d v="2022-03-02T00:00:00"/>
    <d v="2022-03-02T00:00:00"/>
    <d v="2022-03-18T00:00:00"/>
  </r>
  <r>
    <x v="1"/>
    <s v="1746002290"/>
    <s v="SHELDON ISD"/>
    <s v="2821CCM001"/>
    <s v=" "/>
    <s v="2821CCMC42_F21"/>
    <s v="4"/>
    <s v=" "/>
    <s v="CERT"/>
    <n v="-70000"/>
    <d v="2022-03-02T00:00:00"/>
    <d v="2022-03-02T00:00:00"/>
    <d v="2022-03-18T00:00:00"/>
  </r>
  <r>
    <x v="1"/>
    <s v="1746002337"/>
    <s v="KLEIN ISD"/>
    <s v="2821CCM001"/>
    <s v=" "/>
    <s v="2821CCMC35_F21"/>
    <s v="1"/>
    <s v=" "/>
    <s v="CERT"/>
    <n v="-75000"/>
    <d v="2021-02-09T00:00:00"/>
    <d v="2021-02-09T00:00:00"/>
    <d v="2021-02-26T00:00:00"/>
  </r>
  <r>
    <x v="1"/>
    <s v="1746002337"/>
    <s v="KLEIN ISD"/>
    <s v="2821CCM001"/>
    <s v=" "/>
    <s v="2821CCMC35_F21"/>
    <s v="2"/>
    <s v=" "/>
    <s v="CERT"/>
    <n v="-58573.919999999998"/>
    <d v="2021-02-09T00:00:00"/>
    <d v="2021-02-09T00:00:00"/>
    <d v="2021-02-26T00:00:00"/>
  </r>
  <r>
    <x v="1"/>
    <s v="1746002337"/>
    <s v="KLEIN ISD"/>
    <s v="2821CCM001"/>
    <s v=" "/>
    <s v="2821CCMC35_F21"/>
    <s v="2"/>
    <s v=" "/>
    <s v="CERT"/>
    <n v="-16426.080000000002"/>
    <d v="2021-07-01T00:00:00"/>
    <d v="2021-07-01T00:00:00"/>
    <d v="2021-07-30T00:00:00"/>
  </r>
  <r>
    <x v="1"/>
    <s v="1746002337"/>
    <s v="KLEIN ISD"/>
    <s v="2821CCM001"/>
    <s v=" "/>
    <s v="2821CCMC35_F21"/>
    <s v="3"/>
    <s v=" "/>
    <s v="CERT"/>
    <n v="-75000"/>
    <d v="2021-07-01T00:00:00"/>
    <d v="2021-07-01T00:00:00"/>
    <d v="2021-07-30T00:00:00"/>
  </r>
  <r>
    <x v="1"/>
    <s v="1746002337"/>
    <s v="KLEIN ISD"/>
    <s v="2821CCM001"/>
    <s v=" "/>
    <s v="2821CCMC35_F21"/>
    <s v="4"/>
    <s v=" "/>
    <s v="CERT"/>
    <n v="-26400.12"/>
    <d v="2021-07-01T00:00:00"/>
    <d v="2021-07-01T00:00:00"/>
    <d v="2021-07-30T00:00:00"/>
  </r>
  <r>
    <x v="1"/>
    <s v="1746002337"/>
    <s v="KLEIN ISD"/>
    <s v="2821CCM001"/>
    <s v=" "/>
    <s v="2821CCMC35_F21"/>
    <s v="4"/>
    <s v=" "/>
    <s v="CERT"/>
    <n v="-48599.88"/>
    <d v="2021-10-11T00:00:00"/>
    <d v="2021-10-11T00:00:00"/>
    <d v="2021-10-25T00:00:00"/>
  </r>
  <r>
    <x v="1"/>
    <s v="1746002339"/>
    <s v="SPRING ISD"/>
    <s v="2821CCM001"/>
    <s v=" "/>
    <s v="2821CCMC23_F21"/>
    <s v="1"/>
    <s v=" "/>
    <s v="CERT"/>
    <n v="-65000"/>
    <d v="2021-02-09T00:00:00"/>
    <d v="2021-02-09T00:00:00"/>
    <d v="2021-02-26T00:00:00"/>
  </r>
  <r>
    <x v="1"/>
    <s v="1746002339"/>
    <s v="SPRING ISD"/>
    <s v="2821CCM001"/>
    <s v=" "/>
    <s v="2821CCMC23_F21"/>
    <s v="2"/>
    <s v=" "/>
    <s v="CERT"/>
    <n v="-2293.29"/>
    <d v="2021-02-09T00:00:00"/>
    <d v="2021-02-09T00:00:00"/>
    <d v="2021-02-26T00:00:00"/>
  </r>
  <r>
    <x v="1"/>
    <s v="1746002339"/>
    <s v="SPRING ISD"/>
    <s v="2821CCM001"/>
    <s v=" "/>
    <s v="2821CCMC23_F21"/>
    <s v="2"/>
    <s v=" "/>
    <s v="CERT"/>
    <n v="-67706.710000000006"/>
    <d v="2021-07-02T00:00:00"/>
    <d v="2021-07-02T00:00:00"/>
    <d v="2021-07-30T00:00:00"/>
  </r>
  <r>
    <x v="1"/>
    <s v="1746002339"/>
    <s v="SPRING ISD"/>
    <s v="2821CCM001"/>
    <s v=" "/>
    <s v="2821CCMC23_F21"/>
    <s v="3"/>
    <s v=" "/>
    <s v="CERT"/>
    <n v="-1215.1600000000001"/>
    <d v="2021-07-02T00:00:00"/>
    <d v="2021-07-02T00:00:00"/>
    <d v="2021-07-30T00:00:00"/>
  </r>
  <r>
    <x v="1"/>
    <s v="1746002339"/>
    <s v="SPRING ISD"/>
    <s v="2821CCM001"/>
    <s v=" "/>
    <s v="2821CCMC23_F21"/>
    <s v="3"/>
    <s v=" "/>
    <s v="CERT"/>
    <n v="-63784.84"/>
    <d v="2021-10-11T00:00:00"/>
    <d v="2021-10-11T00:00:00"/>
    <d v="2021-10-25T00:00:00"/>
  </r>
  <r>
    <x v="1"/>
    <s v="1746002339"/>
    <s v="SPRING ISD"/>
    <s v="2821CCM001"/>
    <s v=" "/>
    <s v="2821CCMC23_F21"/>
    <s v="4"/>
    <s v=" "/>
    <s v="CERT"/>
    <n v="-10615.57"/>
    <d v="2021-10-11T00:00:00"/>
    <d v="2021-10-11T00:00:00"/>
    <d v="2021-10-25T00:00:00"/>
  </r>
  <r>
    <x v="1"/>
    <s v="1746002339"/>
    <s v="SPRING ISD"/>
    <s v="2821CCM001"/>
    <s v=" "/>
    <s v="2821CCMC23_F21"/>
    <s v="4"/>
    <s v=" "/>
    <s v="CERT"/>
    <n v="-39384.43"/>
    <d v="2022-03-03T00:00:00"/>
    <d v="2022-03-03T00:00:00"/>
    <d v="2022-03-18T00:00:00"/>
  </r>
  <r>
    <x v="1"/>
    <s v="1746002380"/>
    <s v="TEMPLE ISD"/>
    <s v="2621CCM001"/>
    <s v=" "/>
    <s v="07130C08_F21"/>
    <s v="1"/>
    <s v=" "/>
    <s v="CERT"/>
    <n v="-40000"/>
    <d v="2021-06-09T00:00:00"/>
    <d v="2021-06-09T00:00:00"/>
    <d v="2021-06-29T00:00:00"/>
  </r>
  <r>
    <x v="1"/>
    <s v="1746002532"/>
    <s v="WACO ISD"/>
    <s v="1321CCM001"/>
    <s v=" "/>
    <s v="1321CCMC17_F21"/>
    <s v="1"/>
    <s v=" "/>
    <s v="CERT"/>
    <n v="-265000"/>
    <d v="2022-01-20T00:00:00"/>
    <d v="2022-01-20T00:00:00"/>
    <d v="2022-01-20T00:00:00"/>
  </r>
  <r>
    <x v="1"/>
    <s v="1746002562"/>
    <s v="WHARTON COUNTY JUNIOR COLLEGE"/>
    <s v="2821CCM001"/>
    <s v=" "/>
    <s v="2821CCMC40_F21"/>
    <s v="1"/>
    <s v=" "/>
    <s v="CERT"/>
    <n v="-28000"/>
    <d v="2021-02-09T00:00:00"/>
    <d v="2021-02-09T00:00:00"/>
    <d v="2021-02-26T00:00:00"/>
  </r>
  <r>
    <x v="1"/>
    <s v="1746002562"/>
    <s v="WHARTON COUNTY JUNIOR COLLEGE"/>
    <s v="2821CCM001"/>
    <s v=" "/>
    <s v="2821CCMC40_F21"/>
    <s v="2"/>
    <s v=" "/>
    <s v="CERT"/>
    <n v="-6885.96"/>
    <d v="2021-02-09T00:00:00"/>
    <d v="2021-02-09T00:00:00"/>
    <d v="2021-02-26T00:00:00"/>
  </r>
  <r>
    <x v="1"/>
    <s v="1746002562"/>
    <s v="WHARTON COUNTY JUNIOR COLLEGE"/>
    <s v="2821CCM001"/>
    <s v=" "/>
    <s v="2821CCMC40_F21"/>
    <s v="2"/>
    <s v=" "/>
    <s v="CERT"/>
    <n v="-21114.04"/>
    <d v="2021-07-02T00:00:00"/>
    <d v="2021-07-02T00:00:00"/>
    <d v="2021-07-30T00:00:00"/>
  </r>
  <r>
    <x v="1"/>
    <s v="1746002562"/>
    <s v="WHARTON COUNTY JUNIOR COLLEGE"/>
    <s v="2821CCM001"/>
    <s v=" "/>
    <s v="2821CCMC40_F21"/>
    <s v="3"/>
    <s v=" "/>
    <s v="CERT"/>
    <n v="-9660.0400000000009"/>
    <d v="2021-07-02T00:00:00"/>
    <d v="2021-07-02T00:00:00"/>
    <d v="2021-07-30T00:00:00"/>
  </r>
  <r>
    <x v="1"/>
    <s v="1746002562"/>
    <s v="WHARTON COUNTY JUNIOR COLLEGE"/>
    <s v="2821CCM001"/>
    <s v=" "/>
    <s v="2821CCMC40_F21"/>
    <s v="3"/>
    <s v=" "/>
    <s v="CERT"/>
    <n v="-18339.96"/>
    <d v="2021-10-08T00:00:00"/>
    <d v="2021-10-08T00:00:00"/>
    <d v="2021-10-25T00:00:00"/>
  </r>
  <r>
    <x v="1"/>
    <s v="1746002562"/>
    <s v="WHARTON COUNTY JUNIOR COLLEGE"/>
    <s v="2821CCM001"/>
    <s v=" "/>
    <s v="2821CCMC40_F21"/>
    <s v="4"/>
    <s v=" "/>
    <s v="CERT"/>
    <n v="-12724.95"/>
    <d v="2021-10-08T00:00:00"/>
    <d v="2021-10-08T00:00:00"/>
    <d v="2021-10-25T00:00:00"/>
  </r>
  <r>
    <x v="1"/>
    <s v="1746002562"/>
    <s v="WHARTON COUNTY JUNIOR COLLEGE"/>
    <s v="2821CCM001"/>
    <s v=" "/>
    <s v="2821CCMC40_F21"/>
    <s v="4"/>
    <s v=" "/>
    <s v="CERT"/>
    <n v="-15275.05"/>
    <d v="2022-03-02T00:00:00"/>
    <d v="2022-03-02T00:00:00"/>
    <d v="2022-03-18T00:00:00"/>
  </r>
  <r>
    <x v="1"/>
    <s v="1746020689"/>
    <s v="TEMPLE COLLEGE"/>
    <s v="2621CCM001"/>
    <s v=" "/>
    <s v="03111C05_F21"/>
    <s v="1"/>
    <s v=" "/>
    <s v="CERT"/>
    <n v="-40000"/>
    <d v="2021-08-19T00:00:00"/>
    <d v="2021-08-19T00:00:00"/>
    <d v="2021-08-26T00:00:00"/>
  </r>
  <r>
    <x v="1"/>
    <s v="1746025253"/>
    <s v="FORT BEND ISD"/>
    <s v="2821CCM001"/>
    <s v=" "/>
    <s v="2821CCMC14_F21"/>
    <s v="1"/>
    <s v=" "/>
    <s v="CERT"/>
    <n v="-62740.5"/>
    <d v="2021-07-01T00:00:00"/>
    <d v="2021-07-01T00:00:00"/>
    <d v="2021-07-30T00:00:00"/>
  </r>
  <r>
    <x v="1"/>
    <s v="1746025253"/>
    <s v="FORT BEND ISD"/>
    <s v="2821CCM001"/>
    <s v=" "/>
    <s v="2821CCMC14_F21"/>
    <s v="1"/>
    <s v=" "/>
    <s v="CERT"/>
    <n v="-2259.5"/>
    <d v="2021-07-14T00:00:00"/>
    <d v="2021-07-14T00:00:00"/>
    <d v="2021-07-30T00:00:00"/>
  </r>
  <r>
    <x v="1"/>
    <s v="1746025253"/>
    <s v="FORT BEND ISD"/>
    <s v="2821CCM001"/>
    <s v=" "/>
    <s v="2821CCMC14_F21"/>
    <s v="2"/>
    <s v=" "/>
    <s v="CERT"/>
    <n v="-62281.38"/>
    <d v="2021-07-14T00:00:00"/>
    <d v="2021-07-14T00:00:00"/>
    <d v="2021-07-30T00:00:00"/>
  </r>
  <r>
    <x v="1"/>
    <s v="1746025253"/>
    <s v="FORT BEND ISD"/>
    <s v="2821CCM001"/>
    <s v=" "/>
    <s v="2821CCMC14_F21"/>
    <s v="2"/>
    <s v=" "/>
    <s v="CERT"/>
    <n v="-2718.62"/>
    <d v="2021-10-15T00:00:00"/>
    <d v="2021-10-15T00:00:00"/>
    <d v="2021-10-25T00:00:00"/>
  </r>
  <r>
    <x v="1"/>
    <s v="1746025253"/>
    <s v="FORT BEND ISD"/>
    <s v="2821CCM001"/>
    <s v=" "/>
    <s v="2821CCMC14_F21"/>
    <s v="3"/>
    <s v=" "/>
    <s v="CERT"/>
    <n v="-58336.79"/>
    <d v="2021-10-15T00:00:00"/>
    <d v="2021-10-15T00:00:00"/>
    <d v="2021-10-25T00:00:00"/>
  </r>
  <r>
    <x v="1"/>
    <s v="1746025253"/>
    <s v="FORT BEND ISD"/>
    <s v="2821CCM001"/>
    <s v=" "/>
    <s v="2821CCMC14_F21"/>
    <s v="3"/>
    <s v=" "/>
    <s v="CERT"/>
    <n v="-6663.21"/>
    <d v="2022-03-03T00:00:00"/>
    <d v="2022-03-03T00:00:00"/>
    <d v="2022-03-18T00:00:00"/>
  </r>
  <r>
    <x v="1"/>
    <s v="1746025253"/>
    <s v="FORT BEND ISD"/>
    <s v="2821CCM001"/>
    <s v=" "/>
    <s v="2821CCMC14_F21"/>
    <s v="4"/>
    <s v=" "/>
    <s v="CERT"/>
    <n v="-50000"/>
    <d v="2022-03-03T00:00:00"/>
    <d v="2022-03-03T00:00:00"/>
    <d v="2022-03-18T00:00:00"/>
  </r>
  <r>
    <x v="1"/>
    <s v="1746025566"/>
    <s v="LEE COLLEGE DISCTRICT"/>
    <s v="2821CCM001"/>
    <s v=" "/>
    <s v="2821CCMC41_F21"/>
    <s v="1"/>
    <s v=" "/>
    <s v="CERT"/>
    <n v="-17000"/>
    <d v="2021-02-09T00:00:00"/>
    <d v="2021-02-09T00:00:00"/>
    <d v="2021-02-26T00:00:00"/>
  </r>
  <r>
    <x v="1"/>
    <s v="1746025566"/>
    <s v="LEE COLLEGE DISCTRICT"/>
    <s v="2821CCM001"/>
    <s v=" "/>
    <s v="2821CCMC41_F21"/>
    <s v="2"/>
    <s v=" "/>
    <s v="CERT"/>
    <n v="-11780.02"/>
    <d v="2021-02-09T00:00:00"/>
    <d v="2021-02-09T00:00:00"/>
    <d v="2021-02-26T00:00:00"/>
  </r>
  <r>
    <x v="1"/>
    <s v="1746025566"/>
    <s v="LEE COLLEGE DISCTRICT"/>
    <s v="2821CCM001"/>
    <s v=" "/>
    <s v="2821CCMC41_F21"/>
    <s v="2"/>
    <s v=" "/>
    <s v="CERT"/>
    <n v="-5219.9799999999996"/>
    <d v="2021-07-02T00:00:00"/>
    <d v="2021-07-02T00:00:00"/>
    <d v="2021-07-30T00:00:00"/>
  </r>
  <r>
    <x v="1"/>
    <s v="1746025566"/>
    <s v="LEE COLLEGE DISCTRICT"/>
    <s v="2821CCM001"/>
    <s v=" "/>
    <s v="2821CCMC41_F21"/>
    <s v="3"/>
    <s v=" "/>
    <s v="CERT"/>
    <n v="-15000"/>
    <d v="2021-07-02T00:00:00"/>
    <d v="2021-07-02T00:00:00"/>
    <d v="2021-07-30T00:00:00"/>
  </r>
  <r>
    <x v="1"/>
    <s v="1746025566"/>
    <s v="LEE COLLEGE DISCTRICT"/>
    <s v="2821CCM001"/>
    <s v=" "/>
    <s v="2821CCMC41_F21"/>
    <s v="4"/>
    <s v=" "/>
    <s v="CERT"/>
    <n v="-168.76"/>
    <d v="2021-07-02T00:00:00"/>
    <d v="2021-07-02T00:00:00"/>
    <d v="2021-07-30T00:00:00"/>
  </r>
  <r>
    <x v="1"/>
    <s v="1746025566"/>
    <s v="LEE COLLEGE DISCTRICT"/>
    <s v="2821CCM001"/>
    <s v=" "/>
    <s v="2821CCMC41_F21"/>
    <s v="4"/>
    <s v=" "/>
    <s v="CERT"/>
    <n v="-15831.24"/>
    <d v="2021-10-11T00:00:00"/>
    <d v="2021-10-11T00:00:00"/>
    <d v="2021-10-25T00:00:00"/>
  </r>
  <r>
    <x v="1"/>
    <s v="1746028285"/>
    <s v="SAN JACINTO COLLEGE"/>
    <s v="2821CCM001"/>
    <s v=" "/>
    <s v="2821CCMC26_F21"/>
    <s v="1"/>
    <s v=" "/>
    <s v="CERT"/>
    <n v="-400000"/>
    <d v="2021-02-09T00:00:00"/>
    <d v="2021-02-09T00:00:00"/>
    <d v="2021-02-26T00:00:00"/>
  </r>
  <r>
    <x v="1"/>
    <s v="1746028285"/>
    <s v="SAN JACINTO COLLEGE"/>
    <s v="2821CCM001"/>
    <s v=" "/>
    <s v="2821CCMC26_F21"/>
    <s v="2"/>
    <s v=" "/>
    <s v="CERT"/>
    <n v="-30458.37"/>
    <d v="2021-02-09T00:00:00"/>
    <d v="2021-02-09T00:00:00"/>
    <d v="2021-02-26T00:00:00"/>
  </r>
  <r>
    <x v="1"/>
    <s v="1746028285"/>
    <s v="SAN JACINTO COLLEGE"/>
    <s v="2821CCM001"/>
    <s v=" "/>
    <s v="2821CCMC26_F21"/>
    <s v="2"/>
    <s v=" "/>
    <s v="CERT"/>
    <n v="-269541.63"/>
    <d v="2021-07-02T00:00:00"/>
    <d v="2021-07-02T00:00:00"/>
    <d v="2021-07-30T00:00:00"/>
  </r>
  <r>
    <x v="1"/>
    <s v="1746028285"/>
    <s v="SAN JACINTO COLLEGE"/>
    <s v="2821CCM001"/>
    <s v=" "/>
    <s v="2821CCMC26_F21"/>
    <s v="3"/>
    <s v=" "/>
    <s v="CERT"/>
    <n v="-132249.79"/>
    <d v="2021-07-02T00:00:00"/>
    <d v="2021-07-02T00:00:00"/>
    <d v="2021-07-30T00:00:00"/>
  </r>
  <r>
    <x v="1"/>
    <s v="1746028285"/>
    <s v="SAN JACINTO COLLEGE"/>
    <s v="2821CCM001"/>
    <s v=" "/>
    <s v="2821CCMC26_F21"/>
    <s v="3"/>
    <s v=" "/>
    <s v="CERT"/>
    <n v="-167750.21"/>
    <d v="2021-10-11T00:00:00"/>
    <d v="2021-10-11T00:00:00"/>
    <d v="2021-10-20T00:00:00"/>
  </r>
  <r>
    <x v="1"/>
    <s v="1746028285"/>
    <s v="SAN JACINTO COLLEGE"/>
    <s v="2821CCM001"/>
    <s v=" "/>
    <s v="2821CCMC26_F21"/>
    <s v="4"/>
    <s v=" "/>
    <s v="CERT"/>
    <n v="-256776.19"/>
    <d v="2021-10-11T00:00:00"/>
    <d v="2021-10-11T00:00:00"/>
    <d v="2021-10-20T00:00:00"/>
  </r>
  <r>
    <x v="1"/>
    <s v="1746028285"/>
    <s v="SAN JACINTO COLLEGE"/>
    <s v="2821CCM001"/>
    <s v=" "/>
    <s v="2821CCMC26_F21"/>
    <s v="4"/>
    <s v=" "/>
    <s v="CERT"/>
    <n v="-106674.81"/>
    <d v="2022-03-02T00:00:00"/>
    <d v="2022-03-02T00:00:00"/>
    <d v="2022-03-18T00:00:00"/>
  </r>
  <r>
    <x v="1"/>
    <s v="1746028285"/>
    <s v="SAN JACINTO COLLEGE"/>
    <s v="2821CCM001"/>
    <s v=" "/>
    <s v="2821CCMC26_F21"/>
    <s v="5"/>
    <s v=" "/>
    <s v="CERT"/>
    <n v="-37000"/>
    <d v="2022-03-02T00:00:00"/>
    <d v="2022-03-02T00:00:00"/>
    <d v="2022-03-18T00:00:00"/>
  </r>
  <r>
    <x v="1"/>
    <s v="1746028285"/>
    <s v="SAN JACINTO COLLEGE"/>
    <s v="2821CCM001"/>
    <s v=" "/>
    <s v="2821CCMC26_F21"/>
    <s v="6"/>
    <s v=" "/>
    <s v="CERT"/>
    <n v="-90000"/>
    <d v="2022-03-02T00:00:00"/>
    <d v="2022-03-02T00:00:00"/>
    <d v="2022-03-18T00:00:00"/>
  </r>
  <r>
    <x v="1"/>
    <s v="1746028859"/>
    <s v="UNITED ISD"/>
    <s v="2121CCM001"/>
    <s v=" "/>
    <s v="11211C02_F21"/>
    <s v="1"/>
    <s v=" "/>
    <s v="CERT"/>
    <n v="-75472"/>
    <d v="2022-02-24T00:00:00"/>
    <d v="2022-02-24T00:00:00"/>
    <d v="2022-02-28T00:00:00"/>
  </r>
  <r>
    <x v="1"/>
    <s v="1746028859"/>
    <s v="UNITED ISD"/>
    <s v="2121CCM001"/>
    <s v=" "/>
    <s v="11211C02_F21"/>
    <s v="2"/>
    <s v=" "/>
    <s v="CERT"/>
    <n v="-75472"/>
    <d v="2022-02-24T00:00:00"/>
    <d v="2022-02-24T00:00:00"/>
    <d v="2022-02-28T00:00:00"/>
  </r>
  <r>
    <x v="1"/>
    <s v="1751050382"/>
    <s v="NORTH CENTRAL TEXAS COLLEGE"/>
    <s v="2521CCM001"/>
    <s v=" "/>
    <s v="03111C07_F21"/>
    <s v="1"/>
    <s v=" "/>
    <s v="CERT"/>
    <n v="-23899"/>
    <d v="2021-10-15T00:00:00"/>
    <d v="2021-10-15T00:00:00"/>
    <d v="2021-10-25T00:00:00"/>
  </r>
  <r>
    <x v="1"/>
    <s v="1751164343"/>
    <s v="CISCO JUNIOR COLLEGE"/>
    <s v="0921CCM001"/>
    <s v=" "/>
    <s v="0921CCMC79_F21"/>
    <s v="1"/>
    <s v=" "/>
    <s v="CERT"/>
    <n v="-15000"/>
    <d v="2021-03-15T00:00:00"/>
    <d v="2021-03-15T00:00:00"/>
    <d v="2021-03-29T00:00:00"/>
  </r>
  <r>
    <x v="1"/>
    <s v="1751164343"/>
    <s v="CISCO JUNIOR COLLEGE"/>
    <s v="0921CCM001"/>
    <s v=" "/>
    <s v="0921CCMC79_F21"/>
    <s v="2"/>
    <s v=" "/>
    <s v="CERT"/>
    <n v="-9620.9699999999993"/>
    <d v="2021-03-15T00:00:00"/>
    <d v="2021-03-15T00:00:00"/>
    <d v="2021-03-29T00:00:00"/>
  </r>
  <r>
    <x v="1"/>
    <s v="1751164343"/>
    <s v="CISCO JUNIOR COLLEGE"/>
    <s v="0921CCM001"/>
    <s v=" "/>
    <s v="0921CCMC79_F21"/>
    <s v="2"/>
    <s v=" "/>
    <s v="CERT"/>
    <n v="-5379.03"/>
    <d v="2021-07-01T00:00:00"/>
    <d v="2021-07-01T00:00:00"/>
    <d v="2021-07-01T00:00:00"/>
  </r>
  <r>
    <x v="1"/>
    <s v="1751164343"/>
    <s v="CISCO JUNIOR COLLEGE"/>
    <s v="0921CCM001"/>
    <s v=" "/>
    <s v="0921CCMC79_F21"/>
    <s v="3"/>
    <s v=" "/>
    <s v="CERT"/>
    <n v="-19245.14"/>
    <d v="2021-07-01T00:00:00"/>
    <d v="2021-07-01T00:00:00"/>
    <d v="2021-07-01T00:00:00"/>
  </r>
  <r>
    <x v="1"/>
    <s v="1751164343"/>
    <s v="CISCO JUNIOR COLLEGE"/>
    <s v="0921CCM001"/>
    <s v=" "/>
    <s v="0921CCMC79_F21"/>
    <s v="3"/>
    <s v=" "/>
    <s v="CERT"/>
    <n v="-8286.86"/>
    <d v="2022-02-16T00:00:00"/>
    <d v="2022-02-16T00:00:00"/>
    <d v="2022-02-28T00:00:00"/>
  </r>
  <r>
    <x v="1"/>
    <s v="1751164343"/>
    <s v="CISCO JUNIOR COLLEGE"/>
    <s v="0921CCM001"/>
    <s v=" "/>
    <s v="0921CCMC79_F21"/>
    <s v="4"/>
    <s v=" "/>
    <s v="CERT"/>
    <n v="-7903.43"/>
    <d v="2022-02-16T00:00:00"/>
    <d v="2022-02-16T00:00:00"/>
    <d v="2022-02-28T00:00:00"/>
  </r>
  <r>
    <x v="1"/>
    <s v="1751169719"/>
    <s v="GRAYSON COUNTY COLLEGE"/>
    <s v="2521CCM001"/>
    <s v=" "/>
    <s v="03111C05_F21"/>
    <s v="1"/>
    <s v=" "/>
    <s v="CERT"/>
    <n v="-138000"/>
    <d v="2021-10-27T00:00:00"/>
    <d v="2021-10-27T00:00:00"/>
    <d v="2021-10-29T00:00:00"/>
  </r>
  <r>
    <x v="1"/>
    <s v="1751213149"/>
    <s v="DALLAS COUNTY COMM COLLEGE"/>
    <s v="0621CCM001"/>
    <s v=" "/>
    <s v="0621CCM05_F21"/>
    <s v="1"/>
    <s v=" "/>
    <s v="CERT"/>
    <n v="-175000"/>
    <d v="2021-04-02T00:00:00"/>
    <d v="2021-04-02T00:00:00"/>
    <d v="2021-04-12T00:00:00"/>
  </r>
  <r>
    <x v="1"/>
    <s v="1751213149"/>
    <s v="DALLAS COUNTY COMM COLLEGE"/>
    <s v="0621CCM001"/>
    <s v=" "/>
    <s v="0621CCM05_F21"/>
    <s v="2"/>
    <s v=" "/>
    <s v="CERT"/>
    <n v="-133774.75"/>
    <d v="2021-04-02T00:00:00"/>
    <d v="2021-04-02T00:00:00"/>
    <d v="2021-04-12T00:00:00"/>
  </r>
  <r>
    <x v="1"/>
    <s v="1751213149"/>
    <s v="DALLAS COUNTY COMM COLLEGE"/>
    <s v="0621CCM001"/>
    <s v=" "/>
    <s v="0621CCM05_F21"/>
    <s v="3"/>
    <s v=" "/>
    <s v="CERT"/>
    <n v="-173090.53"/>
    <d v="2021-05-04T00:00:00"/>
    <d v="2021-05-04T00:00:00"/>
    <d v="2021-05-14T00:00:00"/>
  </r>
  <r>
    <x v="1"/>
    <s v="1751213149"/>
    <s v="DALLAS COUNTY COMM COLLEGE"/>
    <s v="0621CCM001"/>
    <s v=" "/>
    <s v="0621CCM05_F21"/>
    <s v="4"/>
    <s v=" "/>
    <s v="CERT"/>
    <n v="-44588.66"/>
    <d v="2021-05-04T00:00:00"/>
    <d v="2021-05-04T00:00:00"/>
    <d v="2021-05-14T00:00:00"/>
  </r>
  <r>
    <x v="1"/>
    <s v="1751213149"/>
    <s v="DALLAS COUNTY COMM COLLEGE"/>
    <s v="0621CCM001"/>
    <s v=" "/>
    <s v="0621CCM05_F21"/>
    <s v="4"/>
    <s v=" "/>
    <s v="CERT"/>
    <n v="-130051.34"/>
    <d v="2021-08-18T00:00:00"/>
    <d v="2021-08-18T00:00:00"/>
    <d v="2021-08-26T00:00:00"/>
  </r>
  <r>
    <x v="1"/>
    <s v="1751213149"/>
    <s v="DALLAS COUNTY COMM COLLEGE"/>
    <s v="0621CCM001"/>
    <s v=" "/>
    <s v="0621CCM05_F21"/>
    <s v="5"/>
    <s v=" "/>
    <s v="CERT"/>
    <n v="-60373.95"/>
    <d v="2022-02-16T00:00:00"/>
    <d v="2022-02-16T00:00:00"/>
    <d v="2022-02-28T00:00:00"/>
  </r>
  <r>
    <x v="1"/>
    <s v="1751217163"/>
    <s v="TARRANT COUNTY JUNIOR COL"/>
    <s v="0521CCM001"/>
    <s v=" "/>
    <s v="03090C07_F21"/>
    <s v="1"/>
    <s v=" "/>
    <s v="CERT"/>
    <n v="-500000"/>
    <d v="2022-01-04T00:00:00"/>
    <d v="2022-01-04T00:00:00"/>
    <d v="2022-01-20T00:00:00"/>
  </r>
  <r>
    <x v="1"/>
    <s v="1751244347"/>
    <s v="ANGELINA COUNTY JUNIOR COL"/>
    <s v="1721CCM001"/>
    <s v=" "/>
    <s v="05240C30_F21"/>
    <s v="1"/>
    <s v=" "/>
    <s v="CERT"/>
    <n v="-132310"/>
    <d v="2022-02-16T00:00:00"/>
    <d v="2022-02-16T00:00:00"/>
    <d v="2022-02-28T00:00:00"/>
  </r>
  <r>
    <x v="1"/>
    <s v="1751244347"/>
    <s v="ANGELINA COUNTY JUNIOR COL"/>
    <s v="1721CCM001"/>
    <s v=" "/>
    <s v="05240C30_F21"/>
    <s v="2"/>
    <s v=" "/>
    <s v="CERT"/>
    <n v="-33178"/>
    <d v="2022-02-16T00:00:00"/>
    <d v="2022-02-16T00:00:00"/>
    <d v="2022-02-28T00:00:00"/>
  </r>
  <r>
    <x v="1"/>
    <s v="1751310636"/>
    <s v="WESTERN TEXAS COLLEGE"/>
    <s v="0921CCM001"/>
    <s v=" "/>
    <s v="0921CCMC80_F21"/>
    <s v="1"/>
    <s v=" "/>
    <s v="CERT"/>
    <n v="-15000"/>
    <d v="2021-03-15T00:00:00"/>
    <d v="2021-03-15T00:00:00"/>
    <d v="2021-03-29T00:00:00"/>
  </r>
  <r>
    <x v="1"/>
    <s v="1751310636"/>
    <s v="WESTERN TEXAS COLLEGE"/>
    <s v="0921CCM001"/>
    <s v=" "/>
    <s v="0921CCMC80_F21"/>
    <s v="2"/>
    <s v=" "/>
    <s v="CERT"/>
    <n v="-13135.7"/>
    <d v="2021-03-15T00:00:00"/>
    <d v="2021-03-15T00:00:00"/>
    <d v="2021-03-29T00:00:00"/>
  </r>
  <r>
    <x v="1"/>
    <s v="1751310636"/>
    <s v="WESTERN TEXAS COLLEGE"/>
    <s v="0921CCM001"/>
    <s v=" "/>
    <s v="0921CCMC80_F21"/>
    <s v="2"/>
    <s v=" "/>
    <s v="CERT"/>
    <n v="-1864.3"/>
    <d v="2021-07-01T00:00:00"/>
    <d v="2021-07-01T00:00:00"/>
    <d v="2021-07-01T00:00:00"/>
  </r>
  <r>
    <x v="1"/>
    <s v="1751310636"/>
    <s v="WESTERN TEXAS COLLEGE"/>
    <s v="0921CCM001"/>
    <s v=" "/>
    <s v="0921CCMC80_F21"/>
    <s v="3"/>
    <s v=" "/>
    <s v="CERT"/>
    <n v="-26750.98"/>
    <d v="2021-07-01T00:00:00"/>
    <d v="2021-07-01T00:00:00"/>
    <d v="2021-07-01T00:00:00"/>
  </r>
  <r>
    <x v="1"/>
    <s v="1751310636"/>
    <s v="WESTERN TEXAS COLLEGE"/>
    <s v="0921CCM001"/>
    <s v=" "/>
    <s v="0921CCMC80_F21"/>
    <s v="3"/>
    <s v=" "/>
    <s v="CERT"/>
    <n v="-9808.3799999999992"/>
    <d v="2022-02-14T00:00:00"/>
    <d v="2022-02-14T00:00:00"/>
    <d v="2022-02-28T00:00:00"/>
  </r>
  <r>
    <x v="1"/>
    <s v="1751404239"/>
    <s v="HILL COUNTY JUNIOR COLLEGE"/>
    <s v="0421CCM001"/>
    <s v=" "/>
    <s v="0421C04_F21"/>
    <s v="2"/>
    <s v=" "/>
    <s v="CERT"/>
    <n v="-46731.09"/>
    <d v="2021-12-20T00:00:00"/>
    <d v="2021-12-20T00:00:00"/>
    <d v="2021-12-20T00:00:00"/>
  </r>
  <r>
    <x v="1"/>
    <s v="1751963242"/>
    <s v="NORTHEAST TEXAS COMMUNITY COLLEGE"/>
    <s v="0721CCM001"/>
    <s v=" "/>
    <s v="04170C08_F21"/>
    <s v="1"/>
    <s v=" "/>
    <s v="CERT"/>
    <n v="-5000"/>
    <d v="2021-10-15T00:00:00"/>
    <d v="2021-10-15T00:00:00"/>
    <d v="2021-10-25T00:00:00"/>
  </r>
  <r>
    <x v="1"/>
    <s v="1752037156"/>
    <s v="COLLIN COUNTY COMM COL"/>
    <s v="0421CCM001"/>
    <s v=" "/>
    <s v="0421C16_F21"/>
    <s v="1"/>
    <s v=" "/>
    <s v="CERT"/>
    <n v="-398587"/>
    <d v="2021-04-16T00:00:00"/>
    <d v="2021-04-16T00:00:00"/>
    <d v="2021-04-28T00:00:00"/>
  </r>
  <r>
    <x v="1"/>
    <s v="1752037156"/>
    <s v="COLLIN COUNTY COMM COL"/>
    <s v="0421CCM001"/>
    <s v=" "/>
    <s v="0421C16_F21"/>
    <s v="1"/>
    <s v=" "/>
    <s v="CERT"/>
    <n v="-72667.5"/>
    <d v="2021-12-20T00:00:00"/>
    <d v="2021-12-20T00:00:00"/>
    <d v="2021-12-20T00:00:00"/>
  </r>
  <r>
    <x v="1"/>
    <s v="1752037156"/>
    <s v="COLLIN COUNTY COMM COL"/>
    <s v="0421CCM001"/>
    <s v=" "/>
    <s v="0421C16_F21"/>
    <s v="2"/>
    <s v=" "/>
    <s v="CERT"/>
    <n v="-416474.5"/>
    <d v="2021-12-20T00:00:00"/>
    <d v="2021-12-20T00:00:00"/>
    <d v="2021-12-20T00:00:00"/>
  </r>
  <r>
    <x v="1"/>
    <s v="1752668014"/>
    <s v="TEXAS TECH UNIV HEALTH SCI CTR"/>
    <s v="1021CCM001"/>
    <s v=" "/>
    <s v="1021CCM01_F21"/>
    <s v="1"/>
    <s v=" "/>
    <s v="CERT"/>
    <n v="-22500"/>
    <d v="2021-06-30T00:00:00"/>
    <d v="2021-06-30T00:00:00"/>
    <d v="2021-06-30T00:00:00"/>
  </r>
  <r>
    <x v="1"/>
    <s v="1752668014"/>
    <s v="TEXAS TECH UNIV HEALTH SCI CTR"/>
    <s v="1021CCM001"/>
    <s v=" "/>
    <s v="1021CCM01_F21"/>
    <s v="2"/>
    <s v=" "/>
    <s v="CERT"/>
    <n v="-320.57"/>
    <d v="2021-06-30T00:00:00"/>
    <d v="2021-06-30T00:00:00"/>
    <d v="2021-06-30T00:00:00"/>
  </r>
  <r>
    <x v="1"/>
    <s v="1752668014"/>
    <s v="TEXAS TECH UNIV HEALTH SCI CTR"/>
    <s v="1021CCM001"/>
    <s v=" "/>
    <s v="1021CCM01_F21"/>
    <s v="2"/>
    <s v=" "/>
    <s v="CERT"/>
    <n v="-22179.43"/>
    <d v="2021-07-01T00:00:00"/>
    <d v="2021-07-01T00:00:00"/>
    <d v="2021-07-01T00:00:00"/>
  </r>
  <r>
    <x v="1"/>
    <s v="1752668014"/>
    <s v="TEXAS TECH UNIV HEALTH SCI CTR"/>
    <s v="1021CCM001"/>
    <s v=" "/>
    <s v="1021CCM01_F21"/>
    <s v="3"/>
    <s v=" "/>
    <s v="CERT"/>
    <n v="-599.52"/>
    <d v="2021-07-01T00:00:00"/>
    <d v="2021-07-01T00:00:00"/>
    <d v="2021-07-01T00:00:00"/>
  </r>
  <r>
    <x v="1"/>
    <s v="1752668014"/>
    <s v="TEXAS TECH UNIV HEALTH SCI CTR"/>
    <s v="1021CCM001"/>
    <s v=" "/>
    <s v="1021CCM01_F21"/>
    <s v="3"/>
    <s v=" "/>
    <s v="CERT"/>
    <n v="-21900.48"/>
    <d v="2021-07-09T00:00:00"/>
    <d v="2021-07-09T00:00:00"/>
    <d v="2021-07-30T00:00:00"/>
  </r>
  <r>
    <x v="1"/>
    <s v="1752668014"/>
    <s v="TEXAS TECH UNIV HEALTH SCI CTR"/>
    <s v="1021CCM001"/>
    <s v=" "/>
    <s v="1021CCM01_F21"/>
    <s v="4"/>
    <s v=" "/>
    <s v="CERT"/>
    <n v="-635.83000000000004"/>
    <d v="2021-07-09T00:00:00"/>
    <d v="2021-07-09T00:00:00"/>
    <d v="2021-07-30T00:00:00"/>
  </r>
  <r>
    <x v="1"/>
    <s v="1752668014"/>
    <s v="TEXAS TECH UNIV HEALTH SCI CTR"/>
    <s v="1021CCM001"/>
    <s v=" "/>
    <s v="1021CCM01_F21"/>
    <s v="4"/>
    <s v=" "/>
    <s v="CERT"/>
    <n v="-21864.17"/>
    <d v="2021-12-27T00:00:00"/>
    <d v="2021-12-27T00:00:00"/>
    <d v="2021-12-27T00:00:00"/>
  </r>
  <r>
    <x v="1"/>
    <s v="1752668014"/>
    <s v="TEXAS TECH UNIV HEALTH SCI CTR"/>
    <s v="1021CCM001"/>
    <s v=" "/>
    <s v="1021CCM01_F21"/>
    <s v="5"/>
    <s v=" "/>
    <s v="CERT"/>
    <n v="-46.5"/>
    <d v="2022-02-16T00:00:00"/>
    <d v="2022-02-16T00:00:00"/>
    <d v="2022-02-28T00:00:00"/>
  </r>
  <r>
    <x v="1"/>
    <s v="1756000031"/>
    <s v="AMARILLO COMM COLLEGE DIST"/>
    <s v="0121CCM001"/>
    <s v=" "/>
    <s v="01010C00_F21"/>
    <s v="1"/>
    <s v=" "/>
    <s v="CERT"/>
    <n v="-29166.67"/>
    <d v="2021-01-26T00:00:00"/>
    <d v="2021-01-26T00:00:00"/>
    <d v="2021-01-26T00:00:00"/>
  </r>
  <r>
    <x v="1"/>
    <s v="1756000031"/>
    <s v="AMARILLO COMM COLLEGE DIST"/>
    <s v="0121CCM001"/>
    <s v=" "/>
    <s v="01010C00_F21"/>
    <s v="2"/>
    <s v=" "/>
    <s v="CERT"/>
    <n v="-29166.67"/>
    <d v="2021-01-26T00:00:00"/>
    <d v="2021-01-26T00:00:00"/>
    <d v="2021-01-26T00:00:00"/>
  </r>
  <r>
    <x v="1"/>
    <s v="1756000031"/>
    <s v="AMARILLO COMM COLLEGE DIST"/>
    <s v="0121CCM001"/>
    <s v=" "/>
    <s v="01010C00_F21"/>
    <s v="3"/>
    <s v=" "/>
    <s v="CERT"/>
    <n v="-29166.67"/>
    <d v="2021-01-26T00:00:00"/>
    <d v="2021-01-26T00:00:00"/>
    <d v="2021-01-26T00:00:00"/>
  </r>
  <r>
    <x v="1"/>
    <s v="1756000031"/>
    <s v="AMARILLO COMM COLLEGE DIST"/>
    <s v="0121CCM001"/>
    <s v=" "/>
    <s v="01010C00_F21"/>
    <s v="4"/>
    <s v=" "/>
    <s v="CERT"/>
    <n v="-7040.58"/>
    <d v="2021-01-26T00:00:00"/>
    <d v="2021-01-26T00:00:00"/>
    <d v="2021-01-26T00:00:00"/>
  </r>
  <r>
    <x v="1"/>
    <s v="1756000031"/>
    <s v="AMARILLO COMM COLLEGE DIST"/>
    <s v="0121CCM001"/>
    <s v=" "/>
    <s v="01010C00_F21"/>
    <s v="4"/>
    <s v=" "/>
    <s v="CERT"/>
    <n v="-22126.09"/>
    <d v="2021-03-12T00:00:00"/>
    <d v="2021-03-12T00:00:00"/>
    <d v="2021-03-29T00:00:00"/>
  </r>
  <r>
    <x v="1"/>
    <s v="1756000031"/>
    <s v="AMARILLO COMM COLLEGE DIST"/>
    <s v="0121CCM001"/>
    <s v=" "/>
    <s v="01010C00_F21"/>
    <s v="5"/>
    <s v=" "/>
    <s v="CERT"/>
    <n v="-5417.13"/>
    <d v="2021-03-12T00:00:00"/>
    <d v="2021-03-12T00:00:00"/>
    <d v="2021-03-29T00:00:00"/>
  </r>
  <r>
    <x v="1"/>
    <s v="1756000031"/>
    <s v="AMARILLO COMM COLLEGE DIST"/>
    <s v="0121CCM001"/>
    <s v=" "/>
    <s v="01010C00_F21"/>
    <s v="5"/>
    <s v=" "/>
    <s v="CERT"/>
    <n v="-23749.54"/>
    <d v="2021-04-02T00:00:00"/>
    <d v="2021-04-02T00:00:00"/>
    <d v="2021-04-12T00:00:00"/>
  </r>
  <r>
    <x v="1"/>
    <s v="1756000031"/>
    <s v="AMARILLO COMM COLLEGE DIST"/>
    <s v="0121CCM001"/>
    <s v=" "/>
    <s v="01010C00_F21"/>
    <s v="6"/>
    <s v=" "/>
    <s v="CERT"/>
    <n v="-4098.42"/>
    <d v="2021-04-02T00:00:00"/>
    <d v="2021-04-02T00:00:00"/>
    <d v="2021-04-12T00:00:00"/>
  </r>
  <r>
    <x v="1"/>
    <s v="1756000031"/>
    <s v="AMARILLO COMM COLLEGE DIST"/>
    <s v="0121CCM001"/>
    <s v=" "/>
    <s v="01010C00_F21"/>
    <s v="6"/>
    <s v=" "/>
    <s v="CERT"/>
    <n v="-25068.25"/>
    <d v="2021-04-12T00:00:00"/>
    <d v="2021-04-12T00:00:00"/>
    <d v="2021-04-12T00:00:00"/>
  </r>
  <r>
    <x v="1"/>
    <s v="1756000031"/>
    <s v="AMARILLO COMM COLLEGE DIST"/>
    <s v="0121CCM001"/>
    <s v=" "/>
    <s v="01010C00_F21"/>
    <s v="7"/>
    <s v=" "/>
    <s v="CERT"/>
    <n v="-604.80999999999995"/>
    <d v="2021-04-12T00:00:00"/>
    <d v="2021-04-12T00:00:00"/>
    <d v="2021-04-12T00:00:00"/>
  </r>
  <r>
    <x v="1"/>
    <s v="1756000031"/>
    <s v="AMARILLO COMM COLLEGE DIST"/>
    <s v="0121CCM001"/>
    <s v=" "/>
    <s v="01010C00_F21"/>
    <s v="7"/>
    <s v=" "/>
    <s v="CERT"/>
    <n v="-26676.61"/>
    <d v="2021-06-02T00:00:00"/>
    <d v="2021-06-02T00:00:00"/>
    <d v="2021-06-02T00:00:00"/>
  </r>
  <r>
    <x v="1"/>
    <s v="1756000031"/>
    <s v="AMARILLO COMM COLLEGE DIST"/>
    <s v="0121CCM001"/>
    <s v=" "/>
    <s v="01010C00_F21"/>
    <s v="7"/>
    <s v=" "/>
    <s v="CERT"/>
    <n v="-1885.25"/>
    <d v="2021-06-16T00:00:00"/>
    <d v="2021-06-16T00:00:00"/>
    <d v="2021-06-29T00:00:00"/>
  </r>
  <r>
    <x v="1"/>
    <s v="1756000031"/>
    <s v="AMARILLO COMM COLLEGE DIST"/>
    <s v="0121CCM001"/>
    <s v=" "/>
    <s v="01010C00_F21"/>
    <s v="8"/>
    <s v=" "/>
    <s v="CERT"/>
    <n v="-21660.07"/>
    <d v="2021-06-16T00:00:00"/>
    <d v="2021-06-16T00:00:00"/>
    <d v="2021-06-29T00:00:00"/>
  </r>
  <r>
    <x v="1"/>
    <s v="1756000031"/>
    <s v="AMARILLO COMM COLLEGE DIST"/>
    <s v="0121CCM001"/>
    <s v=" "/>
    <s v="01010C00_F21"/>
    <s v="8"/>
    <s v=" "/>
    <s v="CERT"/>
    <n v="-7506.6"/>
    <d v="2021-08-09T00:00:00"/>
    <d v="2021-08-09T00:00:00"/>
    <d v="2021-08-19T00:00:00"/>
  </r>
  <r>
    <x v="1"/>
    <s v="1756000031"/>
    <s v="AMARILLO COMM COLLEGE DIST"/>
    <s v="0121CCM001"/>
    <s v=" "/>
    <s v="01010C00_F21"/>
    <s v="9"/>
    <s v=" "/>
    <s v="CERT"/>
    <n v="-18477.150000000001"/>
    <d v="2021-08-09T00:00:00"/>
    <d v="2021-08-09T00:00:00"/>
    <d v="2021-08-19T00:00:00"/>
  </r>
  <r>
    <x v="1"/>
    <s v="1756000031"/>
    <s v="AMARILLO COMM COLLEGE DIST"/>
    <s v="0121CCM001"/>
    <s v=" "/>
    <s v="01010C00_F21"/>
    <s v="9"/>
    <s v=" "/>
    <s v="CERT"/>
    <n v="-10689.51"/>
    <d v="2021-08-19T00:00:00"/>
    <d v="2021-08-19T00:00:00"/>
    <d v="2021-08-26T00:00:00"/>
  </r>
  <r>
    <x v="1"/>
    <s v="1756000031"/>
    <s v="AMARILLO COMM COLLEGE DIST"/>
    <s v="0121CCM001"/>
    <s v=" "/>
    <s v="01010C00_F21"/>
    <s v="10"/>
    <s v=" "/>
    <s v="CERT"/>
    <n v="-29166.66"/>
    <d v="2021-08-19T00:00:00"/>
    <d v="2021-08-19T00:00:00"/>
    <d v="2021-08-26T00:00:00"/>
  </r>
  <r>
    <x v="1"/>
    <s v="1756000031"/>
    <s v="AMARILLO COMM COLLEGE DIST"/>
    <s v="0121CCM001"/>
    <s v=" "/>
    <s v="01010C00_F21"/>
    <s v="11"/>
    <s v=" "/>
    <s v="CERT"/>
    <n v="-1911.46"/>
    <d v="2021-08-19T00:00:00"/>
    <d v="2021-08-19T00:00:00"/>
    <d v="2021-08-26T00:00:00"/>
  </r>
  <r>
    <x v="1"/>
    <s v="1756000031"/>
    <s v="AMARILLO COMM COLLEGE DIST"/>
    <s v="0121CCM001"/>
    <s v=" "/>
    <s v="01010C00_F21"/>
    <s v="11"/>
    <s v=" "/>
    <s v="CERT"/>
    <n v="-27255.200000000001"/>
    <d v="2021-10-08T00:00:00"/>
    <d v="2021-10-08T00:00:00"/>
    <d v="2021-10-25T00:00:00"/>
  </r>
  <r>
    <x v="1"/>
    <s v="1756000031"/>
    <s v="AMARILLO COMM COLLEGE DIST"/>
    <s v="0121CCM001"/>
    <s v=" "/>
    <s v="01010C00_F21"/>
    <s v="12"/>
    <s v=" "/>
    <s v="CERT"/>
    <n v="-14263.98"/>
    <d v="2021-10-08T00:00:00"/>
    <d v="2021-10-08T00:00:00"/>
    <d v="2021-10-25T00:00:00"/>
  </r>
  <r>
    <x v="1"/>
    <s v="1756000031"/>
    <s v="AMARILLO COMM COLLEGE DIST"/>
    <s v="0121CCM001"/>
    <s v=" "/>
    <s v="01010C00_F21"/>
    <s v="12"/>
    <s v=" "/>
    <s v="CERT"/>
    <n v="-14902.68"/>
    <d v="2021-12-20T00:00:00"/>
    <d v="2021-12-20T00:00:00"/>
    <d v="2021-12-20T00:00:00"/>
  </r>
  <r>
    <x v="1"/>
    <s v="1756000440"/>
    <s v="CITY OF ABILENE"/>
    <s v="0921CCM001"/>
    <s v=" "/>
    <s v="0921CCMC81_F21"/>
    <s v="1"/>
    <s v=" "/>
    <s v="CERT"/>
    <n v="-75000"/>
    <d v="2021-03-15T00:00:00"/>
    <d v="2021-03-15T00:00:00"/>
    <d v="2021-03-29T00:00:00"/>
  </r>
  <r>
    <x v="1"/>
    <s v="1756000440"/>
    <s v="CITY OF ABILENE"/>
    <s v="0921CCM001"/>
    <s v=" "/>
    <s v="0921CCMC81_F21"/>
    <s v="2"/>
    <s v=" "/>
    <s v="CERT"/>
    <n v="-19107"/>
    <d v="2021-03-15T00:00:00"/>
    <d v="2021-03-15T00:00:00"/>
    <d v="2021-03-29T00:00:00"/>
  </r>
  <r>
    <x v="1"/>
    <s v="1756000440"/>
    <s v="CITY OF ABILENE"/>
    <s v="0921CCM001"/>
    <s v=" "/>
    <s v="0921CCMC81_F21"/>
    <s v="2"/>
    <s v=" "/>
    <s v="CERT"/>
    <n v="-55893"/>
    <d v="2021-07-01T00:00:00"/>
    <d v="2021-07-01T00:00:00"/>
    <d v="2021-07-01T00:00:00"/>
  </r>
  <r>
    <x v="1"/>
    <s v="1756000440"/>
    <s v="CITY OF ABILENE"/>
    <s v="0921CCM001"/>
    <s v=" "/>
    <s v="0921CCMC81_F21"/>
    <s v="3"/>
    <s v=" "/>
    <s v="CERT"/>
    <n v="-38214"/>
    <d v="2021-07-01T00:00:00"/>
    <d v="2021-07-01T00:00:00"/>
    <d v="2021-07-01T00:00:00"/>
  </r>
  <r>
    <x v="1"/>
    <s v="1756000440"/>
    <s v="CITY OF ABILENE"/>
    <s v="0921CCM001"/>
    <s v=" "/>
    <s v="0921CCMC81_F21"/>
    <s v="3"/>
    <s v=" "/>
    <s v="CERT"/>
    <n v="-94107.5"/>
    <d v="2022-02-14T00:00:00"/>
    <d v="2022-02-14T00:00:00"/>
    <d v="2022-02-28T00:00:00"/>
  </r>
  <r>
    <x v="1"/>
    <s v="1756000508"/>
    <s v="CITY OF DALLAS MARSHAL'S"/>
    <s v="0621CCM001"/>
    <s v=" "/>
    <s v="0621CCM03_F21"/>
    <s v="1"/>
    <s v=" "/>
    <s v="CERT"/>
    <n v="-18836.7"/>
    <d v="2021-04-02T00:00:00"/>
    <d v="2021-04-02T00:00:00"/>
    <d v="2021-04-12T00:00:00"/>
  </r>
  <r>
    <x v="1"/>
    <s v="1756000528"/>
    <s v="CITY OF FORT WORTH"/>
    <s v="0521CCM001"/>
    <s v=" "/>
    <s v="03090C08_F21"/>
    <s v="1"/>
    <s v=" "/>
    <s v="CERT"/>
    <n v="-1400000"/>
    <d v="2021-12-13T00:00:00"/>
    <d v="2021-12-13T00:00:00"/>
    <d v="2021-12-27T00:00:00"/>
  </r>
  <r>
    <x v="1"/>
    <s v="1756000606"/>
    <s v="CITY OF MESQUITE"/>
    <s v="0621CCM001"/>
    <s v=" "/>
    <s v="0621CCM08_F21"/>
    <s v="1"/>
    <s v=" "/>
    <s v="CERT"/>
    <n v="-53962.46"/>
    <d v="2021-04-02T00:00:00"/>
    <d v="2021-04-02T00:00:00"/>
    <d v="2021-04-12T00:00:00"/>
  </r>
  <r>
    <x v="1"/>
    <s v="1756000606"/>
    <s v="CITY OF MESQUITE"/>
    <s v="0621CCM001"/>
    <s v=" "/>
    <s v="0621CCM08_F21"/>
    <s v="1"/>
    <s v=" "/>
    <s v="CERT"/>
    <n v="-25287.54"/>
    <d v="2021-06-02T00:00:00"/>
    <d v="2021-06-02T00:00:00"/>
    <d v="2021-06-02T00:00:00"/>
  </r>
  <r>
    <x v="1"/>
    <s v="1756000606"/>
    <s v="CITY OF MESQUITE"/>
    <s v="0621CCM001"/>
    <s v=" "/>
    <s v="0621CCM08_F21"/>
    <s v="2"/>
    <s v=" "/>
    <s v="CERT"/>
    <n v="-79250"/>
    <d v="2021-06-02T00:00:00"/>
    <d v="2021-06-02T00:00:00"/>
    <d v="2021-06-02T00:00:00"/>
  </r>
  <r>
    <x v="1"/>
    <s v="1756000606"/>
    <s v="CITY OF MESQUITE"/>
    <s v="0621CCM001"/>
    <s v=" "/>
    <s v="0621CCM08_F21"/>
    <s v="3"/>
    <s v=" "/>
    <s v="CERT"/>
    <n v="-3522.26"/>
    <d v="2021-06-02T00:00:00"/>
    <d v="2021-06-02T00:00:00"/>
    <d v="2021-06-02T00:00:00"/>
  </r>
  <r>
    <x v="1"/>
    <s v="1756000606"/>
    <s v="CITY OF MESQUITE"/>
    <s v="0621CCM001"/>
    <s v=" "/>
    <s v="0621CCM08_F21"/>
    <s v="3"/>
    <s v=" "/>
    <s v="CERT"/>
    <n v="-75727.740000000005"/>
    <d v="2021-10-08T00:00:00"/>
    <d v="2021-10-08T00:00:00"/>
    <d v="2021-10-08T00:00:00"/>
  </r>
  <r>
    <x v="1"/>
    <s v="1756000606"/>
    <s v="CITY OF MESQUITE"/>
    <s v="0621CCM001"/>
    <s v=" "/>
    <s v="0621CCM08_F21"/>
    <s v="4"/>
    <s v=" "/>
    <s v="CERT"/>
    <n v="-79250"/>
    <d v="2021-10-08T00:00:00"/>
    <d v="2021-10-08T00:00:00"/>
    <d v="2021-10-08T00:00:00"/>
  </r>
  <r>
    <x v="1"/>
    <s v="1756001613"/>
    <s v="FT WORTH ISD"/>
    <s v="0521CCM001"/>
    <s v=" "/>
    <s v="03090C14_F21"/>
    <s v="1"/>
    <s v=" "/>
    <s v="CERT"/>
    <n v="-1700000"/>
    <d v="2021-12-13T00:00:00"/>
    <d v="2021-12-13T00:00:00"/>
    <d v="2021-12-27T00:00:00"/>
  </r>
  <r>
    <x v="1"/>
    <s v="1756001769"/>
    <s v="TRINITY VALLEY COMM COLLEGE"/>
    <s v="0821CCM001"/>
    <s v=" "/>
    <s v="04161C23_F21"/>
    <s v="1"/>
    <s v=" "/>
    <s v="CERT"/>
    <n v="-12500"/>
    <d v="2021-04-29T00:00:00"/>
    <d v="2021-04-29T00:00:00"/>
    <d v="2021-04-29T00:00:00"/>
  </r>
  <r>
    <x v="1"/>
    <s v="1756001769"/>
    <s v="TRINITY VALLEY COMM COLLEGE"/>
    <s v="0821CCM001"/>
    <s v=" "/>
    <s v="04161C23_F21"/>
    <s v="2"/>
    <s v=" "/>
    <s v="CERT"/>
    <n v="-12500"/>
    <d v="2021-04-29T00:00:00"/>
    <d v="2021-04-29T00:00:00"/>
    <d v="2021-04-29T00:00:00"/>
  </r>
  <r>
    <x v="1"/>
    <s v="1756001769"/>
    <s v="TRINITY VALLEY COMM COLLEGE"/>
    <s v="0821CCM001"/>
    <s v=" "/>
    <s v="04161C23_F21"/>
    <s v="3"/>
    <s v=" "/>
    <s v="CERT"/>
    <n v="-2933.54"/>
    <d v="2021-04-29T00:00:00"/>
    <d v="2021-04-29T00:00:00"/>
    <d v="2021-04-29T00:00:00"/>
  </r>
  <r>
    <x v="1"/>
    <s v="1756001769"/>
    <s v="TRINITY VALLEY COMM COLLEGE"/>
    <s v="0821CCM001"/>
    <s v=" "/>
    <s v="04161C23_F21"/>
    <s v="3"/>
    <s v=" "/>
    <s v="CERT"/>
    <n v="-9566.4599999999991"/>
    <d v="2021-07-30T00:00:00"/>
    <d v="2021-07-30T00:00:00"/>
    <d v="2021-07-30T00:00:00"/>
  </r>
  <r>
    <x v="1"/>
    <s v="1756001769"/>
    <s v="TRINITY VALLEY COMM COLLEGE"/>
    <s v="0821CCM001"/>
    <s v=" "/>
    <s v="04161C23_F21"/>
    <s v="4"/>
    <s v=" "/>
    <s v="CERT"/>
    <n v="-2017.56"/>
    <d v="2021-07-30T00:00:00"/>
    <d v="2021-07-30T00:00:00"/>
    <d v="2021-07-30T00:00:00"/>
  </r>
  <r>
    <x v="1"/>
    <s v="1756001769"/>
    <s v="TRINITY VALLEY COMM COLLEGE"/>
    <s v="0821CCM001"/>
    <s v=" "/>
    <s v="04161C23_F21"/>
    <s v="4"/>
    <s v=" "/>
    <s v="CERT"/>
    <n v="-10482.44"/>
    <d v="2021-10-15T00:00:00"/>
    <d v="2021-10-15T00:00:00"/>
    <d v="2021-10-25T00:00:00"/>
  </r>
  <r>
    <x v="1"/>
    <s v="1756002105"/>
    <s v="MT. PLEASANT ISD-CHILD DEV"/>
    <s v="0721CCM001"/>
    <s v=" "/>
    <s v="04170C06_F21"/>
    <s v="1"/>
    <s v=" "/>
    <s v="CERT"/>
    <n v="-4000"/>
    <d v="2021-10-15T00:00:00"/>
    <d v="2021-10-15T00:00:00"/>
    <d v="2021-10-25T00:00:00"/>
  </r>
  <r>
    <x v="1"/>
    <s v="1756002129"/>
    <s v="NAVARRO COLLEGE"/>
    <s v="0421CCM001"/>
    <s v=" "/>
    <s v="0421C10_F21"/>
    <s v="1"/>
    <s v=" "/>
    <s v="CERT"/>
    <n v="-20000"/>
    <d v="2021-12-20T00:00:00"/>
    <d v="2021-12-20T00:00:00"/>
    <d v="2021-12-20T00:00:00"/>
  </r>
  <r>
    <x v="1"/>
    <s v="1756002149"/>
    <s v="UNIVERSITY OF NORTH TEXAS-DENTON"/>
    <s v="0421CCM001"/>
    <s v=" "/>
    <s v="0421C34_F21"/>
    <s v="1"/>
    <s v=" "/>
    <s v="CERT"/>
    <n v="-142964.57999999999"/>
    <d v="2021-04-16T00:00:00"/>
    <d v="2021-04-16T00:00:00"/>
    <d v="2021-04-28T00:00:00"/>
  </r>
  <r>
    <x v="1"/>
    <s v="1756002205"/>
    <s v="PARIS JUNIOR COLLEGE"/>
    <s v="0721CCM001"/>
    <s v=" "/>
    <s v="04170C07_F21"/>
    <s v="1"/>
    <s v=" "/>
    <s v="CERT"/>
    <n v="-15000"/>
    <d v="2021-05-06T00:00:00"/>
    <d v="2021-05-06T00:00:00"/>
    <d v="2021-05-14T00:00:00"/>
  </r>
  <r>
    <x v="1"/>
    <s v="1756002205"/>
    <s v="PARIS JUNIOR COLLEGE"/>
    <s v="0721CCM001"/>
    <s v=" "/>
    <s v="04170C07_F21"/>
    <s v="2"/>
    <s v=" "/>
    <s v="CERT"/>
    <n v="-15000"/>
    <d v="2021-10-15T00:00:00"/>
    <d v="2021-10-15T00:00:00"/>
    <d v="2021-10-25T00:00:00"/>
  </r>
  <r>
    <x v="1"/>
    <s v="1756002296"/>
    <s v="RANGER COLLEGE"/>
    <s v="0921CCM001"/>
    <s v=" "/>
    <s v="0921CCMC82_F21"/>
    <s v="1"/>
    <s v=" "/>
    <s v="CERT"/>
    <n v="-75000"/>
    <d v="2021-03-15T00:00:00"/>
    <d v="2021-03-15T00:00:00"/>
    <d v="2021-03-29T00:00:00"/>
  </r>
  <r>
    <x v="1"/>
    <s v="1756002296"/>
    <s v="RANGER COLLEGE"/>
    <s v="0921CCM001"/>
    <s v=" "/>
    <s v="0921CCMC82_F21"/>
    <s v="2"/>
    <s v=" "/>
    <s v="CERT"/>
    <n v="-15196.85"/>
    <d v="2021-03-15T00:00:00"/>
    <d v="2021-03-15T00:00:00"/>
    <d v="2021-03-29T00:00:00"/>
  </r>
  <r>
    <x v="1"/>
    <s v="1756002296"/>
    <s v="RANGER COLLEGE"/>
    <s v="0921CCM001"/>
    <s v=" "/>
    <s v="0921CCMC82_F21"/>
    <s v="2"/>
    <s v=" "/>
    <s v="CERT"/>
    <n v="-59803.15"/>
    <d v="2021-07-01T00:00:00"/>
    <d v="2021-07-01T00:00:00"/>
    <d v="2021-07-01T00:00:00"/>
  </r>
  <r>
    <x v="1"/>
    <s v="1756002296"/>
    <s v="RANGER COLLEGE"/>
    <s v="0921CCM001"/>
    <s v=" "/>
    <s v="0921CCMC82_F21"/>
    <s v="3"/>
    <s v=" "/>
    <s v="CERT"/>
    <n v="-29638.59"/>
    <d v="2021-07-01T00:00:00"/>
    <d v="2021-07-01T00:00:00"/>
    <d v="2021-07-01T00:00:00"/>
  </r>
  <r>
    <x v="1"/>
    <s v="1756002296"/>
    <s v="RANGER COLLEGE"/>
    <s v="0921CCM001"/>
    <s v=" "/>
    <s v="0921CCMC82_F21"/>
    <s v="3"/>
    <s v=" "/>
    <s v="CERT"/>
    <n v="-100481.41"/>
    <d v="2022-02-16T00:00:00"/>
    <d v="2022-02-16T00:00:00"/>
    <d v="2022-02-28T00:00:00"/>
  </r>
  <r>
    <x v="1"/>
    <s v="1756002296"/>
    <s v="RANGER COLLEGE"/>
    <s v="0921CCM001"/>
    <s v=" "/>
    <s v="0921CCMC82_F21"/>
    <s v="4"/>
    <s v=" "/>
    <s v="CERT"/>
    <n v="-20208.13"/>
    <d v="2022-02-16T00:00:00"/>
    <d v="2022-02-16T00:00:00"/>
    <d v="2022-02-28T00:00:00"/>
  </r>
  <r>
    <x v="1"/>
    <s v="1756002514"/>
    <s v="STEPHEN F AUSTIN UNIVERSITY"/>
    <s v="0821CCM001"/>
    <s v=" "/>
    <s v="04161C25_F21"/>
    <s v="1"/>
    <s v=" "/>
    <s v="CERT"/>
    <n v="-200000"/>
    <d v="2021-10-20T00:00:00"/>
    <d v="2021-10-20T00:00:00"/>
    <d v="2021-10-25T00:00:00"/>
  </r>
  <r>
    <x v="1"/>
    <s v="1756002579"/>
    <s v="TEXARKANA ISD"/>
    <s v="0721CCM001"/>
    <s v=" "/>
    <s v="04170C05_F21"/>
    <s v="1"/>
    <s v=" "/>
    <s v="CERT"/>
    <n v="-190000"/>
    <d v="2021-05-06T00:00:00"/>
    <d v="2021-05-06T00:00:00"/>
    <d v="2021-05-14T00:00:00"/>
  </r>
  <r>
    <x v="1"/>
    <s v="1756002579"/>
    <s v="TEXARKANA ISD"/>
    <s v="0721CCM001"/>
    <s v=" "/>
    <s v="04170C05_F21"/>
    <s v="2"/>
    <s v=" "/>
    <s v="CERT"/>
    <n v="-102746"/>
    <d v="2022-02-22T00:00:00"/>
    <d v="2022-02-22T00:00:00"/>
    <d v="2022-02-28T00:00:00"/>
  </r>
  <r>
    <x v="1"/>
    <s v="1756002618"/>
    <s v="TEXAS WOMAN'S UNIVERSITY"/>
    <s v="0421CCM001"/>
    <s v=" "/>
    <s v="0421C08_F21"/>
    <s v="1"/>
    <s v=" "/>
    <s v="CERT"/>
    <n v="-250000"/>
    <d v="2021-06-02T00:00:00"/>
    <d v="2021-06-02T00:00:00"/>
    <d v="2021-06-02T00:00:00"/>
  </r>
  <r>
    <x v="1"/>
    <s v="1756002618"/>
    <s v="TEXAS WOMAN'S UNIVERSITY"/>
    <s v="0421CCM001"/>
    <s v=" "/>
    <s v="0421C08_F21"/>
    <s v="2"/>
    <s v=" "/>
    <s v="CERT"/>
    <n v="-250000"/>
    <d v="2021-06-02T00:00:00"/>
    <d v="2021-06-02T00:00:00"/>
    <d v="2021-06-02T00:00:00"/>
  </r>
  <r>
    <x v="1"/>
    <s v="1756002676"/>
    <s v="TYLER JUNIOR COLLEGE"/>
    <s v="0821CCM001"/>
    <s v=" "/>
    <s v="0416C21_F21"/>
    <s v="1"/>
    <s v=" "/>
    <s v="CERT"/>
    <n v="-87500"/>
    <d v="2021-02-11T00:00:00"/>
    <d v="2021-02-11T00:00:00"/>
    <d v="2021-02-26T00:00:00"/>
  </r>
  <r>
    <x v="1"/>
    <s v="1756002676"/>
    <s v="TYLER JUNIOR COLLEGE"/>
    <s v="0821CCM001"/>
    <s v=" "/>
    <s v="0416C21_F21"/>
    <s v="2"/>
    <s v=" "/>
    <s v="CERT"/>
    <n v="-36857.879999999997"/>
    <d v="2021-02-11T00:00:00"/>
    <d v="2021-02-11T00:00:00"/>
    <d v="2021-02-26T00:00:00"/>
  </r>
  <r>
    <x v="1"/>
    <s v="1756002676"/>
    <s v="TYLER JUNIOR COLLEGE"/>
    <s v="0821CCM001"/>
    <s v=" "/>
    <s v="0416C21_F21"/>
    <s v="2"/>
    <s v=" "/>
    <s v="CERT"/>
    <n v="-50642.12"/>
    <d v="2021-04-29T00:00:00"/>
    <d v="2021-04-29T00:00:00"/>
    <d v="2021-04-29T00:00:00"/>
  </r>
  <r>
    <x v="1"/>
    <s v="1756002676"/>
    <s v="TYLER JUNIOR COLLEGE"/>
    <s v="0821CCM001"/>
    <s v=" "/>
    <s v="0416C21_F21"/>
    <s v="3"/>
    <s v=" "/>
    <s v="CERT"/>
    <n v="-68773.37"/>
    <d v="2021-04-29T00:00:00"/>
    <d v="2021-04-29T00:00:00"/>
    <d v="2021-04-29T00:00:00"/>
  </r>
  <r>
    <x v="1"/>
    <s v="1756002676"/>
    <s v="TYLER JUNIOR COLLEGE"/>
    <s v="0821CCM001"/>
    <s v=" "/>
    <s v="0416C21_F21"/>
    <s v="3"/>
    <s v=" "/>
    <s v="CERT"/>
    <n v="-18726.63"/>
    <d v="2021-08-12T00:00:00"/>
    <d v="2021-08-12T00:00:00"/>
    <d v="2021-08-26T00:00:00"/>
  </r>
  <r>
    <x v="1"/>
    <s v="1756002676"/>
    <s v="TYLER JUNIOR COLLEGE"/>
    <s v="0821CCM001"/>
    <s v=" "/>
    <s v="0416C21_F21"/>
    <s v="4"/>
    <s v=" "/>
    <s v="CERT"/>
    <n v="-87500"/>
    <d v="2021-08-12T00:00:00"/>
    <d v="2021-08-12T00:00:00"/>
    <d v="2021-08-26T00:00:00"/>
  </r>
  <r>
    <x v="1"/>
    <s v="3750750750"/>
    <s v="UNIVERSITY OF TEXAS AT TYLER"/>
    <s v="0821CCM001"/>
    <s v=" "/>
    <s v="04161C20_F21"/>
    <s v="1"/>
    <s v=" "/>
    <s v="CERT"/>
    <n v="-75000"/>
    <d v="2021-04-29T00:00:00"/>
    <d v="2021-04-29T00:00:00"/>
    <d v="2021-04-29T00:00:00"/>
  </r>
  <r>
    <x v="1"/>
    <s v="3750750750"/>
    <s v="UNIVERSITY OF TEXAS AT TYLER"/>
    <s v="0821CCM001"/>
    <s v=" "/>
    <s v="04161C20_F21"/>
    <s v="2"/>
    <s v=" "/>
    <s v="CERT"/>
    <n v="-8762"/>
    <d v="2021-04-29T00:00:00"/>
    <d v="2021-04-29T00:00:00"/>
    <d v="2021-04-29T00:00:00"/>
  </r>
  <r>
    <x v="1"/>
    <s v="3750750750"/>
    <s v="UNIVERSITY OF TEXAS AT TYLER"/>
    <s v="0821CCM001"/>
    <s v=" "/>
    <s v="04161C20_F21"/>
    <s v="2"/>
    <s v=" "/>
    <s v="CERT"/>
    <n v="-66238"/>
    <d v="2021-10-27T00:00:00"/>
    <d v="2021-10-27T00:00:00"/>
    <d v="2021-10-29T00:00:00"/>
  </r>
  <r>
    <x v="1"/>
    <s v="3761761761"/>
    <s v="TEXAS A&amp;M INTL UNIVERSITY"/>
    <s v="2121CCM001"/>
    <s v=" "/>
    <s v="11211C03_F21"/>
    <s v="1"/>
    <s v=" "/>
    <s v="CERT"/>
    <n v="-115000"/>
    <d v="2021-07-14T00:00:00"/>
    <d v="2021-07-14T00:00:00"/>
    <d v="2021-07-30T00:00:00"/>
  </r>
  <r>
    <x v="1"/>
    <s v="3761761761"/>
    <s v="TEXAS A&amp;M INTL UNIVERSITY"/>
    <s v="2121CCM001"/>
    <s v=" "/>
    <s v="11211C03_F21"/>
    <s v="2"/>
    <s v=" "/>
    <s v="CERT"/>
    <n v="-68433"/>
    <d v="2021-07-14T00:00:00"/>
    <d v="2021-07-14T00:00:00"/>
    <d v="2021-07-30T00:00:00"/>
  </r>
  <r>
    <x v="1"/>
    <s v="3761761761"/>
    <s v="TEXAS A&amp;M INTL UNIVERSITY"/>
    <s v="2121CCM001"/>
    <s v=" "/>
    <s v="11211C03_F21"/>
    <s v="2"/>
    <s v=" "/>
    <s v="CERT"/>
    <n v="-66567"/>
    <d v="2022-03-10T00:00:00"/>
    <d v="2022-03-10T00:00:00"/>
    <d v="2022-03-18T00:00:00"/>
  </r>
  <r>
    <x v="2"/>
    <s v=""/>
    <s v=""/>
    <s v=""/>
    <s v=""/>
    <s v=""/>
    <s v=""/>
    <s v=""/>
    <s v=""/>
    <s v="-44499590.9"/>
    <s v=""/>
    <s v=""/>
    <s v=""/>
  </r>
  <r>
    <x v="2"/>
    <s v=""/>
    <s v=""/>
    <s v=""/>
    <s v=""/>
    <s v=""/>
    <s v=""/>
    <s v=""/>
    <s v=""/>
    <m/>
    <s v=""/>
    <s v=""/>
    <s v=""/>
  </r>
  <r>
    <x v="3"/>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1">
  <r>
    <x v="0"/>
    <s v="376576576"/>
    <s v="UNIVERSITY OF HOUSTON-VICTORIA"/>
    <x v="0"/>
    <s v=" "/>
    <s v="08200C16_F21"/>
    <s v="1"/>
    <s v=" "/>
    <s v="CERT"/>
    <n v="-276421"/>
    <d v="2022-02-11T00:00:00"/>
    <d v="2022-02-11T00:00:00"/>
    <d v="2022-02-28T00:00:00"/>
    <s v="PY"/>
  </r>
  <r>
    <x v="0"/>
    <s v="1030607018"/>
    <s v="US Dept of the Army, CYS"/>
    <x v="1"/>
    <s v=" "/>
    <s v="1021CCMC02_F21"/>
    <s v="1"/>
    <s v=" "/>
    <s v="CERT"/>
    <n v="-100000"/>
    <d v="2021-10-27T00:00:00"/>
    <d v="2021-10-27T00:00:00"/>
    <d v="2021-10-29T00:00:00"/>
    <s v="PY"/>
  </r>
  <r>
    <x v="0"/>
    <s v="1030607018"/>
    <s v="US Dept of the Army, CYS"/>
    <x v="1"/>
    <s v=" "/>
    <s v="1021CCMC02_F21"/>
    <s v="2"/>
    <s v=" "/>
    <s v="CERT"/>
    <n v="-100000"/>
    <d v="2021-10-27T00:00:00"/>
    <d v="2021-10-27T00:00:00"/>
    <d v="2021-10-29T00:00:00"/>
    <s v="PY"/>
  </r>
  <r>
    <x v="0"/>
    <s v="1030607018"/>
    <s v="US Dept of the Army, CYS"/>
    <x v="1"/>
    <s v=" "/>
    <s v="1021CCMC02_F21"/>
    <s v="3"/>
    <s v=" "/>
    <s v="CERT"/>
    <n v="-100000"/>
    <d v="2021-10-27T00:00:00"/>
    <d v="2021-10-27T00:00:00"/>
    <d v="2021-10-29T00:00:00"/>
    <s v="PY"/>
  </r>
  <r>
    <x v="0"/>
    <s v="1741167964"/>
    <s v="UNITED WAY OF TEXAS GULF"/>
    <x v="2"/>
    <s v=" "/>
    <s v="2821CCMD08_F21"/>
    <s v="1"/>
    <s v=" "/>
    <s v="CERT"/>
    <n v="-100000"/>
    <d v="2021-07-30T00:00:00"/>
    <d v="2021-07-30T00:00:00"/>
    <d v="2021-07-30T00:00:00"/>
    <s v="PY"/>
  </r>
  <r>
    <x v="0"/>
    <s v="1741541260"/>
    <s v="MCLENNAN COMMUNITY COLLEGE"/>
    <x v="3"/>
    <s v=" "/>
    <s v="1321CCMC14_F21"/>
    <s v="0"/>
    <s v=" "/>
    <s v="CERT"/>
    <n v="-50000"/>
    <d v="2022-01-20T00:00:00"/>
    <d v="2022-01-20T00:00:00"/>
    <d v="2022-01-20T00:00:00"/>
    <s v="PY"/>
  </r>
  <r>
    <x v="0"/>
    <s v="1741542306"/>
    <s v="COASTAL BEND"/>
    <x v="4"/>
    <s v=" "/>
    <s v="11192C04_F21"/>
    <s v="1"/>
    <s v=" "/>
    <s v="CERT"/>
    <n v="-70000"/>
    <d v="2021-04-30T00:00:00"/>
    <d v="2021-04-30T00:00:00"/>
    <d v="2021-04-30T00:00:00"/>
    <s v="PY"/>
  </r>
  <r>
    <x v="0"/>
    <s v="1741542306"/>
    <s v="COASTAL BEND"/>
    <x v="4"/>
    <s v=" "/>
    <s v="11192C04_F21"/>
    <s v="2"/>
    <s v=" "/>
    <s v="CERT"/>
    <n v="-70000"/>
    <d v="2022-02-16T00:00:00"/>
    <d v="2022-02-16T00:00:00"/>
    <d v="2022-02-28T00:00:00"/>
    <s v="PY"/>
  </r>
  <r>
    <x v="0"/>
    <s v="1741587518"/>
    <s v="HAYS ISD"/>
    <x v="5"/>
    <s v=" "/>
    <s v="1521CCMC12_F21"/>
    <s v="1"/>
    <s v=" "/>
    <s v="CERT"/>
    <n v="-162559"/>
    <d v="2022-01-20T00:00:00"/>
    <d v="2022-01-20T00:00:00"/>
    <d v="2022-01-20T00:00:00"/>
    <s v="PY"/>
  </r>
  <r>
    <x v="0"/>
    <s v="1741675043"/>
    <s v="SOUTH EAST TEXAS REGIONAL PLANNING COMM"/>
    <x v="6"/>
    <s v=" "/>
    <s v="1821CCM002_F21"/>
    <s v="1"/>
    <s v=" "/>
    <s v="CERT"/>
    <n v="-122078"/>
    <d v="2021-06-02T00:00:00"/>
    <d v="2021-06-02T00:00:00"/>
    <d v="2021-06-02T00:00:00"/>
    <s v="PY"/>
  </r>
  <r>
    <x v="0"/>
    <s v="1741675043"/>
    <s v="SOUTH EAST TEXAS REGIONAL PLANNING COMM"/>
    <x v="6"/>
    <s v=" "/>
    <s v="1821CCM002_F21"/>
    <s v="1"/>
    <s v=" "/>
    <s v="CERT"/>
    <n v="-18922"/>
    <d v="2022-01-20T00:00:00"/>
    <d v="2022-01-20T00:00:00"/>
    <d v="2022-01-20T00:00:00"/>
    <s v="PY"/>
  </r>
  <r>
    <x v="0"/>
    <s v="1741675043"/>
    <s v="SOUTH EAST TEXAS REGIONAL PLANNING COMM"/>
    <x v="6"/>
    <s v=" "/>
    <s v="1821CCM002_F21"/>
    <s v="2"/>
    <s v=" "/>
    <s v="CERT"/>
    <n v="-142990"/>
    <d v="2022-01-20T00:00:00"/>
    <d v="2022-01-20T00:00:00"/>
    <d v="2022-01-20T00:00:00"/>
    <s v="PY"/>
  </r>
  <r>
    <x v="0"/>
    <s v="1741760663"/>
    <s v="TEXAS A&amp;M UNIVERSITY-CORPUS CHRISTI"/>
    <x v="4"/>
    <s v=" "/>
    <s v="11192C08_F21"/>
    <s v="1"/>
    <s v=" "/>
    <s v="CERT"/>
    <n v="-17500"/>
    <d v="2021-04-30T00:00:00"/>
    <d v="2021-04-30T00:00:00"/>
    <d v="2021-04-30T00:00:00"/>
    <s v="PY"/>
  </r>
  <r>
    <x v="0"/>
    <s v="1741760663"/>
    <s v="TEXAS A&amp;M UNIVERSITY-CORPUS CHRISTI"/>
    <x v="4"/>
    <s v=" "/>
    <s v="11192C08_F21"/>
    <s v="2"/>
    <s v=" "/>
    <s v="CERT"/>
    <n v="-17500"/>
    <d v="2021-10-27T00:00:00"/>
    <d v="2021-10-27T00:00:00"/>
    <d v="2021-10-29T00:00:00"/>
    <s v="PY"/>
  </r>
  <r>
    <x v="0"/>
    <s v="1742683499"/>
    <s v="SOUTH TEXAS COMM COLLEGE"/>
    <x v="7"/>
    <s v=" "/>
    <s v="11180C02_F21"/>
    <s v="1"/>
    <s v=" "/>
    <s v="CERT"/>
    <n v="-85000"/>
    <d v="2021-04-02T00:00:00"/>
    <d v="2021-04-02T00:00:00"/>
    <d v="2021-04-12T00:00:00"/>
    <s v="PY"/>
  </r>
  <r>
    <x v="0"/>
    <s v="1742683499"/>
    <s v="SOUTH TEXAS COMM COLLEGE"/>
    <x v="7"/>
    <s v=" "/>
    <s v="11180C02_F21"/>
    <s v="2"/>
    <s v=" "/>
    <s v="CERT"/>
    <n v="-9991.09"/>
    <d v="2021-04-02T00:00:00"/>
    <d v="2021-04-02T00:00:00"/>
    <d v="2021-04-12T00:00:00"/>
    <s v="PY"/>
  </r>
  <r>
    <x v="0"/>
    <s v="1742683499"/>
    <s v="SOUTH TEXAS COMM COLLEGE"/>
    <x v="7"/>
    <s v=" "/>
    <s v="11180C02_F21"/>
    <s v="2"/>
    <s v=" "/>
    <s v="CERT"/>
    <n v="-75008.91"/>
    <d v="2021-04-13T00:00:00"/>
    <d v="2021-04-13T00:00:00"/>
    <d v="2021-04-28T00:00:00"/>
    <s v="PY"/>
  </r>
  <r>
    <x v="0"/>
    <s v="1742683499"/>
    <s v="SOUTH TEXAS COMM COLLEGE"/>
    <x v="7"/>
    <s v=" "/>
    <s v="11180C02_F21"/>
    <s v="3"/>
    <s v=" "/>
    <s v="CERT"/>
    <n v="-31310.76"/>
    <d v="2021-04-13T00:00:00"/>
    <d v="2021-04-13T00:00:00"/>
    <d v="2021-04-28T00:00:00"/>
    <s v="PY"/>
  </r>
  <r>
    <x v="0"/>
    <s v="1742683499"/>
    <s v="SOUTH TEXAS COMM COLLEGE"/>
    <x v="7"/>
    <s v=" "/>
    <s v="11180C02_F21"/>
    <s v="3"/>
    <s v=" "/>
    <s v="CERT"/>
    <n v="-33689.24"/>
    <d v="2021-07-16T00:00:00"/>
    <d v="2021-07-16T00:00:00"/>
    <d v="2021-07-30T00:00:00"/>
    <s v="PY"/>
  </r>
  <r>
    <x v="0"/>
    <s v="1742683499"/>
    <s v="SOUTH TEXAS COMM COLLEGE"/>
    <x v="7"/>
    <s v=" "/>
    <s v="11180C02_F21"/>
    <s v="4"/>
    <s v=" "/>
    <s v="CERT"/>
    <n v="-35000"/>
    <d v="2021-07-16T00:00:00"/>
    <d v="2021-07-16T00:00:00"/>
    <d v="2021-07-30T00:00:00"/>
    <s v="PY"/>
  </r>
  <r>
    <x v="0"/>
    <s v="1742683499"/>
    <s v="SOUTH TEXAS COMM COLLEGE"/>
    <x v="7"/>
    <s v=" "/>
    <s v="11180C02_F21"/>
    <s v="5"/>
    <s v=" "/>
    <s v="CERT"/>
    <n v="-143163.44"/>
    <d v="2022-02-17T00:00:00"/>
    <d v="2022-02-17T00:00:00"/>
    <d v="2022-02-28T00:00:00"/>
    <s v="PY"/>
  </r>
  <r>
    <x v="0"/>
    <s v="1746000027"/>
    <s v="SUL ROSS STATE UNIVERSITY"/>
    <x v="1"/>
    <s v=" "/>
    <s v="1021CCMC03_F21"/>
    <s v="3"/>
    <s v=" "/>
    <s v="CERT"/>
    <n v="-8043.05"/>
    <d v="2021-07-06T00:00:00"/>
    <d v="2021-07-06T00:00:00"/>
    <d v="2021-07-09T00:00:00"/>
    <s v="PY"/>
  </r>
  <r>
    <x v="0"/>
    <s v="1746000230"/>
    <s v="BASTROP ISD"/>
    <x v="5"/>
    <s v=" "/>
    <s v="1521CCMC11_F21"/>
    <s v="1"/>
    <s v=" "/>
    <s v="CERT"/>
    <n v="-154000"/>
    <d v="2022-01-20T00:00:00"/>
    <d v="2022-01-20T00:00:00"/>
    <d v="2022-01-20T00:00:00"/>
    <s v="PY"/>
  </r>
  <r>
    <x v="0"/>
    <s v="1746000340"/>
    <s v="LA VEGA ISD"/>
    <x v="3"/>
    <s v=" "/>
    <s v="1321CCMC16_F21"/>
    <s v="1"/>
    <s v=" "/>
    <s v="CERT"/>
    <n v="-20000"/>
    <d v="2022-03-03T00:00:00"/>
    <d v="2022-03-03T00:00:00"/>
    <d v="2022-03-18T00:00:00"/>
    <s v="PY"/>
  </r>
  <r>
    <x v="0"/>
    <s v="1746000422"/>
    <s v="CITY OF BROWNSVILLE"/>
    <x v="8"/>
    <s v=" "/>
    <s v="11300C05_F21"/>
    <s v="1"/>
    <s v=" "/>
    <s v="CERT"/>
    <n v="-42265.36"/>
    <d v="2021-04-12T00:00:00"/>
    <d v="2021-04-12T00:00:00"/>
    <d v="2021-04-12T00:00:00"/>
    <s v="PY"/>
  </r>
  <r>
    <x v="0"/>
    <s v="1746000422"/>
    <s v="CITY OF BROWNSVILLE"/>
    <x v="8"/>
    <s v=" "/>
    <s v="11300C05_F21"/>
    <s v="1"/>
    <s v=" "/>
    <s v="CERT"/>
    <n v="-46007.31"/>
    <d v="2021-07-28T00:00:00"/>
    <d v="2021-07-28T00:00:00"/>
    <d v="2021-07-30T00:00:00"/>
    <s v="PY"/>
  </r>
  <r>
    <x v="0"/>
    <s v="1746000422"/>
    <s v="CITY OF BROWNSVILLE"/>
    <x v="8"/>
    <s v=" "/>
    <s v="11300C05_F21"/>
    <s v="1"/>
    <s v=" "/>
    <s v="CERT"/>
    <n v="-161727.32999999999"/>
    <d v="2021-10-08T00:00:00"/>
    <d v="2021-10-08T00:00:00"/>
    <d v="2021-10-25T00:00:00"/>
    <s v="PY"/>
  </r>
  <r>
    <x v="0"/>
    <s v="1746000422"/>
    <s v="CITY OF BROWNSVILLE"/>
    <x v="8"/>
    <s v=" "/>
    <s v="11300C05_F21"/>
    <s v="2"/>
    <s v=" "/>
    <s v="CERT"/>
    <n v="-250000"/>
    <d v="2021-10-08T00:00:00"/>
    <d v="2021-10-08T00:00:00"/>
    <d v="2021-10-25T00:00:00"/>
    <s v="PY"/>
  </r>
  <r>
    <x v="0"/>
    <s v="1746000528"/>
    <s v="COLLEGE STATION ISD"/>
    <x v="9"/>
    <s v=" "/>
    <s v="07120C03_F21"/>
    <s v="1"/>
    <s v=" "/>
    <s v="CERT"/>
    <n v="-465548"/>
    <d v="2022-02-24T00:00:00"/>
    <d v="2022-02-24T00:00:00"/>
    <d v="2022-02-28T00:00:00"/>
    <s v="PY"/>
  </r>
  <r>
    <x v="0"/>
    <s v="1746000574"/>
    <s v="CITY OF CORPUS CHRISTI"/>
    <x v="4"/>
    <s v=" "/>
    <s v="11192C05_F21"/>
    <s v="1"/>
    <s v=" "/>
    <s v="CERT"/>
    <n v="-200141.5"/>
    <d v="2021-04-30T00:00:00"/>
    <d v="2021-04-30T00:00:00"/>
    <d v="2021-04-30T00:00:00"/>
    <s v="PY"/>
  </r>
  <r>
    <x v="0"/>
    <s v="1746000574"/>
    <s v="CITY OF CORPUS CHRISTI"/>
    <x v="4"/>
    <s v=" "/>
    <s v="11192C05_F21"/>
    <s v="2"/>
    <s v=" "/>
    <s v="CERT"/>
    <n v="-200141.5"/>
    <d v="2022-02-16T00:00:00"/>
    <d v="2022-02-16T00:00:00"/>
    <d v="2022-02-28T00:00:00"/>
    <s v="PY"/>
  </r>
  <r>
    <x v="0"/>
    <s v="1746000691"/>
    <s v="DONNA ISD"/>
    <x v="7"/>
    <s v=" "/>
    <s v="11180C08_F21"/>
    <s v="1"/>
    <s v=" "/>
    <s v="CERT"/>
    <n v="-48000"/>
    <d v="2021-07-27T00:00:00"/>
    <d v="2021-07-27T00:00:00"/>
    <d v="2021-07-30T00:00:00"/>
    <s v="PY"/>
  </r>
  <r>
    <x v="0"/>
    <s v="1746000691"/>
    <s v="DONNA ISD"/>
    <x v="7"/>
    <s v=" "/>
    <s v="11180C08_F21"/>
    <s v="2"/>
    <s v=" "/>
    <s v="CERT"/>
    <n v="-35347.71"/>
    <d v="2021-07-27T00:00:00"/>
    <d v="2021-07-27T00:00:00"/>
    <d v="2021-07-30T00:00:00"/>
    <s v="PY"/>
  </r>
  <r>
    <x v="0"/>
    <s v="1746000691"/>
    <s v="DONNA ISD"/>
    <x v="7"/>
    <s v=" "/>
    <s v="11180C08_F21"/>
    <s v="2"/>
    <s v=" "/>
    <s v="CERT"/>
    <n v="-12652.29"/>
    <d v="2021-10-08T00:00:00"/>
    <d v="2021-10-08T00:00:00"/>
    <d v="2021-10-25T00:00:00"/>
    <s v="PY"/>
  </r>
  <r>
    <x v="0"/>
    <s v="1746000691"/>
    <s v="DONNA ISD"/>
    <x v="7"/>
    <s v=" "/>
    <s v="11180C08_F21"/>
    <s v="3"/>
    <s v=" "/>
    <s v="CERT"/>
    <n v="-24710.74"/>
    <d v="2021-10-08T00:00:00"/>
    <d v="2021-10-08T00:00:00"/>
    <d v="2021-10-25T00:00:00"/>
    <s v="PY"/>
  </r>
  <r>
    <x v="0"/>
    <s v="1746000710"/>
    <s v="EDCOUCH-ELSA ISD"/>
    <x v="7"/>
    <s v=" "/>
    <s v="11180C07_F21"/>
    <s v="1"/>
    <s v=" "/>
    <s v="CERT"/>
    <n v="-15000"/>
    <d v="2021-04-02T00:00:00"/>
    <d v="2021-04-02T00:00:00"/>
    <d v="2021-04-12T00:00:00"/>
    <s v="PY"/>
  </r>
  <r>
    <x v="0"/>
    <s v="1746000710"/>
    <s v="EDCOUCH-ELSA ISD"/>
    <x v="7"/>
    <s v=" "/>
    <s v="11180C07_F21"/>
    <s v="2"/>
    <s v=" "/>
    <s v="CERT"/>
    <n v="-15000"/>
    <d v="2021-04-02T00:00:00"/>
    <d v="2021-04-02T00:00:00"/>
    <d v="2021-04-12T00:00:00"/>
    <s v="PY"/>
  </r>
  <r>
    <x v="0"/>
    <s v="1746000710"/>
    <s v="EDCOUCH-ELSA ISD"/>
    <x v="7"/>
    <s v=" "/>
    <s v="11180C07_F21"/>
    <s v="3"/>
    <s v=" "/>
    <s v="CERT"/>
    <n v="-7500"/>
    <d v="2021-04-02T00:00:00"/>
    <d v="2021-04-02T00:00:00"/>
    <d v="2021-04-12T00:00:00"/>
    <s v="PY"/>
  </r>
  <r>
    <x v="0"/>
    <s v="1746000710"/>
    <s v="EDCOUCH-ELSA ISD"/>
    <x v="7"/>
    <s v=" "/>
    <s v="11180C07_F21"/>
    <s v="4"/>
    <s v=" "/>
    <s v="CERT"/>
    <n v="-1605.25"/>
    <d v="2021-04-02T00:00:00"/>
    <d v="2021-04-02T00:00:00"/>
    <d v="2021-04-12T00:00:00"/>
    <s v="PY"/>
  </r>
  <r>
    <x v="0"/>
    <s v="1746000710"/>
    <s v="EDCOUCH-ELSA ISD"/>
    <x v="7"/>
    <s v=" "/>
    <s v="11180C07_F21"/>
    <s v="4"/>
    <s v=" "/>
    <s v="CERT"/>
    <n v="-5894.75"/>
    <d v="2021-04-30T00:00:00"/>
    <d v="2021-04-30T00:00:00"/>
    <d v="2021-04-30T00:00:00"/>
    <s v="PY"/>
  </r>
  <r>
    <x v="0"/>
    <s v="1746000710"/>
    <s v="EDCOUCH-ELSA ISD"/>
    <x v="7"/>
    <s v=" "/>
    <s v="11180C07_F21"/>
    <s v="5"/>
    <s v=" "/>
    <s v="CERT"/>
    <n v="-98939.23"/>
    <d v="2022-02-17T00:00:00"/>
    <d v="2022-02-17T00:00:00"/>
    <d v="2022-02-28T00:00:00"/>
    <s v="PY"/>
  </r>
  <r>
    <x v="0"/>
    <s v="1746000715"/>
    <s v="EDINBURG CISD"/>
    <x v="7"/>
    <s v=" "/>
    <s v="11180C06_F21"/>
    <s v="1"/>
    <s v=" "/>
    <s v="CERT"/>
    <n v="-52500"/>
    <d v="2021-04-02T00:00:00"/>
    <d v="2021-04-02T00:00:00"/>
    <d v="2021-04-12T00:00:00"/>
    <s v="PY"/>
  </r>
  <r>
    <x v="0"/>
    <s v="1746000715"/>
    <s v="EDINBURG CISD"/>
    <x v="7"/>
    <s v=" "/>
    <s v="11180C06_F21"/>
    <s v="2"/>
    <s v=" "/>
    <s v="CERT"/>
    <n v="-519.66"/>
    <d v="2021-04-02T00:00:00"/>
    <d v="2021-04-02T00:00:00"/>
    <d v="2021-04-12T00:00:00"/>
    <s v="PY"/>
  </r>
  <r>
    <x v="0"/>
    <s v="1746000715"/>
    <s v="EDINBURG CISD"/>
    <x v="7"/>
    <s v=" "/>
    <s v="11180C06_F21"/>
    <s v="2"/>
    <s v=" "/>
    <s v="CERT"/>
    <n v="-51980.34"/>
    <d v="2021-04-30T00:00:00"/>
    <d v="2021-04-30T00:00:00"/>
    <d v="2021-04-30T00:00:00"/>
    <s v="PY"/>
  </r>
  <r>
    <x v="0"/>
    <s v="1746000715"/>
    <s v="EDINBURG CISD"/>
    <x v="7"/>
    <s v=" "/>
    <s v="11180C06_F21"/>
    <s v="3"/>
    <s v=" "/>
    <s v="CERT"/>
    <n v="-5153.0600000000004"/>
    <d v="2021-04-30T00:00:00"/>
    <d v="2021-04-30T00:00:00"/>
    <d v="2021-04-30T00:00:00"/>
    <s v="PY"/>
  </r>
  <r>
    <x v="0"/>
    <s v="1746000715"/>
    <s v="EDINBURG CISD"/>
    <x v="7"/>
    <s v=" "/>
    <s v="11180C06_F21"/>
    <s v="3"/>
    <s v=" "/>
    <s v="CERT"/>
    <n v="-29846.94"/>
    <d v="2021-07-27T00:00:00"/>
    <d v="2021-07-27T00:00:00"/>
    <d v="2021-07-30T00:00:00"/>
    <s v="PY"/>
  </r>
  <r>
    <x v="0"/>
    <s v="1746000715"/>
    <s v="EDINBURG CISD"/>
    <x v="7"/>
    <s v=" "/>
    <s v="11180C06_F21"/>
    <s v="4"/>
    <s v=" "/>
    <s v="CERT"/>
    <n v="-25000"/>
    <d v="2021-07-27T00:00:00"/>
    <d v="2021-07-27T00:00:00"/>
    <d v="2021-07-30T00:00:00"/>
    <s v="PY"/>
  </r>
  <r>
    <x v="0"/>
    <s v="1746000715"/>
    <s v="EDINBURG CISD"/>
    <x v="7"/>
    <s v=" "/>
    <s v="11180C06_F21"/>
    <s v="5"/>
    <s v=" "/>
    <s v="CERT"/>
    <n v="-58404.26"/>
    <d v="2022-02-17T00:00:00"/>
    <d v="2022-02-17T00:00:00"/>
    <d v="2022-02-28T00:00:00"/>
    <s v="PY"/>
  </r>
  <r>
    <x v="0"/>
    <s v="1746000975"/>
    <s v="GEORGETOWN ISD"/>
    <x v="5"/>
    <s v=" "/>
    <s v="1521CCMC15_F21"/>
    <s v="2"/>
    <s v=" "/>
    <s v="CERT"/>
    <n v="-6040"/>
    <d v="2022-02-16T00:00:00"/>
    <d v="2022-02-16T00:00:00"/>
    <d v="2022-02-28T00:00:00"/>
    <s v="PY"/>
  </r>
  <r>
    <x v="0"/>
    <s v="1746001082"/>
    <s v="MIDWAY ISD"/>
    <x v="3"/>
    <s v=" "/>
    <s v="1321CCMC19_F21"/>
    <s v="1"/>
    <s v=" "/>
    <s v="CERT"/>
    <n v="-20000"/>
    <d v="2022-01-20T00:00:00"/>
    <d v="2022-01-20T00:00:00"/>
    <d v="2022-01-20T00:00:00"/>
    <s v="PY"/>
  </r>
  <r>
    <x v="0"/>
    <s v="1746001530"/>
    <s v="TEXAS A&amp;M UNIVERSITY-KINGSVILLE"/>
    <x v="4"/>
    <s v=" "/>
    <s v="11192C07_F21"/>
    <s v="1"/>
    <s v=" "/>
    <s v="CERT"/>
    <n v="-70000"/>
    <d v="2021-04-30T00:00:00"/>
    <d v="2021-04-30T00:00:00"/>
    <d v="2021-04-30T00:00:00"/>
    <s v="PY"/>
  </r>
  <r>
    <x v="0"/>
    <s v="1746001530"/>
    <s v="TEXAS A&amp;M UNIVERSITY-KINGSVILLE"/>
    <x v="4"/>
    <s v=" "/>
    <s v="11192C07_F21"/>
    <s v="2"/>
    <s v=" "/>
    <s v="CERT"/>
    <n v="-70000"/>
    <d v="2022-02-16T00:00:00"/>
    <d v="2022-02-16T00:00:00"/>
    <d v="2022-02-28T00:00:00"/>
    <s v="PY"/>
  </r>
  <r>
    <x v="0"/>
    <s v="1746001550"/>
    <s v="LA JOYA ISD"/>
    <x v="7"/>
    <s v=" "/>
    <s v="11180C15_F21"/>
    <s v="1"/>
    <s v=" "/>
    <s v="CERT"/>
    <n v="-85000"/>
    <d v="2021-04-02T00:00:00"/>
    <d v="2021-04-02T00:00:00"/>
    <d v="2021-04-12T00:00:00"/>
    <s v="PY"/>
  </r>
  <r>
    <x v="0"/>
    <s v="1746001550"/>
    <s v="LA JOYA ISD"/>
    <x v="7"/>
    <s v=" "/>
    <s v="11180C15_F21"/>
    <s v="2"/>
    <s v=" "/>
    <s v="CERT"/>
    <n v="-3102.82"/>
    <d v="2021-04-02T00:00:00"/>
    <d v="2021-04-02T00:00:00"/>
    <d v="2021-04-12T00:00:00"/>
    <s v="PY"/>
  </r>
  <r>
    <x v="0"/>
    <s v="1746001550"/>
    <s v="LA JOYA ISD"/>
    <x v="7"/>
    <s v=" "/>
    <s v="11180C15_F21"/>
    <s v="2"/>
    <s v=" "/>
    <s v="CERT"/>
    <n v="-81897.179999999993"/>
    <d v="2021-04-13T00:00:00"/>
    <d v="2021-04-13T00:00:00"/>
    <d v="2021-04-28T00:00:00"/>
    <s v="PY"/>
  </r>
  <r>
    <x v="0"/>
    <s v="1746001550"/>
    <s v="LA JOYA ISD"/>
    <x v="7"/>
    <s v=" "/>
    <s v="11180C15_F21"/>
    <s v="3"/>
    <s v=" "/>
    <s v="CERT"/>
    <n v="-1662.09"/>
    <d v="2021-04-13T00:00:00"/>
    <d v="2021-04-13T00:00:00"/>
    <d v="2021-04-28T00:00:00"/>
    <s v="PY"/>
  </r>
  <r>
    <x v="0"/>
    <s v="1746001550"/>
    <s v="LA JOYA ISD"/>
    <x v="7"/>
    <s v=" "/>
    <s v="11180C15_F21"/>
    <s v="3"/>
    <s v=" "/>
    <s v="CERT"/>
    <n v="-68337.91"/>
    <d v="2021-07-16T00:00:00"/>
    <d v="2021-07-16T00:00:00"/>
    <d v="2021-07-30T00:00:00"/>
    <s v="PY"/>
  </r>
  <r>
    <x v="0"/>
    <s v="1746001550"/>
    <s v="LA JOYA ISD"/>
    <x v="7"/>
    <s v=" "/>
    <s v="11180C15_F21"/>
    <s v="4"/>
    <s v=" "/>
    <s v="CERT"/>
    <n v="-14930.95"/>
    <d v="2021-07-16T00:00:00"/>
    <d v="2021-07-16T00:00:00"/>
    <d v="2021-07-30T00:00:00"/>
    <s v="PY"/>
  </r>
  <r>
    <x v="0"/>
    <s v="1746001550"/>
    <s v="LA JOYA ISD"/>
    <x v="7"/>
    <s v=" "/>
    <s v="11180C15_F21"/>
    <s v="4"/>
    <s v=" "/>
    <s v="CERT"/>
    <n v="-45069.05"/>
    <d v="2021-10-25T00:00:00"/>
    <d v="2021-10-25T00:00:00"/>
    <d v="2021-10-29T00:00:00"/>
    <s v="PY"/>
  </r>
  <r>
    <x v="0"/>
    <s v="1746001550"/>
    <s v="LA JOYA ISD"/>
    <x v="7"/>
    <s v=" "/>
    <s v="11180C15_F21"/>
    <s v="5"/>
    <s v=" "/>
    <s v="CERT"/>
    <n v="-44695.62"/>
    <d v="2022-02-17T00:00:00"/>
    <d v="2022-02-17T00:00:00"/>
    <d v="2022-02-28T00:00:00"/>
    <s v="PY"/>
  </r>
  <r>
    <x v="0"/>
    <s v="1746001635"/>
    <s v="LOCKHART ISD"/>
    <x v="5"/>
    <s v=" "/>
    <s v="1521CCMC02_F21"/>
    <s v="1"/>
    <s v=" "/>
    <s v="CERT"/>
    <n v="-48805"/>
    <d v="2022-01-20T00:00:00"/>
    <d v="2022-01-20T00:00:00"/>
    <d v="2022-01-20T00:00:00"/>
    <s v="PY"/>
  </r>
  <r>
    <x v="0"/>
    <s v="1746001648"/>
    <s v="LYFORD ISD"/>
    <x v="7"/>
    <s v=" "/>
    <s v="11180C09_F21"/>
    <s v="1"/>
    <s v=" "/>
    <s v="CERT"/>
    <n v="-20000"/>
    <d v="2021-04-02T00:00:00"/>
    <d v="2021-04-02T00:00:00"/>
    <d v="2021-04-12T00:00:00"/>
    <s v="PY"/>
  </r>
  <r>
    <x v="0"/>
    <s v="1746001648"/>
    <s v="LYFORD ISD"/>
    <x v="7"/>
    <s v=" "/>
    <s v="11180C09_F21"/>
    <s v="2"/>
    <s v=" "/>
    <s v="CERT"/>
    <n v="-4186.2700000000004"/>
    <d v="2021-04-02T00:00:00"/>
    <d v="2021-04-02T00:00:00"/>
    <d v="2021-04-12T00:00:00"/>
    <s v="PY"/>
  </r>
  <r>
    <x v="0"/>
    <s v="1746001648"/>
    <s v="LYFORD ISD"/>
    <x v="7"/>
    <s v=" "/>
    <s v="11180C09_F21"/>
    <s v="2"/>
    <s v=" "/>
    <s v="CERT"/>
    <n v="-15813.73"/>
    <d v="2021-04-30T00:00:00"/>
    <d v="2021-04-30T00:00:00"/>
    <d v="2021-04-30T00:00:00"/>
    <s v="PY"/>
  </r>
  <r>
    <x v="0"/>
    <s v="1746001648"/>
    <s v="LYFORD ISD"/>
    <x v="7"/>
    <s v=" "/>
    <s v="11180C09_F21"/>
    <s v="3"/>
    <s v=" "/>
    <s v="CERT"/>
    <n v="-10982.42"/>
    <d v="2021-04-30T00:00:00"/>
    <d v="2021-04-30T00:00:00"/>
    <d v="2021-04-30T00:00:00"/>
    <s v="PY"/>
  </r>
  <r>
    <x v="0"/>
    <s v="1746001648"/>
    <s v="LYFORD ISD"/>
    <x v="7"/>
    <s v=" "/>
    <s v="11180C09_F21"/>
    <s v="3"/>
    <s v=" "/>
    <s v="CERT"/>
    <n v="-4017.58"/>
    <d v="2021-10-28T00:00:00"/>
    <d v="2021-10-28T00:00:00"/>
    <d v="2021-10-29T00:00:00"/>
    <s v="PY"/>
  </r>
  <r>
    <x v="0"/>
    <s v="1746001648"/>
    <s v="LYFORD ISD"/>
    <x v="7"/>
    <s v=" "/>
    <s v="11180C09_F21"/>
    <s v="4"/>
    <s v=" "/>
    <s v="CERT"/>
    <n v="-5000"/>
    <d v="2021-10-28T00:00:00"/>
    <d v="2021-10-28T00:00:00"/>
    <d v="2021-10-29T00:00:00"/>
    <s v="PY"/>
  </r>
  <r>
    <x v="0"/>
    <s v="1746001648"/>
    <s v="LYFORD ISD"/>
    <x v="7"/>
    <s v=" "/>
    <s v="11180C09_F21"/>
    <s v="5"/>
    <s v=" "/>
    <s v="CERT"/>
    <n v="-35902.730000000003"/>
    <d v="2022-02-17T00:00:00"/>
    <d v="2022-02-17T00:00:00"/>
    <d v="2022-02-28T00:00:00"/>
    <s v="PY"/>
  </r>
  <r>
    <x v="0"/>
    <s v="1746001658"/>
    <s v="MCALLEN I.S.D."/>
    <x v="7"/>
    <s v=" "/>
    <s v="11180C17_F21"/>
    <s v="1"/>
    <s v=" "/>
    <s v="CERT"/>
    <n v="-40000"/>
    <d v="2021-04-02T00:00:00"/>
    <d v="2021-04-02T00:00:00"/>
    <d v="2021-04-12T00:00:00"/>
    <s v="PY"/>
  </r>
  <r>
    <x v="0"/>
    <s v="1746001658"/>
    <s v="MCALLEN I.S.D."/>
    <x v="7"/>
    <s v=" "/>
    <s v="11180C17_F21"/>
    <s v="2"/>
    <s v=" "/>
    <s v="CERT"/>
    <n v="-6131"/>
    <d v="2021-04-02T00:00:00"/>
    <d v="2021-04-02T00:00:00"/>
    <d v="2021-04-12T00:00:00"/>
    <s v="PY"/>
  </r>
  <r>
    <x v="0"/>
    <s v="1746001658"/>
    <s v="MCALLEN I.S.D."/>
    <x v="7"/>
    <s v=" "/>
    <s v="11180C17_F21"/>
    <s v="2"/>
    <s v=" "/>
    <s v="CERT"/>
    <n v="-28869"/>
    <d v="2021-04-13T00:00:00"/>
    <d v="2021-04-13T00:00:00"/>
    <d v="2021-04-28T00:00:00"/>
    <s v="PY"/>
  </r>
  <r>
    <x v="0"/>
    <s v="1746001658"/>
    <s v="MCALLEN I.S.D."/>
    <x v="7"/>
    <s v=" "/>
    <s v="11180C17_F21"/>
    <s v="3"/>
    <s v=" "/>
    <s v="CERT"/>
    <n v="-17262"/>
    <d v="2021-04-13T00:00:00"/>
    <d v="2021-04-13T00:00:00"/>
    <d v="2021-04-28T00:00:00"/>
    <s v="PY"/>
  </r>
  <r>
    <x v="0"/>
    <s v="1746001658"/>
    <s v="MCALLEN I.S.D."/>
    <x v="7"/>
    <s v=" "/>
    <s v="11180C17_F21"/>
    <s v="3"/>
    <s v=" "/>
    <s v="CERT"/>
    <n v="-2738"/>
    <d v="2021-07-16T00:00:00"/>
    <d v="2021-07-16T00:00:00"/>
    <d v="2021-07-30T00:00:00"/>
    <s v="PY"/>
  </r>
  <r>
    <x v="0"/>
    <s v="1746001658"/>
    <s v="MCALLEN I.S.D."/>
    <x v="7"/>
    <s v=" "/>
    <s v="11180C17_F21"/>
    <s v="4"/>
    <s v=" "/>
    <s v="CERT"/>
    <n v="-6334.5"/>
    <d v="2021-07-16T00:00:00"/>
    <d v="2021-07-16T00:00:00"/>
    <d v="2021-07-30T00:00:00"/>
    <s v="PY"/>
  </r>
  <r>
    <x v="0"/>
    <s v="1746001658"/>
    <s v="MCALLEN I.S.D."/>
    <x v="7"/>
    <s v=" "/>
    <s v="11180C17_F21"/>
    <s v="4"/>
    <s v=" "/>
    <s v="CERT"/>
    <n v="-8665.5"/>
    <d v="2021-10-28T00:00:00"/>
    <d v="2021-10-28T00:00:00"/>
    <d v="2021-10-29T00:00:00"/>
    <s v="PY"/>
  </r>
  <r>
    <x v="0"/>
    <s v="1746001660"/>
    <s v="CITY OF MCALLEN"/>
    <x v="7"/>
    <s v=" "/>
    <s v="11180C03_F21"/>
    <s v="1"/>
    <s v=" "/>
    <s v="CERT"/>
    <n v="-116666.69"/>
    <d v="2021-06-02T00:00:00"/>
    <d v="2021-06-02T00:00:00"/>
    <d v="2021-06-02T00:00:00"/>
    <s v="PY"/>
  </r>
  <r>
    <x v="0"/>
    <s v="1746001660"/>
    <s v="CITY OF MCALLEN"/>
    <x v="7"/>
    <s v=" "/>
    <s v="11180C03_F21"/>
    <s v="1"/>
    <s v=" "/>
    <s v="CERT"/>
    <n v="-58333.31"/>
    <d v="2022-01-27T00:00:00"/>
    <d v="2022-01-27T00:00:00"/>
    <d v="2022-01-31T00:00:00"/>
    <s v="PY"/>
  </r>
  <r>
    <x v="0"/>
    <s v="1746001660"/>
    <s v="CITY OF MCALLEN"/>
    <x v="7"/>
    <s v=" "/>
    <s v="11180C03_F21"/>
    <s v="2"/>
    <s v=" "/>
    <s v="CERT"/>
    <n v="-150000"/>
    <d v="2022-01-27T00:00:00"/>
    <d v="2022-01-27T00:00:00"/>
    <d v="2022-01-31T00:00:00"/>
    <s v="PY"/>
  </r>
  <r>
    <x v="0"/>
    <s v="1746001718"/>
    <s v="MERCEDES ISD"/>
    <x v="7"/>
    <s v=" "/>
    <s v="11180C14_F21"/>
    <s v="1"/>
    <s v=" "/>
    <s v="CERT"/>
    <n v="-14136.81"/>
    <d v="2021-01-26T00:00:00"/>
    <d v="2021-01-26T00:00:00"/>
    <d v="2021-01-26T00:00:00"/>
    <s v="PY"/>
  </r>
  <r>
    <x v="0"/>
    <s v="1746001718"/>
    <s v="MERCEDES ISD"/>
    <x v="7"/>
    <s v=" "/>
    <s v="11180C14_F21"/>
    <s v="1"/>
    <s v=" "/>
    <s v="CERT"/>
    <n v="-2363.19"/>
    <d v="2021-04-30T00:00:00"/>
    <d v="2021-04-30T00:00:00"/>
    <d v="2021-04-30T00:00:00"/>
    <s v="PY"/>
  </r>
  <r>
    <x v="0"/>
    <s v="1746001718"/>
    <s v="MERCEDES ISD"/>
    <x v="7"/>
    <s v=" "/>
    <s v="11180C14_F21"/>
    <s v="2"/>
    <s v=" "/>
    <s v="CERT"/>
    <n v="-11838.42"/>
    <d v="2021-04-30T00:00:00"/>
    <d v="2021-04-30T00:00:00"/>
    <d v="2021-04-30T00:00:00"/>
    <s v="PY"/>
  </r>
  <r>
    <x v="0"/>
    <s v="1746001718"/>
    <s v="MERCEDES ISD"/>
    <x v="7"/>
    <s v=" "/>
    <s v="11180C14_F21"/>
    <s v="2"/>
    <s v=" "/>
    <s v="CERT"/>
    <n v="-4661.58"/>
    <d v="2021-07-16T00:00:00"/>
    <d v="2021-07-16T00:00:00"/>
    <d v="2021-07-30T00:00:00"/>
    <s v="PY"/>
  </r>
  <r>
    <x v="0"/>
    <s v="1746001718"/>
    <s v="MERCEDES ISD"/>
    <x v="7"/>
    <s v=" "/>
    <s v="11180C14_F21"/>
    <s v="3"/>
    <s v=" "/>
    <s v="CERT"/>
    <n v="-9577.86"/>
    <d v="2021-07-16T00:00:00"/>
    <d v="2021-07-16T00:00:00"/>
    <d v="2021-07-30T00:00:00"/>
    <s v="PY"/>
  </r>
  <r>
    <x v="0"/>
    <s v="1746001718"/>
    <s v="MERCEDES ISD"/>
    <x v="7"/>
    <s v=" "/>
    <s v="11180C14_F21"/>
    <s v="3"/>
    <s v=" "/>
    <s v="CERT"/>
    <n v="-7422.14"/>
    <d v="2021-10-28T00:00:00"/>
    <d v="2021-10-28T00:00:00"/>
    <d v="2021-10-29T00:00:00"/>
    <s v="PY"/>
  </r>
  <r>
    <x v="0"/>
    <s v="1746001718"/>
    <s v="MERCEDES ISD"/>
    <x v="7"/>
    <s v=" "/>
    <s v="11180C14_F21"/>
    <s v="4"/>
    <s v=" "/>
    <s v="CERT"/>
    <n v="-7919.97"/>
    <d v="2022-02-17T00:00:00"/>
    <d v="2022-02-17T00:00:00"/>
    <d v="2022-02-28T00:00:00"/>
    <s v="PY"/>
  </r>
  <r>
    <x v="0"/>
    <s v="1746001876"/>
    <s v="PHARR-SAN JUAN-ALAMO ISD"/>
    <x v="7"/>
    <s v=" "/>
    <s v="11180C16_F21"/>
    <s v="1"/>
    <s v=" "/>
    <s v="CERT"/>
    <n v="-15000"/>
    <d v="2021-04-22T00:00:00"/>
    <d v="2021-04-22T00:00:00"/>
    <d v="2021-04-28T00:00:00"/>
    <s v="PY"/>
  </r>
  <r>
    <x v="0"/>
    <s v="1746001876"/>
    <s v="PHARR-SAN JUAN-ALAMO ISD"/>
    <x v="7"/>
    <s v=" "/>
    <s v="11180C16_F21"/>
    <s v="2"/>
    <s v=" "/>
    <s v="CERT"/>
    <n v="-300.45"/>
    <d v="2021-04-22T00:00:00"/>
    <d v="2021-04-22T00:00:00"/>
    <d v="2021-04-28T00:00:00"/>
    <s v="PY"/>
  </r>
  <r>
    <x v="0"/>
    <s v="1746001876"/>
    <s v="PHARR-SAN JUAN-ALAMO ISD"/>
    <x v="7"/>
    <s v=" "/>
    <s v="11180C16_F21"/>
    <s v="2"/>
    <s v=" "/>
    <s v="CERT"/>
    <n v="-12233.55"/>
    <d v="2021-07-30T00:00:00"/>
    <d v="2021-07-30T00:00:00"/>
    <d v="2021-07-30T00:00:00"/>
    <s v="PY"/>
  </r>
  <r>
    <x v="0"/>
    <s v="1746001876"/>
    <s v="PHARR-SAN JUAN-ALAMO ISD"/>
    <x v="7"/>
    <s v=" "/>
    <s v="11180C16_F21"/>
    <s v="2"/>
    <s v=" "/>
    <s v="CERT"/>
    <n v="-2466"/>
    <d v="2022-01-20T00:00:00"/>
    <d v="2022-01-20T00:00:00"/>
    <d v="2022-01-20T00:00:00"/>
    <s v="PY"/>
  </r>
  <r>
    <x v="0"/>
    <s v="1746001876"/>
    <s v="PHARR-SAN JUAN-ALAMO ISD"/>
    <x v="7"/>
    <s v=" "/>
    <s v="11180C16_F21"/>
    <s v="3"/>
    <s v=" "/>
    <s v="CERT"/>
    <n v="-4000"/>
    <d v="2022-01-20T00:00:00"/>
    <d v="2022-01-20T00:00:00"/>
    <d v="2022-01-20T00:00:00"/>
    <s v="PY"/>
  </r>
  <r>
    <x v="0"/>
    <s v="1746001876"/>
    <s v="PHARR-SAN JUAN-ALAMO ISD"/>
    <x v="7"/>
    <s v=" "/>
    <s v="11180C16_F21"/>
    <s v="4"/>
    <s v=" "/>
    <s v="CERT"/>
    <n v="-322"/>
    <d v="2022-01-20T00:00:00"/>
    <d v="2022-01-20T00:00:00"/>
    <d v="2022-01-20T00:00:00"/>
    <s v="PY"/>
  </r>
  <r>
    <x v="0"/>
    <s v="1746001885"/>
    <s v="CITY OF PORT ARTHUR"/>
    <x v="6"/>
    <s v=" "/>
    <s v="1821CCM001_F21"/>
    <s v="1"/>
    <s v=" "/>
    <s v="CERT"/>
    <n v="-120000"/>
    <d v="2021-05-04T00:00:00"/>
    <d v="2021-05-04T00:00:00"/>
    <d v="2021-05-14T00:00:00"/>
    <s v="PY"/>
  </r>
  <r>
    <x v="0"/>
    <s v="1746001885"/>
    <s v="CITY OF PORT ARTHUR"/>
    <x v="6"/>
    <s v=" "/>
    <s v="1821CCM001_F21"/>
    <s v="2"/>
    <s v=" "/>
    <s v="CERT"/>
    <n v="-8800"/>
    <d v="2021-05-04T00:00:00"/>
    <d v="2021-05-04T00:00:00"/>
    <d v="2021-05-14T00:00:00"/>
    <s v="PY"/>
  </r>
  <r>
    <x v="0"/>
    <s v="1746001885"/>
    <s v="CITY OF PORT ARTHUR"/>
    <x v="6"/>
    <s v=" "/>
    <s v="1821CCM001_F21"/>
    <s v="2"/>
    <s v=" "/>
    <s v="CERT"/>
    <n v="-155190"/>
    <d v="2022-01-20T00:00:00"/>
    <d v="2022-01-20T00:00:00"/>
    <d v="2022-01-20T00:00:00"/>
    <s v="PY"/>
  </r>
  <r>
    <x v="0"/>
    <s v="1746002018"/>
    <s v="ROUND ROCK ISD"/>
    <x v="5"/>
    <s v=" "/>
    <s v="1521CCMC16_F21"/>
    <s v="1"/>
    <s v=" "/>
    <s v="CERT"/>
    <n v="-208285.13"/>
    <d v="2022-01-20T00:00:00"/>
    <d v="2022-01-20T00:00:00"/>
    <d v="2022-01-20T00:00:00"/>
    <s v="PY"/>
  </r>
  <r>
    <x v="0"/>
    <s v="1746002070"/>
    <s v="CITY OF SAN ANTONIO"/>
    <x v="10"/>
    <s v=" "/>
    <s v="2021CCM001_F21"/>
    <s v="1"/>
    <s v=" "/>
    <s v="CERT"/>
    <n v="-178122.75"/>
    <d v="2021-04-16T00:00:00"/>
    <d v="2021-04-16T00:00:00"/>
    <d v="2021-04-28T00:00:00"/>
    <s v="PY"/>
  </r>
  <r>
    <x v="0"/>
    <s v="1746002070"/>
    <s v="CITY OF SAN ANTONIO"/>
    <x v="10"/>
    <s v=" "/>
    <s v="2021CCM001_F21"/>
    <s v="1"/>
    <s v=" "/>
    <s v="CERT"/>
    <n v="-122881.7"/>
    <d v="2021-07-14T00:00:00"/>
    <d v="2021-07-14T00:00:00"/>
    <d v="2021-07-30T00:00:00"/>
    <s v="PY"/>
  </r>
  <r>
    <x v="0"/>
    <s v="1746002070"/>
    <s v="CITY OF SAN ANTONIO"/>
    <x v="10"/>
    <s v=" "/>
    <s v="2021CCM001_F21"/>
    <s v="2"/>
    <s v=" "/>
    <s v="CERT"/>
    <n v="-301611.36"/>
    <d v="2021-07-14T00:00:00"/>
    <d v="2021-07-14T00:00:00"/>
    <d v="2021-07-30T00:00:00"/>
    <s v="PY"/>
  </r>
  <r>
    <x v="0"/>
    <s v="1746002070"/>
    <s v="CITY OF SAN ANTONIO"/>
    <x v="10"/>
    <s v=" "/>
    <s v="2021CCM001_F21"/>
    <s v="3"/>
    <s v=" "/>
    <s v="CERT"/>
    <n v="-484026.13"/>
    <d v="2022-02-11T00:00:00"/>
    <d v="2022-02-11T00:00:00"/>
    <d v="2022-02-28T00:00:00"/>
    <s v="PY"/>
  </r>
  <r>
    <x v="0"/>
    <s v="1746002246"/>
    <s v="SAN MARCOS CONSOLIDATED ISD"/>
    <x v="5"/>
    <s v=" "/>
    <s v="1521CCMC01_F21"/>
    <s v="1"/>
    <s v=" "/>
    <s v="CERT"/>
    <n v="-190000"/>
    <d v="2022-01-20T00:00:00"/>
    <d v="2022-01-20T00:00:00"/>
    <d v="2022-01-20T00:00:00"/>
    <s v="PY"/>
  </r>
  <r>
    <x v="0"/>
    <s v="1746002357"/>
    <s v="TAYLOR ISD"/>
    <x v="5"/>
    <s v=" "/>
    <s v="1521CCMC03_F21"/>
    <s v="1"/>
    <s v=" "/>
    <s v="CERT"/>
    <n v="-78750"/>
    <d v="2022-01-20T00:00:00"/>
    <d v="2022-01-20T00:00:00"/>
    <d v="2022-01-20T00:00:00"/>
    <s v="PY"/>
  </r>
  <r>
    <x v="0"/>
    <s v="1746002357"/>
    <s v="TAYLOR ISD"/>
    <x v="5"/>
    <s v=" "/>
    <s v="1521CCMC03_F21"/>
    <s v="2"/>
    <s v=" "/>
    <s v="CERT"/>
    <n v="-112474"/>
    <d v="2022-02-16T00:00:00"/>
    <d v="2022-02-16T00:00:00"/>
    <d v="2022-02-28T00:00:00"/>
    <s v="PY"/>
  </r>
  <r>
    <x v="0"/>
    <s v="1746002420"/>
    <s v="SOUTHWEST TEXAS JUNIOR COL"/>
    <x v="11"/>
    <s v=" "/>
    <s v="08232CO_F21"/>
    <s v="1"/>
    <s v=" "/>
    <s v="CERT"/>
    <n v="-116078"/>
    <d v="2022-01-27T00:00:00"/>
    <d v="2022-01-27T00:00:00"/>
    <d v="2022-01-31T00:00:00"/>
    <s v="PY"/>
  </r>
  <r>
    <x v="0"/>
    <s v="1746002420"/>
    <s v="SOUTHWEST TEXAS JUNIOR COL"/>
    <x v="11"/>
    <s v=" "/>
    <s v="08232CO_F21"/>
    <s v="2"/>
    <s v=" "/>
    <s v="CERT"/>
    <n v="-13653.9"/>
    <d v="2022-01-27T00:00:00"/>
    <d v="2022-01-27T00:00:00"/>
    <d v="2022-01-31T00:00:00"/>
    <s v="PY"/>
  </r>
  <r>
    <x v="0"/>
    <s v="1746002420"/>
    <s v="SOUTHWEST TEXAS JUNIOR COL"/>
    <x v="11"/>
    <s v=" "/>
    <s v="08232CO_F21"/>
    <s v="2"/>
    <s v=" "/>
    <s v="CERT"/>
    <n v="-102424.1"/>
    <d v="2022-02-11T00:00:00"/>
    <d v="2022-02-11T00:00:00"/>
    <d v="2022-02-28T00:00:00"/>
    <s v="PY"/>
  </r>
  <r>
    <x v="0"/>
    <s v="1746002420"/>
    <s v="SOUTHWEST TEXAS JUNIOR COL"/>
    <x v="11"/>
    <s v=" "/>
    <s v="08232CO_F21"/>
    <s v="3"/>
    <s v=" "/>
    <s v="CERT"/>
    <n v="-116077"/>
    <d v="2022-02-11T00:00:00"/>
    <d v="2022-02-11T00:00:00"/>
    <d v="2022-02-28T00:00:00"/>
    <s v="PY"/>
  </r>
  <r>
    <x v="0"/>
    <s v="1746002468"/>
    <s v="CITY OF WACO"/>
    <x v="3"/>
    <s v=" "/>
    <s v="1321CCM09_F21"/>
    <s v="1"/>
    <s v=" "/>
    <s v="CERT"/>
    <n v="-108615"/>
    <d v="2022-02-11T00:00:00"/>
    <d v="2022-02-11T00:00:00"/>
    <d v="2022-02-28T00:00:00"/>
    <s v="PY"/>
  </r>
  <r>
    <x v="0"/>
    <s v="1746002468"/>
    <s v="CITY OF WACO"/>
    <x v="12"/>
    <s v=" "/>
    <s v="03111CO6_F21"/>
    <s v="1"/>
    <s v=" "/>
    <s v="CERT"/>
    <n v="-106385"/>
    <d v="2022-02-11T00:00:00"/>
    <d v="2022-02-11T00:00:00"/>
    <d v="2022-02-28T00:00:00"/>
    <s v="PY"/>
  </r>
  <r>
    <x v="0"/>
    <s v="1746002548"/>
    <s v="WESLACO ISD"/>
    <x v="7"/>
    <s v=" "/>
    <s v="11180C13_F21"/>
    <s v="1"/>
    <s v=" "/>
    <s v="CERT"/>
    <n v="-252000"/>
    <d v="2021-04-13T00:00:00"/>
    <d v="2021-04-13T00:00:00"/>
    <d v="2021-04-28T00:00:00"/>
    <s v="PY"/>
  </r>
  <r>
    <x v="0"/>
    <s v="1746002548"/>
    <s v="WESLACO ISD"/>
    <x v="7"/>
    <s v=" "/>
    <s v="11180C13_F21"/>
    <s v="2"/>
    <s v=" "/>
    <s v="CERT"/>
    <n v="-252000"/>
    <d v="2021-04-13T00:00:00"/>
    <d v="2021-04-13T00:00:00"/>
    <d v="2021-04-28T00:00:00"/>
    <s v="PY"/>
  </r>
  <r>
    <x v="0"/>
    <s v="1746002548"/>
    <s v="WESLACO ISD"/>
    <x v="7"/>
    <s v=" "/>
    <s v="11180C13_F21"/>
    <s v="3"/>
    <s v=" "/>
    <s v="CERT"/>
    <n v="-68889.27"/>
    <d v="2021-04-13T00:00:00"/>
    <d v="2021-04-13T00:00:00"/>
    <d v="2021-04-28T00:00:00"/>
    <s v="PY"/>
  </r>
  <r>
    <x v="0"/>
    <s v="1746002548"/>
    <s v="WESLACO ISD"/>
    <x v="7"/>
    <s v=" "/>
    <s v="11180C13_F21"/>
    <s v="3"/>
    <s v=" "/>
    <s v="CERT"/>
    <n v="-182110.73"/>
    <d v="2022-02-11T00:00:00"/>
    <d v="2022-02-11T00:00:00"/>
    <d v="2022-02-28T00:00:00"/>
    <s v="PY"/>
  </r>
  <r>
    <x v="0"/>
    <s v="1746002548"/>
    <s v="WESLACO ISD"/>
    <x v="7"/>
    <s v=" "/>
    <s v="11180C13_F21"/>
    <s v="4"/>
    <s v=" "/>
    <s v="CERT"/>
    <n v="-251000"/>
    <d v="2022-02-11T00:00:00"/>
    <d v="2022-02-11T00:00:00"/>
    <d v="2022-02-28T00:00:00"/>
    <s v="PY"/>
  </r>
  <r>
    <x v="0"/>
    <s v="1746003571"/>
    <s v="CONNALLY ISD"/>
    <x v="3"/>
    <s v=" "/>
    <s v="1320CCMC05_F21"/>
    <s v="1"/>
    <s v=" "/>
    <s v="CERT"/>
    <n v="-20000"/>
    <d v="2022-02-22T00:00:00"/>
    <d v="2022-02-22T00:00:00"/>
    <d v="2022-02-28T00:00:00"/>
    <s v="PY"/>
  </r>
  <r>
    <x v="0"/>
    <s v="1750903158"/>
    <s v="GOODFELLOW AIR FORCE BASE CDC"/>
    <x v="13"/>
    <s v=" "/>
    <s v="2112CCMC48_F21"/>
    <s v="1"/>
    <s v=" "/>
    <s v="CERT"/>
    <n v="-350000"/>
    <d v="2021-06-02T00:00:00"/>
    <d v="2021-06-02T00:00:00"/>
    <d v="2021-06-02T00:00:00"/>
    <s v="PY"/>
  </r>
  <r>
    <x v="0"/>
    <s v="1750903158"/>
    <s v="GOODFELLOW AIR FORCE BASE CDC"/>
    <x v="13"/>
    <s v=" "/>
    <s v="2112CCMC48_F21"/>
    <s v="2"/>
    <s v=" "/>
    <s v="CERT"/>
    <n v="-16973"/>
    <d v="2021-06-02T00:00:00"/>
    <d v="2021-06-02T00:00:00"/>
    <d v="2021-06-02T00:00:00"/>
    <s v="PY"/>
  </r>
  <r>
    <x v="0"/>
    <s v="1750903158"/>
    <s v="GOODFELLOW AIR FORCE BASE CDC"/>
    <x v="13"/>
    <s v=" "/>
    <s v="2112CCMC48_F21"/>
    <s v="2"/>
    <s v=" "/>
    <s v="CERT"/>
    <n v="-333027"/>
    <d v="2022-01-20T00:00:00"/>
    <d v="2022-01-20T00:00:00"/>
    <d v="2022-01-20T00:00:00"/>
    <s v="PY"/>
  </r>
  <r>
    <x v="0"/>
    <s v="1750903158"/>
    <s v="GOODFELLOW AIR FORCE BASE CDC"/>
    <x v="13"/>
    <s v=" "/>
    <s v="2112CCMC48_F21"/>
    <s v="3"/>
    <s v=" "/>
    <s v="CERT"/>
    <n v="-10283"/>
    <d v="2022-02-16T00:00:00"/>
    <d v="2022-02-16T00:00:00"/>
    <d v="2022-02-28T00:00:00"/>
    <s v="PY"/>
  </r>
  <r>
    <x v="0"/>
    <s v="1750903158"/>
    <s v="GOODFELLOW AIR FORCE BASE CDC"/>
    <x v="13"/>
    <s v=" "/>
    <s v="2112CCMC49_F21"/>
    <s v="1"/>
    <s v=" "/>
    <s v="CERT"/>
    <n v="-72651"/>
    <d v="2021-06-02T00:00:00"/>
    <d v="2021-06-02T00:00:00"/>
    <d v="2021-06-02T00:00:00"/>
    <s v="PY"/>
  </r>
  <r>
    <x v="0"/>
    <s v="1750903158"/>
    <s v="GOODFELLOW AIR FORCE BASE CDC"/>
    <x v="13"/>
    <s v=" "/>
    <s v="2112CCMC49_F21"/>
    <s v="1"/>
    <s v=" "/>
    <s v="CERT"/>
    <n v="-14849"/>
    <d v="2022-01-20T00:00:00"/>
    <d v="2022-01-20T00:00:00"/>
    <d v="2022-01-20T00:00:00"/>
    <s v="PY"/>
  </r>
  <r>
    <x v="0"/>
    <s v="1750903158"/>
    <s v="GOODFELLOW AIR FORCE BASE CDC"/>
    <x v="13"/>
    <s v=" "/>
    <s v="2112CCMC49_F21"/>
    <s v="2"/>
    <s v=" "/>
    <s v="CERT"/>
    <n v="-79111"/>
    <d v="2022-01-20T00:00:00"/>
    <d v="2022-01-20T00:00:00"/>
    <d v="2022-01-20T00:00:00"/>
    <s v="PY"/>
  </r>
  <r>
    <x v="0"/>
    <s v="1751213149"/>
    <s v="DALLAS COUNTY COMM COLLEGE"/>
    <x v="14"/>
    <s v=" "/>
    <s v="0621CCM05_F21"/>
    <s v="2"/>
    <s v=" "/>
    <s v="CERT"/>
    <n v="-41225.25"/>
    <d v="2021-04-02T00:00:00"/>
    <d v="2021-04-02T00:00:00"/>
    <d v="2021-04-12T00:00:00"/>
    <s v="PY"/>
  </r>
  <r>
    <x v="0"/>
    <s v="1751213149"/>
    <s v="DALLAS COUNTY COMM COLLEGE"/>
    <x v="14"/>
    <s v=" "/>
    <s v="0621CCM05_F21"/>
    <s v="3"/>
    <s v=" "/>
    <s v="CERT"/>
    <n v="-1909.47"/>
    <d v="2021-04-02T00:00:00"/>
    <d v="2021-04-02T00:00:00"/>
    <d v="2021-04-12T00:00:00"/>
    <s v="PY"/>
  </r>
  <r>
    <x v="0"/>
    <s v="1751213149"/>
    <s v="DALLAS COUNTY COMM COLLEGE"/>
    <x v="14"/>
    <s v=" "/>
    <s v="0621CCM05_F21"/>
    <s v="4"/>
    <s v=" "/>
    <s v="CERT"/>
    <n v="-360"/>
    <d v="2021-05-04T00:00:00"/>
    <d v="2021-05-04T00:00:00"/>
    <d v="2021-05-14T00:00:00"/>
    <s v="PY"/>
  </r>
  <r>
    <x v="0"/>
    <s v="1751213149"/>
    <s v="DALLAS COUNTY COMM COLLEGE"/>
    <x v="14"/>
    <s v=" "/>
    <s v="0621CCM05_F21"/>
    <s v="5"/>
    <s v=" "/>
    <s v="CERT"/>
    <n v="-189626.05"/>
    <d v="2022-02-16T00:00:00"/>
    <d v="2022-02-16T00:00:00"/>
    <d v="2022-02-28T00:00:00"/>
    <s v="PY"/>
  </r>
  <r>
    <x v="0"/>
    <s v="1751325933"/>
    <s v="VERNON COLLEGE"/>
    <x v="15"/>
    <s v=" "/>
    <s v="0321CCM04_F21"/>
    <s v="1"/>
    <s v=" "/>
    <s v="CERT"/>
    <n v="-45000"/>
    <d v="2022-02-22T00:00:00"/>
    <d v="2022-02-22T00:00:00"/>
    <d v="2022-02-28T00:00:00"/>
    <s v="PY"/>
  </r>
  <r>
    <x v="0"/>
    <s v="1751403958"/>
    <s v="MIDLAND COLLEGE"/>
    <x v="16"/>
    <s v=" "/>
    <s v="1121CCM004_F21"/>
    <s v="1"/>
    <s v=" "/>
    <s v="CERT"/>
    <n v="-77914"/>
    <d v="2022-01-20T00:00:00"/>
    <d v="2022-01-20T00:00:00"/>
    <d v="2022-01-20T00:00:00"/>
    <s v="PY"/>
  </r>
  <r>
    <x v="0"/>
    <s v="1751404239"/>
    <s v="HILL COUNTY JUNIOR COLLEGE"/>
    <x v="17"/>
    <s v=" "/>
    <s v="0421C04_F21"/>
    <s v="1"/>
    <s v=" "/>
    <s v="CERT"/>
    <n v="-48765.5"/>
    <d v="2021-04-29T00:00:00"/>
    <d v="2021-04-29T00:00:00"/>
    <d v="2021-04-29T00:00:00"/>
    <s v="PY"/>
  </r>
  <r>
    <x v="0"/>
    <s v="1751404239"/>
    <s v="HILL COUNTY JUNIOR COLLEGE"/>
    <x v="17"/>
    <s v=" "/>
    <s v="0421C04_F21"/>
    <s v="2"/>
    <s v=" "/>
    <s v="CERT"/>
    <n v="-2034.41"/>
    <d v="2021-04-29T00:00:00"/>
    <d v="2021-04-29T00:00:00"/>
    <d v="2021-04-29T00:00:00"/>
    <s v="PY"/>
  </r>
  <r>
    <x v="0"/>
    <s v="1756000508"/>
    <s v="CITY OF DALLAS MARSHAL'S"/>
    <x v="14"/>
    <s v=" "/>
    <s v="0621CCM03_F21"/>
    <s v="1"/>
    <s v=" "/>
    <s v="CERT"/>
    <n v="-93663.3"/>
    <d v="2021-04-29T00:00:00"/>
    <d v="2021-04-29T00:00:00"/>
    <d v="2021-04-29T00:00:00"/>
    <s v="PY"/>
  </r>
  <r>
    <x v="0"/>
    <s v="1756000508"/>
    <s v="CITY OF DALLAS MARSHAL'S"/>
    <x v="14"/>
    <s v=" "/>
    <s v="0621CCM03_F21"/>
    <s v="2"/>
    <s v=" "/>
    <s v="CERT"/>
    <n v="-12399.29"/>
    <d v="2021-04-29T00:00:00"/>
    <d v="2021-04-29T00:00:00"/>
    <d v="2021-04-29T00:00:00"/>
    <s v="PY"/>
  </r>
  <r>
    <x v="0"/>
    <s v="1756000508"/>
    <s v="CITY OF DALLAS MARSHAL'S"/>
    <x v="14"/>
    <s v=" "/>
    <s v="0621CCM03_F21"/>
    <s v="2"/>
    <s v=" "/>
    <s v="CERT"/>
    <n v="-100100.71"/>
    <d v="2021-08-04T00:00:00"/>
    <d v="2021-08-04T00:00:00"/>
    <d v="2021-08-26T00:00:00"/>
    <s v="PY"/>
  </r>
  <r>
    <x v="0"/>
    <s v="1756000508"/>
    <s v="CITY OF DALLAS MARSHAL'S"/>
    <x v="14"/>
    <s v=" "/>
    <s v="0621CCM03_F21"/>
    <s v="3"/>
    <s v=" "/>
    <s v="CERT"/>
    <n v="-32110.25"/>
    <d v="2021-08-04T00:00:00"/>
    <d v="2021-08-04T00:00:00"/>
    <d v="2021-08-26T00:00:00"/>
    <s v="PY"/>
  </r>
  <r>
    <x v="0"/>
    <s v="1756000508"/>
    <s v="CITY OF DALLAS MARSHAL'S"/>
    <x v="14"/>
    <s v=" "/>
    <s v="0621CCM03_F21"/>
    <s v="3"/>
    <s v=" "/>
    <s v="CERT"/>
    <n v="-80389.75"/>
    <d v="2021-10-29T00:00:00"/>
    <d v="2021-10-29T00:00:00"/>
    <d v="2021-10-29T00:00:00"/>
    <s v="PY"/>
  </r>
  <r>
    <x v="0"/>
    <s v="1756000508"/>
    <s v="CITY OF DALLAS MARSHAL'S"/>
    <x v="14"/>
    <s v=" "/>
    <s v="0621CCM03_F21"/>
    <s v="4"/>
    <s v=" "/>
    <s v="CERT"/>
    <n v="-77701.83"/>
    <d v="2021-10-29T00:00:00"/>
    <d v="2021-10-29T00:00:00"/>
    <d v="2021-10-29T00:00:00"/>
    <s v="PY"/>
  </r>
  <r>
    <x v="0"/>
    <s v="1756000514"/>
    <s v="CITY OF DENTON"/>
    <x v="17"/>
    <s v=" "/>
    <s v="0421C00_F21"/>
    <s v="1"/>
    <s v=" "/>
    <s v="CERT"/>
    <n v="-32534.3"/>
    <d v="2021-04-16T00:00:00"/>
    <d v="2021-04-16T00:00:00"/>
    <d v="2021-04-28T00:00:00"/>
    <s v="PY"/>
  </r>
  <r>
    <x v="0"/>
    <s v="1756000514"/>
    <s v="CITY OF DENTON"/>
    <x v="17"/>
    <s v=" "/>
    <s v="0421C00_F21"/>
    <s v="1"/>
    <s v=" "/>
    <s v="CERT"/>
    <n v="-8135.7"/>
    <d v="2021-12-20T00:00:00"/>
    <d v="2021-12-20T00:00:00"/>
    <d v="2021-12-20T00:00:00"/>
    <s v="PY"/>
  </r>
  <r>
    <x v="0"/>
    <s v="1756000514"/>
    <s v="CITY OF DENTON"/>
    <x v="17"/>
    <s v=" "/>
    <s v="0421C00_F21"/>
    <s v="2"/>
    <s v=" "/>
    <s v="CERT"/>
    <n v="-29012.16"/>
    <d v="2021-12-20T00:00:00"/>
    <d v="2021-12-20T00:00:00"/>
    <d v="2021-12-20T00:00:00"/>
    <s v="PY"/>
  </r>
  <r>
    <x v="0"/>
    <s v="1756000588"/>
    <s v="CITY OF LONGVIEW"/>
    <x v="18"/>
    <s v=" "/>
    <s v="04161C24_F21"/>
    <s v="1"/>
    <s v=" "/>
    <s v="CERT"/>
    <n v="-16250"/>
    <d v="2021-07-15T00:00:00"/>
    <d v="2021-07-15T00:00:00"/>
    <d v="2021-07-30T00:00:00"/>
    <s v="PY"/>
  </r>
  <r>
    <x v="0"/>
    <s v="1756000588"/>
    <s v="CITY OF LONGVIEW"/>
    <x v="18"/>
    <s v=" "/>
    <s v="04161C24_F21"/>
    <s v="2"/>
    <s v=" "/>
    <s v="CERT"/>
    <n v="-3839.6"/>
    <d v="2021-07-15T00:00:00"/>
    <d v="2021-07-15T00:00:00"/>
    <d v="2021-07-30T00:00:00"/>
    <s v="PY"/>
  </r>
  <r>
    <x v="0"/>
    <s v="1756000588"/>
    <s v="CITY OF LONGVIEW"/>
    <x v="18"/>
    <s v=" "/>
    <s v="04161C24_F21"/>
    <s v="2"/>
    <s v=" "/>
    <s v="CERT"/>
    <n v="-12410.4"/>
    <d v="2021-12-27T00:00:00"/>
    <d v="2021-12-27T00:00:00"/>
    <d v="2021-12-27T00:00:00"/>
    <s v="PY"/>
  </r>
  <r>
    <x v="0"/>
    <s v="1756000588"/>
    <s v="CITY OF LONGVIEW"/>
    <x v="18"/>
    <s v=" "/>
    <s v="04161C24_F21"/>
    <s v="3"/>
    <s v=" "/>
    <s v="CERT"/>
    <n v="-16250"/>
    <d v="2021-12-27T00:00:00"/>
    <d v="2021-12-27T00:00:00"/>
    <d v="2021-12-27T00:00:00"/>
    <s v="PY"/>
  </r>
  <r>
    <x v="0"/>
    <s v="1756000588"/>
    <s v="CITY OF LONGVIEW"/>
    <x v="18"/>
    <s v=" "/>
    <s v="04161C24_F21"/>
    <s v="4"/>
    <s v=" "/>
    <s v="CERT"/>
    <n v="-10250"/>
    <d v="2021-12-27T00:00:00"/>
    <d v="2021-12-27T00:00:00"/>
    <d v="2021-12-27T00:00:00"/>
    <s v="PY"/>
  </r>
  <r>
    <x v="0"/>
    <s v="1756000714"/>
    <s v="CITY OF WICHITA FALLS"/>
    <x v="15"/>
    <s v=" "/>
    <s v="0321CCMC01_F21"/>
    <s v="1"/>
    <s v=" "/>
    <s v="CERT"/>
    <n v="-130882"/>
    <d v="2021-10-15T00:00:00"/>
    <d v="2021-10-15T00:00:00"/>
    <d v="2021-10-25T00:00:00"/>
    <s v="PY"/>
  </r>
  <r>
    <x v="0"/>
    <s v="1756001278"/>
    <s v="DALLAS ISD"/>
    <x v="14"/>
    <s v=" "/>
    <s v="0621CCM04_F21"/>
    <s v="1"/>
    <s v=" "/>
    <s v="CERT"/>
    <n v="-250000"/>
    <d v="2021-03-15T00:00:00"/>
    <d v="2021-03-15T00:00:00"/>
    <d v="2021-03-29T00:00:00"/>
    <s v="PY"/>
  </r>
  <r>
    <x v="0"/>
    <s v="1756001278"/>
    <s v="DALLAS ISD"/>
    <x v="14"/>
    <s v=" "/>
    <s v="0621CCM04_F21"/>
    <s v="2"/>
    <s v=" "/>
    <s v="CERT"/>
    <n v="-250000"/>
    <d v="2021-03-15T00:00:00"/>
    <d v="2021-03-15T00:00:00"/>
    <d v="2021-03-29T00:00:00"/>
    <s v="PY"/>
  </r>
  <r>
    <x v="0"/>
    <s v="1756001278"/>
    <s v="DALLAS ISD"/>
    <x v="14"/>
    <s v=" "/>
    <s v="0621CCM04_F21"/>
    <s v="3"/>
    <s v=" "/>
    <s v="CERT"/>
    <n v="-250000"/>
    <d v="2021-03-15T00:00:00"/>
    <d v="2021-03-15T00:00:00"/>
    <d v="2021-03-29T00:00:00"/>
    <s v="PY"/>
  </r>
  <r>
    <x v="0"/>
    <s v="1756001278"/>
    <s v="DALLAS ISD"/>
    <x v="14"/>
    <s v=" "/>
    <s v="0621CCM04_F21"/>
    <s v="4"/>
    <s v=" "/>
    <s v="CERT"/>
    <n v="-250000"/>
    <d v="2021-03-15T00:00:00"/>
    <d v="2021-03-15T00:00:00"/>
    <d v="2021-03-29T00:00:00"/>
    <s v="PY"/>
  </r>
  <r>
    <x v="0"/>
    <s v="1756001278"/>
    <s v="DALLAS ISD"/>
    <x v="14"/>
    <s v=" "/>
    <s v="0621CCM04_F21"/>
    <s v="5"/>
    <s v=" "/>
    <s v="CERT"/>
    <n v="-373605"/>
    <d v="2021-10-27T00:00:00"/>
    <d v="2021-10-27T00:00:00"/>
    <d v="2021-10-29T00:00:00"/>
    <s v="PY"/>
  </r>
  <r>
    <x v="0"/>
    <s v="1756001353"/>
    <s v="TEXAS A&amp;M UNIV-COMMERCE"/>
    <x v="17"/>
    <s v=" "/>
    <s v="0421C07_F21"/>
    <s v="1"/>
    <s v=" "/>
    <s v="CERT"/>
    <n v="-491357.37"/>
    <d v="2021-04-29T00:00:00"/>
    <d v="2021-04-29T00:00:00"/>
    <d v="2021-04-29T00:00:00"/>
    <s v="PY"/>
  </r>
  <r>
    <x v="0"/>
    <s v="1756001362"/>
    <s v="ECTOR COUNTY ISD"/>
    <x v="16"/>
    <s v=" "/>
    <s v="1121CCM001_F21"/>
    <s v="1"/>
    <s v=" "/>
    <s v="CERT"/>
    <n v="-100000"/>
    <d v="2022-01-20T00:00:00"/>
    <d v="2022-01-20T00:00:00"/>
    <d v="2022-01-20T00:00:00"/>
    <s v="PY"/>
  </r>
  <r>
    <x v="0"/>
    <s v="1756001854"/>
    <s v="IRVING ISD"/>
    <x v="14"/>
    <s v=" "/>
    <s v="0621CCM02_F21"/>
    <s v="1"/>
    <s v=" "/>
    <s v="CERT"/>
    <n v="-87500"/>
    <d v="2021-04-02T00:00:00"/>
    <d v="2021-04-02T00:00:00"/>
    <d v="2021-04-12T00:00:00"/>
    <s v="PY"/>
  </r>
  <r>
    <x v="0"/>
    <s v="1756001854"/>
    <s v="IRVING ISD"/>
    <x v="14"/>
    <s v=" "/>
    <s v="0621CCM02_F21"/>
    <s v="2"/>
    <s v=" "/>
    <s v="CERT"/>
    <n v="-31417.15"/>
    <d v="2021-04-02T00:00:00"/>
    <d v="2021-04-02T00:00:00"/>
    <d v="2021-04-12T00:00:00"/>
    <s v="PY"/>
  </r>
  <r>
    <x v="0"/>
    <s v="1756001854"/>
    <s v="IRVING ISD"/>
    <x v="14"/>
    <s v=" "/>
    <s v="0621CCM02_F21"/>
    <s v="2"/>
    <s v=" "/>
    <s v="CERT"/>
    <n v="-56082.85"/>
    <d v="2021-05-04T00:00:00"/>
    <d v="2021-05-04T00:00:00"/>
    <d v="2021-05-14T00:00:00"/>
    <s v="PY"/>
  </r>
  <r>
    <x v="0"/>
    <s v="1756001854"/>
    <s v="IRVING ISD"/>
    <x v="14"/>
    <s v=" "/>
    <s v="0621CCM02_F21"/>
    <s v="3"/>
    <s v=" "/>
    <s v="CERT"/>
    <n v="-63899.03"/>
    <d v="2021-05-04T00:00:00"/>
    <d v="2021-05-04T00:00:00"/>
    <d v="2021-05-14T00:00:00"/>
    <s v="PY"/>
  </r>
  <r>
    <x v="0"/>
    <s v="1756001854"/>
    <s v="IRVING ISD"/>
    <x v="14"/>
    <s v=" "/>
    <s v="0621CCM02_F21"/>
    <s v="3"/>
    <s v=" "/>
    <s v="CERT"/>
    <n v="-23600.97"/>
    <d v="2021-08-09T00:00:00"/>
    <d v="2021-08-09T00:00:00"/>
    <d v="2021-08-26T00:00:00"/>
    <s v="PY"/>
  </r>
  <r>
    <x v="0"/>
    <s v="1756001854"/>
    <s v="IRVING ISD"/>
    <x v="14"/>
    <s v=" "/>
    <s v="0621CCM02_F21"/>
    <s v="4"/>
    <s v=" "/>
    <s v="CERT"/>
    <n v="-87500"/>
    <d v="2021-08-09T00:00:00"/>
    <d v="2021-08-09T00:00:00"/>
    <d v="2021-08-26T00:00:00"/>
    <s v="PY"/>
  </r>
  <r>
    <x v="0"/>
    <s v="1756001989"/>
    <s v="LUBBOCK ISD"/>
    <x v="19"/>
    <s v=" "/>
    <s v="0221CCM01_F21"/>
    <s v="1"/>
    <s v=" "/>
    <s v="CERT"/>
    <n v="-51660"/>
    <d v="2021-02-05T00:00:00"/>
    <d v="2021-02-05T00:00:00"/>
    <d v="2021-02-26T00:00:00"/>
    <s v="PY"/>
  </r>
  <r>
    <x v="0"/>
    <s v="1756001989"/>
    <s v="LUBBOCK ISD"/>
    <x v="19"/>
    <s v=" "/>
    <s v="0221CCM01_F21"/>
    <s v="2"/>
    <s v=" "/>
    <s v="CERT"/>
    <n v="-51660"/>
    <d v="2021-06-08T00:00:00"/>
    <d v="2021-06-08T00:00:00"/>
    <d v="2021-06-29T00:00:00"/>
    <s v="PY"/>
  </r>
  <r>
    <x v="0"/>
    <s v="1756001989"/>
    <s v="LUBBOCK ISD"/>
    <x v="19"/>
    <s v=" "/>
    <s v="0221CCM01_F21"/>
    <s v="3"/>
    <s v=" "/>
    <s v="CERT"/>
    <n v="-17220"/>
    <d v="2021-06-08T00:00:00"/>
    <d v="2021-06-08T00:00:00"/>
    <d v="2021-06-29T00:00:00"/>
    <s v="PY"/>
  </r>
  <r>
    <x v="0"/>
    <s v="1756001989"/>
    <s v="LUBBOCK ISD"/>
    <x v="19"/>
    <s v=" "/>
    <s v="0221CCM01_F21"/>
    <s v="3"/>
    <s v=" "/>
    <s v="CERT"/>
    <n v="-34440"/>
    <d v="2021-10-27T00:00:00"/>
    <d v="2021-10-27T00:00:00"/>
    <d v="2021-10-29T00:00:00"/>
    <s v="PY"/>
  </r>
  <r>
    <x v="0"/>
    <s v="1756002064"/>
    <s v="MIDLAND ISD"/>
    <x v="16"/>
    <s v=" "/>
    <s v="1121CCM002_F21"/>
    <s v="1"/>
    <s v=" "/>
    <s v="CERT"/>
    <n v="-141000"/>
    <d v="2022-01-20T00:00:00"/>
    <d v="2022-01-20T00:00:00"/>
    <d v="2022-01-20T00:00:00"/>
    <s v="PY"/>
  </r>
  <r>
    <x v="0"/>
    <s v="1756002105"/>
    <s v="MT. PLEASANT ISD-CHILD DEV"/>
    <x v="20"/>
    <s v=" "/>
    <s v="04170C06_F21"/>
    <s v="1"/>
    <s v=" "/>
    <s v="CERT"/>
    <n v="-12000"/>
    <d v="2021-10-15T00:00:00"/>
    <d v="2021-10-15T00:00:00"/>
    <d v="2021-10-25T00:00:00"/>
    <s v="PY"/>
  </r>
  <r>
    <x v="0"/>
    <s v="1756002165"/>
    <s v="OLNEY ISD"/>
    <x v="15"/>
    <s v=" "/>
    <s v="0321CCMC03_F21"/>
    <s v="1"/>
    <s v=" "/>
    <s v="CERT"/>
    <n v="-40000"/>
    <d v="2022-02-22T00:00:00"/>
    <d v="2022-02-22T00:00:00"/>
    <d v="2022-02-28T00:00:00"/>
    <s v="PY"/>
  </r>
  <r>
    <x v="0"/>
    <s v="1756002311"/>
    <s v="RICHARDSON ISD"/>
    <x v="14"/>
    <s v=" "/>
    <s v="0621CCM06_F21"/>
    <s v="1"/>
    <s v=" "/>
    <s v="CERT"/>
    <n v="-250000"/>
    <d v="2021-04-02T00:00:00"/>
    <d v="2021-04-02T00:00:00"/>
    <d v="2021-04-12T00:00:00"/>
    <s v="PY"/>
  </r>
  <r>
    <x v="0"/>
    <s v="1756002311"/>
    <s v="RICHARDSON ISD"/>
    <x v="14"/>
    <s v=" "/>
    <s v="0621CCM06_F21"/>
    <s v="2"/>
    <s v=" "/>
    <s v="CERT"/>
    <n v="-52978.15"/>
    <d v="2021-04-02T00:00:00"/>
    <d v="2021-04-02T00:00:00"/>
    <d v="2021-04-12T00:00:00"/>
    <s v="PY"/>
  </r>
  <r>
    <x v="0"/>
    <s v="1756002311"/>
    <s v="RICHARDSON ISD"/>
    <x v="14"/>
    <s v=" "/>
    <s v="0621CCM06_F21"/>
    <s v="2"/>
    <s v=" "/>
    <s v="CERT"/>
    <n v="-197021.85"/>
    <d v="2021-04-30T00:00:00"/>
    <d v="2021-04-30T00:00:00"/>
    <d v="2021-04-30T00:00:00"/>
    <s v="PY"/>
  </r>
  <r>
    <x v="0"/>
    <s v="1756002311"/>
    <s v="RICHARDSON ISD"/>
    <x v="14"/>
    <s v=" "/>
    <s v="0621CCM06_F21"/>
    <s v="3"/>
    <s v=" "/>
    <s v="CERT"/>
    <n v="-20243.900000000001"/>
    <d v="2021-04-30T00:00:00"/>
    <d v="2021-04-30T00:00:00"/>
    <d v="2021-04-30T00:00:00"/>
    <s v="PY"/>
  </r>
  <r>
    <x v="0"/>
    <s v="1756002311"/>
    <s v="RICHARDSON ISD"/>
    <x v="14"/>
    <s v=" "/>
    <s v="0621CCM06_F21"/>
    <s v="3"/>
    <s v=" "/>
    <s v="CERT"/>
    <n v="-184216.53"/>
    <d v="2021-08-09T00:00:00"/>
    <d v="2021-08-09T00:00:00"/>
    <d v="2021-08-26T00:00:00"/>
    <s v="PY"/>
  </r>
  <r>
    <x v="0"/>
    <s v="1756002311"/>
    <s v="RICHARDSON ISD"/>
    <x v="14"/>
    <s v=" "/>
    <s v="0621CCM06_F21"/>
    <s v="3"/>
    <s v=" "/>
    <s v="CERT"/>
    <n v="-45539.57"/>
    <d v="2022-01-20T00:00:00"/>
    <d v="2022-01-20T00:00:00"/>
    <d v="2022-01-20T00:00:00"/>
    <s v="PY"/>
  </r>
  <r>
    <x v="0"/>
    <s v="1756002311"/>
    <s v="RICHARDSON ISD"/>
    <x v="14"/>
    <s v=" "/>
    <s v="0621CCM06_F21"/>
    <s v="4"/>
    <s v=" "/>
    <s v="CERT"/>
    <n v="-250000"/>
    <d v="2022-01-20T00:00:00"/>
    <d v="2022-01-20T00:00:00"/>
    <d v="2022-01-20T00:00:00"/>
    <s v="PY"/>
  </r>
  <r>
    <x v="0"/>
    <s v="1756002404"/>
    <s v="SAN ANGELO ISD"/>
    <x v="13"/>
    <s v=" "/>
    <s v="2112CCMC45_F21"/>
    <s v="1"/>
    <s v=" "/>
    <s v="CERT"/>
    <n v="-50000"/>
    <d v="2021-04-29T00:00:00"/>
    <d v="2021-04-29T00:00:00"/>
    <d v="2021-04-29T00:00:00"/>
    <s v="PY"/>
  </r>
  <r>
    <x v="0"/>
    <s v="1756002404"/>
    <s v="SAN ANGELO ISD"/>
    <x v="13"/>
    <s v=" "/>
    <s v="2112CCMC45_F21"/>
    <s v="2"/>
    <s v=" "/>
    <s v="CERT"/>
    <n v="-50000"/>
    <d v="2021-12-27T00:00:00"/>
    <d v="2021-12-27T00:00:00"/>
    <d v="2021-12-27T00:00:00"/>
    <s v="PY"/>
  </r>
  <r>
    <x v="0"/>
    <s v="1756002404"/>
    <s v="SAN ANGELO ISD"/>
    <x v="13"/>
    <s v=" "/>
    <s v="2112CCMC45_F21"/>
    <s v="3"/>
    <s v=" "/>
    <s v="CERT"/>
    <n v="-10000"/>
    <d v="2022-02-16T00:00:00"/>
    <d v="2022-02-16T00:00:00"/>
    <d v="2022-02-28T00:00:00"/>
    <s v="PY"/>
  </r>
  <r>
    <x v="0"/>
    <s v="1756002514"/>
    <s v="STEPHEN F AUSTIN UNIVERSITY"/>
    <x v="21"/>
    <s v=" "/>
    <s v="05240C31_F21"/>
    <s v="1"/>
    <s v=" "/>
    <s v="CERT"/>
    <n v="-445000"/>
    <d v="2022-02-11T00:00:00"/>
    <d v="2022-02-11T00:00:00"/>
    <d v="2022-02-28T00:00:00"/>
    <s v="PY"/>
  </r>
  <r>
    <x v="0"/>
    <s v="1756002579"/>
    <s v="TEXARKANA ISD"/>
    <x v="20"/>
    <s v=" "/>
    <s v="04170C05_F21"/>
    <s v="2"/>
    <s v=" "/>
    <s v="CERT"/>
    <n v="-90000"/>
    <d v="2022-02-22T00:00:00"/>
    <d v="2022-02-22T00:00:00"/>
    <d v="2022-02-28T00:00:00"/>
    <s v="PY"/>
  </r>
  <r>
    <x v="0"/>
    <s v="1756004667"/>
    <s v="SOUTH PLAINS COLLEGE"/>
    <x v="19"/>
    <s v=" "/>
    <s v="0221CCM02_F21"/>
    <s v="1"/>
    <s v=" "/>
    <s v="CERT"/>
    <n v="-19334"/>
    <d v="2021-02-10T00:00:00"/>
    <d v="2021-02-10T00:00:00"/>
    <d v="2021-02-26T00:00:00"/>
    <s v="PY"/>
  </r>
  <r>
    <x v="0"/>
    <s v="1756004667"/>
    <s v="SOUTH PLAINS COLLEGE"/>
    <x v="19"/>
    <s v=" "/>
    <s v="0221CCM02_F21"/>
    <s v="2"/>
    <s v=" "/>
    <s v="CERT"/>
    <n v="-1819.4"/>
    <d v="2021-02-10T00:00:00"/>
    <d v="2021-02-10T00:00:00"/>
    <d v="2021-02-26T00:00:00"/>
    <s v="PY"/>
  </r>
  <r>
    <x v="0"/>
    <s v="1756004667"/>
    <s v="SOUTH PLAINS COLLEGE"/>
    <x v="19"/>
    <s v=" "/>
    <s v="0221CCM02_F21"/>
    <s v="2"/>
    <s v=" "/>
    <s v="CERT"/>
    <n v="-17513.599999999999"/>
    <d v="2021-06-08T00:00:00"/>
    <d v="2021-06-08T00:00:00"/>
    <d v="2021-06-29T00:00:00"/>
    <s v="PY"/>
  </r>
  <r>
    <x v="0"/>
    <s v="1756004667"/>
    <s v="SOUTH PLAINS COLLEGE"/>
    <x v="19"/>
    <s v=" "/>
    <s v="0221CCM02_F21"/>
    <s v="3"/>
    <s v=" "/>
    <s v="CERT"/>
    <n v="-5836.17"/>
    <d v="2021-06-08T00:00:00"/>
    <d v="2021-06-08T00:00:00"/>
    <d v="2021-06-29T00:00:00"/>
    <s v="PY"/>
  </r>
  <r>
    <x v="0"/>
    <s v="1756004667"/>
    <s v="SOUTH PLAINS COLLEGE"/>
    <x v="19"/>
    <s v=" "/>
    <s v="0221CCM02_F21"/>
    <s v="3"/>
    <s v=" "/>
    <s v="CERT"/>
    <n v="-13496.83"/>
    <d v="2021-10-27T00:00:00"/>
    <d v="2021-10-27T00:00:00"/>
    <d v="2021-10-29T00:00:00"/>
    <s v="PY"/>
  </r>
  <r>
    <x v="0"/>
    <s v="1756031405"/>
    <s v="WEST TEXAS A&amp;M UNIVERSITY"/>
    <x v="22"/>
    <s v=" "/>
    <s v="01010C01_F21"/>
    <s v="1"/>
    <s v=" "/>
    <s v="CERT"/>
    <n v="-281319.90999999997"/>
    <d v="2021-12-20T00:00:00"/>
    <d v="2021-12-20T00:00:00"/>
    <d v="2021-12-27T00:00:00"/>
    <s v="PY"/>
  </r>
  <r>
    <x v="0"/>
    <s v="1766002907"/>
    <s v="ODESSA COLLEGE"/>
    <x v="16"/>
    <s v=" "/>
    <s v="1121CCM005_F21"/>
    <s v="1"/>
    <s v=" "/>
    <s v="CERT"/>
    <n v="-158000"/>
    <d v="2022-01-20T00:00:00"/>
    <d v="2022-01-20T00:00:00"/>
    <d v="2022-01-20T00:00:00"/>
    <s v="PY"/>
  </r>
  <r>
    <x v="0"/>
    <s v="3733733733"/>
    <s v="TEXAS TECH UNIVERSITY"/>
    <x v="22"/>
    <s v=" "/>
    <s v="01010C02_F21"/>
    <s v="1"/>
    <s v=" "/>
    <s v="CERT"/>
    <n v="-36000"/>
    <d v="2021-04-02T00:00:00"/>
    <d v="2021-04-02T00:00:00"/>
    <d v="2021-04-12T00:00:00"/>
    <s v="PY"/>
  </r>
  <r>
    <x v="0"/>
    <s v="3733733733"/>
    <s v="TEXAS TECH UNIVERSITY"/>
    <x v="22"/>
    <s v=" "/>
    <s v="01010C02_F21"/>
    <s v="2"/>
    <s v=" "/>
    <s v="CERT"/>
    <n v="-11220.22"/>
    <d v="2021-04-02T00:00:00"/>
    <d v="2021-04-02T00:00:00"/>
    <d v="2021-04-12T00:00:00"/>
    <s v="PY"/>
  </r>
  <r>
    <x v="0"/>
    <s v="3733733733"/>
    <s v="TEXAS TECH UNIVERSITY"/>
    <x v="22"/>
    <s v=" "/>
    <s v="01010C02_F21"/>
    <s v="2"/>
    <s v=" "/>
    <s v="CERT"/>
    <n v="-24779.78"/>
    <d v="2021-06-16T00:00:00"/>
    <d v="2021-06-16T00:00:00"/>
    <d v="2021-06-29T00:00:00"/>
    <s v="PY"/>
  </r>
  <r>
    <x v="0"/>
    <s v="3733733733"/>
    <s v="TEXAS TECH UNIVERSITY"/>
    <x v="22"/>
    <s v=" "/>
    <s v="01010C02_F21"/>
    <s v="3"/>
    <s v=" "/>
    <s v="CERT"/>
    <n v="-22158.84"/>
    <d v="2021-06-16T00:00:00"/>
    <d v="2021-06-16T00:00:00"/>
    <d v="2021-06-29T00:00:00"/>
    <s v="PY"/>
  </r>
  <r>
    <x v="0"/>
    <s v="3733733733"/>
    <s v="TEXAS TECH UNIVERSITY"/>
    <x v="22"/>
    <s v=" "/>
    <s v="01010C02_F21"/>
    <s v="3"/>
    <s v=" "/>
    <s v="CERT"/>
    <n v="-13841.16"/>
    <d v="2021-10-27T00:00:00"/>
    <d v="2021-10-27T00:00:00"/>
    <d v="2021-10-29T00:00:00"/>
    <s v="PY"/>
  </r>
  <r>
    <x v="0"/>
    <s v="3733733733"/>
    <s v="TEXAS TECH UNIVERSITY"/>
    <x v="19"/>
    <s v=" "/>
    <s v="0221CCM03_F21"/>
    <s v="1"/>
    <s v=" "/>
    <s v="CERT"/>
    <n v="-145382"/>
    <d v="2021-04-02T00:00:00"/>
    <d v="2021-04-02T00:00:00"/>
    <d v="2021-04-12T00:00:00"/>
    <s v="PY"/>
  </r>
  <r>
    <x v="0"/>
    <s v="3733733733"/>
    <s v="TEXAS TECH UNIVERSITY"/>
    <x v="19"/>
    <s v=" "/>
    <s v="0221CCM03_F21"/>
    <s v="2"/>
    <s v=" "/>
    <s v="CERT"/>
    <n v="-45342.5"/>
    <d v="2021-04-02T00:00:00"/>
    <d v="2021-04-02T00:00:00"/>
    <d v="2021-04-12T00:00:00"/>
    <s v="PY"/>
  </r>
  <r>
    <x v="0"/>
    <s v="3733733733"/>
    <s v="TEXAS TECH UNIVERSITY"/>
    <x v="19"/>
    <s v=" "/>
    <s v="0221CCM03_F21"/>
    <s v="2"/>
    <s v=" "/>
    <s v="CERT"/>
    <n v="-100039.5"/>
    <d v="2021-06-16T00:00:00"/>
    <d v="2021-06-16T00:00:00"/>
    <d v="2021-06-29T00:00:00"/>
    <s v="PY"/>
  </r>
  <r>
    <x v="0"/>
    <s v="3733733733"/>
    <s v="TEXAS TECH UNIVERSITY"/>
    <x v="19"/>
    <s v=" "/>
    <s v="0221CCM03_F21"/>
    <s v="3"/>
    <s v=" "/>
    <s v="CERT"/>
    <n v="-89547.6"/>
    <d v="2021-06-16T00:00:00"/>
    <d v="2021-06-16T00:00:00"/>
    <d v="2021-06-29T00:00:00"/>
    <s v="PY"/>
  </r>
  <r>
    <x v="0"/>
    <s v="3733733733"/>
    <s v="TEXAS TECH UNIVERSITY"/>
    <x v="19"/>
    <s v=" "/>
    <s v="0221CCM03_F21"/>
    <s v="3"/>
    <s v=" "/>
    <s v="CERT"/>
    <n v="-55834.400000000001"/>
    <d v="2021-10-27T00:00:00"/>
    <d v="2021-10-27T00:00:00"/>
    <d v="2021-10-29T00:00:00"/>
    <s v="PY"/>
  </r>
  <r>
    <x v="0"/>
    <s v="3733733733"/>
    <s v="TEXAS TECH UNIVERSITY"/>
    <x v="23"/>
    <s v=" "/>
    <s v="0921CCMC78_F21"/>
    <s v="1"/>
    <s v=" "/>
    <s v="CERT"/>
    <n v="-45285"/>
    <d v="2021-04-02T00:00:00"/>
    <d v="2021-04-02T00:00:00"/>
    <d v="2021-04-12T00:00:00"/>
    <s v="PY"/>
  </r>
  <r>
    <x v="0"/>
    <s v="3733733733"/>
    <s v="TEXAS TECH UNIVERSITY"/>
    <x v="23"/>
    <s v=" "/>
    <s v="0921CCMC78_F21"/>
    <s v="2"/>
    <s v=" "/>
    <s v="CERT"/>
    <n v="-14126.84"/>
    <d v="2021-04-02T00:00:00"/>
    <d v="2021-04-02T00:00:00"/>
    <d v="2021-04-12T00:00:00"/>
    <s v="PY"/>
  </r>
  <r>
    <x v="0"/>
    <s v="3733733733"/>
    <s v="TEXAS TECH UNIVERSITY"/>
    <x v="23"/>
    <s v=" "/>
    <s v="0921CCMC78_F21"/>
    <s v="2"/>
    <s v=" "/>
    <s v="CERT"/>
    <n v="-31158.16"/>
    <d v="2021-06-16T00:00:00"/>
    <d v="2021-06-16T00:00:00"/>
    <d v="2021-06-29T00:00:00"/>
    <s v="PY"/>
  </r>
  <r>
    <x v="0"/>
    <s v="3733733733"/>
    <s v="TEXAS TECH UNIVERSITY"/>
    <x v="23"/>
    <s v=" "/>
    <s v="0921CCMC78_F21"/>
    <s v="3"/>
    <s v=" "/>
    <s v="CERT"/>
    <n v="-27899.38"/>
    <d v="2021-06-16T00:00:00"/>
    <d v="2021-06-16T00:00:00"/>
    <d v="2021-06-29T00:00:00"/>
    <s v="PY"/>
  </r>
  <r>
    <x v="0"/>
    <s v="3733733733"/>
    <s v="TEXAS TECH UNIVERSITY"/>
    <x v="23"/>
    <s v=" "/>
    <s v="0921CCMC78_F21"/>
    <s v="3"/>
    <s v=" "/>
    <s v="CERT"/>
    <n v="-17384.62"/>
    <d v="2021-10-27T00:00:00"/>
    <d v="2021-10-27T00:00:00"/>
    <d v="2021-10-29T00:00:00"/>
    <s v="PY"/>
  </r>
  <r>
    <x v="0"/>
    <s v="3742742742"/>
    <s v="UNIVERSITY OF TEXAS OF THE PERMIAN BASIN"/>
    <x v="16"/>
    <s v=" "/>
    <s v="1121CCM003_F21"/>
    <s v="1"/>
    <s v=" "/>
    <s v="CERT"/>
    <n v="-165000"/>
    <d v="2022-01-20T00:00:00"/>
    <d v="2022-01-20T00:00:00"/>
    <d v="2022-01-20T00:00:00"/>
    <s v="PY"/>
  </r>
  <r>
    <x v="0"/>
    <s v="3960960960"/>
    <s v="DEL MAR COLLEGE"/>
    <x v="4"/>
    <s v=" "/>
    <s v="11192C06_F21"/>
    <s v="1"/>
    <s v=" "/>
    <s v="CERT"/>
    <n v="-92500"/>
    <d v="2021-04-30T00:00:00"/>
    <d v="2021-04-30T00:00:00"/>
    <d v="2021-04-30T00:00:00"/>
    <s v="PY"/>
  </r>
  <r>
    <x v="0"/>
    <s v="3960960960"/>
    <s v="DEL MAR COLLEGE"/>
    <x v="4"/>
    <s v=" "/>
    <s v="11192C06_F21"/>
    <s v="2"/>
    <s v=" "/>
    <s v="CERT"/>
    <n v="-92500"/>
    <d v="2022-02-16T00:00:00"/>
    <d v="2022-02-16T00:00:00"/>
    <d v="2022-02-28T00:00:00"/>
    <s v="PY"/>
  </r>
  <r>
    <x v="0"/>
    <s v="17560001152"/>
    <s v="Archer City ISD"/>
    <x v="15"/>
    <s v=" "/>
    <s v="0321CCMC02_F21"/>
    <s v="1"/>
    <s v=" "/>
    <s v="CERT"/>
    <n v="-66527"/>
    <d v="2021-10-15T00:00:00"/>
    <d v="2021-10-15T00:00:00"/>
    <d v="2021-10-25T00:00:00"/>
    <s v="PY"/>
  </r>
  <r>
    <x v="1"/>
    <s v="1741539003"/>
    <s v="CENTRAL TEXAS COLLEGE DISTRICT"/>
    <x v="24"/>
    <s v=" "/>
    <s v="07130C02_F21"/>
    <s v="1"/>
    <s v=" "/>
    <s v="CERT"/>
    <n v="-100000"/>
    <d v="2021-07-14T00:00:00"/>
    <d v="2021-07-14T00:00:00"/>
    <d v="2021-07-30T00:00:00"/>
    <s v="PY"/>
  </r>
  <r>
    <x v="1"/>
    <s v="1741541260"/>
    <s v="MCLENNAN COMMUNITY COLLEGE"/>
    <x v="3"/>
    <s v=" "/>
    <s v="1321CCMC14_F21"/>
    <s v="0"/>
    <s v=" "/>
    <s v="CERT"/>
    <n v="-60000"/>
    <d v="2022-01-20T00:00:00"/>
    <d v="2022-01-20T00:00:00"/>
    <d v="2022-01-20T00:00:00"/>
    <s v="PY"/>
  </r>
  <r>
    <x v="1"/>
    <s v="1741587881"/>
    <s v="BRAZOSPORT COLLEGE"/>
    <x v="2"/>
    <s v=" "/>
    <s v="2821CCMC33_F21"/>
    <s v="1"/>
    <s v=" "/>
    <s v="CERT"/>
    <n v="-195000"/>
    <d v="2021-02-05T00:00:00"/>
    <d v="2021-02-05T00:00:00"/>
    <d v="2021-02-26T00:00:00"/>
    <s v="PY"/>
  </r>
  <r>
    <x v="1"/>
    <s v="1741587881"/>
    <s v="BRAZOSPORT COLLEGE"/>
    <x v="2"/>
    <s v=" "/>
    <s v="2821CCMC33_F21"/>
    <s v="2"/>
    <s v=" "/>
    <s v="CERT"/>
    <n v="-1010.63"/>
    <d v="2021-02-05T00:00:00"/>
    <d v="2021-02-05T00:00:00"/>
    <d v="2021-02-26T00:00:00"/>
    <s v="PY"/>
  </r>
  <r>
    <x v="1"/>
    <s v="1741587881"/>
    <s v="BRAZOSPORT COLLEGE"/>
    <x v="2"/>
    <s v=" "/>
    <s v="2821CCMC33_F21"/>
    <s v="2"/>
    <s v=" "/>
    <s v="CERT"/>
    <n v="-193989.37"/>
    <d v="2021-07-01T00:00:00"/>
    <d v="2021-07-01T00:00:00"/>
    <d v="2021-07-30T00:00:00"/>
    <s v="PY"/>
  </r>
  <r>
    <x v="1"/>
    <s v="1741587881"/>
    <s v="BRAZOSPORT COLLEGE"/>
    <x v="2"/>
    <s v=" "/>
    <s v="2821CCMC33_F21"/>
    <s v="3"/>
    <s v=" "/>
    <s v="CERT"/>
    <n v="-2096.62"/>
    <d v="2021-07-01T00:00:00"/>
    <d v="2021-07-01T00:00:00"/>
    <d v="2021-07-30T00:00:00"/>
    <s v="PY"/>
  </r>
  <r>
    <x v="1"/>
    <s v="1741587881"/>
    <s v="BRAZOSPORT COLLEGE"/>
    <x v="2"/>
    <s v=" "/>
    <s v="2821CCMC33_F21"/>
    <s v="3"/>
    <s v=" "/>
    <s v="CERT"/>
    <n v="-192903.38"/>
    <d v="2021-10-15T00:00:00"/>
    <d v="2021-10-15T00:00:00"/>
    <d v="2021-10-25T00:00:00"/>
    <s v="PY"/>
  </r>
  <r>
    <x v="1"/>
    <s v="1741587881"/>
    <s v="BRAZOSPORT COLLEGE"/>
    <x v="2"/>
    <s v=" "/>
    <s v="2821CCMC33_F21"/>
    <s v="4"/>
    <s v=" "/>
    <s v="CERT"/>
    <n v="-3952.46"/>
    <d v="2021-10-15T00:00:00"/>
    <d v="2021-10-15T00:00:00"/>
    <d v="2021-10-25T00:00:00"/>
    <s v="PY"/>
  </r>
  <r>
    <x v="1"/>
    <s v="1741587881"/>
    <s v="BRAZOSPORT COLLEGE"/>
    <x v="2"/>
    <s v=" "/>
    <s v="2821CCMC33_F21"/>
    <s v="4"/>
    <s v=" "/>
    <s v="CERT"/>
    <n v="-111047.54"/>
    <d v="2022-03-02T00:00:00"/>
    <d v="2022-03-02T00:00:00"/>
    <d v="2022-03-18T00:00:00"/>
    <s v="PY"/>
  </r>
  <r>
    <x v="1"/>
    <s v="1741588568"/>
    <s v="REGION 19 EDUCATION SERVICE CENTER"/>
    <x v="1"/>
    <s v=" "/>
    <s v="1021CCMC04_F21"/>
    <s v="1"/>
    <s v=" "/>
    <s v="CERT"/>
    <n v="-113750"/>
    <d v="2021-04-02T00:00:00"/>
    <d v="2021-04-02T00:00:00"/>
    <d v="2021-04-12T00:00:00"/>
    <s v="PY"/>
  </r>
  <r>
    <x v="1"/>
    <s v="1741588568"/>
    <s v="REGION 19 EDUCATION SERVICE CENTER"/>
    <x v="1"/>
    <s v=" "/>
    <s v="1021CCMC04_F21"/>
    <s v="2"/>
    <s v=" "/>
    <s v="CERT"/>
    <n v="-93792.38"/>
    <d v="2021-04-02T00:00:00"/>
    <d v="2021-04-02T00:00:00"/>
    <d v="2021-04-12T00:00:00"/>
    <s v="PY"/>
  </r>
  <r>
    <x v="1"/>
    <s v="1741588568"/>
    <s v="REGION 19 EDUCATION SERVICE CENTER"/>
    <x v="1"/>
    <s v=" "/>
    <s v="1021CCMC04_F21"/>
    <s v="2"/>
    <s v=" "/>
    <s v="CERT"/>
    <n v="-19957.62"/>
    <d v="2021-04-12T00:00:00"/>
    <d v="2021-04-12T00:00:00"/>
    <d v="2021-04-12T00:00:00"/>
    <s v="PY"/>
  </r>
  <r>
    <x v="1"/>
    <s v="1741588568"/>
    <s v="REGION 19 EDUCATION SERVICE CENTER"/>
    <x v="1"/>
    <s v=" "/>
    <s v="1021CCMC04_F21"/>
    <s v="3"/>
    <s v=" "/>
    <s v="CERT"/>
    <n v="-113750"/>
    <d v="2021-04-12T00:00:00"/>
    <d v="2021-04-12T00:00:00"/>
    <d v="2021-04-12T00:00:00"/>
    <s v="PY"/>
  </r>
  <r>
    <x v="1"/>
    <s v="1741588568"/>
    <s v="REGION 19 EDUCATION SERVICE CENTER"/>
    <x v="1"/>
    <s v=" "/>
    <s v="1021CCMC04_F21"/>
    <s v="4"/>
    <s v=" "/>
    <s v="CERT"/>
    <n v="-64261.67"/>
    <d v="2021-04-12T00:00:00"/>
    <d v="2021-04-12T00:00:00"/>
    <d v="2021-04-12T00:00:00"/>
    <s v="PY"/>
  </r>
  <r>
    <x v="1"/>
    <s v="1741588568"/>
    <s v="REGION 19 EDUCATION SERVICE CENTER"/>
    <x v="1"/>
    <s v=" "/>
    <s v="1021CCMC04_F21"/>
    <s v="4"/>
    <s v=" "/>
    <s v="CERT"/>
    <n v="-49488.33"/>
    <d v="2021-07-14T00:00:00"/>
    <d v="2021-07-14T00:00:00"/>
    <d v="2021-07-30T00:00:00"/>
    <s v="PY"/>
  </r>
  <r>
    <x v="1"/>
    <s v="1741588568"/>
    <s v="REGION 19 EDUCATION SERVICE CENTER"/>
    <x v="1"/>
    <s v=" "/>
    <s v="1021CCMC04_F21"/>
    <s v="5"/>
    <s v=" "/>
    <s v="CERT"/>
    <n v="-298349.51"/>
    <d v="2022-02-16T00:00:00"/>
    <d v="2022-02-16T00:00:00"/>
    <d v="2022-02-28T00:00:00"/>
    <s v="PY"/>
  </r>
  <r>
    <x v="1"/>
    <s v="1741690850"/>
    <s v="EL PASO COMM COLLEGE"/>
    <x v="1"/>
    <s v=" "/>
    <s v="1021CCMC05_F21"/>
    <s v="1"/>
    <s v=" "/>
    <s v="CERT"/>
    <n v="-100000"/>
    <d v="2021-06-30T00:00:00"/>
    <d v="2021-06-30T00:00:00"/>
    <d v="2021-06-30T00:00:00"/>
    <s v="PY"/>
  </r>
  <r>
    <x v="1"/>
    <s v="1741690850"/>
    <s v="EL PASO COMM COLLEGE"/>
    <x v="1"/>
    <s v=" "/>
    <s v="1021CCMC05_F21"/>
    <s v="2"/>
    <s v=" "/>
    <s v="CERT"/>
    <n v="-39752.080000000002"/>
    <d v="2021-06-30T00:00:00"/>
    <d v="2021-06-30T00:00:00"/>
    <d v="2021-06-30T00:00:00"/>
    <s v="PY"/>
  </r>
  <r>
    <x v="1"/>
    <s v="1741690850"/>
    <s v="EL PASO COMM COLLEGE"/>
    <x v="1"/>
    <s v=" "/>
    <s v="1021CCMC05_F21"/>
    <s v="2"/>
    <s v=" "/>
    <s v="CERT"/>
    <n v="-60247.92"/>
    <d v="2021-07-01T00:00:00"/>
    <d v="2021-07-01T00:00:00"/>
    <d v="2021-07-01T00:00:00"/>
    <s v="PY"/>
  </r>
  <r>
    <x v="1"/>
    <s v="1741690850"/>
    <s v="EL PASO COMM COLLEGE"/>
    <x v="1"/>
    <s v=" "/>
    <s v="1021CCMC05_F21"/>
    <s v="3"/>
    <s v=" "/>
    <s v="CERT"/>
    <n v="-54182.05"/>
    <d v="2021-07-01T00:00:00"/>
    <d v="2021-07-01T00:00:00"/>
    <d v="2021-07-01T00:00:00"/>
    <s v="PY"/>
  </r>
  <r>
    <x v="1"/>
    <s v="1741690850"/>
    <s v="EL PASO COMM COLLEGE"/>
    <x v="1"/>
    <s v=" "/>
    <s v="1021CCMC05_F21"/>
    <s v="3"/>
    <s v=" "/>
    <s v="CERT"/>
    <n v="-45817.95"/>
    <d v="2021-07-09T00:00:00"/>
    <d v="2021-07-09T00:00:00"/>
    <d v="2021-07-30T00:00:00"/>
    <s v="PY"/>
  </r>
  <r>
    <x v="1"/>
    <s v="1741690850"/>
    <s v="EL PASO COMM COLLEGE"/>
    <x v="1"/>
    <s v=" "/>
    <s v="1021CCMC05_F21"/>
    <s v="4"/>
    <s v=" "/>
    <s v="CERT"/>
    <n v="-57192.58"/>
    <d v="2021-07-09T00:00:00"/>
    <d v="2021-07-09T00:00:00"/>
    <d v="2021-07-30T00:00:00"/>
    <s v="PY"/>
  </r>
  <r>
    <x v="1"/>
    <s v="1741690850"/>
    <s v="EL PASO COMM COLLEGE"/>
    <x v="1"/>
    <s v=" "/>
    <s v="1021CCMC05_F21"/>
    <s v="4"/>
    <s v=" "/>
    <s v="CERT"/>
    <n v="-42807.42"/>
    <d v="2021-12-27T00:00:00"/>
    <d v="2021-12-27T00:00:00"/>
    <d v="2021-12-27T00:00:00"/>
    <s v="PY"/>
  </r>
  <r>
    <x v="1"/>
    <s v="1741690850"/>
    <s v="EL PASO COMM COLLEGE"/>
    <x v="1"/>
    <s v=" "/>
    <s v="1021CCMC05_F21"/>
    <s v="5"/>
    <s v=" "/>
    <s v="CERT"/>
    <n v="-19804.79"/>
    <d v="2022-02-16T00:00:00"/>
    <d v="2022-02-16T00:00:00"/>
    <d v="2022-02-28T00:00:00"/>
    <s v="PY"/>
  </r>
  <r>
    <x v="1"/>
    <s v="1741709152"/>
    <s v="HOUSTON COMM COLLEGE SYSTEM"/>
    <x v="2"/>
    <s v=" "/>
    <s v="2821CCMC27_F21"/>
    <s v="1"/>
    <s v=" "/>
    <s v="CERT"/>
    <n v="-75000"/>
    <d v="2021-07-01T00:00:00"/>
    <d v="2021-07-01T00:00:00"/>
    <d v="2021-07-30T00:00:00"/>
    <s v="PY"/>
  </r>
  <r>
    <x v="1"/>
    <s v="1741709152"/>
    <s v="HOUSTON COMM COLLEGE SYSTEM"/>
    <x v="2"/>
    <s v=" "/>
    <s v="2821CCMC27_F21"/>
    <s v="2"/>
    <s v=" "/>
    <s v="CERT"/>
    <n v="-23080.83"/>
    <d v="2021-07-01T00:00:00"/>
    <d v="2021-07-01T00:00:00"/>
    <d v="2021-07-30T00:00:00"/>
    <s v="PY"/>
  </r>
  <r>
    <x v="1"/>
    <s v="1741709152"/>
    <s v="HOUSTON COMM COLLEGE SYSTEM"/>
    <x v="2"/>
    <s v=" "/>
    <s v="2821CCMC27_F21"/>
    <s v="2"/>
    <s v=" "/>
    <s v="CERT"/>
    <n v="-51919.17"/>
    <d v="2021-07-14T00:00:00"/>
    <d v="2021-07-14T00:00:00"/>
    <d v="2021-07-30T00:00:00"/>
    <s v="PY"/>
  </r>
  <r>
    <x v="1"/>
    <s v="1741709152"/>
    <s v="HOUSTON COMM COLLEGE SYSTEM"/>
    <x v="2"/>
    <s v=" "/>
    <s v="2821CCMC27_F21"/>
    <s v="3"/>
    <s v=" "/>
    <s v="CERT"/>
    <n v="-52157.33"/>
    <d v="2021-07-14T00:00:00"/>
    <d v="2021-07-14T00:00:00"/>
    <d v="2021-07-30T00:00:00"/>
    <s v="PY"/>
  </r>
  <r>
    <x v="1"/>
    <s v="1741709152"/>
    <s v="HOUSTON COMM COLLEGE SYSTEM"/>
    <x v="2"/>
    <s v=" "/>
    <s v="2821CCMC27_F21"/>
    <s v="3"/>
    <s v=" "/>
    <s v="CERT"/>
    <n v="-22842.67"/>
    <d v="2021-10-11T00:00:00"/>
    <d v="2021-10-11T00:00:00"/>
    <d v="2021-10-25T00:00:00"/>
    <s v="PY"/>
  </r>
  <r>
    <x v="1"/>
    <s v="1741709152"/>
    <s v="HOUSTON COMM COLLEGE SYSTEM"/>
    <x v="2"/>
    <s v=" "/>
    <s v="2821CCMC27_F21"/>
    <s v="4"/>
    <s v=" "/>
    <s v="CERT"/>
    <n v="-57934.93"/>
    <d v="2021-10-11T00:00:00"/>
    <d v="2021-10-11T00:00:00"/>
    <d v="2021-10-25T00:00:00"/>
    <s v="PY"/>
  </r>
  <r>
    <x v="1"/>
    <s v="1741709152"/>
    <s v="HOUSTON COMM COLLEGE SYSTEM"/>
    <x v="2"/>
    <s v=" "/>
    <s v="2821CCMC27_F21"/>
    <s v="4"/>
    <s v=" "/>
    <s v="CERT"/>
    <n v="-17065.07"/>
    <d v="2022-03-03T00:00:00"/>
    <d v="2022-03-03T00:00:00"/>
    <d v="2022-03-18T00:00:00"/>
    <s v="PY"/>
  </r>
  <r>
    <x v="1"/>
    <s v="1741742036"/>
    <s v="AUSTIN COMMUNITY COLLEGE"/>
    <x v="25"/>
    <s v=" "/>
    <s v="1419CCMC04_F21"/>
    <s v="1"/>
    <s v=" "/>
    <s v="CERT"/>
    <n v="-100040.75"/>
    <d v="2021-08-03T00:00:00"/>
    <d v="2021-08-03T00:00:00"/>
    <d v="2021-08-26T00:00:00"/>
    <s v="PY"/>
  </r>
  <r>
    <x v="1"/>
    <s v="1741742036"/>
    <s v="AUSTIN COMMUNITY COLLEGE"/>
    <x v="25"/>
    <s v=" "/>
    <s v="1419CCMC04_F21"/>
    <s v="2"/>
    <s v=" "/>
    <s v="CERT"/>
    <n v="-100040.75"/>
    <d v="2021-08-18T00:00:00"/>
    <d v="2021-08-18T00:00:00"/>
    <d v="2021-08-26T00:00:00"/>
    <s v="PY"/>
  </r>
  <r>
    <x v="1"/>
    <s v="1741742036"/>
    <s v="AUSTIN COMMUNITY COLLEGE"/>
    <x v="25"/>
    <s v=" "/>
    <s v="1419CCMC04_F21"/>
    <s v="3"/>
    <s v=" "/>
    <s v="CERT"/>
    <n v="-100040.75"/>
    <d v="2021-08-18T00:00:00"/>
    <d v="2021-08-18T00:00:00"/>
    <d v="2021-08-26T00:00:00"/>
    <s v="PY"/>
  </r>
  <r>
    <x v="1"/>
    <s v="1741742036"/>
    <s v="AUSTIN COMMUNITY COLLEGE"/>
    <x v="25"/>
    <s v=" "/>
    <s v="1419CCMC04_F21"/>
    <s v="4"/>
    <s v=" "/>
    <s v="CERT"/>
    <n v="-100040.75"/>
    <d v="2022-01-20T00:00:00"/>
    <d v="2022-01-20T00:00:00"/>
    <d v="2022-01-20T00:00:00"/>
    <s v="PY"/>
  </r>
  <r>
    <x v="1"/>
    <s v="1742841106"/>
    <s v="US DEPT OF ARMY -- CYSS"/>
    <x v="24"/>
    <s v=" "/>
    <s v="07130C86_F21"/>
    <s v="1"/>
    <s v=" "/>
    <s v="CERT"/>
    <n v="-500000"/>
    <d v="2021-08-12T00:00:00"/>
    <d v="2021-08-12T00:00:00"/>
    <d v="2021-08-26T00:00:00"/>
    <s v="PY"/>
  </r>
  <r>
    <x v="1"/>
    <s v="1746000019"/>
    <s v="ALIEF ISD"/>
    <x v="2"/>
    <s v=" "/>
    <s v="2821CCMC22_F21"/>
    <s v="1"/>
    <s v=" "/>
    <s v="CERT"/>
    <n v="-33000"/>
    <d v="2021-02-05T00:00:00"/>
    <d v="2021-02-05T00:00:00"/>
    <d v="2021-02-26T00:00:00"/>
    <s v="PY"/>
  </r>
  <r>
    <x v="1"/>
    <s v="1746000019"/>
    <s v="ALIEF ISD"/>
    <x v="2"/>
    <s v=" "/>
    <s v="2821CCMC22_F21"/>
    <s v="2"/>
    <s v=" "/>
    <s v="CERT"/>
    <n v="-3623.28"/>
    <d v="2021-02-05T00:00:00"/>
    <d v="2021-02-05T00:00:00"/>
    <d v="2021-02-26T00:00:00"/>
    <s v="PY"/>
  </r>
  <r>
    <x v="1"/>
    <s v="1746000019"/>
    <s v="ALIEF ISD"/>
    <x v="2"/>
    <s v=" "/>
    <s v="2821CCMC22_F21"/>
    <s v="2"/>
    <s v=" "/>
    <s v="CERT"/>
    <n v="-23293.8"/>
    <d v="2021-07-01T00:00:00"/>
    <d v="2021-07-01T00:00:00"/>
    <d v="2021-07-30T00:00:00"/>
    <s v="PY"/>
  </r>
  <r>
    <x v="1"/>
    <s v="1746000019"/>
    <s v="ALIEF ISD"/>
    <x v="2"/>
    <s v=" "/>
    <s v="2821CCMC22_F21"/>
    <s v="2"/>
    <s v=" "/>
    <s v="CERT"/>
    <n v="-6082.92"/>
    <d v="2022-03-02T00:00:00"/>
    <d v="2022-03-02T00:00:00"/>
    <d v="2022-03-03T00:00:00"/>
    <s v="PY"/>
  </r>
  <r>
    <x v="1"/>
    <s v="1746000019"/>
    <s v="ALIEF ISD"/>
    <x v="2"/>
    <s v=" "/>
    <s v="2821CCMC22_F21"/>
    <s v="3"/>
    <s v=" "/>
    <s v="CERT"/>
    <n v="-13935.35"/>
    <d v="2022-03-02T00:00:00"/>
    <d v="2022-03-02T00:00:00"/>
    <d v="2022-03-03T00:00:00"/>
    <s v="PY"/>
  </r>
  <r>
    <x v="1"/>
    <s v="1746000019"/>
    <s v="ALIEF ISD"/>
    <x v="2"/>
    <s v=" "/>
    <s v="2821CCMC22_F21"/>
    <s v="3"/>
    <s v=" "/>
    <s v="CERT"/>
    <n v="-13064.65"/>
    <d v="2022-03-03T00:00:00"/>
    <d v="2022-03-03T00:00:00"/>
    <d v="2022-03-18T00:00:00"/>
    <s v="PY"/>
  </r>
  <r>
    <x v="1"/>
    <s v="1746000027"/>
    <s v="SUL ROSS STATE UNIVERSITY"/>
    <x v="1"/>
    <s v=" "/>
    <s v="1021CCMC03_F21"/>
    <s v="1"/>
    <s v=" "/>
    <s v="CERT"/>
    <n v="-22500"/>
    <d v="2021-07-06T00:00:00"/>
    <d v="2021-07-06T00:00:00"/>
    <d v="2021-07-09T00:00:00"/>
    <s v="PY"/>
  </r>
  <r>
    <x v="1"/>
    <s v="1746000027"/>
    <s v="SUL ROSS STATE UNIVERSITY"/>
    <x v="1"/>
    <s v=" "/>
    <s v="1021CCMC03_F21"/>
    <s v="2"/>
    <s v=" "/>
    <s v="CERT"/>
    <n v="-22500"/>
    <d v="2021-07-06T00:00:00"/>
    <d v="2021-07-06T00:00:00"/>
    <d v="2021-07-09T00:00:00"/>
    <s v="PY"/>
  </r>
  <r>
    <x v="1"/>
    <s v="1746000027"/>
    <s v="SUL ROSS STATE UNIVERSITY"/>
    <x v="1"/>
    <s v=" "/>
    <s v="1021CCMC03_F21"/>
    <s v="3"/>
    <s v=" "/>
    <s v="CERT"/>
    <n v="-8146.18"/>
    <d v="2021-07-06T00:00:00"/>
    <d v="2021-07-06T00:00:00"/>
    <d v="2021-07-09T00:00:00"/>
    <s v="PY"/>
  </r>
  <r>
    <x v="1"/>
    <s v="1746000027"/>
    <s v="SUL ROSS STATE UNIVERSITY"/>
    <x v="1"/>
    <s v=" "/>
    <s v="1021CCMC03_F21"/>
    <s v="3"/>
    <s v=" "/>
    <s v="CERT"/>
    <n v="-6310.77"/>
    <d v="2021-07-09T00:00:00"/>
    <d v="2021-07-09T00:00:00"/>
    <d v="2021-07-30T00:00:00"/>
    <s v="PY"/>
  </r>
  <r>
    <x v="1"/>
    <s v="1746000027"/>
    <s v="SUL ROSS STATE UNIVERSITY"/>
    <x v="1"/>
    <s v=" "/>
    <s v="1021CCMC03_F21"/>
    <s v="4"/>
    <s v=" "/>
    <s v="CERT"/>
    <n v="-22500"/>
    <d v="2021-07-09T00:00:00"/>
    <d v="2021-07-09T00:00:00"/>
    <d v="2021-07-30T00:00:00"/>
    <s v="PY"/>
  </r>
  <r>
    <x v="1"/>
    <s v="1746000064"/>
    <s v="AUSTIN ISD"/>
    <x v="25"/>
    <s v=" "/>
    <s v="1419CCMC01_F21"/>
    <s v="1"/>
    <s v=" "/>
    <s v="CERT"/>
    <n v="-132337"/>
    <d v="2021-10-27T00:00:00"/>
    <d v="2021-10-27T00:00:00"/>
    <d v="2021-10-29T00:00:00"/>
    <s v="PY"/>
  </r>
  <r>
    <x v="1"/>
    <s v="1746000064"/>
    <s v="AUSTIN ISD"/>
    <x v="25"/>
    <s v=" "/>
    <s v="1419CCMC01_F21"/>
    <s v="2"/>
    <s v=" "/>
    <s v="CERT"/>
    <n v="-132337"/>
    <d v="2021-10-27T00:00:00"/>
    <d v="2021-10-27T00:00:00"/>
    <d v="2021-10-29T00:00:00"/>
    <s v="PY"/>
  </r>
  <r>
    <x v="1"/>
    <s v="1746000085"/>
    <s v="CITY OF AUSTIN FINANCIL SVCS"/>
    <x v="25"/>
    <s v=" "/>
    <s v="1420CCMC05_F21"/>
    <s v="1"/>
    <s v=" "/>
    <s v="CERT"/>
    <n v="-361811.85"/>
    <d v="2021-07-02T00:00:00"/>
    <d v="2021-07-02T00:00:00"/>
    <d v="2021-07-02T00:00:00"/>
    <s v="PY"/>
  </r>
  <r>
    <x v="1"/>
    <s v="1746000085"/>
    <s v="CITY OF AUSTIN FINANCIL SVCS"/>
    <x v="25"/>
    <s v=" "/>
    <s v="1420CCMC05_F21"/>
    <s v="1"/>
    <s v=" "/>
    <s v="CERT"/>
    <n v="-3763.15"/>
    <d v="2021-07-02T00:00:00"/>
    <d v="2021-07-02T00:00:00"/>
    <d v="2021-07-28T00:00:00"/>
    <s v="PY"/>
  </r>
  <r>
    <x v="1"/>
    <s v="1746000085"/>
    <s v="CITY OF AUSTIN FINANCIL SVCS"/>
    <x v="25"/>
    <s v=" "/>
    <s v="1420CCMC05_F21"/>
    <s v="2"/>
    <s v=" "/>
    <s v="CERT"/>
    <n v="-183708.35"/>
    <d v="2021-07-02T00:00:00"/>
    <d v="2021-07-02T00:00:00"/>
    <d v="2021-07-28T00:00:00"/>
    <s v="PY"/>
  </r>
  <r>
    <x v="1"/>
    <s v="1746000085"/>
    <s v="CITY OF AUSTIN FINANCIL SVCS"/>
    <x v="25"/>
    <s v=" "/>
    <s v="1420CCMC05_F21"/>
    <s v="2"/>
    <s v=" "/>
    <s v="CERT"/>
    <n v="-181866.65"/>
    <d v="2021-07-28T00:00:00"/>
    <d v="2021-07-28T00:00:00"/>
    <d v="2021-07-30T00:00:00"/>
    <s v="PY"/>
  </r>
  <r>
    <x v="1"/>
    <s v="1746000085"/>
    <s v="CITY OF AUSTIN FINANCIL SVCS"/>
    <x v="25"/>
    <s v=" "/>
    <s v="1420CCMC05_F21"/>
    <s v="3"/>
    <s v=" "/>
    <s v="CERT"/>
    <n v="-265195.84000000003"/>
    <d v="2021-07-28T00:00:00"/>
    <d v="2021-07-28T00:00:00"/>
    <d v="2021-07-30T00:00:00"/>
    <s v="PY"/>
  </r>
  <r>
    <x v="1"/>
    <s v="1746000085"/>
    <s v="CITY OF AUSTIN FINANCIL SVCS"/>
    <x v="25"/>
    <s v=" "/>
    <s v="1420CCMC05_F21"/>
    <s v="3"/>
    <s v=" "/>
    <s v="CERT"/>
    <n v="-100379.16"/>
    <d v="2022-01-20T00:00:00"/>
    <d v="2022-01-20T00:00:00"/>
    <d v="2022-01-20T00:00:00"/>
    <s v="PY"/>
  </r>
  <r>
    <x v="1"/>
    <s v="1746000085"/>
    <s v="CITY OF AUSTIN FINANCIL SVCS"/>
    <x v="25"/>
    <s v=" "/>
    <s v="1420CCMC05_F21"/>
    <s v="4"/>
    <s v=" "/>
    <s v="CERT"/>
    <n v="-248419.71"/>
    <d v="2022-01-20T00:00:00"/>
    <d v="2022-01-20T00:00:00"/>
    <d v="2022-01-20T00:00:00"/>
    <s v="PY"/>
  </r>
  <r>
    <x v="1"/>
    <s v="1746000192"/>
    <s v="TRAVIS COUNTY"/>
    <x v="25"/>
    <s v=" "/>
    <s v="1419CCM03_F21"/>
    <s v="1"/>
    <s v=" "/>
    <s v="CERT"/>
    <n v="-122500"/>
    <d v="2021-10-27T00:00:00"/>
    <d v="2021-10-27T00:00:00"/>
    <d v="2021-10-29T00:00:00"/>
    <s v="PY"/>
  </r>
  <r>
    <x v="1"/>
    <s v="1746000192"/>
    <s v="TRAVIS COUNTY"/>
    <x v="25"/>
    <s v=" "/>
    <s v="1419CCM03_F21"/>
    <s v="2"/>
    <s v=" "/>
    <s v="CERT"/>
    <n v="-122500"/>
    <d v="2021-10-27T00:00:00"/>
    <d v="2021-10-27T00:00:00"/>
    <d v="2021-10-29T00:00:00"/>
    <s v="PY"/>
  </r>
  <r>
    <x v="1"/>
    <s v="1746000251"/>
    <s v="GOOSE CREEK CONSOLIDATED ISD"/>
    <x v="2"/>
    <s v=" "/>
    <s v="2821CCMC04_F21"/>
    <s v="1"/>
    <s v=" "/>
    <s v="CERT"/>
    <n v="-25000"/>
    <d v="2021-02-09T00:00:00"/>
    <d v="2021-02-09T00:00:00"/>
    <d v="2021-02-26T00:00:00"/>
    <s v="PY"/>
  </r>
  <r>
    <x v="1"/>
    <s v="1746000251"/>
    <s v="GOOSE CREEK CONSOLIDATED ISD"/>
    <x v="2"/>
    <s v=" "/>
    <s v="2821CCMC04_F21"/>
    <s v="2"/>
    <s v=" "/>
    <s v="CERT"/>
    <n v="-9224.2099999999991"/>
    <d v="2021-02-09T00:00:00"/>
    <d v="2021-02-09T00:00:00"/>
    <d v="2021-02-26T00:00:00"/>
    <s v="PY"/>
  </r>
  <r>
    <x v="1"/>
    <s v="1746000251"/>
    <s v="GOOSE CREEK CONSOLIDATED ISD"/>
    <x v="2"/>
    <s v=" "/>
    <s v="2821CCMC04_F21"/>
    <s v="2"/>
    <s v=" "/>
    <s v="CERT"/>
    <n v="-15775.79"/>
    <d v="2021-07-01T00:00:00"/>
    <d v="2021-07-01T00:00:00"/>
    <d v="2021-07-30T00:00:00"/>
    <s v="PY"/>
  </r>
  <r>
    <x v="1"/>
    <s v="1746000251"/>
    <s v="GOOSE CREEK CONSOLIDATED ISD"/>
    <x v="2"/>
    <s v=" "/>
    <s v="2821CCMC04_F21"/>
    <s v="3"/>
    <s v=" "/>
    <s v="CERT"/>
    <n v="-14868.4"/>
    <d v="2021-07-01T00:00:00"/>
    <d v="2021-07-01T00:00:00"/>
    <d v="2021-07-30T00:00:00"/>
    <s v="PY"/>
  </r>
  <r>
    <x v="1"/>
    <s v="1746000251"/>
    <s v="GOOSE CREEK CONSOLIDATED ISD"/>
    <x v="2"/>
    <s v=" "/>
    <s v="2821CCMC04_F21"/>
    <s v="3"/>
    <s v=" "/>
    <s v="CERT"/>
    <n v="-10131.6"/>
    <d v="2021-10-15T00:00:00"/>
    <d v="2021-10-15T00:00:00"/>
    <d v="2021-10-25T00:00:00"/>
    <s v="PY"/>
  </r>
  <r>
    <x v="1"/>
    <s v="1746000251"/>
    <s v="GOOSE CREEK CONSOLIDATED ISD"/>
    <x v="2"/>
    <s v=" "/>
    <s v="2821CCMC04_F21"/>
    <s v="4"/>
    <s v=" "/>
    <s v="CERT"/>
    <n v="-15000"/>
    <d v="2021-10-15T00:00:00"/>
    <d v="2021-10-15T00:00:00"/>
    <d v="2021-10-25T00:00:00"/>
    <s v="PY"/>
  </r>
  <r>
    <x v="1"/>
    <s v="1746000348"/>
    <s v="BELL COUNTY"/>
    <x v="24"/>
    <s v=" "/>
    <s v="07130C94_F21"/>
    <s v="1"/>
    <s v=" "/>
    <s v="CERT"/>
    <n v="-30000"/>
    <d v="2021-08-09T00:00:00"/>
    <d v="2021-08-09T00:00:00"/>
    <d v="2021-08-26T00:00:00"/>
    <s v="PY"/>
  </r>
  <r>
    <x v="1"/>
    <s v="1746000422"/>
    <s v="CITY OF BROWNSVILLE"/>
    <x v="8"/>
    <s v=" "/>
    <s v="11300C05_F21"/>
    <s v="3"/>
    <s v=" "/>
    <s v="CERT"/>
    <n v="-255092"/>
    <d v="2022-02-16T00:00:00"/>
    <d v="2022-02-16T00:00:00"/>
    <d v="2022-02-28T00:00:00"/>
    <s v="PY"/>
  </r>
  <r>
    <x v="1"/>
    <s v="1746000507"/>
    <s v="CHANNELVIEW ISD"/>
    <x v="2"/>
    <s v=" "/>
    <s v="2821CCMC01_F21"/>
    <s v="1"/>
    <s v=" "/>
    <s v="CERT"/>
    <n v="-85000"/>
    <d v="2021-02-05T00:00:00"/>
    <d v="2021-02-05T00:00:00"/>
    <d v="2021-02-26T00:00:00"/>
    <s v="PY"/>
  </r>
  <r>
    <x v="1"/>
    <s v="1746000507"/>
    <s v="CHANNELVIEW ISD"/>
    <x v="2"/>
    <s v=" "/>
    <s v="2821CCMC01_F21"/>
    <s v="2"/>
    <s v=" "/>
    <s v="CERT"/>
    <n v="-22823.09"/>
    <d v="2021-02-05T00:00:00"/>
    <d v="2021-02-05T00:00:00"/>
    <d v="2021-02-26T00:00:00"/>
    <s v="PY"/>
  </r>
  <r>
    <x v="1"/>
    <s v="1746000507"/>
    <s v="CHANNELVIEW ISD"/>
    <x v="2"/>
    <s v=" "/>
    <s v="2821CCMC01_F21"/>
    <s v="2"/>
    <s v=" "/>
    <s v="CERT"/>
    <n v="-62176.91"/>
    <d v="2021-07-01T00:00:00"/>
    <d v="2021-07-01T00:00:00"/>
    <d v="2021-07-30T00:00:00"/>
    <s v="PY"/>
  </r>
  <r>
    <x v="1"/>
    <s v="1746000507"/>
    <s v="CHANNELVIEW ISD"/>
    <x v="2"/>
    <s v=" "/>
    <s v="2821CCMC01_F21"/>
    <s v="3"/>
    <s v=" "/>
    <s v="CERT"/>
    <n v="-40674.57"/>
    <d v="2021-07-01T00:00:00"/>
    <d v="2021-07-01T00:00:00"/>
    <d v="2021-07-30T00:00:00"/>
    <s v="PY"/>
  </r>
  <r>
    <x v="1"/>
    <s v="1746000507"/>
    <s v="CHANNELVIEW ISD"/>
    <x v="2"/>
    <s v=" "/>
    <s v="2821CCMC01_F21"/>
    <s v="3"/>
    <s v=" "/>
    <s v="CERT"/>
    <n v="-39325.43"/>
    <d v="2021-10-15T00:00:00"/>
    <d v="2021-10-15T00:00:00"/>
    <d v="2021-10-25T00:00:00"/>
    <s v="PY"/>
  </r>
  <r>
    <x v="1"/>
    <s v="1746000507"/>
    <s v="CHANNELVIEW ISD"/>
    <x v="2"/>
    <s v=" "/>
    <s v="2821CCMC01_F21"/>
    <s v="4"/>
    <s v=" "/>
    <s v="CERT"/>
    <n v="-64744.32"/>
    <d v="2021-10-15T00:00:00"/>
    <d v="2021-10-15T00:00:00"/>
    <d v="2021-10-25T00:00:00"/>
    <s v="PY"/>
  </r>
  <r>
    <x v="1"/>
    <s v="1746000507"/>
    <s v="CHANNELVIEW ISD"/>
    <x v="2"/>
    <s v=" "/>
    <s v="2821CCMC01_F21"/>
    <s v="4"/>
    <s v=" "/>
    <s v="CERT"/>
    <n v="-15255.68"/>
    <d v="2022-03-02T00:00:00"/>
    <d v="2022-03-02T00:00:00"/>
    <d v="2022-03-18T00:00:00"/>
    <s v="PY"/>
  </r>
  <r>
    <x v="1"/>
    <s v="1746000556"/>
    <s v="CONROE ISD"/>
    <x v="2"/>
    <s v=" "/>
    <s v="2821CCMC19_F21"/>
    <s v="1"/>
    <s v=" "/>
    <s v="CERT"/>
    <n v="-15000"/>
    <d v="2021-02-05T00:00:00"/>
    <d v="2021-02-05T00:00:00"/>
    <d v="2021-02-26T00:00:00"/>
    <s v="PY"/>
  </r>
  <r>
    <x v="1"/>
    <s v="1746000556"/>
    <s v="CONROE ISD"/>
    <x v="2"/>
    <s v=" "/>
    <s v="2821CCMC19_F21"/>
    <s v="2"/>
    <s v=" "/>
    <s v="CERT"/>
    <n v="-4627.8900000000003"/>
    <d v="2021-02-05T00:00:00"/>
    <d v="2021-02-05T00:00:00"/>
    <d v="2021-02-26T00:00:00"/>
    <s v="PY"/>
  </r>
  <r>
    <x v="1"/>
    <s v="1746000556"/>
    <s v="CONROE ISD"/>
    <x v="2"/>
    <s v=" "/>
    <s v="2821CCMC19_F21"/>
    <s v="2"/>
    <s v=" "/>
    <s v="CERT"/>
    <n v="-10372.11"/>
    <d v="2021-07-01T00:00:00"/>
    <d v="2021-07-01T00:00:00"/>
    <d v="2021-07-30T00:00:00"/>
    <s v="PY"/>
  </r>
  <r>
    <x v="1"/>
    <s v="1746000556"/>
    <s v="CONROE ISD"/>
    <x v="2"/>
    <s v=" "/>
    <s v="2821CCMC19_F21"/>
    <s v="3"/>
    <s v=" "/>
    <s v="CERT"/>
    <n v="-9603.51"/>
    <d v="2021-07-01T00:00:00"/>
    <d v="2021-07-01T00:00:00"/>
    <d v="2021-07-30T00:00:00"/>
    <s v="PY"/>
  </r>
  <r>
    <x v="1"/>
    <s v="1746000556"/>
    <s v="CONROE ISD"/>
    <x v="2"/>
    <s v=" "/>
    <s v="2821CCMC19_F21"/>
    <s v="3"/>
    <s v=" "/>
    <s v="CERT"/>
    <n v="-5396.49"/>
    <d v="2021-10-15T00:00:00"/>
    <d v="2021-10-15T00:00:00"/>
    <d v="2021-10-25T00:00:00"/>
    <s v="PY"/>
  </r>
  <r>
    <x v="1"/>
    <s v="1746000556"/>
    <s v="CONROE ISD"/>
    <x v="2"/>
    <s v=" "/>
    <s v="2821CCMC19_F21"/>
    <s v="4"/>
    <s v=" "/>
    <s v="CERT"/>
    <n v="-13000"/>
    <d v="2021-10-15T00:00:00"/>
    <d v="2021-10-15T00:00:00"/>
    <d v="2021-10-25T00:00:00"/>
    <s v="PY"/>
  </r>
  <r>
    <x v="1"/>
    <s v="1746000654"/>
    <s v="CYPRESS-FAIRBANKS ISD"/>
    <x v="2"/>
    <s v=" "/>
    <s v="2821CCMC05_F21"/>
    <s v="1"/>
    <s v=" "/>
    <s v="CERT"/>
    <n v="-5000"/>
    <d v="2021-02-05T00:00:00"/>
    <d v="2021-02-05T00:00:00"/>
    <d v="2021-02-26T00:00:00"/>
    <s v="PY"/>
  </r>
  <r>
    <x v="1"/>
    <s v="1746000654"/>
    <s v="CYPRESS-FAIRBANKS ISD"/>
    <x v="2"/>
    <s v=" "/>
    <s v="2821CCMC05_F21"/>
    <s v="2"/>
    <s v=" "/>
    <s v="CERT"/>
    <n v="-5000"/>
    <d v="2021-02-05T00:00:00"/>
    <d v="2021-02-05T00:00:00"/>
    <d v="2021-02-26T00:00:00"/>
    <s v="PY"/>
  </r>
  <r>
    <x v="1"/>
    <s v="1746000654"/>
    <s v="CYPRESS-FAIRBANKS ISD"/>
    <x v="2"/>
    <s v=" "/>
    <s v="2821CCMC05_F21"/>
    <s v="3"/>
    <s v=" "/>
    <s v="CERT"/>
    <n v="-3271.36"/>
    <d v="2021-02-05T00:00:00"/>
    <d v="2021-02-05T00:00:00"/>
    <d v="2021-02-26T00:00:00"/>
    <s v="PY"/>
  </r>
  <r>
    <x v="1"/>
    <s v="1746000654"/>
    <s v="CYPRESS-FAIRBANKS ISD"/>
    <x v="2"/>
    <s v=" "/>
    <s v="2821CCMC05_F21"/>
    <s v="3"/>
    <s v=" "/>
    <s v="CERT"/>
    <n v="-1728.64"/>
    <d v="2021-07-01T00:00:00"/>
    <d v="2021-07-01T00:00:00"/>
    <d v="2021-07-30T00:00:00"/>
    <s v="PY"/>
  </r>
  <r>
    <x v="1"/>
    <s v="1746000654"/>
    <s v="CYPRESS-FAIRBANKS ISD"/>
    <x v="2"/>
    <s v=" "/>
    <s v="2821CCMC05_F21"/>
    <s v="4"/>
    <s v=" "/>
    <s v="CERT"/>
    <n v="-5000"/>
    <d v="2021-07-01T00:00:00"/>
    <d v="2021-07-01T00:00:00"/>
    <d v="2021-07-30T00:00:00"/>
    <s v="PY"/>
  </r>
  <r>
    <x v="1"/>
    <s v="1746000813"/>
    <s v="UNIVERSITY OF TEXAS AT EL PASO (UTEP)"/>
    <x v="1"/>
    <s v=" "/>
    <s v="1021CCMC08_F21"/>
    <s v="1"/>
    <s v=" "/>
    <s v="CERT"/>
    <n v="-51973"/>
    <d v="2021-08-04T00:00:00"/>
    <d v="2021-08-04T00:00:00"/>
    <d v="2021-08-04T00:00:00"/>
    <s v="PY"/>
  </r>
  <r>
    <x v="1"/>
    <s v="1746000813"/>
    <s v="UNIVERSITY OF TEXAS AT EL PASO (UTEP)"/>
    <x v="1"/>
    <s v=" "/>
    <s v="1021CCMC08_F21"/>
    <s v="2"/>
    <s v=" "/>
    <s v="CERT"/>
    <n v="-36128.54"/>
    <d v="2021-08-04T00:00:00"/>
    <d v="2021-08-04T00:00:00"/>
    <d v="2021-08-04T00:00:00"/>
    <s v="PY"/>
  </r>
  <r>
    <x v="1"/>
    <s v="1746000813"/>
    <s v="UNIVERSITY OF TEXAS AT EL PASO (UTEP)"/>
    <x v="1"/>
    <s v=" "/>
    <s v="1021CCMC08_F21"/>
    <s v="2"/>
    <s v=" "/>
    <s v="CERT"/>
    <n v="-15844.46"/>
    <d v="2021-08-04T00:00:00"/>
    <d v="2021-08-04T00:00:00"/>
    <d v="2021-08-26T00:00:00"/>
    <s v="PY"/>
  </r>
  <r>
    <x v="1"/>
    <s v="1746000813"/>
    <s v="UNIVERSITY OF TEXAS AT EL PASO (UTEP)"/>
    <x v="1"/>
    <s v=" "/>
    <s v="1021CCMC08_F21"/>
    <s v="3"/>
    <s v=" "/>
    <s v="CERT"/>
    <n v="-51973"/>
    <d v="2021-08-04T00:00:00"/>
    <d v="2021-08-04T00:00:00"/>
    <d v="2021-08-26T00:00:00"/>
    <s v="PY"/>
  </r>
  <r>
    <x v="1"/>
    <s v="1746000813"/>
    <s v="UNIVERSITY OF TEXAS AT EL PASO (UTEP)"/>
    <x v="1"/>
    <s v=" "/>
    <s v="1021CCMC08_F21"/>
    <s v="4"/>
    <s v=" "/>
    <s v="CERT"/>
    <n v="-25994.400000000001"/>
    <d v="2021-08-04T00:00:00"/>
    <d v="2021-08-04T00:00:00"/>
    <d v="2021-08-26T00:00:00"/>
    <s v="PY"/>
  </r>
  <r>
    <x v="1"/>
    <s v="1746000813"/>
    <s v="UNIVERSITY OF TEXAS AT EL PASO (UTEP)"/>
    <x v="1"/>
    <s v=" "/>
    <s v="1021CCMC08_F21"/>
    <s v="4"/>
    <s v=" "/>
    <s v="CERT"/>
    <n v="-25978.6"/>
    <d v="2022-03-16T00:00:00"/>
    <d v="2022-03-16T00:00:00"/>
    <d v="2022-03-18T00:00:00"/>
    <s v="PY"/>
  </r>
  <r>
    <x v="1"/>
    <s v="1746000813"/>
    <s v="UNIVERSITY OF TEXAS AT EL PASO (UTEP)"/>
    <x v="1"/>
    <s v=" "/>
    <s v="1021CCMC08_F21"/>
    <s v="5"/>
    <s v=" "/>
    <s v="CERT"/>
    <n v="-29265"/>
    <d v="2022-03-16T00:00:00"/>
    <d v="2022-03-16T00:00:00"/>
    <d v="2022-03-18T00:00:00"/>
    <s v="PY"/>
  </r>
  <r>
    <x v="1"/>
    <s v="1746000895"/>
    <s v="GALENA PARK ISD"/>
    <x v="2"/>
    <s v=" "/>
    <s v="2821CCMC09_F21"/>
    <s v="1"/>
    <s v=" "/>
    <s v="CERT"/>
    <n v="-120000"/>
    <d v="2021-02-05T00:00:00"/>
    <d v="2021-02-05T00:00:00"/>
    <d v="2021-02-26T00:00:00"/>
    <s v="PY"/>
  </r>
  <r>
    <x v="1"/>
    <s v="1746000895"/>
    <s v="GALENA PARK ISD"/>
    <x v="2"/>
    <s v=" "/>
    <s v="2821CCMC09_F21"/>
    <s v="2"/>
    <s v=" "/>
    <s v="CERT"/>
    <n v="-58484.18"/>
    <d v="2021-02-05T00:00:00"/>
    <d v="2021-02-05T00:00:00"/>
    <d v="2021-02-26T00:00:00"/>
    <s v="PY"/>
  </r>
  <r>
    <x v="1"/>
    <s v="1746000895"/>
    <s v="GALENA PARK ISD"/>
    <x v="2"/>
    <s v=" "/>
    <s v="2821CCMC09_F21"/>
    <s v="2"/>
    <s v=" "/>
    <s v="CERT"/>
    <n v="-61515.82"/>
    <d v="2021-07-01T00:00:00"/>
    <d v="2021-07-01T00:00:00"/>
    <d v="2021-07-30T00:00:00"/>
    <s v="PY"/>
  </r>
  <r>
    <x v="1"/>
    <s v="1746000895"/>
    <s v="GALENA PARK ISD"/>
    <x v="2"/>
    <s v=" "/>
    <s v="2821CCMC09_F21"/>
    <s v="3"/>
    <s v=" "/>
    <s v="CERT"/>
    <n v="-120000"/>
    <d v="2021-07-01T00:00:00"/>
    <d v="2021-07-01T00:00:00"/>
    <d v="2021-07-30T00:00:00"/>
    <s v="PY"/>
  </r>
  <r>
    <x v="1"/>
    <s v="1746000895"/>
    <s v="GALENA PARK ISD"/>
    <x v="2"/>
    <s v=" "/>
    <s v="2821CCMC09_F21"/>
    <s v="4"/>
    <s v=" "/>
    <s v="CERT"/>
    <n v="-28449.43"/>
    <d v="2021-07-01T00:00:00"/>
    <d v="2021-07-01T00:00:00"/>
    <d v="2021-07-30T00:00:00"/>
    <s v="PY"/>
  </r>
  <r>
    <x v="1"/>
    <s v="1746000895"/>
    <s v="GALENA PARK ISD"/>
    <x v="2"/>
    <s v=" "/>
    <s v="2821CCMC09_F21"/>
    <s v="4"/>
    <s v=" "/>
    <s v="CERT"/>
    <n v="-66550.570000000007"/>
    <d v="2021-10-15T00:00:00"/>
    <d v="2021-10-15T00:00:00"/>
    <d v="2021-10-25T00:00:00"/>
    <s v="PY"/>
  </r>
  <r>
    <x v="1"/>
    <s v="1746000921"/>
    <s v="GALVESTON ISD"/>
    <x v="2"/>
    <s v=" "/>
    <s v="2821CCMC08_F21"/>
    <s v="1"/>
    <s v=" "/>
    <s v="CERT"/>
    <n v="-17000"/>
    <d v="2021-02-05T00:00:00"/>
    <d v="2021-02-05T00:00:00"/>
    <d v="2021-02-26T00:00:00"/>
    <s v="PY"/>
  </r>
  <r>
    <x v="1"/>
    <s v="1746000921"/>
    <s v="GALVESTON ISD"/>
    <x v="2"/>
    <s v=" "/>
    <s v="2821CCMC08_F21"/>
    <s v="2"/>
    <s v=" "/>
    <s v="CERT"/>
    <n v="-8405.3700000000008"/>
    <d v="2021-02-05T00:00:00"/>
    <d v="2021-02-05T00:00:00"/>
    <d v="2021-02-26T00:00:00"/>
    <s v="PY"/>
  </r>
  <r>
    <x v="1"/>
    <s v="1746000921"/>
    <s v="GALVESTON ISD"/>
    <x v="2"/>
    <s v=" "/>
    <s v="2821CCMC08_F21"/>
    <s v="2"/>
    <s v=" "/>
    <s v="CERT"/>
    <n v="-8594.6299999999992"/>
    <d v="2021-07-01T00:00:00"/>
    <d v="2021-07-01T00:00:00"/>
    <d v="2021-07-30T00:00:00"/>
    <s v="PY"/>
  </r>
  <r>
    <x v="1"/>
    <s v="1746000921"/>
    <s v="GALVESTON ISD"/>
    <x v="2"/>
    <s v=" "/>
    <s v="2821CCMC08_F21"/>
    <s v="3"/>
    <s v=" "/>
    <s v="CERT"/>
    <n v="-12731.98"/>
    <d v="2021-07-01T00:00:00"/>
    <d v="2021-07-01T00:00:00"/>
    <d v="2021-07-30T00:00:00"/>
    <s v="PY"/>
  </r>
  <r>
    <x v="1"/>
    <s v="1746000921"/>
    <s v="GALVESTON ISD"/>
    <x v="2"/>
    <s v=" "/>
    <s v="2821CCMC08_F21"/>
    <s v="3"/>
    <s v=" "/>
    <s v="CERT"/>
    <n v="-4268.0200000000004"/>
    <d v="2021-10-15T00:00:00"/>
    <d v="2021-10-15T00:00:00"/>
    <d v="2021-10-25T00:00:00"/>
    <s v="PY"/>
  </r>
  <r>
    <x v="1"/>
    <s v="1746000921"/>
    <s v="GALVESTON ISD"/>
    <x v="2"/>
    <s v=" "/>
    <s v="2821CCMC08_F21"/>
    <s v="4"/>
    <s v=" "/>
    <s v="CERT"/>
    <n v="-14000"/>
    <d v="2021-10-15T00:00:00"/>
    <d v="2021-10-15T00:00:00"/>
    <d v="2021-10-25T00:00:00"/>
    <s v="PY"/>
  </r>
  <r>
    <x v="1"/>
    <s v="1746000975"/>
    <s v="GEORGETOWN ISD"/>
    <x v="5"/>
    <s v=" "/>
    <s v="1521CCMC15_F21"/>
    <s v="1"/>
    <s v=" "/>
    <s v="CERT"/>
    <n v="-445000"/>
    <d v="2021-10-15T00:00:00"/>
    <d v="2021-10-15T00:00:00"/>
    <d v="2021-10-25T00:00:00"/>
    <s v="PY"/>
  </r>
  <r>
    <x v="1"/>
    <s v="1746001047"/>
    <s v="CITY OF HARLINGEN"/>
    <x v="8"/>
    <s v=" "/>
    <s v="11300C06_F21"/>
    <s v="1"/>
    <s v=" "/>
    <s v="CERT"/>
    <n v="-70398.899999999994"/>
    <d v="2021-05-06T00:00:00"/>
    <d v="2021-05-06T00:00:00"/>
    <d v="2021-05-14T00:00:00"/>
    <s v="PY"/>
  </r>
  <r>
    <x v="1"/>
    <s v="1746001047"/>
    <s v="CITY OF HARLINGEN"/>
    <x v="8"/>
    <s v=" "/>
    <s v="11300C06_F21"/>
    <s v="1"/>
    <s v=" "/>
    <s v="CERT"/>
    <n v="-46020.1"/>
    <d v="2021-07-28T00:00:00"/>
    <d v="2021-07-28T00:00:00"/>
    <d v="2021-07-30T00:00:00"/>
    <s v="PY"/>
  </r>
  <r>
    <x v="1"/>
    <s v="1746001047"/>
    <s v="CITY OF HARLINGEN"/>
    <x v="8"/>
    <s v=" "/>
    <s v="11300C06_F21"/>
    <s v="2"/>
    <s v=" "/>
    <s v="CERT"/>
    <n v="-116419"/>
    <d v="2021-07-28T00:00:00"/>
    <d v="2021-07-28T00:00:00"/>
    <d v="2021-07-30T00:00:00"/>
    <s v="PY"/>
  </r>
  <r>
    <x v="1"/>
    <s v="1746001047"/>
    <s v="CITY OF HARLINGEN"/>
    <x v="8"/>
    <s v=" "/>
    <s v="11300C06_F21"/>
    <s v="3"/>
    <s v=" "/>
    <s v="CERT"/>
    <n v="-116419"/>
    <d v="2021-07-28T00:00:00"/>
    <d v="2021-07-28T00:00:00"/>
    <d v="2021-07-30T00:00:00"/>
    <s v="PY"/>
  </r>
  <r>
    <x v="1"/>
    <s v="1746001047"/>
    <s v="CITY OF HARLINGEN"/>
    <x v="8"/>
    <s v=" "/>
    <s v="11300C06_F21"/>
    <s v="4"/>
    <s v=" "/>
    <s v="CERT"/>
    <n v="-72929.08"/>
    <d v="2021-07-28T00:00:00"/>
    <d v="2021-07-28T00:00:00"/>
    <d v="2021-07-30T00:00:00"/>
    <s v="PY"/>
  </r>
  <r>
    <x v="1"/>
    <s v="1746001047"/>
    <s v="CITY OF HARLINGEN"/>
    <x v="8"/>
    <s v=" "/>
    <s v="11300C06_F21"/>
    <s v="4"/>
    <s v=" "/>
    <s v="CERT"/>
    <n v="-43489.919999999998"/>
    <d v="2021-10-15T00:00:00"/>
    <d v="2021-10-15T00:00:00"/>
    <d v="2021-10-25T00:00:00"/>
    <s v="PY"/>
  </r>
  <r>
    <x v="1"/>
    <s v="1746001082"/>
    <s v="MIDWAY ISD"/>
    <x v="3"/>
    <s v=" "/>
    <s v="1321CCMC19_F21"/>
    <s v="1"/>
    <s v=" "/>
    <s v="CERT"/>
    <n v="-20000"/>
    <d v="2022-01-20T00:00:00"/>
    <d v="2022-01-20T00:00:00"/>
    <d v="2022-01-20T00:00:00"/>
    <s v="PY"/>
  </r>
  <r>
    <x v="1"/>
    <s v="1746001110"/>
    <s v="ALDINE ISD"/>
    <x v="2"/>
    <s v=" "/>
    <s v="2821CCMC37_F21"/>
    <s v="1"/>
    <s v=" "/>
    <s v="CERT"/>
    <n v="-90000"/>
    <d v="2021-02-05T00:00:00"/>
    <d v="2021-02-05T00:00:00"/>
    <d v="2021-02-26T00:00:00"/>
    <s v="PY"/>
  </r>
  <r>
    <x v="1"/>
    <s v="1746001110"/>
    <s v="ALDINE ISD"/>
    <x v="2"/>
    <s v=" "/>
    <s v="2821CCMC37_F21"/>
    <s v="2"/>
    <s v=" "/>
    <s v="CERT"/>
    <n v="-22393.15"/>
    <d v="2021-02-05T00:00:00"/>
    <d v="2021-02-05T00:00:00"/>
    <d v="2021-02-26T00:00:00"/>
    <s v="PY"/>
  </r>
  <r>
    <x v="1"/>
    <s v="1746001110"/>
    <s v="ALDINE ISD"/>
    <x v="2"/>
    <s v=" "/>
    <s v="2821CCMC37_F21"/>
    <s v="2"/>
    <s v=" "/>
    <s v="CERT"/>
    <n v="-62606.85"/>
    <d v="2021-07-01T00:00:00"/>
    <d v="2021-07-01T00:00:00"/>
    <d v="2021-07-30T00:00:00"/>
    <s v="PY"/>
  </r>
  <r>
    <x v="1"/>
    <s v="1746001110"/>
    <s v="ALDINE ISD"/>
    <x v="2"/>
    <s v=" "/>
    <s v="2821CCMC37_F21"/>
    <s v="3"/>
    <s v=" "/>
    <s v="CERT"/>
    <n v="-35625.279999999999"/>
    <d v="2021-07-01T00:00:00"/>
    <d v="2021-07-01T00:00:00"/>
    <d v="2021-07-30T00:00:00"/>
    <s v="PY"/>
  </r>
  <r>
    <x v="1"/>
    <s v="1746001110"/>
    <s v="ALDINE ISD"/>
    <x v="2"/>
    <s v=" "/>
    <s v="2821CCMC37_F21"/>
    <s v="3"/>
    <s v=" "/>
    <s v="CERT"/>
    <n v="-49374.720000000001"/>
    <d v="2021-10-15T00:00:00"/>
    <d v="2021-10-15T00:00:00"/>
    <d v="2021-10-25T00:00:00"/>
    <s v="PY"/>
  </r>
  <r>
    <x v="1"/>
    <s v="1746001110"/>
    <s v="ALDINE ISD"/>
    <x v="2"/>
    <s v=" "/>
    <s v="2821CCMC37_F21"/>
    <s v="4"/>
    <s v=" "/>
    <s v="CERT"/>
    <n v="-45089.46"/>
    <d v="2021-10-15T00:00:00"/>
    <d v="2021-10-15T00:00:00"/>
    <d v="2021-10-25T00:00:00"/>
    <s v="PY"/>
  </r>
  <r>
    <x v="1"/>
    <s v="1746001110"/>
    <s v="ALDINE ISD"/>
    <x v="2"/>
    <s v=" "/>
    <s v="2821CCMC37_F21"/>
    <s v="4"/>
    <s v=" "/>
    <s v="CERT"/>
    <n v="-14910.54"/>
    <d v="2022-03-02T00:00:00"/>
    <d v="2022-03-02T00:00:00"/>
    <d v="2022-03-18T00:00:00"/>
    <s v="PY"/>
  </r>
  <r>
    <x v="1"/>
    <s v="1746001164"/>
    <s v="CITY OF HOUSTON"/>
    <x v="2"/>
    <s v=" "/>
    <s v="2821CCMC06_F21"/>
    <s v="1"/>
    <s v=" "/>
    <s v="CERT"/>
    <n v="-75000"/>
    <d v="2021-07-01T00:00:00"/>
    <d v="2021-07-01T00:00:00"/>
    <d v="2021-07-30T00:00:00"/>
    <s v="PY"/>
  </r>
  <r>
    <x v="1"/>
    <s v="1746001164"/>
    <s v="CITY OF HOUSTON"/>
    <x v="2"/>
    <s v=" "/>
    <s v="2821CCMC06_F21"/>
    <s v="2"/>
    <s v=" "/>
    <s v="CERT"/>
    <n v="-7071.47"/>
    <d v="2021-07-01T00:00:00"/>
    <d v="2021-07-01T00:00:00"/>
    <d v="2021-07-30T00:00:00"/>
    <s v="PY"/>
  </r>
  <r>
    <x v="1"/>
    <s v="1746001164"/>
    <s v="CITY OF HOUSTON"/>
    <x v="2"/>
    <s v=" "/>
    <s v="2821CCMC06_F21"/>
    <s v="2"/>
    <s v=" "/>
    <s v="CERT"/>
    <n v="-50416.21"/>
    <d v="2021-07-14T00:00:00"/>
    <d v="2021-07-14T00:00:00"/>
    <d v="2021-07-30T00:00:00"/>
    <s v="PY"/>
  </r>
  <r>
    <x v="1"/>
    <s v="1746001164"/>
    <s v="CITY OF HOUSTON"/>
    <x v="2"/>
    <s v=" "/>
    <s v="2821CCMC06_F21"/>
    <s v="2"/>
    <s v=" "/>
    <s v="CERT"/>
    <n v="-17512.32"/>
    <d v="2021-10-15T00:00:00"/>
    <d v="2021-10-15T00:00:00"/>
    <d v="2021-10-25T00:00:00"/>
    <s v="PY"/>
  </r>
  <r>
    <x v="1"/>
    <s v="1746001164"/>
    <s v="CITY OF HOUSTON"/>
    <x v="2"/>
    <s v=" "/>
    <s v="2821CCMC06_F21"/>
    <s v="3"/>
    <s v=" "/>
    <s v="CERT"/>
    <n v="-32455.98"/>
    <d v="2021-10-15T00:00:00"/>
    <d v="2021-10-15T00:00:00"/>
    <d v="2021-10-25T00:00:00"/>
    <s v="PY"/>
  </r>
  <r>
    <x v="1"/>
    <s v="1746001164"/>
    <s v="CITY OF HOUSTON"/>
    <x v="2"/>
    <s v=" "/>
    <s v="2821CCMC06_F21"/>
    <s v="4"/>
    <s v=" "/>
    <s v="CERT"/>
    <n v="-27544.02"/>
    <d v="2022-03-03T00:00:00"/>
    <d v="2022-03-03T00:00:00"/>
    <d v="2022-03-18T00:00:00"/>
    <s v="PY"/>
  </r>
  <r>
    <x v="1"/>
    <s v="1746001164"/>
    <s v="CITY OF HOUSTON"/>
    <x v="2"/>
    <s v=" "/>
    <s v="2821CCMC07_F21"/>
    <s v="1"/>
    <s v=" "/>
    <s v="CERT"/>
    <n v="-70000"/>
    <d v="2021-07-14T00:00:00"/>
    <d v="2021-07-14T00:00:00"/>
    <d v="2021-07-30T00:00:00"/>
    <s v="PY"/>
  </r>
  <r>
    <x v="1"/>
    <s v="1746001164"/>
    <s v="CITY OF HOUSTON"/>
    <x v="2"/>
    <s v=" "/>
    <s v="2821CCMC07_F21"/>
    <s v="2"/>
    <s v=" "/>
    <s v="CERT"/>
    <n v="-421499.97"/>
    <d v="2021-07-14T00:00:00"/>
    <d v="2021-07-14T00:00:00"/>
    <d v="2021-07-30T00:00:00"/>
    <s v="PY"/>
  </r>
  <r>
    <x v="1"/>
    <s v="1746001164"/>
    <s v="CITY OF HOUSTON"/>
    <x v="2"/>
    <s v=" "/>
    <s v="2821CCMC07_F21"/>
    <s v="2"/>
    <s v=" "/>
    <s v="CERT"/>
    <n v="-258500.03"/>
    <d v="2021-10-15T00:00:00"/>
    <d v="2021-10-15T00:00:00"/>
    <d v="2021-10-25T00:00:00"/>
    <s v="PY"/>
  </r>
  <r>
    <x v="1"/>
    <s v="1746001164"/>
    <s v="CITY OF HOUSTON"/>
    <x v="2"/>
    <s v=" "/>
    <s v="2821CCMC07_F21"/>
    <s v="3"/>
    <s v=" "/>
    <s v="CERT"/>
    <n v="-228633.34"/>
    <d v="2021-10-15T00:00:00"/>
    <d v="2021-10-15T00:00:00"/>
    <d v="2021-10-25T00:00:00"/>
    <s v="PY"/>
  </r>
  <r>
    <x v="1"/>
    <s v="1746001164"/>
    <s v="CITY OF HOUSTON"/>
    <x v="2"/>
    <s v=" "/>
    <s v="2821CCMC07_F21"/>
    <s v="3"/>
    <s v=" "/>
    <s v="CERT"/>
    <n v="-21366.66"/>
    <d v="2022-03-03T00:00:00"/>
    <d v="2022-03-03T00:00:00"/>
    <d v="2022-03-18T00:00:00"/>
    <s v="PY"/>
  </r>
  <r>
    <x v="1"/>
    <s v="1746001215"/>
    <s v="HARRIS COUNTY DEPT OF EDUC"/>
    <x v="2"/>
    <s v=" "/>
    <s v="2821CCMC24_F21"/>
    <s v="1"/>
    <s v=" "/>
    <s v="CERT"/>
    <n v="-118493.01"/>
    <d v="2021-02-09T00:00:00"/>
    <d v="2021-02-09T00:00:00"/>
    <d v="2021-02-26T00:00:00"/>
    <s v="PY"/>
  </r>
  <r>
    <x v="1"/>
    <s v="1746001215"/>
    <s v="HARRIS COUNTY DEPT OF EDUC"/>
    <x v="2"/>
    <s v=" "/>
    <s v="2821CCMC24_F21"/>
    <s v="1"/>
    <s v=" "/>
    <s v="CERT"/>
    <n v="-81506.990000000005"/>
    <d v="2021-07-02T00:00:00"/>
    <d v="2021-07-02T00:00:00"/>
    <d v="2021-07-30T00:00:00"/>
    <s v="PY"/>
  </r>
  <r>
    <x v="1"/>
    <s v="1746001215"/>
    <s v="HARRIS COUNTY DEPT OF EDUC"/>
    <x v="2"/>
    <s v=" "/>
    <s v="2821CCMC24_F21"/>
    <s v="2"/>
    <s v=" "/>
    <s v="CERT"/>
    <n v="-700000"/>
    <d v="2021-07-02T00:00:00"/>
    <d v="2021-07-02T00:00:00"/>
    <d v="2021-07-30T00:00:00"/>
    <s v="PY"/>
  </r>
  <r>
    <x v="1"/>
    <s v="1746001215"/>
    <s v="HARRIS COUNTY DEPT OF EDUC"/>
    <x v="2"/>
    <s v=" "/>
    <s v="2821CCMC24_F21"/>
    <s v="3"/>
    <s v=" "/>
    <s v="CERT"/>
    <n v="-89804.32"/>
    <d v="2021-07-02T00:00:00"/>
    <d v="2021-07-02T00:00:00"/>
    <d v="2021-07-30T00:00:00"/>
    <s v="PY"/>
  </r>
  <r>
    <x v="1"/>
    <s v="1746001215"/>
    <s v="HARRIS COUNTY DEPT OF EDUC"/>
    <x v="2"/>
    <s v=" "/>
    <s v="2821CCMC24_F21"/>
    <s v="3"/>
    <s v=" "/>
    <s v="CERT"/>
    <n v="-510195.68"/>
    <d v="2022-03-02T00:00:00"/>
    <d v="2022-03-02T00:00:00"/>
    <d v="2022-03-18T00:00:00"/>
    <s v="PY"/>
  </r>
  <r>
    <x v="1"/>
    <s v="1746001255"/>
    <s v="HOUSTON ISD"/>
    <x v="2"/>
    <s v=" "/>
    <s v="2821CCMC11_F21"/>
    <s v="1"/>
    <s v=" "/>
    <s v="CERT"/>
    <n v="-250000"/>
    <d v="2021-02-09T00:00:00"/>
    <d v="2021-02-09T00:00:00"/>
    <d v="2021-02-26T00:00:00"/>
    <s v="PY"/>
  </r>
  <r>
    <x v="1"/>
    <s v="1746001255"/>
    <s v="HOUSTON ISD"/>
    <x v="2"/>
    <s v=" "/>
    <s v="2821CCMC11_F21"/>
    <s v="2"/>
    <s v=" "/>
    <s v="CERT"/>
    <n v="-60413.96"/>
    <d v="2021-02-09T00:00:00"/>
    <d v="2021-02-09T00:00:00"/>
    <d v="2021-02-26T00:00:00"/>
    <s v="PY"/>
  </r>
  <r>
    <x v="1"/>
    <s v="1746001255"/>
    <s v="HOUSTON ISD"/>
    <x v="2"/>
    <s v=" "/>
    <s v="2821CCMC11_F21"/>
    <s v="2"/>
    <s v=" "/>
    <s v="CERT"/>
    <n v="-189586.04"/>
    <d v="2021-07-01T00:00:00"/>
    <d v="2021-07-01T00:00:00"/>
    <d v="2021-07-30T00:00:00"/>
    <s v="PY"/>
  </r>
  <r>
    <x v="1"/>
    <s v="1746001255"/>
    <s v="HOUSTON ISD"/>
    <x v="2"/>
    <s v=" "/>
    <s v="2821CCMC11_F21"/>
    <s v="3"/>
    <s v=" "/>
    <s v="CERT"/>
    <n v="-90417.03"/>
    <d v="2021-07-01T00:00:00"/>
    <d v="2021-07-01T00:00:00"/>
    <d v="2021-07-30T00:00:00"/>
    <s v="PY"/>
  </r>
  <r>
    <x v="1"/>
    <s v="1746001255"/>
    <s v="HOUSTON ISD"/>
    <x v="2"/>
    <s v=" "/>
    <s v="2821CCMC11_F21"/>
    <s v="3"/>
    <s v=" "/>
    <s v="CERT"/>
    <n v="-109582.97"/>
    <d v="2021-10-11T00:00:00"/>
    <d v="2021-10-11T00:00:00"/>
    <d v="2021-10-25T00:00:00"/>
    <s v="PY"/>
  </r>
  <r>
    <x v="1"/>
    <s v="1746001255"/>
    <s v="HOUSTON ISD"/>
    <x v="2"/>
    <s v=" "/>
    <s v="2821CCMC11_F21"/>
    <s v="4"/>
    <s v=" "/>
    <s v="CERT"/>
    <n v="-200000"/>
    <d v="2021-10-11T00:00:00"/>
    <d v="2021-10-11T00:00:00"/>
    <d v="2021-10-25T00:00:00"/>
    <s v="PY"/>
  </r>
  <r>
    <x v="1"/>
    <s v="1746001354"/>
    <s v="PEARLAND INDEPENDENT SCHOOL DISTRICT"/>
    <x v="2"/>
    <s v=" "/>
    <s v="2821CCMC38_F21"/>
    <s v="1"/>
    <s v=" "/>
    <s v="CERT"/>
    <n v="-13000"/>
    <d v="2021-02-09T00:00:00"/>
    <d v="2021-02-09T00:00:00"/>
    <d v="2021-02-26T00:00:00"/>
    <s v="PY"/>
  </r>
  <r>
    <x v="1"/>
    <s v="1746001354"/>
    <s v="PEARLAND INDEPENDENT SCHOOL DISTRICT"/>
    <x v="2"/>
    <s v=" "/>
    <s v="2821CCMC38_F21"/>
    <s v="2"/>
    <s v=" "/>
    <s v="CERT"/>
    <n v="-4079.04"/>
    <d v="2021-02-09T00:00:00"/>
    <d v="2021-02-09T00:00:00"/>
    <d v="2021-02-26T00:00:00"/>
    <s v="PY"/>
  </r>
  <r>
    <x v="1"/>
    <s v="1746001354"/>
    <s v="PEARLAND INDEPENDENT SCHOOL DISTRICT"/>
    <x v="2"/>
    <s v=" "/>
    <s v="2821CCMC38_F21"/>
    <s v="2"/>
    <s v=" "/>
    <s v="CERT"/>
    <n v="-8920.9599999999991"/>
    <d v="2021-07-02T00:00:00"/>
    <d v="2021-07-02T00:00:00"/>
    <d v="2021-07-30T00:00:00"/>
    <s v="PY"/>
  </r>
  <r>
    <x v="1"/>
    <s v="1746001354"/>
    <s v="PEARLAND INDEPENDENT SCHOOL DISTRICT"/>
    <x v="2"/>
    <s v=" "/>
    <s v="2821CCMC38_F21"/>
    <s v="3"/>
    <s v=" "/>
    <s v="CERT"/>
    <n v="-7158.08"/>
    <d v="2021-07-02T00:00:00"/>
    <d v="2021-07-02T00:00:00"/>
    <d v="2021-07-30T00:00:00"/>
    <s v="PY"/>
  </r>
  <r>
    <x v="1"/>
    <s v="1746001354"/>
    <s v="PEARLAND INDEPENDENT SCHOOL DISTRICT"/>
    <x v="2"/>
    <s v=" "/>
    <s v="2821CCMC38_F21"/>
    <s v="3"/>
    <s v=" "/>
    <s v="CERT"/>
    <n v="-5841.92"/>
    <d v="2021-10-11T00:00:00"/>
    <d v="2021-10-11T00:00:00"/>
    <d v="2021-10-25T00:00:00"/>
    <s v="PY"/>
  </r>
  <r>
    <x v="1"/>
    <s v="1746001354"/>
    <s v="PEARLAND INDEPENDENT SCHOOL DISTRICT"/>
    <x v="2"/>
    <s v=" "/>
    <s v="2821CCMC38_F21"/>
    <s v="4"/>
    <s v=" "/>
    <s v="CERT"/>
    <n v="-10387.120000000001"/>
    <d v="2021-10-11T00:00:00"/>
    <d v="2021-10-11T00:00:00"/>
    <d v="2021-10-25T00:00:00"/>
    <s v="PY"/>
  </r>
  <r>
    <x v="1"/>
    <s v="1746001354"/>
    <s v="PEARLAND INDEPENDENT SCHOOL DISTRICT"/>
    <x v="2"/>
    <s v=" "/>
    <s v="2821CCMC38_F21"/>
    <s v="4"/>
    <s v=" "/>
    <s v="CERT"/>
    <n v="-2612.88"/>
    <d v="2022-03-02T00:00:00"/>
    <d v="2022-03-02T00:00:00"/>
    <d v="2022-03-18T00:00:00"/>
    <s v="PY"/>
  </r>
  <r>
    <x v="1"/>
    <s v="1746001379"/>
    <s v="SPRING BRANCH ISD"/>
    <x v="2"/>
    <s v=" "/>
    <s v="2821CCMC03_F21"/>
    <s v="1"/>
    <s v=" "/>
    <s v="CERT"/>
    <n v="-40000"/>
    <d v="2021-02-09T00:00:00"/>
    <d v="2021-02-09T00:00:00"/>
    <d v="2021-02-26T00:00:00"/>
    <s v="PY"/>
  </r>
  <r>
    <x v="1"/>
    <s v="1746001379"/>
    <s v="SPRING BRANCH ISD"/>
    <x v="2"/>
    <s v=" "/>
    <s v="2821CCMC03_F21"/>
    <s v="2"/>
    <s v=" "/>
    <s v="CERT"/>
    <n v="-853.05"/>
    <d v="2021-02-09T00:00:00"/>
    <d v="2021-02-09T00:00:00"/>
    <d v="2021-02-26T00:00:00"/>
    <s v="PY"/>
  </r>
  <r>
    <x v="1"/>
    <s v="1746001379"/>
    <s v="SPRING BRANCH ISD"/>
    <x v="2"/>
    <s v=" "/>
    <s v="2821CCMC03_F21"/>
    <s v="2"/>
    <s v=" "/>
    <s v="CERT"/>
    <n v="-39042.22"/>
    <d v="2021-07-02T00:00:00"/>
    <d v="2021-07-02T00:00:00"/>
    <d v="2021-07-30T00:00:00"/>
    <s v="PY"/>
  </r>
  <r>
    <x v="1"/>
    <s v="1746001379"/>
    <s v="SPRING BRANCH ISD"/>
    <x v="2"/>
    <s v=" "/>
    <s v="2821CCMC03_F21"/>
    <s v="2"/>
    <s v=" "/>
    <s v="CERT"/>
    <n v="-104.73"/>
    <d v="2021-10-11T00:00:00"/>
    <d v="2021-10-11T00:00:00"/>
    <d v="2021-10-25T00:00:00"/>
    <s v="PY"/>
  </r>
  <r>
    <x v="1"/>
    <s v="1746001379"/>
    <s v="SPRING BRANCH ISD"/>
    <x v="2"/>
    <s v=" "/>
    <s v="2821CCMC03_F21"/>
    <s v="3"/>
    <s v=" "/>
    <s v="CERT"/>
    <n v="-39929.949999999997"/>
    <d v="2021-10-11T00:00:00"/>
    <d v="2021-10-11T00:00:00"/>
    <d v="2021-10-25T00:00:00"/>
    <s v="PY"/>
  </r>
  <r>
    <x v="1"/>
    <s v="1746001379"/>
    <s v="SPRING BRANCH ISD"/>
    <x v="2"/>
    <s v=" "/>
    <s v="2821CCMC03_F21"/>
    <s v="3"/>
    <s v=" "/>
    <s v="CERT"/>
    <n v="-70.05"/>
    <d v="2022-03-02T00:00:00"/>
    <d v="2022-03-02T00:00:00"/>
    <d v="2022-03-18T00:00:00"/>
    <s v="PY"/>
  </r>
  <r>
    <x v="1"/>
    <s v="1746001379"/>
    <s v="SPRING BRANCH ISD"/>
    <x v="2"/>
    <s v=" "/>
    <s v="2821CCMC03_F21"/>
    <s v="4"/>
    <s v=" "/>
    <s v="CERT"/>
    <n v="-20000"/>
    <d v="2022-03-02T00:00:00"/>
    <d v="2022-03-02T00:00:00"/>
    <d v="2022-03-18T00:00:00"/>
    <s v="PY"/>
  </r>
  <r>
    <x v="1"/>
    <s v="1746001391"/>
    <s v="TEXAS SOUTHERN UNIVERSITY"/>
    <x v="2"/>
    <s v=" "/>
    <s v="2821CCMC29_F21"/>
    <s v="1"/>
    <s v=" "/>
    <s v="CERT"/>
    <n v="-46000"/>
    <d v="2021-02-09T00:00:00"/>
    <d v="2021-02-09T00:00:00"/>
    <d v="2021-02-26T00:00:00"/>
    <s v="PY"/>
  </r>
  <r>
    <x v="1"/>
    <s v="1746001391"/>
    <s v="TEXAS SOUTHERN UNIVERSITY"/>
    <x v="2"/>
    <s v=" "/>
    <s v="2821CCMC29_F21"/>
    <s v="2"/>
    <s v=" "/>
    <s v="CERT"/>
    <n v="-19802.64"/>
    <d v="2021-02-09T00:00:00"/>
    <d v="2021-02-09T00:00:00"/>
    <d v="2021-02-26T00:00:00"/>
    <s v="PY"/>
  </r>
  <r>
    <x v="1"/>
    <s v="1746001391"/>
    <s v="TEXAS SOUTHERN UNIVERSITY"/>
    <x v="2"/>
    <s v=" "/>
    <s v="2821CCMC29_F21"/>
    <s v="2"/>
    <s v=" "/>
    <s v="CERT"/>
    <n v="-25197.360000000001"/>
    <d v="2021-07-02T00:00:00"/>
    <d v="2021-07-02T00:00:00"/>
    <d v="2021-07-30T00:00:00"/>
    <s v="PY"/>
  </r>
  <r>
    <x v="1"/>
    <s v="1746001391"/>
    <s v="TEXAS SOUTHERN UNIVERSITY"/>
    <x v="2"/>
    <s v=" "/>
    <s v="2821CCMC29_F21"/>
    <s v="3"/>
    <s v=" "/>
    <s v="CERT"/>
    <n v="-32282.34"/>
    <d v="2021-07-02T00:00:00"/>
    <d v="2021-07-02T00:00:00"/>
    <d v="2021-07-30T00:00:00"/>
    <s v="PY"/>
  </r>
  <r>
    <x v="1"/>
    <s v="1746001391"/>
    <s v="TEXAS SOUTHERN UNIVERSITY"/>
    <x v="2"/>
    <s v=" "/>
    <s v="2821CCMC29_F21"/>
    <s v="3"/>
    <s v=" "/>
    <s v="CERT"/>
    <n v="-12717.66"/>
    <d v="2021-10-08T00:00:00"/>
    <d v="2021-10-08T00:00:00"/>
    <d v="2021-10-25T00:00:00"/>
    <s v="PY"/>
  </r>
  <r>
    <x v="1"/>
    <s v="1746001391"/>
    <s v="TEXAS SOUTHERN UNIVERSITY"/>
    <x v="2"/>
    <s v=" "/>
    <s v="2821CCMC29_F21"/>
    <s v="4"/>
    <s v=" "/>
    <s v="CERT"/>
    <n v="-44762.04"/>
    <d v="2021-10-08T00:00:00"/>
    <d v="2021-10-08T00:00:00"/>
    <d v="2021-10-25T00:00:00"/>
    <s v="PY"/>
  </r>
  <r>
    <x v="1"/>
    <s v="1746001391"/>
    <s v="TEXAS SOUTHERN UNIVERSITY"/>
    <x v="2"/>
    <s v=" "/>
    <s v="2821CCMC29_F21"/>
    <s v="4"/>
    <s v=" "/>
    <s v="CERT"/>
    <n v="-237.96"/>
    <d v="2022-03-02T00:00:00"/>
    <d v="2022-03-02T00:00:00"/>
    <d v="2022-03-18T00:00:00"/>
    <s v="PY"/>
  </r>
  <r>
    <x v="1"/>
    <s v="1746001399"/>
    <s v="UNIVERSITY OF HOUSTON"/>
    <x v="2"/>
    <s v=" "/>
    <s v="2821CCMC30_F21"/>
    <s v="1"/>
    <s v=" "/>
    <s v="CERT"/>
    <n v="-40000"/>
    <d v="2021-02-09T00:00:00"/>
    <d v="2021-02-09T00:00:00"/>
    <d v="2021-02-26T00:00:00"/>
    <s v="PY"/>
  </r>
  <r>
    <x v="1"/>
    <s v="1746001399"/>
    <s v="UNIVERSITY OF HOUSTON"/>
    <x v="2"/>
    <s v=" "/>
    <s v="2821CCMC30_F21"/>
    <s v="2"/>
    <s v=" "/>
    <s v="CERT"/>
    <n v="-16357.25"/>
    <d v="2021-02-09T00:00:00"/>
    <d v="2021-02-09T00:00:00"/>
    <d v="2021-02-26T00:00:00"/>
    <s v="PY"/>
  </r>
  <r>
    <x v="1"/>
    <s v="1746001399"/>
    <s v="UNIVERSITY OF HOUSTON"/>
    <x v="2"/>
    <s v=" "/>
    <s v="2821CCMC30_F21"/>
    <s v="2"/>
    <s v=" "/>
    <s v="CERT"/>
    <n v="-23642.75"/>
    <d v="2021-07-02T00:00:00"/>
    <d v="2021-07-02T00:00:00"/>
    <d v="2021-07-30T00:00:00"/>
    <s v="PY"/>
  </r>
  <r>
    <x v="1"/>
    <s v="1746001399"/>
    <s v="UNIVERSITY OF HOUSTON"/>
    <x v="2"/>
    <s v=" "/>
    <s v="2821CCMC30_F21"/>
    <s v="3"/>
    <s v=" "/>
    <s v="CERT"/>
    <n v="-32714.5"/>
    <d v="2021-07-02T00:00:00"/>
    <d v="2021-07-02T00:00:00"/>
    <d v="2021-07-30T00:00:00"/>
    <s v="PY"/>
  </r>
  <r>
    <x v="1"/>
    <s v="1746001399"/>
    <s v="UNIVERSITY OF HOUSTON"/>
    <x v="2"/>
    <s v=" "/>
    <s v="2821CCMC30_F21"/>
    <s v="3"/>
    <s v=" "/>
    <s v="CERT"/>
    <n v="-7285.5"/>
    <d v="2021-10-08T00:00:00"/>
    <d v="2021-10-08T00:00:00"/>
    <d v="2021-10-25T00:00:00"/>
    <s v="PY"/>
  </r>
  <r>
    <x v="1"/>
    <s v="1746001399"/>
    <s v="UNIVERSITY OF HOUSTON"/>
    <x v="2"/>
    <s v=" "/>
    <s v="2821CCMC30_F21"/>
    <s v="4"/>
    <s v=" "/>
    <s v="CERT"/>
    <n v="-19000"/>
    <d v="2021-10-08T00:00:00"/>
    <d v="2021-10-08T00:00:00"/>
    <d v="2021-10-25T00:00:00"/>
    <s v="PY"/>
  </r>
  <r>
    <x v="1"/>
    <s v="1746001399"/>
    <s v="UNIVERSITY OF HOUSTON"/>
    <x v="2"/>
    <s v=" "/>
    <s v="2821CCMC39_F21"/>
    <s v="1"/>
    <s v=" "/>
    <s v="CERT"/>
    <n v="-43200.31"/>
    <d v="2021-02-09T00:00:00"/>
    <d v="2021-02-09T00:00:00"/>
    <d v="2021-02-26T00:00:00"/>
    <s v="PY"/>
  </r>
  <r>
    <x v="1"/>
    <s v="1746001399"/>
    <s v="UNIVERSITY OF HOUSTON"/>
    <x v="2"/>
    <s v=" "/>
    <s v="2821CCMC39_F21"/>
    <s v="1"/>
    <s v=" "/>
    <s v="CERT"/>
    <n v="-1799.69"/>
    <d v="2021-07-02T00:00:00"/>
    <d v="2021-07-02T00:00:00"/>
    <d v="2021-07-30T00:00:00"/>
    <s v="PY"/>
  </r>
  <r>
    <x v="1"/>
    <s v="1746001399"/>
    <s v="UNIVERSITY OF HOUSTON"/>
    <x v="2"/>
    <s v=" "/>
    <s v="2821CCMC39_F21"/>
    <s v="2"/>
    <s v=" "/>
    <s v="CERT"/>
    <n v="-45000"/>
    <d v="2021-07-02T00:00:00"/>
    <d v="2021-07-02T00:00:00"/>
    <d v="2021-07-30T00:00:00"/>
    <s v="PY"/>
  </r>
  <r>
    <x v="1"/>
    <s v="1746001399"/>
    <s v="UNIVERSITY OF HOUSTON"/>
    <x v="2"/>
    <s v=" "/>
    <s v="2821CCMC39_F21"/>
    <s v="3"/>
    <s v=" "/>
    <s v="CERT"/>
    <n v="-26609.31"/>
    <d v="2021-07-02T00:00:00"/>
    <d v="2021-07-02T00:00:00"/>
    <d v="2021-07-30T00:00:00"/>
    <s v="PY"/>
  </r>
  <r>
    <x v="1"/>
    <s v="1746001399"/>
    <s v="UNIVERSITY OF HOUSTON"/>
    <x v="2"/>
    <s v=" "/>
    <s v="2821CCMC39_F21"/>
    <s v="3"/>
    <s v=" "/>
    <s v="CERT"/>
    <n v="-18390.689999999999"/>
    <d v="2021-10-08T00:00:00"/>
    <d v="2021-10-08T00:00:00"/>
    <d v="2021-10-25T00:00:00"/>
    <s v="PY"/>
  </r>
  <r>
    <x v="1"/>
    <s v="1746001399"/>
    <s v="UNIVERSITY OF HOUSTON"/>
    <x v="2"/>
    <s v=" "/>
    <s v="2821CCMC39_F21"/>
    <s v="4"/>
    <s v=" "/>
    <s v="CERT"/>
    <n v="-45000"/>
    <d v="2021-10-08T00:00:00"/>
    <d v="2021-10-08T00:00:00"/>
    <d v="2021-10-25T00:00:00"/>
    <s v="PY"/>
  </r>
  <r>
    <x v="1"/>
    <s v="1746001430"/>
    <s v="SAM HOUSTON STATE UNIVERSITY"/>
    <x v="2"/>
    <s v=" "/>
    <s v="2821CCMC43_F21"/>
    <s v="1"/>
    <s v=" "/>
    <s v="CERT"/>
    <n v="-80000"/>
    <d v="2021-02-09T00:00:00"/>
    <d v="2021-02-09T00:00:00"/>
    <d v="2021-02-26T00:00:00"/>
    <s v="PY"/>
  </r>
  <r>
    <x v="1"/>
    <s v="1746001430"/>
    <s v="SAM HOUSTON STATE UNIVERSITY"/>
    <x v="2"/>
    <s v=" "/>
    <s v="2821CCMC43_F21"/>
    <s v="2"/>
    <s v=" "/>
    <s v="CERT"/>
    <n v="-24978.62"/>
    <d v="2021-02-09T00:00:00"/>
    <d v="2021-02-09T00:00:00"/>
    <d v="2021-02-26T00:00:00"/>
    <s v="PY"/>
  </r>
  <r>
    <x v="1"/>
    <s v="1746001430"/>
    <s v="SAM HOUSTON STATE UNIVERSITY"/>
    <x v="2"/>
    <s v=" "/>
    <s v="2821CCMC43_F21"/>
    <s v="2"/>
    <s v=" "/>
    <s v="CERT"/>
    <n v="-45021.38"/>
    <d v="2021-07-02T00:00:00"/>
    <d v="2021-07-02T00:00:00"/>
    <d v="2021-07-30T00:00:00"/>
    <s v="PY"/>
  </r>
  <r>
    <x v="1"/>
    <s v="1746001430"/>
    <s v="SAM HOUSTON STATE UNIVERSITY"/>
    <x v="2"/>
    <s v=" "/>
    <s v="2821CCMC43_F21"/>
    <s v="3"/>
    <s v=" "/>
    <s v="CERT"/>
    <n v="-69164.88"/>
    <d v="2021-07-02T00:00:00"/>
    <d v="2021-07-02T00:00:00"/>
    <d v="2021-07-30T00:00:00"/>
    <s v="PY"/>
  </r>
  <r>
    <x v="1"/>
    <s v="1746001430"/>
    <s v="SAM HOUSTON STATE UNIVERSITY"/>
    <x v="2"/>
    <s v=" "/>
    <s v="2821CCMC43_F21"/>
    <s v="3"/>
    <s v=" "/>
    <s v="CERT"/>
    <n v="-835.12"/>
    <d v="2021-10-11T00:00:00"/>
    <d v="2021-10-11T00:00:00"/>
    <d v="2021-10-25T00:00:00"/>
    <s v="PY"/>
  </r>
  <r>
    <x v="1"/>
    <s v="1746001430"/>
    <s v="SAM HOUSTON STATE UNIVERSITY"/>
    <x v="2"/>
    <s v=" "/>
    <s v="2821CCMC43_F21"/>
    <s v="4"/>
    <s v=" "/>
    <s v="CERT"/>
    <n v="-10000"/>
    <d v="2021-10-11T00:00:00"/>
    <d v="2021-10-11T00:00:00"/>
    <d v="2021-10-25T00:00:00"/>
    <s v="PY"/>
  </r>
  <r>
    <x v="1"/>
    <s v="1746001484"/>
    <s v="KATY ISD"/>
    <x v="2"/>
    <s v=" "/>
    <s v="2821CCMC36_F21"/>
    <s v="1"/>
    <s v=" "/>
    <s v="CERT"/>
    <n v="-43000"/>
    <d v="2021-02-09T00:00:00"/>
    <d v="2021-02-09T00:00:00"/>
    <d v="2021-02-26T00:00:00"/>
    <s v="PY"/>
  </r>
  <r>
    <x v="1"/>
    <s v="1746001484"/>
    <s v="KATY ISD"/>
    <x v="2"/>
    <s v=" "/>
    <s v="2821CCMC36_F21"/>
    <s v="2"/>
    <s v=" "/>
    <s v="CERT"/>
    <n v="-8742.67"/>
    <d v="2021-02-09T00:00:00"/>
    <d v="2021-02-09T00:00:00"/>
    <d v="2021-02-26T00:00:00"/>
    <s v="PY"/>
  </r>
  <r>
    <x v="1"/>
    <s v="1746001484"/>
    <s v="KATY ISD"/>
    <x v="2"/>
    <s v=" "/>
    <s v="2821CCMC36_F21"/>
    <s v="2"/>
    <s v=" "/>
    <s v="CERT"/>
    <n v="-34257.33"/>
    <d v="2021-07-01T00:00:00"/>
    <d v="2021-07-01T00:00:00"/>
    <d v="2021-07-30T00:00:00"/>
    <s v="PY"/>
  </r>
  <r>
    <x v="1"/>
    <s v="1746001484"/>
    <s v="KATY ISD"/>
    <x v="2"/>
    <s v=" "/>
    <s v="2821CCMC36_F21"/>
    <s v="3"/>
    <s v=" "/>
    <s v="CERT"/>
    <n v="-15451.41"/>
    <d v="2021-07-01T00:00:00"/>
    <d v="2021-07-01T00:00:00"/>
    <d v="2021-07-30T00:00:00"/>
    <s v="PY"/>
  </r>
  <r>
    <x v="1"/>
    <s v="1746001484"/>
    <s v="KATY ISD"/>
    <x v="2"/>
    <s v=" "/>
    <s v="2821CCMC36_F21"/>
    <s v="3"/>
    <s v=" "/>
    <s v="CERT"/>
    <n v="-27548.59"/>
    <d v="2021-10-11T00:00:00"/>
    <d v="2021-10-11T00:00:00"/>
    <d v="2021-10-25T00:00:00"/>
    <s v="PY"/>
  </r>
  <r>
    <x v="1"/>
    <s v="1746001484"/>
    <s v="KATY ISD"/>
    <x v="2"/>
    <s v=" "/>
    <s v="2821CCMC36_F21"/>
    <s v="4"/>
    <s v=" "/>
    <s v="CERT"/>
    <n v="-25021.7"/>
    <d v="2021-10-11T00:00:00"/>
    <d v="2021-10-11T00:00:00"/>
    <d v="2021-10-25T00:00:00"/>
    <s v="PY"/>
  </r>
  <r>
    <x v="1"/>
    <s v="1746001484"/>
    <s v="KATY ISD"/>
    <x v="2"/>
    <s v=" "/>
    <s v="2821CCMC36_F21"/>
    <s v="4"/>
    <s v=" "/>
    <s v="CERT"/>
    <n v="-5978.3"/>
    <d v="2022-03-02T00:00:00"/>
    <d v="2022-03-02T00:00:00"/>
    <d v="2022-03-18T00:00:00"/>
    <s v="PY"/>
  </r>
  <r>
    <x v="1"/>
    <s v="1746001582"/>
    <s v="LAREDO COMM COLLEGE"/>
    <x v="26"/>
    <s v=" "/>
    <s v="11211C04_F21"/>
    <s v="1"/>
    <s v=" "/>
    <s v="CERT"/>
    <n v="-150000"/>
    <d v="2021-07-14T00:00:00"/>
    <d v="2021-07-14T00:00:00"/>
    <d v="2021-07-30T00:00:00"/>
    <s v="PY"/>
  </r>
  <r>
    <x v="1"/>
    <s v="1746001582"/>
    <s v="LAREDO COMM COLLEGE"/>
    <x v="26"/>
    <s v=" "/>
    <s v="11211C04_F21"/>
    <s v="2"/>
    <s v=" "/>
    <s v="CERT"/>
    <n v="-150000"/>
    <d v="2021-07-14T00:00:00"/>
    <d v="2021-07-14T00:00:00"/>
    <d v="2021-07-30T00:00:00"/>
    <s v="PY"/>
  </r>
  <r>
    <x v="1"/>
    <s v="1746001582"/>
    <s v="LAREDO COMM COLLEGE"/>
    <x v="26"/>
    <s v=" "/>
    <s v="11211C04_F21"/>
    <s v="3"/>
    <s v=" "/>
    <s v="CERT"/>
    <n v="-50000"/>
    <d v="2021-07-14T00:00:00"/>
    <d v="2021-07-14T00:00:00"/>
    <d v="2021-07-30T00:00:00"/>
    <s v="PY"/>
  </r>
  <r>
    <x v="1"/>
    <s v="1746001592"/>
    <s v="CLEAR CREEK ISD"/>
    <x v="2"/>
    <s v=" "/>
    <s v="2821CCMC34_F21"/>
    <s v="1"/>
    <s v=" "/>
    <s v="CERT"/>
    <n v="-22000"/>
    <d v="2021-02-05T00:00:00"/>
    <d v="2021-02-05T00:00:00"/>
    <d v="2021-02-26T00:00:00"/>
    <s v="PY"/>
  </r>
  <r>
    <x v="1"/>
    <s v="1746001592"/>
    <s v="CLEAR CREEK ISD"/>
    <x v="2"/>
    <s v=" "/>
    <s v="2821CCMC34_F21"/>
    <s v="2"/>
    <s v=" "/>
    <s v="CERT"/>
    <n v="-9377.42"/>
    <d v="2021-02-05T00:00:00"/>
    <d v="2021-02-05T00:00:00"/>
    <d v="2021-02-26T00:00:00"/>
    <s v="PY"/>
  </r>
  <r>
    <x v="1"/>
    <s v="1746001592"/>
    <s v="CLEAR CREEK ISD"/>
    <x v="2"/>
    <s v=" "/>
    <s v="2821CCMC34_F21"/>
    <s v="2"/>
    <s v=" "/>
    <s v="CERT"/>
    <n v="-12622.58"/>
    <d v="2021-07-14T00:00:00"/>
    <d v="2021-07-14T00:00:00"/>
    <d v="2021-07-30T00:00:00"/>
    <s v="PY"/>
  </r>
  <r>
    <x v="1"/>
    <s v="1746001592"/>
    <s v="CLEAR CREEK ISD"/>
    <x v="2"/>
    <s v=" "/>
    <s v="2821CCMC34_F21"/>
    <s v="3"/>
    <s v=" "/>
    <s v="CERT"/>
    <n v="-13794.84"/>
    <d v="2021-07-14T00:00:00"/>
    <d v="2021-07-14T00:00:00"/>
    <d v="2021-07-30T00:00:00"/>
    <s v="PY"/>
  </r>
  <r>
    <x v="1"/>
    <s v="1746001592"/>
    <s v="CLEAR CREEK ISD"/>
    <x v="2"/>
    <s v=" "/>
    <s v="2821CCMC34_F21"/>
    <s v="3"/>
    <s v=" "/>
    <s v="CERT"/>
    <n v="-6205.16"/>
    <d v="2021-10-15T00:00:00"/>
    <d v="2021-10-15T00:00:00"/>
    <d v="2021-10-25T00:00:00"/>
    <s v="PY"/>
  </r>
  <r>
    <x v="1"/>
    <s v="1746001592"/>
    <s v="CLEAR CREEK ISD"/>
    <x v="2"/>
    <s v=" "/>
    <s v="2821CCMC34_F21"/>
    <s v="4"/>
    <s v=" "/>
    <s v="CERT"/>
    <n v="-16000"/>
    <d v="2021-10-15T00:00:00"/>
    <d v="2021-10-15T00:00:00"/>
    <d v="2021-10-25T00:00:00"/>
    <s v="PY"/>
  </r>
  <r>
    <x v="1"/>
    <s v="1746001996"/>
    <s v="ROCKDALE ISD"/>
    <x v="24"/>
    <s v=" "/>
    <s v="07130C14_F21"/>
    <s v="1"/>
    <s v=" "/>
    <s v="CERT"/>
    <n v="-40000"/>
    <d v="2021-08-04T00:00:00"/>
    <d v="2021-08-04T00:00:00"/>
    <d v="2021-08-26T00:00:00"/>
    <s v="PY"/>
  </r>
  <r>
    <x v="1"/>
    <s v="1746002016"/>
    <s v="LAMAR CISD"/>
    <x v="2"/>
    <s v=" "/>
    <s v="2821CCMC10_F21"/>
    <s v="1"/>
    <s v=" "/>
    <s v="CERT"/>
    <n v="-15000"/>
    <d v="2021-02-09T00:00:00"/>
    <d v="2021-02-09T00:00:00"/>
    <d v="2021-02-26T00:00:00"/>
    <s v="PY"/>
  </r>
  <r>
    <x v="1"/>
    <s v="1746002016"/>
    <s v="LAMAR CISD"/>
    <x v="2"/>
    <s v=" "/>
    <s v="2821CCMC10_F21"/>
    <s v="2"/>
    <s v=" "/>
    <s v="CERT"/>
    <n v="-1337.52"/>
    <d v="2021-02-09T00:00:00"/>
    <d v="2021-02-09T00:00:00"/>
    <d v="2021-02-26T00:00:00"/>
    <s v="PY"/>
  </r>
  <r>
    <x v="1"/>
    <s v="1746002016"/>
    <s v="LAMAR CISD"/>
    <x v="2"/>
    <s v=" "/>
    <s v="2821CCMC10_F21"/>
    <s v="2"/>
    <s v=" "/>
    <s v="CERT"/>
    <n v="-13662.48"/>
    <d v="2021-07-02T00:00:00"/>
    <d v="2021-07-02T00:00:00"/>
    <d v="2021-07-30T00:00:00"/>
    <s v="PY"/>
  </r>
  <r>
    <x v="1"/>
    <s v="1746002016"/>
    <s v="LAMAR CISD"/>
    <x v="2"/>
    <s v=" "/>
    <s v="2821CCMC10_F21"/>
    <s v="3"/>
    <s v=" "/>
    <s v="CERT"/>
    <n v="-2675.04"/>
    <d v="2021-07-02T00:00:00"/>
    <d v="2021-07-02T00:00:00"/>
    <d v="2021-07-30T00:00:00"/>
    <s v="PY"/>
  </r>
  <r>
    <x v="1"/>
    <s v="1746002016"/>
    <s v="LAMAR CISD"/>
    <x v="2"/>
    <s v=" "/>
    <s v="2821CCMC10_F21"/>
    <s v="3"/>
    <s v=" "/>
    <s v="CERT"/>
    <n v="-12324.96"/>
    <d v="2021-10-11T00:00:00"/>
    <d v="2021-10-11T00:00:00"/>
    <d v="2021-10-25T00:00:00"/>
    <s v="PY"/>
  </r>
  <r>
    <x v="1"/>
    <s v="1746002016"/>
    <s v="LAMAR CISD"/>
    <x v="2"/>
    <s v=" "/>
    <s v="2821CCMC10_F21"/>
    <s v="4"/>
    <s v=" "/>
    <s v="CERT"/>
    <n v="-4012.56"/>
    <d v="2021-10-11T00:00:00"/>
    <d v="2021-10-11T00:00:00"/>
    <d v="2021-10-25T00:00:00"/>
    <s v="PY"/>
  </r>
  <r>
    <x v="1"/>
    <s v="1746002016"/>
    <s v="LAMAR CISD"/>
    <x v="2"/>
    <s v=" "/>
    <s v="2821CCMC10_F21"/>
    <s v="4"/>
    <s v=" "/>
    <s v="CERT"/>
    <n v="-5987.44"/>
    <d v="2022-03-02T00:00:00"/>
    <d v="2022-03-02T00:00:00"/>
    <d v="2022-03-18T00:00:00"/>
    <s v="PY"/>
  </r>
  <r>
    <x v="1"/>
    <s v="1746002070"/>
    <s v="CITY OF SAN ANTONIO"/>
    <x v="10"/>
    <s v=" "/>
    <s v="2021CCM001_F21"/>
    <s v="1"/>
    <s v=" "/>
    <s v="CERT"/>
    <n v="-48995.55"/>
    <d v="2021-04-16T00:00:00"/>
    <d v="2021-04-16T00:00:00"/>
    <d v="2021-04-28T00:00:00"/>
    <s v="PY"/>
  </r>
  <r>
    <x v="1"/>
    <s v="1746002070"/>
    <s v="CITY OF SAN ANTONIO"/>
    <x v="10"/>
    <s v=" "/>
    <s v="2021CCM001_F21"/>
    <s v="2"/>
    <s v=" "/>
    <s v="CERT"/>
    <n v="-448388.64"/>
    <d v="2021-07-14T00:00:00"/>
    <d v="2021-07-14T00:00:00"/>
    <d v="2021-07-30T00:00:00"/>
    <s v="PY"/>
  </r>
  <r>
    <x v="1"/>
    <s v="1746002070"/>
    <s v="CITY OF SAN ANTONIO"/>
    <x v="10"/>
    <s v=" "/>
    <s v="2021CCM001_F21"/>
    <s v="3"/>
    <s v=" "/>
    <s v="CERT"/>
    <n v="-475775.45"/>
    <d v="2021-07-14T00:00:00"/>
    <d v="2021-07-14T00:00:00"/>
    <d v="2021-07-30T00:00:00"/>
    <s v="PY"/>
  </r>
  <r>
    <x v="1"/>
    <s v="1746002070"/>
    <s v="CITY OF SAN ANTONIO"/>
    <x v="10"/>
    <s v=" "/>
    <s v="2021CCM001_F21"/>
    <s v="3"/>
    <s v=" "/>
    <s v="CERT"/>
    <n v="-40198.42"/>
    <d v="2022-02-11T00:00:00"/>
    <d v="2022-02-11T00:00:00"/>
    <d v="2022-02-28T00:00:00"/>
    <s v="PY"/>
  </r>
  <r>
    <x v="1"/>
    <s v="1746002070"/>
    <s v="CITY OF SAN ANTONIO"/>
    <x v="10"/>
    <s v=" "/>
    <s v="2021CCM001_F21"/>
    <s v="4"/>
    <s v=" "/>
    <s v="CERT"/>
    <n v="-1522287"/>
    <d v="2022-02-11T00:00:00"/>
    <d v="2022-02-11T00:00:00"/>
    <d v="2022-02-28T00:00:00"/>
    <s v="PY"/>
  </r>
  <r>
    <x v="1"/>
    <s v="1746002290"/>
    <s v="SHELDON ISD"/>
    <x v="2"/>
    <s v=" "/>
    <s v="2821CCMC42_F21"/>
    <s v="1"/>
    <s v=" "/>
    <s v="CERT"/>
    <n v="-75649.320000000007"/>
    <d v="2021-02-09T00:00:00"/>
    <d v="2021-02-09T00:00:00"/>
    <d v="2021-02-26T00:00:00"/>
    <s v="PY"/>
  </r>
  <r>
    <x v="1"/>
    <s v="1746002290"/>
    <s v="SHELDON ISD"/>
    <x v="2"/>
    <s v=" "/>
    <s v="2821CCMC42_F21"/>
    <s v="1"/>
    <s v=" "/>
    <s v="CERT"/>
    <n v="-4350.68"/>
    <d v="2021-07-02T00:00:00"/>
    <d v="2021-07-02T00:00:00"/>
    <d v="2021-07-30T00:00:00"/>
    <s v="PY"/>
  </r>
  <r>
    <x v="1"/>
    <s v="1746002290"/>
    <s v="SHELDON ISD"/>
    <x v="2"/>
    <s v=" "/>
    <s v="2821CCMC42_F21"/>
    <s v="2"/>
    <s v=" "/>
    <s v="CERT"/>
    <n v="-67954.75"/>
    <d v="2021-07-02T00:00:00"/>
    <d v="2021-07-02T00:00:00"/>
    <d v="2021-07-30T00:00:00"/>
    <s v="PY"/>
  </r>
  <r>
    <x v="1"/>
    <s v="1746002290"/>
    <s v="SHELDON ISD"/>
    <x v="2"/>
    <s v=" "/>
    <s v="2821CCMC42_F21"/>
    <s v="2"/>
    <s v=" "/>
    <s v="CERT"/>
    <n v="-7045.25"/>
    <d v="2021-10-11T00:00:00"/>
    <d v="2021-10-11T00:00:00"/>
    <d v="2021-10-25T00:00:00"/>
    <s v="PY"/>
  </r>
  <r>
    <x v="1"/>
    <s v="1746002290"/>
    <s v="SHELDON ISD"/>
    <x v="2"/>
    <s v=" "/>
    <s v="2821CCMC42_F21"/>
    <s v="3"/>
    <s v=" "/>
    <s v="CERT"/>
    <n v="-70441.710000000006"/>
    <d v="2021-10-11T00:00:00"/>
    <d v="2021-10-11T00:00:00"/>
    <d v="2021-10-25T00:00:00"/>
    <s v="PY"/>
  </r>
  <r>
    <x v="1"/>
    <s v="1746002290"/>
    <s v="SHELDON ISD"/>
    <x v="2"/>
    <s v=" "/>
    <s v="2821CCMC42_F21"/>
    <s v="3"/>
    <s v=" "/>
    <s v="CERT"/>
    <n v="-4558.29"/>
    <d v="2022-03-02T00:00:00"/>
    <d v="2022-03-02T00:00:00"/>
    <d v="2022-03-18T00:00:00"/>
    <s v="PY"/>
  </r>
  <r>
    <x v="1"/>
    <s v="1746002290"/>
    <s v="SHELDON ISD"/>
    <x v="2"/>
    <s v=" "/>
    <s v="2821CCMC42_F21"/>
    <s v="4"/>
    <s v=" "/>
    <s v="CERT"/>
    <n v="-70000"/>
    <d v="2022-03-02T00:00:00"/>
    <d v="2022-03-02T00:00:00"/>
    <d v="2022-03-18T00:00:00"/>
    <s v="PY"/>
  </r>
  <r>
    <x v="1"/>
    <s v="1746002337"/>
    <s v="KLEIN ISD"/>
    <x v="2"/>
    <s v=" "/>
    <s v="2821CCMC35_F21"/>
    <s v="1"/>
    <s v=" "/>
    <s v="CERT"/>
    <n v="-75000"/>
    <d v="2021-02-09T00:00:00"/>
    <d v="2021-02-09T00:00:00"/>
    <d v="2021-02-26T00:00:00"/>
    <s v="PY"/>
  </r>
  <r>
    <x v="1"/>
    <s v="1746002337"/>
    <s v="KLEIN ISD"/>
    <x v="2"/>
    <s v=" "/>
    <s v="2821CCMC35_F21"/>
    <s v="2"/>
    <s v=" "/>
    <s v="CERT"/>
    <n v="-58573.919999999998"/>
    <d v="2021-02-09T00:00:00"/>
    <d v="2021-02-09T00:00:00"/>
    <d v="2021-02-26T00:00:00"/>
    <s v="PY"/>
  </r>
  <r>
    <x v="1"/>
    <s v="1746002337"/>
    <s v="KLEIN ISD"/>
    <x v="2"/>
    <s v=" "/>
    <s v="2821CCMC35_F21"/>
    <s v="2"/>
    <s v=" "/>
    <s v="CERT"/>
    <n v="-16426.080000000002"/>
    <d v="2021-07-01T00:00:00"/>
    <d v="2021-07-01T00:00:00"/>
    <d v="2021-07-30T00:00:00"/>
    <s v="PY"/>
  </r>
  <r>
    <x v="1"/>
    <s v="1746002337"/>
    <s v="KLEIN ISD"/>
    <x v="2"/>
    <s v=" "/>
    <s v="2821CCMC35_F21"/>
    <s v="3"/>
    <s v=" "/>
    <s v="CERT"/>
    <n v="-75000"/>
    <d v="2021-07-01T00:00:00"/>
    <d v="2021-07-01T00:00:00"/>
    <d v="2021-07-30T00:00:00"/>
    <s v="PY"/>
  </r>
  <r>
    <x v="1"/>
    <s v="1746002337"/>
    <s v="KLEIN ISD"/>
    <x v="2"/>
    <s v=" "/>
    <s v="2821CCMC35_F21"/>
    <s v="4"/>
    <s v=" "/>
    <s v="CERT"/>
    <n v="-26400.12"/>
    <d v="2021-07-01T00:00:00"/>
    <d v="2021-07-01T00:00:00"/>
    <d v="2021-07-30T00:00:00"/>
    <s v="PY"/>
  </r>
  <r>
    <x v="1"/>
    <s v="1746002337"/>
    <s v="KLEIN ISD"/>
    <x v="2"/>
    <s v=" "/>
    <s v="2821CCMC35_F21"/>
    <s v="4"/>
    <s v=" "/>
    <s v="CERT"/>
    <n v="-48599.88"/>
    <d v="2021-10-11T00:00:00"/>
    <d v="2021-10-11T00:00:00"/>
    <d v="2021-10-25T00:00:00"/>
    <s v="PY"/>
  </r>
  <r>
    <x v="1"/>
    <s v="1746002339"/>
    <s v="SPRING ISD"/>
    <x v="2"/>
    <s v=" "/>
    <s v="2821CCMC23_F21"/>
    <s v="1"/>
    <s v=" "/>
    <s v="CERT"/>
    <n v="-65000"/>
    <d v="2021-02-09T00:00:00"/>
    <d v="2021-02-09T00:00:00"/>
    <d v="2021-02-26T00:00:00"/>
    <s v="PY"/>
  </r>
  <r>
    <x v="1"/>
    <s v="1746002339"/>
    <s v="SPRING ISD"/>
    <x v="2"/>
    <s v=" "/>
    <s v="2821CCMC23_F21"/>
    <s v="2"/>
    <s v=" "/>
    <s v="CERT"/>
    <n v="-2293.29"/>
    <d v="2021-02-09T00:00:00"/>
    <d v="2021-02-09T00:00:00"/>
    <d v="2021-02-26T00:00:00"/>
    <s v="PY"/>
  </r>
  <r>
    <x v="1"/>
    <s v="1746002339"/>
    <s v="SPRING ISD"/>
    <x v="2"/>
    <s v=" "/>
    <s v="2821CCMC23_F21"/>
    <s v="2"/>
    <s v=" "/>
    <s v="CERT"/>
    <n v="-67706.710000000006"/>
    <d v="2021-07-02T00:00:00"/>
    <d v="2021-07-02T00:00:00"/>
    <d v="2021-07-30T00:00:00"/>
    <s v="PY"/>
  </r>
  <r>
    <x v="1"/>
    <s v="1746002339"/>
    <s v="SPRING ISD"/>
    <x v="2"/>
    <s v=" "/>
    <s v="2821CCMC23_F21"/>
    <s v="3"/>
    <s v=" "/>
    <s v="CERT"/>
    <n v="-1215.1600000000001"/>
    <d v="2021-07-02T00:00:00"/>
    <d v="2021-07-02T00:00:00"/>
    <d v="2021-07-30T00:00:00"/>
    <s v="PY"/>
  </r>
  <r>
    <x v="1"/>
    <s v="1746002339"/>
    <s v="SPRING ISD"/>
    <x v="2"/>
    <s v=" "/>
    <s v="2821CCMC23_F21"/>
    <s v="3"/>
    <s v=" "/>
    <s v="CERT"/>
    <n v="-63784.84"/>
    <d v="2021-10-11T00:00:00"/>
    <d v="2021-10-11T00:00:00"/>
    <d v="2021-10-25T00:00:00"/>
    <s v="PY"/>
  </r>
  <r>
    <x v="1"/>
    <s v="1746002339"/>
    <s v="SPRING ISD"/>
    <x v="2"/>
    <s v=" "/>
    <s v="2821CCMC23_F21"/>
    <s v="4"/>
    <s v=" "/>
    <s v="CERT"/>
    <n v="-10615.57"/>
    <d v="2021-10-11T00:00:00"/>
    <d v="2021-10-11T00:00:00"/>
    <d v="2021-10-25T00:00:00"/>
    <s v="PY"/>
  </r>
  <r>
    <x v="1"/>
    <s v="1746002339"/>
    <s v="SPRING ISD"/>
    <x v="2"/>
    <s v=" "/>
    <s v="2821CCMC23_F21"/>
    <s v="4"/>
    <s v=" "/>
    <s v="CERT"/>
    <n v="-39384.43"/>
    <d v="2022-03-03T00:00:00"/>
    <d v="2022-03-03T00:00:00"/>
    <d v="2022-03-18T00:00:00"/>
    <s v="PY"/>
  </r>
  <r>
    <x v="1"/>
    <s v="1746002380"/>
    <s v="TEMPLE ISD"/>
    <x v="24"/>
    <s v=" "/>
    <s v="07130C08_F21"/>
    <s v="1"/>
    <s v=" "/>
    <s v="CERT"/>
    <n v="-40000"/>
    <d v="2021-06-09T00:00:00"/>
    <d v="2021-06-09T00:00:00"/>
    <d v="2021-06-29T00:00:00"/>
    <s v="PY"/>
  </r>
  <r>
    <x v="1"/>
    <s v="1746002532"/>
    <s v="WACO ISD"/>
    <x v="3"/>
    <s v=" "/>
    <s v="1321CCMC17_F21"/>
    <s v="1"/>
    <s v=" "/>
    <s v="CERT"/>
    <n v="-265000"/>
    <d v="2022-01-20T00:00:00"/>
    <d v="2022-01-20T00:00:00"/>
    <d v="2022-01-20T00:00:00"/>
    <s v="PY"/>
  </r>
  <r>
    <x v="1"/>
    <s v="1746002562"/>
    <s v="WHARTON COUNTY JUNIOR COLLEGE"/>
    <x v="2"/>
    <s v=" "/>
    <s v="2821CCMC40_F21"/>
    <s v="1"/>
    <s v=" "/>
    <s v="CERT"/>
    <n v="-28000"/>
    <d v="2021-02-09T00:00:00"/>
    <d v="2021-02-09T00:00:00"/>
    <d v="2021-02-26T00:00:00"/>
    <s v="PY"/>
  </r>
  <r>
    <x v="1"/>
    <s v="1746002562"/>
    <s v="WHARTON COUNTY JUNIOR COLLEGE"/>
    <x v="2"/>
    <s v=" "/>
    <s v="2821CCMC40_F21"/>
    <s v="2"/>
    <s v=" "/>
    <s v="CERT"/>
    <n v="-6885.96"/>
    <d v="2021-02-09T00:00:00"/>
    <d v="2021-02-09T00:00:00"/>
    <d v="2021-02-26T00:00:00"/>
    <s v="PY"/>
  </r>
  <r>
    <x v="1"/>
    <s v="1746002562"/>
    <s v="WHARTON COUNTY JUNIOR COLLEGE"/>
    <x v="2"/>
    <s v=" "/>
    <s v="2821CCMC40_F21"/>
    <s v="2"/>
    <s v=" "/>
    <s v="CERT"/>
    <n v="-21114.04"/>
    <d v="2021-07-02T00:00:00"/>
    <d v="2021-07-02T00:00:00"/>
    <d v="2021-07-30T00:00:00"/>
    <s v="PY"/>
  </r>
  <r>
    <x v="1"/>
    <s v="1746002562"/>
    <s v="WHARTON COUNTY JUNIOR COLLEGE"/>
    <x v="2"/>
    <s v=" "/>
    <s v="2821CCMC40_F21"/>
    <s v="3"/>
    <s v=" "/>
    <s v="CERT"/>
    <n v="-9660.0400000000009"/>
    <d v="2021-07-02T00:00:00"/>
    <d v="2021-07-02T00:00:00"/>
    <d v="2021-07-30T00:00:00"/>
    <s v="PY"/>
  </r>
  <r>
    <x v="1"/>
    <s v="1746002562"/>
    <s v="WHARTON COUNTY JUNIOR COLLEGE"/>
    <x v="2"/>
    <s v=" "/>
    <s v="2821CCMC40_F21"/>
    <s v="3"/>
    <s v=" "/>
    <s v="CERT"/>
    <n v="-18339.96"/>
    <d v="2021-10-08T00:00:00"/>
    <d v="2021-10-08T00:00:00"/>
    <d v="2021-10-25T00:00:00"/>
    <s v="PY"/>
  </r>
  <r>
    <x v="1"/>
    <s v="1746002562"/>
    <s v="WHARTON COUNTY JUNIOR COLLEGE"/>
    <x v="2"/>
    <s v=" "/>
    <s v="2821CCMC40_F21"/>
    <s v="4"/>
    <s v=" "/>
    <s v="CERT"/>
    <n v="-12724.95"/>
    <d v="2021-10-08T00:00:00"/>
    <d v="2021-10-08T00:00:00"/>
    <d v="2021-10-25T00:00:00"/>
    <s v="PY"/>
  </r>
  <r>
    <x v="1"/>
    <s v="1746002562"/>
    <s v="WHARTON COUNTY JUNIOR COLLEGE"/>
    <x v="2"/>
    <s v=" "/>
    <s v="2821CCMC40_F21"/>
    <s v="4"/>
    <s v=" "/>
    <s v="CERT"/>
    <n v="-15275.05"/>
    <d v="2022-03-02T00:00:00"/>
    <d v="2022-03-02T00:00:00"/>
    <d v="2022-03-18T00:00:00"/>
    <s v="PY"/>
  </r>
  <r>
    <x v="1"/>
    <s v="1746020689"/>
    <s v="TEMPLE COLLEGE"/>
    <x v="24"/>
    <s v=" "/>
    <s v="03111C05_F21"/>
    <s v="1"/>
    <s v=" "/>
    <s v="CERT"/>
    <n v="-40000"/>
    <d v="2021-08-19T00:00:00"/>
    <d v="2021-08-19T00:00:00"/>
    <d v="2021-08-26T00:00:00"/>
    <s v="PY"/>
  </r>
  <r>
    <x v="1"/>
    <s v="1746025253"/>
    <s v="FORT BEND ISD"/>
    <x v="2"/>
    <s v=" "/>
    <s v="2821CCMC14_F21"/>
    <s v="1"/>
    <s v=" "/>
    <s v="CERT"/>
    <n v="-62740.5"/>
    <d v="2021-07-01T00:00:00"/>
    <d v="2021-07-01T00:00:00"/>
    <d v="2021-07-30T00:00:00"/>
    <s v="PY"/>
  </r>
  <r>
    <x v="1"/>
    <s v="1746025253"/>
    <s v="FORT BEND ISD"/>
    <x v="2"/>
    <s v=" "/>
    <s v="2821CCMC14_F21"/>
    <s v="1"/>
    <s v=" "/>
    <s v="CERT"/>
    <n v="-2259.5"/>
    <d v="2021-07-14T00:00:00"/>
    <d v="2021-07-14T00:00:00"/>
    <d v="2021-07-30T00:00:00"/>
    <s v="PY"/>
  </r>
  <r>
    <x v="1"/>
    <s v="1746025253"/>
    <s v="FORT BEND ISD"/>
    <x v="2"/>
    <s v=" "/>
    <s v="2821CCMC14_F21"/>
    <s v="2"/>
    <s v=" "/>
    <s v="CERT"/>
    <n v="-62281.38"/>
    <d v="2021-07-14T00:00:00"/>
    <d v="2021-07-14T00:00:00"/>
    <d v="2021-07-30T00:00:00"/>
    <s v="PY"/>
  </r>
  <r>
    <x v="1"/>
    <s v="1746025253"/>
    <s v="FORT BEND ISD"/>
    <x v="2"/>
    <s v=" "/>
    <s v="2821CCMC14_F21"/>
    <s v="2"/>
    <s v=" "/>
    <s v="CERT"/>
    <n v="-2718.62"/>
    <d v="2021-10-15T00:00:00"/>
    <d v="2021-10-15T00:00:00"/>
    <d v="2021-10-25T00:00:00"/>
    <s v="PY"/>
  </r>
  <r>
    <x v="1"/>
    <s v="1746025253"/>
    <s v="FORT BEND ISD"/>
    <x v="2"/>
    <s v=" "/>
    <s v="2821CCMC14_F21"/>
    <s v="3"/>
    <s v=" "/>
    <s v="CERT"/>
    <n v="-58336.79"/>
    <d v="2021-10-15T00:00:00"/>
    <d v="2021-10-15T00:00:00"/>
    <d v="2021-10-25T00:00:00"/>
    <s v="PY"/>
  </r>
  <r>
    <x v="1"/>
    <s v="1746025253"/>
    <s v="FORT BEND ISD"/>
    <x v="2"/>
    <s v=" "/>
    <s v="2821CCMC14_F21"/>
    <s v="3"/>
    <s v=" "/>
    <s v="CERT"/>
    <n v="-6663.21"/>
    <d v="2022-03-03T00:00:00"/>
    <d v="2022-03-03T00:00:00"/>
    <d v="2022-03-18T00:00:00"/>
    <s v="PY"/>
  </r>
  <r>
    <x v="1"/>
    <s v="1746025253"/>
    <s v="FORT BEND ISD"/>
    <x v="2"/>
    <s v=" "/>
    <s v="2821CCMC14_F21"/>
    <s v="4"/>
    <s v=" "/>
    <s v="CERT"/>
    <n v="-50000"/>
    <d v="2022-03-03T00:00:00"/>
    <d v="2022-03-03T00:00:00"/>
    <d v="2022-03-18T00:00:00"/>
    <s v="PY"/>
  </r>
  <r>
    <x v="1"/>
    <s v="1746025566"/>
    <s v="LEE COLLEGE DISCTRICT"/>
    <x v="2"/>
    <s v=" "/>
    <s v="2821CCMC41_F21"/>
    <s v="1"/>
    <s v=" "/>
    <s v="CERT"/>
    <n v="-17000"/>
    <d v="2021-02-09T00:00:00"/>
    <d v="2021-02-09T00:00:00"/>
    <d v="2021-02-26T00:00:00"/>
    <s v="PY"/>
  </r>
  <r>
    <x v="1"/>
    <s v="1746025566"/>
    <s v="LEE COLLEGE DISCTRICT"/>
    <x v="2"/>
    <s v=" "/>
    <s v="2821CCMC41_F21"/>
    <s v="2"/>
    <s v=" "/>
    <s v="CERT"/>
    <n v="-11780.02"/>
    <d v="2021-02-09T00:00:00"/>
    <d v="2021-02-09T00:00:00"/>
    <d v="2021-02-26T00:00:00"/>
    <s v="PY"/>
  </r>
  <r>
    <x v="1"/>
    <s v="1746025566"/>
    <s v="LEE COLLEGE DISCTRICT"/>
    <x v="2"/>
    <s v=" "/>
    <s v="2821CCMC41_F21"/>
    <s v="2"/>
    <s v=" "/>
    <s v="CERT"/>
    <n v="-5219.9799999999996"/>
    <d v="2021-07-02T00:00:00"/>
    <d v="2021-07-02T00:00:00"/>
    <d v="2021-07-30T00:00:00"/>
    <s v="PY"/>
  </r>
  <r>
    <x v="1"/>
    <s v="1746025566"/>
    <s v="LEE COLLEGE DISCTRICT"/>
    <x v="2"/>
    <s v=" "/>
    <s v="2821CCMC41_F21"/>
    <s v="3"/>
    <s v=" "/>
    <s v="CERT"/>
    <n v="-15000"/>
    <d v="2021-07-02T00:00:00"/>
    <d v="2021-07-02T00:00:00"/>
    <d v="2021-07-30T00:00:00"/>
    <s v="PY"/>
  </r>
  <r>
    <x v="1"/>
    <s v="1746025566"/>
    <s v="LEE COLLEGE DISCTRICT"/>
    <x v="2"/>
    <s v=" "/>
    <s v="2821CCMC41_F21"/>
    <s v="4"/>
    <s v=" "/>
    <s v="CERT"/>
    <n v="-168.76"/>
    <d v="2021-07-02T00:00:00"/>
    <d v="2021-07-02T00:00:00"/>
    <d v="2021-07-30T00:00:00"/>
    <s v="PY"/>
  </r>
  <r>
    <x v="1"/>
    <s v="1746025566"/>
    <s v="LEE COLLEGE DISCTRICT"/>
    <x v="2"/>
    <s v=" "/>
    <s v="2821CCMC41_F21"/>
    <s v="4"/>
    <s v=" "/>
    <s v="CERT"/>
    <n v="-15831.24"/>
    <d v="2021-10-11T00:00:00"/>
    <d v="2021-10-11T00:00:00"/>
    <d v="2021-10-25T00:00:00"/>
    <s v="PY"/>
  </r>
  <r>
    <x v="1"/>
    <s v="1746028285"/>
    <s v="SAN JACINTO COLLEGE"/>
    <x v="2"/>
    <s v=" "/>
    <s v="2821CCMC26_F21"/>
    <s v="1"/>
    <s v=" "/>
    <s v="CERT"/>
    <n v="-400000"/>
    <d v="2021-02-09T00:00:00"/>
    <d v="2021-02-09T00:00:00"/>
    <d v="2021-02-26T00:00:00"/>
    <s v="PY"/>
  </r>
  <r>
    <x v="1"/>
    <s v="1746028285"/>
    <s v="SAN JACINTO COLLEGE"/>
    <x v="2"/>
    <s v=" "/>
    <s v="2821CCMC26_F21"/>
    <s v="2"/>
    <s v=" "/>
    <s v="CERT"/>
    <n v="-30458.37"/>
    <d v="2021-02-09T00:00:00"/>
    <d v="2021-02-09T00:00:00"/>
    <d v="2021-02-26T00:00:00"/>
    <s v="PY"/>
  </r>
  <r>
    <x v="1"/>
    <s v="1746028285"/>
    <s v="SAN JACINTO COLLEGE"/>
    <x v="2"/>
    <s v=" "/>
    <s v="2821CCMC26_F21"/>
    <s v="2"/>
    <s v=" "/>
    <s v="CERT"/>
    <n v="-269541.63"/>
    <d v="2021-07-02T00:00:00"/>
    <d v="2021-07-02T00:00:00"/>
    <d v="2021-07-30T00:00:00"/>
    <s v="PY"/>
  </r>
  <r>
    <x v="1"/>
    <s v="1746028285"/>
    <s v="SAN JACINTO COLLEGE"/>
    <x v="2"/>
    <s v=" "/>
    <s v="2821CCMC26_F21"/>
    <s v="3"/>
    <s v=" "/>
    <s v="CERT"/>
    <n v="-132249.79"/>
    <d v="2021-07-02T00:00:00"/>
    <d v="2021-07-02T00:00:00"/>
    <d v="2021-07-30T00:00:00"/>
    <s v="PY"/>
  </r>
  <r>
    <x v="1"/>
    <s v="1746028285"/>
    <s v="SAN JACINTO COLLEGE"/>
    <x v="2"/>
    <s v=" "/>
    <s v="2821CCMC26_F21"/>
    <s v="3"/>
    <s v=" "/>
    <s v="CERT"/>
    <n v="-167750.21"/>
    <d v="2021-10-11T00:00:00"/>
    <d v="2021-10-11T00:00:00"/>
    <d v="2021-10-20T00:00:00"/>
    <s v="PY"/>
  </r>
  <r>
    <x v="1"/>
    <s v="1746028285"/>
    <s v="SAN JACINTO COLLEGE"/>
    <x v="2"/>
    <s v=" "/>
    <s v="2821CCMC26_F21"/>
    <s v="4"/>
    <s v=" "/>
    <s v="CERT"/>
    <n v="-256776.19"/>
    <d v="2021-10-11T00:00:00"/>
    <d v="2021-10-11T00:00:00"/>
    <d v="2021-10-20T00:00:00"/>
    <s v="PY"/>
  </r>
  <r>
    <x v="1"/>
    <s v="1746028285"/>
    <s v="SAN JACINTO COLLEGE"/>
    <x v="2"/>
    <s v=" "/>
    <s v="2821CCMC26_F21"/>
    <s v="4"/>
    <s v=" "/>
    <s v="CERT"/>
    <n v="-106674.81"/>
    <d v="2022-03-02T00:00:00"/>
    <d v="2022-03-02T00:00:00"/>
    <d v="2022-03-18T00:00:00"/>
    <s v="PY"/>
  </r>
  <r>
    <x v="1"/>
    <s v="1746028285"/>
    <s v="SAN JACINTO COLLEGE"/>
    <x v="2"/>
    <s v=" "/>
    <s v="2821CCMC26_F21"/>
    <s v="5"/>
    <s v=" "/>
    <s v="CERT"/>
    <n v="-37000"/>
    <d v="2022-03-02T00:00:00"/>
    <d v="2022-03-02T00:00:00"/>
    <d v="2022-03-18T00:00:00"/>
    <s v="PY"/>
  </r>
  <r>
    <x v="1"/>
    <s v="1746028285"/>
    <s v="SAN JACINTO COLLEGE"/>
    <x v="2"/>
    <s v=" "/>
    <s v="2821CCMC26_F21"/>
    <s v="6"/>
    <s v=" "/>
    <s v="CERT"/>
    <n v="-90000"/>
    <d v="2022-03-02T00:00:00"/>
    <d v="2022-03-02T00:00:00"/>
    <d v="2022-03-18T00:00:00"/>
    <s v="PY"/>
  </r>
  <r>
    <x v="1"/>
    <s v="1746028859"/>
    <s v="UNITED ISD"/>
    <x v="26"/>
    <s v=" "/>
    <s v="11211C02_F21"/>
    <s v="1"/>
    <s v=" "/>
    <s v="CERT"/>
    <n v="-75472"/>
    <d v="2022-02-24T00:00:00"/>
    <d v="2022-02-24T00:00:00"/>
    <d v="2022-02-28T00:00:00"/>
    <s v="PY"/>
  </r>
  <r>
    <x v="1"/>
    <s v="1746028859"/>
    <s v="UNITED ISD"/>
    <x v="26"/>
    <s v=" "/>
    <s v="11211C02_F21"/>
    <s v="2"/>
    <s v=" "/>
    <s v="CERT"/>
    <n v="-75472"/>
    <d v="2022-02-24T00:00:00"/>
    <d v="2022-02-24T00:00:00"/>
    <d v="2022-02-28T00:00:00"/>
    <s v="PY"/>
  </r>
  <r>
    <x v="1"/>
    <s v="1751050382"/>
    <s v="NORTH CENTRAL TEXAS COLLEGE"/>
    <x v="12"/>
    <s v=" "/>
    <s v="03111C07_F21"/>
    <s v="1"/>
    <s v=" "/>
    <s v="CERT"/>
    <n v="-23899"/>
    <d v="2021-10-15T00:00:00"/>
    <d v="2021-10-15T00:00:00"/>
    <d v="2021-10-25T00:00:00"/>
    <s v="PY"/>
  </r>
  <r>
    <x v="1"/>
    <s v="1751164343"/>
    <s v="CISCO JUNIOR COLLEGE"/>
    <x v="23"/>
    <s v=" "/>
    <s v="0921CCMC79_F21"/>
    <s v="1"/>
    <s v=" "/>
    <s v="CERT"/>
    <n v="-15000"/>
    <d v="2021-03-15T00:00:00"/>
    <d v="2021-03-15T00:00:00"/>
    <d v="2021-03-29T00:00:00"/>
    <s v="PY"/>
  </r>
  <r>
    <x v="1"/>
    <s v="1751164343"/>
    <s v="CISCO JUNIOR COLLEGE"/>
    <x v="23"/>
    <s v=" "/>
    <s v="0921CCMC79_F21"/>
    <s v="2"/>
    <s v=" "/>
    <s v="CERT"/>
    <n v="-9620.9699999999993"/>
    <d v="2021-03-15T00:00:00"/>
    <d v="2021-03-15T00:00:00"/>
    <d v="2021-03-29T00:00:00"/>
    <s v="PY"/>
  </r>
  <r>
    <x v="1"/>
    <s v="1751164343"/>
    <s v="CISCO JUNIOR COLLEGE"/>
    <x v="23"/>
    <s v=" "/>
    <s v="0921CCMC79_F21"/>
    <s v="2"/>
    <s v=" "/>
    <s v="CERT"/>
    <n v="-5379.03"/>
    <d v="2021-07-01T00:00:00"/>
    <d v="2021-07-01T00:00:00"/>
    <d v="2021-07-01T00:00:00"/>
    <s v="PY"/>
  </r>
  <r>
    <x v="1"/>
    <s v="1751164343"/>
    <s v="CISCO JUNIOR COLLEGE"/>
    <x v="23"/>
    <s v=" "/>
    <s v="0921CCMC79_F21"/>
    <s v="3"/>
    <s v=" "/>
    <s v="CERT"/>
    <n v="-19245.14"/>
    <d v="2021-07-01T00:00:00"/>
    <d v="2021-07-01T00:00:00"/>
    <d v="2021-07-01T00:00:00"/>
    <s v="PY"/>
  </r>
  <r>
    <x v="1"/>
    <s v="1751164343"/>
    <s v="CISCO JUNIOR COLLEGE"/>
    <x v="23"/>
    <s v=" "/>
    <s v="0921CCMC79_F21"/>
    <s v="3"/>
    <s v=" "/>
    <s v="CERT"/>
    <n v="-8286.86"/>
    <d v="2022-02-16T00:00:00"/>
    <d v="2022-02-16T00:00:00"/>
    <d v="2022-02-28T00:00:00"/>
    <s v="PY"/>
  </r>
  <r>
    <x v="1"/>
    <s v="1751164343"/>
    <s v="CISCO JUNIOR COLLEGE"/>
    <x v="23"/>
    <s v=" "/>
    <s v="0921CCMC79_F21"/>
    <s v="4"/>
    <s v=" "/>
    <s v="CERT"/>
    <n v="-7903.43"/>
    <d v="2022-02-16T00:00:00"/>
    <d v="2022-02-16T00:00:00"/>
    <d v="2022-02-28T00:00:00"/>
    <s v="PY"/>
  </r>
  <r>
    <x v="1"/>
    <s v="1751169719"/>
    <s v="GRAYSON COUNTY COLLEGE"/>
    <x v="12"/>
    <s v=" "/>
    <s v="03111C05_F21"/>
    <s v="1"/>
    <s v=" "/>
    <s v="CERT"/>
    <n v="-138000"/>
    <d v="2021-10-27T00:00:00"/>
    <d v="2021-10-27T00:00:00"/>
    <d v="2021-10-29T00:00:00"/>
    <s v="PY"/>
  </r>
  <r>
    <x v="1"/>
    <s v="1751213149"/>
    <s v="DALLAS COUNTY COMM COLLEGE"/>
    <x v="14"/>
    <s v=" "/>
    <s v="0621CCM05_F21"/>
    <s v="1"/>
    <s v=" "/>
    <s v="CERT"/>
    <n v="-175000"/>
    <d v="2021-04-02T00:00:00"/>
    <d v="2021-04-02T00:00:00"/>
    <d v="2021-04-12T00:00:00"/>
    <s v="PY"/>
  </r>
  <r>
    <x v="1"/>
    <s v="1751213149"/>
    <s v="DALLAS COUNTY COMM COLLEGE"/>
    <x v="14"/>
    <s v=" "/>
    <s v="0621CCM05_F21"/>
    <s v="2"/>
    <s v=" "/>
    <s v="CERT"/>
    <n v="-133774.75"/>
    <d v="2021-04-02T00:00:00"/>
    <d v="2021-04-02T00:00:00"/>
    <d v="2021-04-12T00:00:00"/>
    <s v="PY"/>
  </r>
  <r>
    <x v="1"/>
    <s v="1751213149"/>
    <s v="DALLAS COUNTY COMM COLLEGE"/>
    <x v="14"/>
    <s v=" "/>
    <s v="0621CCM05_F21"/>
    <s v="3"/>
    <s v=" "/>
    <s v="CERT"/>
    <n v="-173090.53"/>
    <d v="2021-05-04T00:00:00"/>
    <d v="2021-05-04T00:00:00"/>
    <d v="2021-05-14T00:00:00"/>
    <s v="PY"/>
  </r>
  <r>
    <x v="1"/>
    <s v="1751213149"/>
    <s v="DALLAS COUNTY COMM COLLEGE"/>
    <x v="14"/>
    <s v=" "/>
    <s v="0621CCM05_F21"/>
    <s v="4"/>
    <s v=" "/>
    <s v="CERT"/>
    <n v="-44588.66"/>
    <d v="2021-05-04T00:00:00"/>
    <d v="2021-05-04T00:00:00"/>
    <d v="2021-05-14T00:00:00"/>
    <s v="PY"/>
  </r>
  <r>
    <x v="1"/>
    <s v="1751213149"/>
    <s v="DALLAS COUNTY COMM COLLEGE"/>
    <x v="14"/>
    <s v=" "/>
    <s v="0621CCM05_F21"/>
    <s v="4"/>
    <s v=" "/>
    <s v="CERT"/>
    <n v="-130051.34"/>
    <d v="2021-08-18T00:00:00"/>
    <d v="2021-08-18T00:00:00"/>
    <d v="2021-08-26T00:00:00"/>
    <s v="PY"/>
  </r>
  <r>
    <x v="1"/>
    <s v="1751213149"/>
    <s v="DALLAS COUNTY COMM COLLEGE"/>
    <x v="14"/>
    <s v=" "/>
    <s v="0621CCM05_F21"/>
    <s v="5"/>
    <s v=" "/>
    <s v="CERT"/>
    <n v="-60373.95"/>
    <d v="2022-02-16T00:00:00"/>
    <d v="2022-02-16T00:00:00"/>
    <d v="2022-02-28T00:00:00"/>
    <s v="PY"/>
  </r>
  <r>
    <x v="1"/>
    <s v="1751217163"/>
    <s v="TARRANT COUNTY JUNIOR COL"/>
    <x v="27"/>
    <s v=" "/>
    <s v="03090C07_F21"/>
    <s v="1"/>
    <s v=" "/>
    <s v="CERT"/>
    <n v="-500000"/>
    <d v="2022-01-04T00:00:00"/>
    <d v="2022-01-04T00:00:00"/>
    <d v="2022-01-20T00:00:00"/>
    <s v="PY"/>
  </r>
  <r>
    <x v="1"/>
    <s v="1751244347"/>
    <s v="ANGELINA COUNTY JUNIOR COL"/>
    <x v="21"/>
    <s v=" "/>
    <s v="05240C30_F21"/>
    <s v="1"/>
    <s v=" "/>
    <s v="CERT"/>
    <n v="-132310"/>
    <d v="2022-02-16T00:00:00"/>
    <d v="2022-02-16T00:00:00"/>
    <d v="2022-02-28T00:00:00"/>
    <s v="PY"/>
  </r>
  <r>
    <x v="1"/>
    <s v="1751244347"/>
    <s v="ANGELINA COUNTY JUNIOR COL"/>
    <x v="21"/>
    <s v=" "/>
    <s v="05240C30_F21"/>
    <s v="2"/>
    <s v=" "/>
    <s v="CERT"/>
    <n v="-33178"/>
    <d v="2022-02-16T00:00:00"/>
    <d v="2022-02-16T00:00:00"/>
    <d v="2022-02-28T00:00:00"/>
    <s v="PY"/>
  </r>
  <r>
    <x v="1"/>
    <s v="1751310636"/>
    <s v="WESTERN TEXAS COLLEGE"/>
    <x v="23"/>
    <s v=" "/>
    <s v="0921CCMC80_F21"/>
    <s v="1"/>
    <s v=" "/>
    <s v="CERT"/>
    <n v="-15000"/>
    <d v="2021-03-15T00:00:00"/>
    <d v="2021-03-15T00:00:00"/>
    <d v="2021-03-29T00:00:00"/>
    <s v="PY"/>
  </r>
  <r>
    <x v="1"/>
    <s v="1751310636"/>
    <s v="WESTERN TEXAS COLLEGE"/>
    <x v="23"/>
    <s v=" "/>
    <s v="0921CCMC80_F21"/>
    <s v="2"/>
    <s v=" "/>
    <s v="CERT"/>
    <n v="-13135.7"/>
    <d v="2021-03-15T00:00:00"/>
    <d v="2021-03-15T00:00:00"/>
    <d v="2021-03-29T00:00:00"/>
    <s v="PY"/>
  </r>
  <r>
    <x v="1"/>
    <s v="1751310636"/>
    <s v="WESTERN TEXAS COLLEGE"/>
    <x v="23"/>
    <s v=" "/>
    <s v="0921CCMC80_F21"/>
    <s v="2"/>
    <s v=" "/>
    <s v="CERT"/>
    <n v="-1864.3"/>
    <d v="2021-07-01T00:00:00"/>
    <d v="2021-07-01T00:00:00"/>
    <d v="2021-07-01T00:00:00"/>
    <s v="PY"/>
  </r>
  <r>
    <x v="1"/>
    <s v="1751310636"/>
    <s v="WESTERN TEXAS COLLEGE"/>
    <x v="23"/>
    <s v=" "/>
    <s v="0921CCMC80_F21"/>
    <s v="3"/>
    <s v=" "/>
    <s v="CERT"/>
    <n v="-26750.98"/>
    <d v="2021-07-01T00:00:00"/>
    <d v="2021-07-01T00:00:00"/>
    <d v="2021-07-01T00:00:00"/>
    <s v="PY"/>
  </r>
  <r>
    <x v="1"/>
    <s v="1751310636"/>
    <s v="WESTERN TEXAS COLLEGE"/>
    <x v="23"/>
    <s v=" "/>
    <s v="0921CCMC80_F21"/>
    <s v="3"/>
    <s v=" "/>
    <s v="CERT"/>
    <n v="-9808.3799999999992"/>
    <d v="2022-02-14T00:00:00"/>
    <d v="2022-02-14T00:00:00"/>
    <d v="2022-02-28T00:00:00"/>
    <s v="PY"/>
  </r>
  <r>
    <x v="1"/>
    <s v="1751404239"/>
    <s v="HILL COUNTY JUNIOR COLLEGE"/>
    <x v="17"/>
    <s v=" "/>
    <s v="0421C04_F21"/>
    <s v="2"/>
    <s v=" "/>
    <s v="CERT"/>
    <n v="-46731.09"/>
    <d v="2021-12-20T00:00:00"/>
    <d v="2021-12-20T00:00:00"/>
    <d v="2021-12-20T00:00:00"/>
    <s v="PY"/>
  </r>
  <r>
    <x v="1"/>
    <s v="1751963242"/>
    <s v="NORTHEAST TEXAS COMMUNITY COLLEGE"/>
    <x v="20"/>
    <s v=" "/>
    <s v="04170C08_F21"/>
    <s v="1"/>
    <s v=" "/>
    <s v="CERT"/>
    <n v="-5000"/>
    <d v="2021-10-15T00:00:00"/>
    <d v="2021-10-15T00:00:00"/>
    <d v="2021-10-25T00:00:00"/>
    <s v="PY"/>
  </r>
  <r>
    <x v="1"/>
    <s v="1752037156"/>
    <s v="COLLIN COUNTY COMM COL"/>
    <x v="17"/>
    <s v=" "/>
    <s v="0421C16_F21"/>
    <s v="1"/>
    <s v=" "/>
    <s v="CERT"/>
    <n v="-398587"/>
    <d v="2021-04-16T00:00:00"/>
    <d v="2021-04-16T00:00:00"/>
    <d v="2021-04-28T00:00:00"/>
    <s v="PY"/>
  </r>
  <r>
    <x v="1"/>
    <s v="1752037156"/>
    <s v="COLLIN COUNTY COMM COL"/>
    <x v="17"/>
    <s v=" "/>
    <s v="0421C16_F21"/>
    <s v="1"/>
    <s v=" "/>
    <s v="CERT"/>
    <n v="-72667.5"/>
    <d v="2021-12-20T00:00:00"/>
    <d v="2021-12-20T00:00:00"/>
    <d v="2021-12-20T00:00:00"/>
    <s v="PY"/>
  </r>
  <r>
    <x v="1"/>
    <s v="1752037156"/>
    <s v="COLLIN COUNTY COMM COL"/>
    <x v="17"/>
    <s v=" "/>
    <s v="0421C16_F21"/>
    <s v="2"/>
    <s v=" "/>
    <s v="CERT"/>
    <n v="-416474.5"/>
    <d v="2021-12-20T00:00:00"/>
    <d v="2021-12-20T00:00:00"/>
    <d v="2021-12-20T00:00:00"/>
    <s v="PY"/>
  </r>
  <r>
    <x v="1"/>
    <s v="1752668014"/>
    <s v="TEXAS TECH UNIV HEALTH SCI CTR"/>
    <x v="1"/>
    <s v=" "/>
    <s v="1021CCM01_F21"/>
    <s v="1"/>
    <s v=" "/>
    <s v="CERT"/>
    <n v="-22500"/>
    <d v="2021-06-30T00:00:00"/>
    <d v="2021-06-30T00:00:00"/>
    <d v="2021-06-30T00:00:00"/>
    <s v="PY"/>
  </r>
  <r>
    <x v="1"/>
    <s v="1752668014"/>
    <s v="TEXAS TECH UNIV HEALTH SCI CTR"/>
    <x v="1"/>
    <s v=" "/>
    <s v="1021CCM01_F21"/>
    <s v="2"/>
    <s v=" "/>
    <s v="CERT"/>
    <n v="-320.57"/>
    <d v="2021-06-30T00:00:00"/>
    <d v="2021-06-30T00:00:00"/>
    <d v="2021-06-30T00:00:00"/>
    <s v="PY"/>
  </r>
  <r>
    <x v="1"/>
    <s v="1752668014"/>
    <s v="TEXAS TECH UNIV HEALTH SCI CTR"/>
    <x v="1"/>
    <s v=" "/>
    <s v="1021CCM01_F21"/>
    <s v="2"/>
    <s v=" "/>
    <s v="CERT"/>
    <n v="-22179.43"/>
    <d v="2021-07-01T00:00:00"/>
    <d v="2021-07-01T00:00:00"/>
    <d v="2021-07-01T00:00:00"/>
    <s v="PY"/>
  </r>
  <r>
    <x v="1"/>
    <s v="1752668014"/>
    <s v="TEXAS TECH UNIV HEALTH SCI CTR"/>
    <x v="1"/>
    <s v=" "/>
    <s v="1021CCM01_F21"/>
    <s v="3"/>
    <s v=" "/>
    <s v="CERT"/>
    <n v="-599.52"/>
    <d v="2021-07-01T00:00:00"/>
    <d v="2021-07-01T00:00:00"/>
    <d v="2021-07-01T00:00:00"/>
    <s v="PY"/>
  </r>
  <r>
    <x v="1"/>
    <s v="1752668014"/>
    <s v="TEXAS TECH UNIV HEALTH SCI CTR"/>
    <x v="1"/>
    <s v=" "/>
    <s v="1021CCM01_F21"/>
    <s v="3"/>
    <s v=" "/>
    <s v="CERT"/>
    <n v="-21900.48"/>
    <d v="2021-07-09T00:00:00"/>
    <d v="2021-07-09T00:00:00"/>
    <d v="2021-07-30T00:00:00"/>
    <s v="PY"/>
  </r>
  <r>
    <x v="1"/>
    <s v="1752668014"/>
    <s v="TEXAS TECH UNIV HEALTH SCI CTR"/>
    <x v="1"/>
    <s v=" "/>
    <s v="1021CCM01_F21"/>
    <s v="4"/>
    <s v=" "/>
    <s v="CERT"/>
    <n v="-635.83000000000004"/>
    <d v="2021-07-09T00:00:00"/>
    <d v="2021-07-09T00:00:00"/>
    <d v="2021-07-30T00:00:00"/>
    <s v="PY"/>
  </r>
  <r>
    <x v="1"/>
    <s v="1752668014"/>
    <s v="TEXAS TECH UNIV HEALTH SCI CTR"/>
    <x v="1"/>
    <s v=" "/>
    <s v="1021CCM01_F21"/>
    <s v="4"/>
    <s v=" "/>
    <s v="CERT"/>
    <n v="-21864.17"/>
    <d v="2021-12-27T00:00:00"/>
    <d v="2021-12-27T00:00:00"/>
    <d v="2021-12-27T00:00:00"/>
    <s v="PY"/>
  </r>
  <r>
    <x v="1"/>
    <s v="1752668014"/>
    <s v="TEXAS TECH UNIV HEALTH SCI CTR"/>
    <x v="1"/>
    <s v=" "/>
    <s v="1021CCM01_F21"/>
    <s v="5"/>
    <s v=" "/>
    <s v="CERT"/>
    <n v="-46.5"/>
    <d v="2022-02-16T00:00:00"/>
    <d v="2022-02-16T00:00:00"/>
    <d v="2022-02-28T00:00:00"/>
    <s v="PY"/>
  </r>
  <r>
    <x v="1"/>
    <s v="1756000031"/>
    <s v="AMARILLO COMM COLLEGE DIST"/>
    <x v="22"/>
    <s v=" "/>
    <s v="01010C00_F21"/>
    <s v="1"/>
    <s v=" "/>
    <s v="CERT"/>
    <n v="-29166.67"/>
    <d v="2021-01-26T00:00:00"/>
    <d v="2021-01-26T00:00:00"/>
    <d v="2021-01-26T00:00:00"/>
    <s v="PY"/>
  </r>
  <r>
    <x v="1"/>
    <s v="1756000031"/>
    <s v="AMARILLO COMM COLLEGE DIST"/>
    <x v="22"/>
    <s v=" "/>
    <s v="01010C00_F21"/>
    <s v="2"/>
    <s v=" "/>
    <s v="CERT"/>
    <n v="-29166.67"/>
    <d v="2021-01-26T00:00:00"/>
    <d v="2021-01-26T00:00:00"/>
    <d v="2021-01-26T00:00:00"/>
    <s v="PY"/>
  </r>
  <r>
    <x v="1"/>
    <s v="1756000031"/>
    <s v="AMARILLO COMM COLLEGE DIST"/>
    <x v="22"/>
    <s v=" "/>
    <s v="01010C00_F21"/>
    <s v="3"/>
    <s v=" "/>
    <s v="CERT"/>
    <n v="-29166.67"/>
    <d v="2021-01-26T00:00:00"/>
    <d v="2021-01-26T00:00:00"/>
    <d v="2021-01-26T00:00:00"/>
    <s v="PY"/>
  </r>
  <r>
    <x v="1"/>
    <s v="1756000031"/>
    <s v="AMARILLO COMM COLLEGE DIST"/>
    <x v="22"/>
    <s v=" "/>
    <s v="01010C00_F21"/>
    <s v="4"/>
    <s v=" "/>
    <s v="CERT"/>
    <n v="-7040.58"/>
    <d v="2021-01-26T00:00:00"/>
    <d v="2021-01-26T00:00:00"/>
    <d v="2021-01-26T00:00:00"/>
    <s v="PY"/>
  </r>
  <r>
    <x v="1"/>
    <s v="1756000031"/>
    <s v="AMARILLO COMM COLLEGE DIST"/>
    <x v="22"/>
    <s v=" "/>
    <s v="01010C00_F21"/>
    <s v="4"/>
    <s v=" "/>
    <s v="CERT"/>
    <n v="-22126.09"/>
    <d v="2021-03-12T00:00:00"/>
    <d v="2021-03-12T00:00:00"/>
    <d v="2021-03-29T00:00:00"/>
    <s v="PY"/>
  </r>
  <r>
    <x v="1"/>
    <s v="1756000031"/>
    <s v="AMARILLO COMM COLLEGE DIST"/>
    <x v="22"/>
    <s v=" "/>
    <s v="01010C00_F21"/>
    <s v="5"/>
    <s v=" "/>
    <s v="CERT"/>
    <n v="-5417.13"/>
    <d v="2021-03-12T00:00:00"/>
    <d v="2021-03-12T00:00:00"/>
    <d v="2021-03-29T00:00:00"/>
    <s v="PY"/>
  </r>
  <r>
    <x v="1"/>
    <s v="1756000031"/>
    <s v="AMARILLO COMM COLLEGE DIST"/>
    <x v="22"/>
    <s v=" "/>
    <s v="01010C00_F21"/>
    <s v="5"/>
    <s v=" "/>
    <s v="CERT"/>
    <n v="-23749.54"/>
    <d v="2021-04-02T00:00:00"/>
    <d v="2021-04-02T00:00:00"/>
    <d v="2021-04-12T00:00:00"/>
    <s v="PY"/>
  </r>
  <r>
    <x v="1"/>
    <s v="1756000031"/>
    <s v="AMARILLO COMM COLLEGE DIST"/>
    <x v="22"/>
    <s v=" "/>
    <s v="01010C00_F21"/>
    <s v="6"/>
    <s v=" "/>
    <s v="CERT"/>
    <n v="-4098.42"/>
    <d v="2021-04-02T00:00:00"/>
    <d v="2021-04-02T00:00:00"/>
    <d v="2021-04-12T00:00:00"/>
    <s v="PY"/>
  </r>
  <r>
    <x v="1"/>
    <s v="1756000031"/>
    <s v="AMARILLO COMM COLLEGE DIST"/>
    <x v="22"/>
    <s v=" "/>
    <s v="01010C00_F21"/>
    <s v="6"/>
    <s v=" "/>
    <s v="CERT"/>
    <n v="-25068.25"/>
    <d v="2021-04-12T00:00:00"/>
    <d v="2021-04-12T00:00:00"/>
    <d v="2021-04-12T00:00:00"/>
    <s v="PY"/>
  </r>
  <r>
    <x v="1"/>
    <s v="1756000031"/>
    <s v="AMARILLO COMM COLLEGE DIST"/>
    <x v="22"/>
    <s v=" "/>
    <s v="01010C00_F21"/>
    <s v="7"/>
    <s v=" "/>
    <s v="CERT"/>
    <n v="-604.80999999999995"/>
    <d v="2021-04-12T00:00:00"/>
    <d v="2021-04-12T00:00:00"/>
    <d v="2021-04-12T00:00:00"/>
    <s v="PY"/>
  </r>
  <r>
    <x v="1"/>
    <s v="1756000031"/>
    <s v="AMARILLO COMM COLLEGE DIST"/>
    <x v="22"/>
    <s v=" "/>
    <s v="01010C00_F21"/>
    <s v="7"/>
    <s v=" "/>
    <s v="CERT"/>
    <n v="-26676.61"/>
    <d v="2021-06-02T00:00:00"/>
    <d v="2021-06-02T00:00:00"/>
    <d v="2021-06-02T00:00:00"/>
    <s v="PY"/>
  </r>
  <r>
    <x v="1"/>
    <s v="1756000031"/>
    <s v="AMARILLO COMM COLLEGE DIST"/>
    <x v="22"/>
    <s v=" "/>
    <s v="01010C00_F21"/>
    <s v="7"/>
    <s v=" "/>
    <s v="CERT"/>
    <n v="-1885.25"/>
    <d v="2021-06-16T00:00:00"/>
    <d v="2021-06-16T00:00:00"/>
    <d v="2021-06-29T00:00:00"/>
    <s v="PY"/>
  </r>
  <r>
    <x v="1"/>
    <s v="1756000031"/>
    <s v="AMARILLO COMM COLLEGE DIST"/>
    <x v="22"/>
    <s v=" "/>
    <s v="01010C00_F21"/>
    <s v="8"/>
    <s v=" "/>
    <s v="CERT"/>
    <n v="-21660.07"/>
    <d v="2021-06-16T00:00:00"/>
    <d v="2021-06-16T00:00:00"/>
    <d v="2021-06-29T00:00:00"/>
    <s v="PY"/>
  </r>
  <r>
    <x v="1"/>
    <s v="1756000031"/>
    <s v="AMARILLO COMM COLLEGE DIST"/>
    <x v="22"/>
    <s v=" "/>
    <s v="01010C00_F21"/>
    <s v="8"/>
    <s v=" "/>
    <s v="CERT"/>
    <n v="-7506.6"/>
    <d v="2021-08-09T00:00:00"/>
    <d v="2021-08-09T00:00:00"/>
    <d v="2021-08-19T00:00:00"/>
    <s v="PY"/>
  </r>
  <r>
    <x v="1"/>
    <s v="1756000031"/>
    <s v="AMARILLO COMM COLLEGE DIST"/>
    <x v="22"/>
    <s v=" "/>
    <s v="01010C00_F21"/>
    <s v="9"/>
    <s v=" "/>
    <s v="CERT"/>
    <n v="-18477.150000000001"/>
    <d v="2021-08-09T00:00:00"/>
    <d v="2021-08-09T00:00:00"/>
    <d v="2021-08-19T00:00:00"/>
    <s v="PY"/>
  </r>
  <r>
    <x v="1"/>
    <s v="1756000031"/>
    <s v="AMARILLO COMM COLLEGE DIST"/>
    <x v="22"/>
    <s v=" "/>
    <s v="01010C00_F21"/>
    <s v="9"/>
    <s v=" "/>
    <s v="CERT"/>
    <n v="-10689.51"/>
    <d v="2021-08-19T00:00:00"/>
    <d v="2021-08-19T00:00:00"/>
    <d v="2021-08-26T00:00:00"/>
    <s v="PY"/>
  </r>
  <r>
    <x v="1"/>
    <s v="1756000031"/>
    <s v="AMARILLO COMM COLLEGE DIST"/>
    <x v="22"/>
    <s v=" "/>
    <s v="01010C00_F21"/>
    <s v="10"/>
    <s v=" "/>
    <s v="CERT"/>
    <n v="-29166.66"/>
    <d v="2021-08-19T00:00:00"/>
    <d v="2021-08-19T00:00:00"/>
    <d v="2021-08-26T00:00:00"/>
    <s v="PY"/>
  </r>
  <r>
    <x v="1"/>
    <s v="1756000031"/>
    <s v="AMARILLO COMM COLLEGE DIST"/>
    <x v="22"/>
    <s v=" "/>
    <s v="01010C00_F21"/>
    <s v="11"/>
    <s v=" "/>
    <s v="CERT"/>
    <n v="-1911.46"/>
    <d v="2021-08-19T00:00:00"/>
    <d v="2021-08-19T00:00:00"/>
    <d v="2021-08-26T00:00:00"/>
    <s v="PY"/>
  </r>
  <r>
    <x v="1"/>
    <s v="1756000031"/>
    <s v="AMARILLO COMM COLLEGE DIST"/>
    <x v="22"/>
    <s v=" "/>
    <s v="01010C00_F21"/>
    <s v="11"/>
    <s v=" "/>
    <s v="CERT"/>
    <n v="-27255.200000000001"/>
    <d v="2021-10-08T00:00:00"/>
    <d v="2021-10-08T00:00:00"/>
    <d v="2021-10-25T00:00:00"/>
    <s v="PY"/>
  </r>
  <r>
    <x v="1"/>
    <s v="1756000031"/>
    <s v="AMARILLO COMM COLLEGE DIST"/>
    <x v="22"/>
    <s v=" "/>
    <s v="01010C00_F21"/>
    <s v="12"/>
    <s v=" "/>
    <s v="CERT"/>
    <n v="-14263.98"/>
    <d v="2021-10-08T00:00:00"/>
    <d v="2021-10-08T00:00:00"/>
    <d v="2021-10-25T00:00:00"/>
    <s v="PY"/>
  </r>
  <r>
    <x v="1"/>
    <s v="1756000031"/>
    <s v="AMARILLO COMM COLLEGE DIST"/>
    <x v="22"/>
    <s v=" "/>
    <s v="01010C00_F21"/>
    <s v="12"/>
    <s v=" "/>
    <s v="CERT"/>
    <n v="-14902.68"/>
    <d v="2021-12-20T00:00:00"/>
    <d v="2021-12-20T00:00:00"/>
    <d v="2021-12-20T00:00:00"/>
    <s v="PY"/>
  </r>
  <r>
    <x v="1"/>
    <s v="1756000440"/>
    <s v="CITY OF ABILENE"/>
    <x v="23"/>
    <s v=" "/>
    <s v="0921CCMC81_F21"/>
    <s v="1"/>
    <s v=" "/>
    <s v="CERT"/>
    <n v="-75000"/>
    <d v="2021-03-15T00:00:00"/>
    <d v="2021-03-15T00:00:00"/>
    <d v="2021-03-29T00:00:00"/>
    <s v="PY"/>
  </r>
  <r>
    <x v="1"/>
    <s v="1756000440"/>
    <s v="CITY OF ABILENE"/>
    <x v="23"/>
    <s v=" "/>
    <s v="0921CCMC81_F21"/>
    <s v="2"/>
    <s v=" "/>
    <s v="CERT"/>
    <n v="-19107"/>
    <d v="2021-03-15T00:00:00"/>
    <d v="2021-03-15T00:00:00"/>
    <d v="2021-03-29T00:00:00"/>
    <s v="PY"/>
  </r>
  <r>
    <x v="1"/>
    <s v="1756000440"/>
    <s v="CITY OF ABILENE"/>
    <x v="23"/>
    <s v=" "/>
    <s v="0921CCMC81_F21"/>
    <s v="2"/>
    <s v=" "/>
    <s v="CERT"/>
    <n v="-55893"/>
    <d v="2021-07-01T00:00:00"/>
    <d v="2021-07-01T00:00:00"/>
    <d v="2021-07-01T00:00:00"/>
    <s v="PY"/>
  </r>
  <r>
    <x v="1"/>
    <s v="1756000440"/>
    <s v="CITY OF ABILENE"/>
    <x v="23"/>
    <s v=" "/>
    <s v="0921CCMC81_F21"/>
    <s v="3"/>
    <s v=" "/>
    <s v="CERT"/>
    <n v="-38214"/>
    <d v="2021-07-01T00:00:00"/>
    <d v="2021-07-01T00:00:00"/>
    <d v="2021-07-01T00:00:00"/>
    <s v="PY"/>
  </r>
  <r>
    <x v="1"/>
    <s v="1756000440"/>
    <s v="CITY OF ABILENE"/>
    <x v="23"/>
    <s v=" "/>
    <s v="0921CCMC81_F21"/>
    <s v="3"/>
    <s v=" "/>
    <s v="CERT"/>
    <n v="-94107.5"/>
    <d v="2022-02-14T00:00:00"/>
    <d v="2022-02-14T00:00:00"/>
    <d v="2022-02-28T00:00:00"/>
    <s v="PY"/>
  </r>
  <r>
    <x v="1"/>
    <s v="1756000508"/>
    <s v="CITY OF DALLAS MARSHAL'S"/>
    <x v="14"/>
    <s v=" "/>
    <s v="0621CCM03_F21"/>
    <s v="1"/>
    <s v=" "/>
    <s v="CERT"/>
    <n v="-18836.7"/>
    <d v="2021-04-02T00:00:00"/>
    <d v="2021-04-02T00:00:00"/>
    <d v="2021-04-12T00:00:00"/>
    <s v="PY"/>
  </r>
  <r>
    <x v="1"/>
    <s v="1756000528"/>
    <s v="CITY OF FORT WORTH"/>
    <x v="27"/>
    <s v=" "/>
    <s v="03090C08_F21"/>
    <s v="1"/>
    <s v=" "/>
    <s v="CERT"/>
    <n v="-1400000"/>
    <d v="2021-12-13T00:00:00"/>
    <d v="2021-12-13T00:00:00"/>
    <d v="2021-12-27T00:00:00"/>
    <s v="PY"/>
  </r>
  <r>
    <x v="1"/>
    <s v="1756000606"/>
    <s v="CITY OF MESQUITE"/>
    <x v="14"/>
    <s v=" "/>
    <s v="0621CCM08_F21"/>
    <s v="1"/>
    <s v=" "/>
    <s v="CERT"/>
    <n v="-53962.46"/>
    <d v="2021-04-02T00:00:00"/>
    <d v="2021-04-02T00:00:00"/>
    <d v="2021-04-12T00:00:00"/>
    <s v="PY"/>
  </r>
  <r>
    <x v="1"/>
    <s v="1756000606"/>
    <s v="CITY OF MESQUITE"/>
    <x v="14"/>
    <s v=" "/>
    <s v="0621CCM08_F21"/>
    <s v="1"/>
    <s v=" "/>
    <s v="CERT"/>
    <n v="-25287.54"/>
    <d v="2021-06-02T00:00:00"/>
    <d v="2021-06-02T00:00:00"/>
    <d v="2021-06-02T00:00:00"/>
    <s v="PY"/>
  </r>
  <r>
    <x v="1"/>
    <s v="1756000606"/>
    <s v="CITY OF MESQUITE"/>
    <x v="14"/>
    <s v=" "/>
    <s v="0621CCM08_F21"/>
    <s v="2"/>
    <s v=" "/>
    <s v="CERT"/>
    <n v="-79250"/>
    <d v="2021-06-02T00:00:00"/>
    <d v="2021-06-02T00:00:00"/>
    <d v="2021-06-02T00:00:00"/>
    <s v="PY"/>
  </r>
  <r>
    <x v="1"/>
    <s v="1756000606"/>
    <s v="CITY OF MESQUITE"/>
    <x v="14"/>
    <s v=" "/>
    <s v="0621CCM08_F21"/>
    <s v="3"/>
    <s v=" "/>
    <s v="CERT"/>
    <n v="-3522.26"/>
    <d v="2021-06-02T00:00:00"/>
    <d v="2021-06-02T00:00:00"/>
    <d v="2021-06-02T00:00:00"/>
    <s v="PY"/>
  </r>
  <r>
    <x v="1"/>
    <s v="1756000606"/>
    <s v="CITY OF MESQUITE"/>
    <x v="14"/>
    <s v=" "/>
    <s v="0621CCM08_F21"/>
    <s v="3"/>
    <s v=" "/>
    <s v="CERT"/>
    <n v="-75727.740000000005"/>
    <d v="2021-10-08T00:00:00"/>
    <d v="2021-10-08T00:00:00"/>
    <d v="2021-10-08T00:00:00"/>
    <s v="PY"/>
  </r>
  <r>
    <x v="1"/>
    <s v="1756000606"/>
    <s v="CITY OF MESQUITE"/>
    <x v="14"/>
    <s v=" "/>
    <s v="0621CCM08_F21"/>
    <s v="4"/>
    <s v=" "/>
    <s v="CERT"/>
    <n v="-79250"/>
    <d v="2021-10-08T00:00:00"/>
    <d v="2021-10-08T00:00:00"/>
    <d v="2021-10-08T00:00:00"/>
    <s v="PY"/>
  </r>
  <r>
    <x v="1"/>
    <s v="1756001613"/>
    <s v="FT WORTH ISD"/>
    <x v="27"/>
    <s v=" "/>
    <s v="03090C14_F21"/>
    <s v="1"/>
    <s v=" "/>
    <s v="CERT"/>
    <n v="-1700000"/>
    <d v="2021-12-13T00:00:00"/>
    <d v="2021-12-13T00:00:00"/>
    <d v="2021-12-27T00:00:00"/>
    <s v="PY"/>
  </r>
  <r>
    <x v="1"/>
    <s v="1756001769"/>
    <s v="TRINITY VALLEY COMM COLLEGE"/>
    <x v="18"/>
    <s v=" "/>
    <s v="04161C23_F21"/>
    <s v="1"/>
    <s v=" "/>
    <s v="CERT"/>
    <n v="-12500"/>
    <d v="2021-04-29T00:00:00"/>
    <d v="2021-04-29T00:00:00"/>
    <d v="2021-04-29T00:00:00"/>
    <s v="PY"/>
  </r>
  <r>
    <x v="1"/>
    <s v="1756001769"/>
    <s v="TRINITY VALLEY COMM COLLEGE"/>
    <x v="18"/>
    <s v=" "/>
    <s v="04161C23_F21"/>
    <s v="2"/>
    <s v=" "/>
    <s v="CERT"/>
    <n v="-12500"/>
    <d v="2021-04-29T00:00:00"/>
    <d v="2021-04-29T00:00:00"/>
    <d v="2021-04-29T00:00:00"/>
    <s v="PY"/>
  </r>
  <r>
    <x v="1"/>
    <s v="1756001769"/>
    <s v="TRINITY VALLEY COMM COLLEGE"/>
    <x v="18"/>
    <s v=" "/>
    <s v="04161C23_F21"/>
    <s v="3"/>
    <s v=" "/>
    <s v="CERT"/>
    <n v="-2933.54"/>
    <d v="2021-04-29T00:00:00"/>
    <d v="2021-04-29T00:00:00"/>
    <d v="2021-04-29T00:00:00"/>
    <s v="PY"/>
  </r>
  <r>
    <x v="1"/>
    <s v="1756001769"/>
    <s v="TRINITY VALLEY COMM COLLEGE"/>
    <x v="18"/>
    <s v=" "/>
    <s v="04161C23_F21"/>
    <s v="3"/>
    <s v=" "/>
    <s v="CERT"/>
    <n v="-9566.4599999999991"/>
    <d v="2021-07-30T00:00:00"/>
    <d v="2021-07-30T00:00:00"/>
    <d v="2021-07-30T00:00:00"/>
    <s v="PY"/>
  </r>
  <r>
    <x v="1"/>
    <s v="1756001769"/>
    <s v="TRINITY VALLEY COMM COLLEGE"/>
    <x v="18"/>
    <s v=" "/>
    <s v="04161C23_F21"/>
    <s v="4"/>
    <s v=" "/>
    <s v="CERT"/>
    <n v="-2017.56"/>
    <d v="2021-07-30T00:00:00"/>
    <d v="2021-07-30T00:00:00"/>
    <d v="2021-07-30T00:00:00"/>
    <s v="PY"/>
  </r>
  <r>
    <x v="1"/>
    <s v="1756001769"/>
    <s v="TRINITY VALLEY COMM COLLEGE"/>
    <x v="18"/>
    <s v=" "/>
    <s v="04161C23_F21"/>
    <s v="4"/>
    <s v=" "/>
    <s v="CERT"/>
    <n v="-10482.44"/>
    <d v="2021-10-15T00:00:00"/>
    <d v="2021-10-15T00:00:00"/>
    <d v="2021-10-25T00:00:00"/>
    <s v="PY"/>
  </r>
  <r>
    <x v="1"/>
    <s v="1756002105"/>
    <s v="MT. PLEASANT ISD-CHILD DEV"/>
    <x v="20"/>
    <s v=" "/>
    <s v="04170C06_F21"/>
    <s v="1"/>
    <s v=" "/>
    <s v="CERT"/>
    <n v="-4000"/>
    <d v="2021-10-15T00:00:00"/>
    <d v="2021-10-15T00:00:00"/>
    <d v="2021-10-25T00:00:00"/>
    <s v="PY"/>
  </r>
  <r>
    <x v="1"/>
    <s v="1756002129"/>
    <s v="NAVARRO COLLEGE"/>
    <x v="17"/>
    <s v=" "/>
    <s v="0421C10_F21"/>
    <s v="1"/>
    <s v=" "/>
    <s v="CERT"/>
    <n v="-20000"/>
    <d v="2021-12-20T00:00:00"/>
    <d v="2021-12-20T00:00:00"/>
    <d v="2021-12-20T00:00:00"/>
    <s v="PY"/>
  </r>
  <r>
    <x v="1"/>
    <s v="1756002149"/>
    <s v="UNIVERSITY OF NORTH TEXAS-DENTON"/>
    <x v="17"/>
    <s v=" "/>
    <s v="0421C34_F21"/>
    <s v="1"/>
    <s v=" "/>
    <s v="CERT"/>
    <n v="-142964.57999999999"/>
    <d v="2021-04-16T00:00:00"/>
    <d v="2021-04-16T00:00:00"/>
    <d v="2021-04-28T00:00:00"/>
    <s v="PY"/>
  </r>
  <r>
    <x v="1"/>
    <s v="1756002205"/>
    <s v="PARIS JUNIOR COLLEGE"/>
    <x v="20"/>
    <s v=" "/>
    <s v="04170C07_F21"/>
    <s v="1"/>
    <s v=" "/>
    <s v="CERT"/>
    <n v="-15000"/>
    <d v="2021-05-06T00:00:00"/>
    <d v="2021-05-06T00:00:00"/>
    <d v="2021-05-14T00:00:00"/>
    <s v="PY"/>
  </r>
  <r>
    <x v="1"/>
    <s v="1756002205"/>
    <s v="PARIS JUNIOR COLLEGE"/>
    <x v="20"/>
    <s v=" "/>
    <s v="04170C07_F21"/>
    <s v="2"/>
    <s v=" "/>
    <s v="CERT"/>
    <n v="-15000"/>
    <d v="2021-10-15T00:00:00"/>
    <d v="2021-10-15T00:00:00"/>
    <d v="2021-10-25T00:00:00"/>
    <s v="PY"/>
  </r>
  <r>
    <x v="1"/>
    <s v="1756002296"/>
    <s v="RANGER COLLEGE"/>
    <x v="23"/>
    <s v=" "/>
    <s v="0921CCMC82_F21"/>
    <s v="1"/>
    <s v=" "/>
    <s v="CERT"/>
    <n v="-75000"/>
    <d v="2021-03-15T00:00:00"/>
    <d v="2021-03-15T00:00:00"/>
    <d v="2021-03-29T00:00:00"/>
    <s v="PY"/>
  </r>
  <r>
    <x v="1"/>
    <s v="1756002296"/>
    <s v="RANGER COLLEGE"/>
    <x v="23"/>
    <s v=" "/>
    <s v="0921CCMC82_F21"/>
    <s v="2"/>
    <s v=" "/>
    <s v="CERT"/>
    <n v="-15196.85"/>
    <d v="2021-03-15T00:00:00"/>
    <d v="2021-03-15T00:00:00"/>
    <d v="2021-03-29T00:00:00"/>
    <s v="PY"/>
  </r>
  <r>
    <x v="1"/>
    <s v="1756002296"/>
    <s v="RANGER COLLEGE"/>
    <x v="23"/>
    <s v=" "/>
    <s v="0921CCMC82_F21"/>
    <s v="2"/>
    <s v=" "/>
    <s v="CERT"/>
    <n v="-59803.15"/>
    <d v="2021-07-01T00:00:00"/>
    <d v="2021-07-01T00:00:00"/>
    <d v="2021-07-01T00:00:00"/>
    <s v="PY"/>
  </r>
  <r>
    <x v="1"/>
    <s v="1756002296"/>
    <s v="RANGER COLLEGE"/>
    <x v="23"/>
    <s v=" "/>
    <s v="0921CCMC82_F21"/>
    <s v="3"/>
    <s v=" "/>
    <s v="CERT"/>
    <n v="-29638.59"/>
    <d v="2021-07-01T00:00:00"/>
    <d v="2021-07-01T00:00:00"/>
    <d v="2021-07-01T00:00:00"/>
    <s v="PY"/>
  </r>
  <r>
    <x v="1"/>
    <s v="1756002296"/>
    <s v="RANGER COLLEGE"/>
    <x v="23"/>
    <s v=" "/>
    <s v="0921CCMC82_F21"/>
    <s v="3"/>
    <s v=" "/>
    <s v="CERT"/>
    <n v="-100481.41"/>
    <d v="2022-02-16T00:00:00"/>
    <d v="2022-02-16T00:00:00"/>
    <d v="2022-02-28T00:00:00"/>
    <s v="PY"/>
  </r>
  <r>
    <x v="1"/>
    <s v="1756002296"/>
    <s v="RANGER COLLEGE"/>
    <x v="23"/>
    <s v=" "/>
    <s v="0921CCMC82_F21"/>
    <s v="4"/>
    <s v=" "/>
    <s v="CERT"/>
    <n v="-20208.13"/>
    <d v="2022-02-16T00:00:00"/>
    <d v="2022-02-16T00:00:00"/>
    <d v="2022-02-28T00:00:00"/>
    <s v="PY"/>
  </r>
  <r>
    <x v="1"/>
    <s v="1756002514"/>
    <s v="STEPHEN F AUSTIN UNIVERSITY"/>
    <x v="18"/>
    <s v=" "/>
    <s v="04161C25_F21"/>
    <s v="1"/>
    <s v=" "/>
    <s v="CERT"/>
    <n v="-200000"/>
    <d v="2021-10-20T00:00:00"/>
    <d v="2021-10-20T00:00:00"/>
    <d v="2021-10-25T00:00:00"/>
    <s v="PY"/>
  </r>
  <r>
    <x v="1"/>
    <s v="1756002579"/>
    <s v="TEXARKANA ISD"/>
    <x v="20"/>
    <s v=" "/>
    <s v="04170C05_F21"/>
    <s v="1"/>
    <s v=" "/>
    <s v="CERT"/>
    <n v="-190000"/>
    <d v="2021-05-06T00:00:00"/>
    <d v="2021-05-06T00:00:00"/>
    <d v="2021-05-14T00:00:00"/>
    <s v="PY"/>
  </r>
  <r>
    <x v="1"/>
    <s v="1756002579"/>
    <s v="TEXARKANA ISD"/>
    <x v="20"/>
    <s v=" "/>
    <s v="04170C05_F21"/>
    <s v="2"/>
    <s v=" "/>
    <s v="CERT"/>
    <n v="-102746"/>
    <d v="2022-02-22T00:00:00"/>
    <d v="2022-02-22T00:00:00"/>
    <d v="2022-02-28T00:00:00"/>
    <s v="PY"/>
  </r>
  <r>
    <x v="1"/>
    <s v="1756002618"/>
    <s v="TEXAS WOMAN'S UNIVERSITY"/>
    <x v="17"/>
    <s v=" "/>
    <s v="0421C08_F21"/>
    <s v="1"/>
    <s v=" "/>
    <s v="CERT"/>
    <n v="-250000"/>
    <d v="2021-06-02T00:00:00"/>
    <d v="2021-06-02T00:00:00"/>
    <d v="2021-06-02T00:00:00"/>
    <s v="PY"/>
  </r>
  <r>
    <x v="1"/>
    <s v="1756002618"/>
    <s v="TEXAS WOMAN'S UNIVERSITY"/>
    <x v="17"/>
    <s v=" "/>
    <s v="0421C08_F21"/>
    <s v="2"/>
    <s v=" "/>
    <s v="CERT"/>
    <n v="-250000"/>
    <d v="2021-06-02T00:00:00"/>
    <d v="2021-06-02T00:00:00"/>
    <d v="2021-06-02T00:00:00"/>
    <s v="PY"/>
  </r>
  <r>
    <x v="1"/>
    <s v="1756002676"/>
    <s v="TYLER JUNIOR COLLEGE"/>
    <x v="18"/>
    <s v=" "/>
    <s v="0416C21_F21"/>
    <s v="1"/>
    <s v=" "/>
    <s v="CERT"/>
    <n v="-87500"/>
    <d v="2021-02-11T00:00:00"/>
    <d v="2021-02-11T00:00:00"/>
    <d v="2021-02-26T00:00:00"/>
    <s v="PY"/>
  </r>
  <r>
    <x v="1"/>
    <s v="1756002676"/>
    <s v="TYLER JUNIOR COLLEGE"/>
    <x v="18"/>
    <s v=" "/>
    <s v="0416C21_F21"/>
    <s v="2"/>
    <s v=" "/>
    <s v="CERT"/>
    <n v="-36857.879999999997"/>
    <d v="2021-02-11T00:00:00"/>
    <d v="2021-02-11T00:00:00"/>
    <d v="2021-02-26T00:00:00"/>
    <s v="PY"/>
  </r>
  <r>
    <x v="1"/>
    <s v="1756002676"/>
    <s v="TYLER JUNIOR COLLEGE"/>
    <x v="18"/>
    <s v=" "/>
    <s v="0416C21_F21"/>
    <s v="2"/>
    <s v=" "/>
    <s v="CERT"/>
    <n v="-50642.12"/>
    <d v="2021-04-29T00:00:00"/>
    <d v="2021-04-29T00:00:00"/>
    <d v="2021-04-29T00:00:00"/>
    <s v="PY"/>
  </r>
  <r>
    <x v="1"/>
    <s v="1756002676"/>
    <s v="TYLER JUNIOR COLLEGE"/>
    <x v="18"/>
    <s v=" "/>
    <s v="0416C21_F21"/>
    <s v="3"/>
    <s v=" "/>
    <s v="CERT"/>
    <n v="-68773.37"/>
    <d v="2021-04-29T00:00:00"/>
    <d v="2021-04-29T00:00:00"/>
    <d v="2021-04-29T00:00:00"/>
    <s v="PY"/>
  </r>
  <r>
    <x v="1"/>
    <s v="1756002676"/>
    <s v="TYLER JUNIOR COLLEGE"/>
    <x v="18"/>
    <s v=" "/>
    <s v="0416C21_F21"/>
    <s v="3"/>
    <s v=" "/>
    <s v="CERT"/>
    <n v="-18726.63"/>
    <d v="2021-08-12T00:00:00"/>
    <d v="2021-08-12T00:00:00"/>
    <d v="2021-08-26T00:00:00"/>
    <s v="PY"/>
  </r>
  <r>
    <x v="1"/>
    <s v="1756002676"/>
    <s v="TYLER JUNIOR COLLEGE"/>
    <x v="18"/>
    <s v=" "/>
    <s v="0416C21_F21"/>
    <s v="4"/>
    <s v=" "/>
    <s v="CERT"/>
    <n v="-87500"/>
    <d v="2021-08-12T00:00:00"/>
    <d v="2021-08-12T00:00:00"/>
    <d v="2021-08-26T00:00:00"/>
    <s v="PY"/>
  </r>
  <r>
    <x v="1"/>
    <s v="3750750750"/>
    <s v="UNIVERSITY OF TEXAS AT TYLER"/>
    <x v="18"/>
    <s v=" "/>
    <s v="04161C20_F21"/>
    <s v="1"/>
    <s v=" "/>
    <s v="CERT"/>
    <n v="-75000"/>
    <d v="2021-04-29T00:00:00"/>
    <d v="2021-04-29T00:00:00"/>
    <d v="2021-04-29T00:00:00"/>
    <s v="PY"/>
  </r>
  <r>
    <x v="1"/>
    <s v="3750750750"/>
    <s v="UNIVERSITY OF TEXAS AT TYLER"/>
    <x v="18"/>
    <s v=" "/>
    <s v="04161C20_F21"/>
    <s v="2"/>
    <s v=" "/>
    <s v="CERT"/>
    <n v="-8762"/>
    <d v="2021-04-29T00:00:00"/>
    <d v="2021-04-29T00:00:00"/>
    <d v="2021-04-29T00:00:00"/>
    <s v="PY"/>
  </r>
  <r>
    <x v="1"/>
    <s v="3750750750"/>
    <s v="UNIVERSITY OF TEXAS AT TYLER"/>
    <x v="18"/>
    <s v=" "/>
    <s v="04161C20_F21"/>
    <s v="2"/>
    <s v=" "/>
    <s v="CERT"/>
    <n v="-66238"/>
    <d v="2021-10-27T00:00:00"/>
    <d v="2021-10-27T00:00:00"/>
    <d v="2021-10-29T00:00:00"/>
    <s v="PY"/>
  </r>
  <r>
    <x v="1"/>
    <s v="3761761761"/>
    <s v="TEXAS A&amp;M INTL UNIVERSITY"/>
    <x v="26"/>
    <s v=" "/>
    <s v="11211C03_F21"/>
    <s v="1"/>
    <s v=" "/>
    <s v="CERT"/>
    <n v="-115000"/>
    <d v="2021-07-14T00:00:00"/>
    <d v="2021-07-14T00:00:00"/>
    <d v="2021-07-30T00:00:00"/>
    <s v="PY"/>
  </r>
  <r>
    <x v="1"/>
    <s v="3761761761"/>
    <s v="TEXAS A&amp;M INTL UNIVERSITY"/>
    <x v="26"/>
    <s v=" "/>
    <s v="11211C03_F21"/>
    <s v="2"/>
    <s v=" "/>
    <s v="CERT"/>
    <n v="-68433"/>
    <d v="2021-07-14T00:00:00"/>
    <d v="2021-07-14T00:00:00"/>
    <d v="2021-07-30T00:00:00"/>
    <s v="PY"/>
  </r>
  <r>
    <x v="1"/>
    <s v="3761761761"/>
    <s v="TEXAS A&amp;M INTL UNIVERSITY"/>
    <x v="26"/>
    <s v=" "/>
    <s v="11211C03_F21"/>
    <s v="2"/>
    <s v=" "/>
    <s v="CERT"/>
    <n v="-66567"/>
    <d v="2022-03-10T00:00:00"/>
    <d v="2022-03-10T00:00:00"/>
    <d v="2022-03-18T00:00:00"/>
    <s v="PY"/>
  </r>
  <r>
    <x v="2"/>
    <s v=""/>
    <s v=""/>
    <x v="28"/>
    <s v=""/>
    <s v=""/>
    <s v=""/>
    <s v=""/>
    <s v=""/>
    <s v="-44499590.9"/>
    <s v=""/>
    <s v=""/>
    <s v=""/>
    <s v=""/>
  </r>
  <r>
    <x v="2"/>
    <s v=""/>
    <s v=""/>
    <x v="28"/>
    <s v=""/>
    <s v=""/>
    <s v=""/>
    <s v=""/>
    <s v=""/>
    <m/>
    <s v=""/>
    <s v=""/>
    <s v=""/>
    <s v=""/>
  </r>
  <r>
    <x v="3"/>
    <m/>
    <m/>
    <x v="29"/>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63AC5F-BB83-4A70-9B11-C8D638D38EC1}" name="PivotTable2" cacheId="8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12:B17" firstHeaderRow="1" firstDataRow="1" firstDataCol="1"/>
  <pivotFields count="13">
    <pivotField axis="axisRow" showAll="0">
      <items count="5">
        <item x="0"/>
        <item x="1"/>
        <item x="3"/>
        <item x="2"/>
        <item t="default"/>
      </items>
    </pivotField>
    <pivotField showAll="0"/>
    <pivotField showAll="0"/>
    <pivotField showAll="0" defaultSubtotal="0"/>
    <pivotField showAll="0"/>
    <pivotField showAll="0"/>
    <pivotField showAll="0"/>
    <pivotField showAll="0"/>
    <pivotField showAll="0"/>
    <pivotField dataField="1" numFmtId="169" showAll="0"/>
    <pivotField showAll="0"/>
    <pivotField showAll="0"/>
    <pivotField showAll="0"/>
  </pivotFields>
  <rowFields count="1">
    <field x="0"/>
  </rowFields>
  <rowItems count="5">
    <i>
      <x/>
    </i>
    <i>
      <x v="1"/>
    </i>
    <i>
      <x v="2"/>
    </i>
    <i>
      <x v="3"/>
    </i>
    <i t="grand">
      <x/>
    </i>
  </rowItems>
  <colItems count="1">
    <i/>
  </colItems>
  <dataFields count="1">
    <dataField name="Sum of SumOfPAYMENT_AMT" fld="9" baseField="0" baseItem="3732808"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2D36F1-7075-4370-AFD6-D5FBB434D36E}" name="PivotTable1" cacheId="8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S19:V49" firstHeaderRow="1" firstDataRow="2" firstDataCol="1"/>
  <pivotFields count="14">
    <pivotField axis="axisCol" showAll="0">
      <items count="5">
        <item x="2"/>
        <item x="0"/>
        <item x="1"/>
        <item x="3"/>
        <item t="default"/>
      </items>
    </pivotField>
    <pivotField showAll="0"/>
    <pivotField showAll="0"/>
    <pivotField axis="axisRow" showAll="0" sortType="ascending">
      <items count="31">
        <item h="1" x="28"/>
        <item x="22"/>
        <item x="19"/>
        <item x="15"/>
        <item x="17"/>
        <item x="27"/>
        <item x="14"/>
        <item x="20"/>
        <item x="18"/>
        <item x="23"/>
        <item x="1"/>
        <item x="16"/>
        <item x="13"/>
        <item x="3"/>
        <item x="25"/>
        <item x="5"/>
        <item x="9"/>
        <item x="21"/>
        <item x="6"/>
        <item x="0"/>
        <item x="10"/>
        <item x="26"/>
        <item x="4"/>
        <item x="7"/>
        <item x="8"/>
        <item x="12"/>
        <item x="24"/>
        <item x="11"/>
        <item x="2"/>
        <item h="1" x="29"/>
        <item t="default"/>
      </items>
    </pivotField>
    <pivotField showAll="0"/>
    <pivotField showAll="0"/>
    <pivotField showAll="0"/>
    <pivotField showAll="0"/>
    <pivotField showAll="0"/>
    <pivotField dataField="1" showAll="0"/>
    <pivotField numFmtId="172" showAll="0"/>
    <pivotField numFmtId="172" showAll="0"/>
    <pivotField numFmtId="172" showAll="0"/>
    <pivotField showAll="0"/>
  </pivotFields>
  <rowFields count="1">
    <field x="3"/>
  </rowFields>
  <rowItems count="29">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0"/>
  </colFields>
  <colItems count="3">
    <i>
      <x v="1"/>
    </i>
    <i>
      <x v="2"/>
    </i>
    <i t="grand">
      <x/>
    </i>
  </colItems>
  <dataFields count="1">
    <dataField name="Sum of SumOfPAYMENT_AMT" fld="9" baseField="3" baseItem="0" numFmtId="44"/>
  </dataFields>
  <formats count="3">
    <format dxfId="10">
      <pivotArea collapsedLevelsAreSubtotals="1" fieldPosition="0">
        <references count="1">
          <reference field="3" count="1">
            <x v="24"/>
          </reference>
        </references>
      </pivotArea>
    </format>
    <format dxfId="9">
      <pivotArea collapsedLevelsAreSubtotals="1" fieldPosition="0">
        <references count="2">
          <reference field="0" count="1" selected="0">
            <x v="1"/>
          </reference>
          <reference field="3" count="1">
            <x v="28"/>
          </reference>
        </references>
      </pivotArea>
    </format>
    <format dxfId="8">
      <pivotArea collapsedLevelsAreSubtotals="1" fieldPosition="0">
        <references count="2">
          <reference field="0" count="1" selected="0">
            <x v="2"/>
          </reference>
          <reference field="3" count="1">
            <x v="2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9" dT="2023-10-30T18:43:54.09" personId="{5DD3B3F0-FB70-48AF-B251-982D69CAB725}" id="{43B817DE-49F0-4B97-904A-6DBF7C237F39}">
    <text>Adjusted by $0.01 for rounding to match the website calculation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C9" dT="2023-10-30T18:43:54.09" personId="{5DD3B3F0-FB70-48AF-B251-982D69CAB725}" id="{D7E41E24-6FFC-47AE-872E-AC541419F4CA}">
    <text>Adjusted by $0.01 for rounding to match the website calculation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F7BDB-F799-41C5-900A-21AADD2D4AFE}">
  <sheetPr>
    <pageSetUpPr fitToPage="1"/>
  </sheetPr>
  <dimension ref="A1:J43"/>
  <sheetViews>
    <sheetView topLeftCell="A3" zoomScale="90" zoomScaleNormal="90" workbookViewId="0">
      <selection activeCell="A44" sqref="A44:XFD44"/>
    </sheetView>
  </sheetViews>
  <sheetFormatPr defaultColWidth="9.140625" defaultRowHeight="12.75"/>
  <cols>
    <col min="1" max="1" width="55.7109375" style="312" customWidth="1"/>
    <col min="2" max="2" width="21.42578125" style="312" customWidth="1"/>
    <col min="3" max="3" width="22.42578125" style="312" customWidth="1"/>
    <col min="4" max="4" width="20.42578125" style="312" customWidth="1"/>
    <col min="5" max="5" width="15.85546875" style="312" customWidth="1"/>
    <col min="6" max="6" width="20.7109375" style="312" customWidth="1"/>
    <col min="7" max="7" width="22.42578125" style="312" customWidth="1"/>
    <col min="8" max="10" width="17.85546875" style="312" bestFit="1" customWidth="1"/>
    <col min="11" max="16384" width="9.140625" style="312"/>
  </cols>
  <sheetData>
    <row r="1" spans="1:10" s="256" customFormat="1" ht="23.25">
      <c r="A1" s="249" t="s">
        <v>18</v>
      </c>
      <c r="B1" s="250"/>
      <c r="C1" s="251"/>
      <c r="D1" s="252"/>
      <c r="E1" s="252"/>
      <c r="F1" s="252"/>
      <c r="G1" s="253"/>
      <c r="H1" s="254"/>
      <c r="I1" s="254"/>
      <c r="J1" s="255"/>
    </row>
    <row r="2" spans="1:10" s="256" customFormat="1" ht="45">
      <c r="A2" s="257" t="s">
        <v>759</v>
      </c>
      <c r="B2" s="258" t="s">
        <v>712</v>
      </c>
      <c r="C2" s="259">
        <v>2021</v>
      </c>
      <c r="D2" s="260" t="s">
        <v>767</v>
      </c>
      <c r="E2" s="261"/>
      <c r="F2" s="262"/>
      <c r="G2" s="263" t="s">
        <v>713</v>
      </c>
      <c r="H2" s="264">
        <v>45565</v>
      </c>
      <c r="I2" s="264"/>
      <c r="J2" s="265"/>
    </row>
    <row r="3" spans="1:10" s="256" customFormat="1" ht="30">
      <c r="A3" s="266"/>
      <c r="B3" s="267" t="s">
        <v>714</v>
      </c>
      <c r="C3" s="268" t="s">
        <v>758</v>
      </c>
      <c r="D3" s="346"/>
      <c r="E3" s="346"/>
      <c r="F3" s="269"/>
      <c r="G3" s="263" t="s">
        <v>715</v>
      </c>
      <c r="H3" s="264">
        <v>45658</v>
      </c>
      <c r="I3" s="264"/>
      <c r="J3" s="270"/>
    </row>
    <row r="4" spans="1:10" s="256" customFormat="1" ht="21">
      <c r="A4" s="271" t="s">
        <v>716</v>
      </c>
      <c r="B4" s="272"/>
      <c r="C4" s="273"/>
      <c r="D4" s="272"/>
      <c r="E4" s="272"/>
      <c r="F4" s="272"/>
      <c r="G4" s="272"/>
      <c r="H4" s="274"/>
      <c r="I4" s="274"/>
      <c r="J4" s="275"/>
    </row>
    <row r="5" spans="1:10" s="256" customFormat="1" ht="115.5" customHeight="1">
      <c r="A5" s="276"/>
      <c r="B5" s="277" t="s">
        <v>717</v>
      </c>
      <c r="C5" s="277" t="s">
        <v>772</v>
      </c>
      <c r="D5" s="277" t="s">
        <v>718</v>
      </c>
      <c r="E5" s="277" t="s">
        <v>719</v>
      </c>
      <c r="F5" s="278" t="s">
        <v>720</v>
      </c>
      <c r="G5" s="277" t="s">
        <v>721</v>
      </c>
      <c r="H5" s="277" t="s">
        <v>722</v>
      </c>
      <c r="I5" s="277" t="s">
        <v>723</v>
      </c>
      <c r="J5" s="279" t="s">
        <v>724</v>
      </c>
    </row>
    <row r="6" spans="1:10" s="256" customFormat="1">
      <c r="A6" s="280" t="s">
        <v>530</v>
      </c>
      <c r="B6" s="281">
        <v>59844129</v>
      </c>
      <c r="C6" s="281">
        <v>299502211.47999996</v>
      </c>
      <c r="D6" s="281">
        <v>641546173</v>
      </c>
      <c r="E6" s="281">
        <v>34681421</v>
      </c>
      <c r="F6" s="281"/>
      <c r="G6" s="281"/>
      <c r="H6" s="281">
        <v>1135383052.3700001</v>
      </c>
      <c r="I6" s="281">
        <v>1701129924</v>
      </c>
      <c r="J6" s="281">
        <v>2721531730.75</v>
      </c>
    </row>
    <row r="7" spans="1:10" s="256" customFormat="1">
      <c r="A7" s="283" t="s">
        <v>725</v>
      </c>
      <c r="B7" s="80">
        <v>1714769.76</v>
      </c>
      <c r="C7" s="80">
        <v>4322065.95</v>
      </c>
      <c r="D7" s="80">
        <v>21445615.530000001</v>
      </c>
      <c r="E7" s="80">
        <v>620816.74</v>
      </c>
      <c r="F7" s="284"/>
      <c r="G7" s="284"/>
      <c r="H7" s="80">
        <v>8406966.4199999999</v>
      </c>
      <c r="I7" s="80">
        <v>42810429.579999998</v>
      </c>
      <c r="J7" s="285"/>
    </row>
    <row r="8" spans="1:10" s="256" customFormat="1" ht="25.5">
      <c r="A8" s="283" t="s">
        <v>726</v>
      </c>
      <c r="B8" s="83"/>
      <c r="C8" s="80">
        <v>20658065.322499998</v>
      </c>
      <c r="D8" s="80">
        <v>122786493.56</v>
      </c>
      <c r="E8" s="83"/>
      <c r="F8" s="284"/>
      <c r="G8" s="284"/>
      <c r="H8" s="80">
        <v>558823818.78999996</v>
      </c>
      <c r="I8" s="80">
        <v>881705856.39999998</v>
      </c>
      <c r="J8" s="285"/>
    </row>
    <row r="9" spans="1:10" s="256" customFormat="1">
      <c r="A9" s="283" t="s">
        <v>727</v>
      </c>
      <c r="B9" s="80">
        <v>0</v>
      </c>
      <c r="C9" s="80">
        <v>4941184.6074999999</v>
      </c>
      <c r="D9" s="80">
        <v>54492427.210000001</v>
      </c>
      <c r="E9" s="80">
        <v>0</v>
      </c>
      <c r="F9" s="284"/>
      <c r="G9" s="284"/>
      <c r="H9" s="80">
        <v>0</v>
      </c>
      <c r="I9" s="80">
        <v>3844837.75</v>
      </c>
      <c r="J9" s="285"/>
    </row>
    <row r="10" spans="1:10" s="256" customFormat="1">
      <c r="A10" s="283" t="s">
        <v>728</v>
      </c>
      <c r="B10" s="80">
        <v>52139523.590000004</v>
      </c>
      <c r="C10" s="80">
        <v>250862192.52000001</v>
      </c>
      <c r="D10" s="80">
        <v>380189356.50999999</v>
      </c>
      <c r="E10" s="80">
        <v>31720359.879999999</v>
      </c>
      <c r="F10" s="284"/>
      <c r="G10" s="284"/>
      <c r="H10" s="80">
        <v>539322007.94000006</v>
      </c>
      <c r="I10" s="80">
        <v>676015436.38</v>
      </c>
      <c r="J10" s="285"/>
    </row>
    <row r="11" spans="1:10" s="256" customFormat="1">
      <c r="A11" s="280" t="s">
        <v>729</v>
      </c>
      <c r="B11" s="281">
        <v>5989835.6499999994</v>
      </c>
      <c r="C11" s="281">
        <v>18718703.079999998</v>
      </c>
      <c r="D11" s="281">
        <v>62632280.190000005</v>
      </c>
      <c r="E11" s="281">
        <v>2340244.38</v>
      </c>
      <c r="F11" s="281"/>
      <c r="G11" s="281"/>
      <c r="H11" s="281">
        <v>28830259.219999999</v>
      </c>
      <c r="I11" s="281">
        <v>96753363.889999986</v>
      </c>
      <c r="J11" s="286"/>
    </row>
    <row r="12" spans="1:10" s="256" customFormat="1">
      <c r="A12" s="283" t="s">
        <v>730</v>
      </c>
      <c r="B12" s="80">
        <v>654853.97</v>
      </c>
      <c r="C12" s="80">
        <v>1089139.8799999999</v>
      </c>
      <c r="D12" s="80">
        <v>6726969.6500000004</v>
      </c>
      <c r="E12" s="80">
        <v>136724.07999999999</v>
      </c>
      <c r="F12" s="284"/>
      <c r="G12" s="284"/>
      <c r="H12" s="80">
        <v>1424774.22</v>
      </c>
      <c r="I12" s="80">
        <v>7134825.8700000001</v>
      </c>
      <c r="J12" s="285"/>
    </row>
    <row r="13" spans="1:10" s="256" customFormat="1">
      <c r="A13" s="283" t="s">
        <v>731</v>
      </c>
      <c r="B13" s="80">
        <v>5334981.68</v>
      </c>
      <c r="C13" s="80">
        <v>17629563.199999999</v>
      </c>
      <c r="D13" s="80">
        <v>52590782.590000004</v>
      </c>
      <c r="E13" s="80">
        <v>2203520.2999999998</v>
      </c>
      <c r="F13" s="284"/>
      <c r="G13" s="284"/>
      <c r="H13" s="80">
        <v>27405485</v>
      </c>
      <c r="I13" s="80">
        <v>54609517.329999998</v>
      </c>
      <c r="J13" s="285"/>
    </row>
    <row r="14" spans="1:10" s="256" customFormat="1">
      <c r="A14" s="283" t="s">
        <v>732</v>
      </c>
      <c r="B14" s="80">
        <v>0</v>
      </c>
      <c r="C14" s="80">
        <v>0</v>
      </c>
      <c r="D14" s="80">
        <v>3314527.95</v>
      </c>
      <c r="E14" s="80">
        <v>0</v>
      </c>
      <c r="F14" s="284"/>
      <c r="G14" s="284"/>
      <c r="H14" s="80">
        <v>0</v>
      </c>
      <c r="I14" s="80">
        <v>35009020.689999998</v>
      </c>
      <c r="J14" s="285"/>
    </row>
    <row r="15" spans="1:10" s="256" customFormat="1">
      <c r="A15" s="283" t="s">
        <v>733</v>
      </c>
      <c r="B15" s="287"/>
      <c r="C15" s="287"/>
      <c r="D15" s="287"/>
      <c r="E15" s="287"/>
      <c r="F15" s="287"/>
      <c r="G15" s="287"/>
      <c r="H15" s="287"/>
      <c r="I15" s="287"/>
      <c r="J15" s="285"/>
    </row>
    <row r="16" spans="1:10" s="256" customFormat="1">
      <c r="A16" s="283" t="s">
        <v>536</v>
      </c>
      <c r="B16" s="287"/>
      <c r="C16" s="281">
        <v>79125110</v>
      </c>
      <c r="D16" s="287"/>
      <c r="E16" s="281">
        <v>34681421</v>
      </c>
      <c r="F16" s="287"/>
      <c r="G16" s="287"/>
      <c r="H16" s="287"/>
      <c r="I16" s="287"/>
      <c r="J16" s="285"/>
    </row>
    <row r="17" spans="1:10" s="256" customFormat="1">
      <c r="A17" s="283" t="s">
        <v>734</v>
      </c>
      <c r="B17" s="287"/>
      <c r="C17" s="80">
        <v>78885110</v>
      </c>
      <c r="D17" s="287"/>
      <c r="E17" s="80">
        <v>27745141</v>
      </c>
      <c r="F17" s="287"/>
      <c r="G17" s="287"/>
      <c r="H17" s="287"/>
      <c r="I17" s="287"/>
      <c r="J17" s="285"/>
    </row>
    <row r="18" spans="1:10" s="256" customFormat="1">
      <c r="A18" s="283" t="s">
        <v>735</v>
      </c>
      <c r="B18" s="287"/>
      <c r="C18" s="80">
        <v>240000</v>
      </c>
      <c r="D18" s="287"/>
      <c r="E18" s="80">
        <v>0</v>
      </c>
      <c r="F18" s="287"/>
      <c r="G18" s="287"/>
      <c r="H18" s="287"/>
      <c r="I18" s="287"/>
      <c r="J18" s="285"/>
    </row>
    <row r="19" spans="1:10" s="256" customFormat="1">
      <c r="A19" s="283" t="s">
        <v>736</v>
      </c>
      <c r="B19" s="287"/>
      <c r="C19" s="80">
        <v>0</v>
      </c>
      <c r="D19" s="287"/>
      <c r="E19" s="80">
        <v>6936280</v>
      </c>
      <c r="F19" s="287"/>
      <c r="G19" s="287"/>
      <c r="H19" s="287"/>
      <c r="I19" s="287"/>
      <c r="J19" s="285"/>
    </row>
    <row r="20" spans="1:10" s="256" customFormat="1">
      <c r="A20" s="288" t="s">
        <v>540</v>
      </c>
      <c r="B20" s="287"/>
      <c r="C20" s="287"/>
      <c r="D20" s="287"/>
      <c r="E20" s="287"/>
      <c r="F20" s="287"/>
      <c r="G20" s="287"/>
      <c r="H20" s="287"/>
      <c r="I20" s="287"/>
      <c r="J20" s="80">
        <v>2721531730.75</v>
      </c>
    </row>
    <row r="21" spans="1:10" s="256" customFormat="1">
      <c r="A21" s="288" t="s">
        <v>541</v>
      </c>
      <c r="B21" s="287"/>
      <c r="C21" s="287"/>
      <c r="D21" s="287"/>
      <c r="E21" s="287"/>
      <c r="F21" s="287"/>
      <c r="G21" s="287"/>
      <c r="H21" s="287"/>
      <c r="I21" s="287"/>
      <c r="J21" s="289"/>
    </row>
    <row r="22" spans="1:10" s="256" customFormat="1">
      <c r="A22" s="288" t="s">
        <v>737</v>
      </c>
      <c r="B22" s="287"/>
      <c r="C22" s="287"/>
      <c r="D22" s="287"/>
      <c r="E22" s="287"/>
      <c r="F22" s="287"/>
      <c r="G22" s="287"/>
      <c r="H22" s="287"/>
      <c r="I22" s="287"/>
      <c r="J22" s="289"/>
    </row>
    <row r="23" spans="1:10" s="256" customFormat="1">
      <c r="A23" s="288" t="s">
        <v>738</v>
      </c>
      <c r="B23" s="287"/>
      <c r="C23" s="287"/>
      <c r="D23" s="287"/>
      <c r="E23" s="287"/>
      <c r="F23" s="287"/>
      <c r="G23" s="287"/>
      <c r="H23" s="287"/>
      <c r="I23" s="287"/>
      <c r="J23" s="289"/>
    </row>
    <row r="24" spans="1:10" s="256" customFormat="1">
      <c r="A24" s="288" t="s">
        <v>739</v>
      </c>
      <c r="B24" s="287"/>
      <c r="C24" s="287"/>
      <c r="D24" s="287"/>
      <c r="E24" s="287"/>
      <c r="F24" s="287"/>
      <c r="G24" s="287"/>
      <c r="H24" s="287"/>
      <c r="I24" s="287"/>
      <c r="J24" s="289"/>
    </row>
    <row r="25" spans="1:10" s="256" customFormat="1">
      <c r="A25" s="288" t="s">
        <v>740</v>
      </c>
      <c r="B25" s="287"/>
      <c r="C25" s="287"/>
      <c r="D25" s="287"/>
      <c r="E25" s="287"/>
      <c r="F25" s="287"/>
      <c r="G25" s="287"/>
      <c r="H25" s="287"/>
      <c r="I25" s="287"/>
      <c r="J25" s="289"/>
    </row>
    <row r="26" spans="1:10" s="256" customFormat="1">
      <c r="A26" s="288" t="s">
        <v>741</v>
      </c>
      <c r="B26" s="287"/>
      <c r="C26" s="287"/>
      <c r="D26" s="287"/>
      <c r="E26" s="287"/>
      <c r="F26" s="287"/>
      <c r="G26" s="287"/>
      <c r="H26" s="287"/>
      <c r="I26" s="287"/>
      <c r="J26" s="289"/>
    </row>
    <row r="27" spans="1:10" s="256" customFormat="1">
      <c r="A27" s="288" t="s">
        <v>742</v>
      </c>
      <c r="B27" s="287"/>
      <c r="C27" s="287"/>
      <c r="D27" s="287"/>
      <c r="E27" s="287"/>
      <c r="F27" s="287"/>
      <c r="G27" s="287"/>
      <c r="H27" s="287"/>
      <c r="I27" s="287"/>
      <c r="J27" s="289"/>
    </row>
    <row r="28" spans="1:10" s="256" customFormat="1">
      <c r="A28" s="280" t="s">
        <v>542</v>
      </c>
      <c r="B28" s="281">
        <v>59844129</v>
      </c>
      <c r="C28" s="281">
        <v>220377101.48000002</v>
      </c>
      <c r="D28" s="281">
        <v>641546173</v>
      </c>
      <c r="E28" s="287"/>
      <c r="F28" s="281"/>
      <c r="G28" s="281"/>
      <c r="H28" s="281">
        <v>1135383052.3699999</v>
      </c>
      <c r="I28" s="281">
        <v>1701129924</v>
      </c>
      <c r="J28" s="282">
        <v>2721531730.75</v>
      </c>
    </row>
    <row r="29" spans="1:10" s="256" customFormat="1">
      <c r="A29" s="290" t="s">
        <v>743</v>
      </c>
      <c r="B29" s="284"/>
      <c r="C29" s="284"/>
      <c r="D29" s="80">
        <v>0</v>
      </c>
      <c r="E29" s="287"/>
      <c r="F29" s="284"/>
      <c r="G29" s="284"/>
      <c r="H29" s="284"/>
      <c r="I29" s="284"/>
      <c r="J29" s="291"/>
    </row>
    <row r="30" spans="1:10" s="256" customFormat="1">
      <c r="A30" s="292" t="s">
        <v>543</v>
      </c>
      <c r="B30" s="281">
        <v>59844129</v>
      </c>
      <c r="C30" s="281">
        <v>220377101.47999999</v>
      </c>
      <c r="D30" s="281">
        <v>641546173</v>
      </c>
      <c r="E30" s="287"/>
      <c r="F30" s="281"/>
      <c r="G30" s="281"/>
      <c r="H30" s="327">
        <v>1135748591</v>
      </c>
      <c r="I30" s="327">
        <v>1703369713</v>
      </c>
      <c r="J30" s="327">
        <v>2724368837</v>
      </c>
    </row>
    <row r="31" spans="1:10" s="256" customFormat="1">
      <c r="A31" s="290" t="s">
        <v>744</v>
      </c>
      <c r="B31" s="287"/>
      <c r="C31" s="287"/>
      <c r="D31" s="284"/>
      <c r="E31" s="287"/>
      <c r="F31" s="287"/>
      <c r="G31" s="287"/>
      <c r="H31" s="287"/>
      <c r="I31" s="287"/>
      <c r="J31" s="285"/>
    </row>
    <row r="32" spans="1:10" s="256" customFormat="1">
      <c r="A32" s="292" t="s">
        <v>544</v>
      </c>
      <c r="B32" s="281"/>
      <c r="C32" s="281"/>
      <c r="D32" s="281"/>
      <c r="E32" s="287"/>
      <c r="F32" s="281"/>
      <c r="G32" s="281"/>
      <c r="H32" s="344">
        <v>365538.63000011444</v>
      </c>
      <c r="I32" s="344">
        <v>2239789</v>
      </c>
      <c r="J32" s="344">
        <v>2837106.25</v>
      </c>
    </row>
    <row r="33" spans="1:10" s="256" customFormat="1" ht="25.5">
      <c r="A33" s="290" t="s">
        <v>745</v>
      </c>
      <c r="B33" s="284"/>
      <c r="C33" s="284"/>
      <c r="D33" s="284"/>
      <c r="E33" s="287"/>
      <c r="F33" s="287"/>
      <c r="G33" s="287"/>
      <c r="H33" s="287"/>
      <c r="I33" s="287"/>
      <c r="J33" s="285"/>
    </row>
    <row r="34" spans="1:10" s="256" customFormat="1">
      <c r="A34" s="293" t="s">
        <v>746</v>
      </c>
      <c r="B34" s="294"/>
      <c r="C34" s="294"/>
      <c r="D34" s="295"/>
      <c r="E34" s="295"/>
      <c r="F34" s="295"/>
      <c r="G34" s="295"/>
      <c r="H34" s="295"/>
      <c r="I34" s="295"/>
      <c r="J34" s="296"/>
    </row>
    <row r="35" spans="1:10" s="256" customFormat="1" ht="38.25">
      <c r="A35" s="290" t="s">
        <v>747</v>
      </c>
      <c r="B35" s="297" t="s">
        <v>768</v>
      </c>
      <c r="C35" s="298" t="s">
        <v>768</v>
      </c>
      <c r="D35" s="287"/>
      <c r="E35" s="287"/>
      <c r="F35" s="287"/>
      <c r="G35" s="299"/>
      <c r="H35" s="299"/>
      <c r="I35" s="299"/>
      <c r="J35" s="300"/>
    </row>
    <row r="36" spans="1:10" s="256" customFormat="1" ht="25.5">
      <c r="A36" s="290" t="s">
        <v>748</v>
      </c>
      <c r="B36" s="301">
        <v>0</v>
      </c>
      <c r="C36" s="302">
        <v>0</v>
      </c>
      <c r="D36" s="287"/>
      <c r="E36" s="287"/>
      <c r="F36" s="287"/>
      <c r="G36" s="303"/>
      <c r="H36" s="303"/>
      <c r="I36" s="303"/>
      <c r="J36" s="304"/>
    </row>
    <row r="37" spans="1:10" s="256" customFormat="1" ht="25.5">
      <c r="A37" s="290" t="s">
        <v>749</v>
      </c>
      <c r="B37" s="287"/>
      <c r="C37" s="287"/>
      <c r="D37" s="305" t="s">
        <v>660</v>
      </c>
      <c r="E37" s="287"/>
      <c r="F37" s="287"/>
      <c r="G37" s="306"/>
      <c r="H37" s="306"/>
      <c r="I37" s="306"/>
      <c r="J37" s="307"/>
    </row>
    <row r="38" spans="1:10" ht="21">
      <c r="A38" s="308" t="s">
        <v>750</v>
      </c>
      <c r="B38" s="309"/>
      <c r="C38" s="310"/>
      <c r="D38" s="309"/>
      <c r="E38" s="309"/>
      <c r="F38" s="309"/>
      <c r="G38" s="309"/>
      <c r="H38" s="309"/>
      <c r="I38" s="309"/>
      <c r="J38" s="311"/>
    </row>
    <row r="39" spans="1:10">
      <c r="A39" s="313" t="s">
        <v>751</v>
      </c>
      <c r="B39" s="314"/>
      <c r="C39" s="314"/>
      <c r="D39" s="314"/>
      <c r="E39" s="314"/>
      <c r="F39" s="314"/>
      <c r="G39" s="315"/>
      <c r="H39" s="315"/>
      <c r="I39" s="315"/>
      <c r="J39" s="316"/>
    </row>
    <row r="40" spans="1:10" s="256" customFormat="1">
      <c r="A40" s="317" t="s">
        <v>752</v>
      </c>
      <c r="B40" s="318"/>
      <c r="C40" s="318"/>
      <c r="D40" s="318"/>
      <c r="E40" s="318"/>
      <c r="F40" s="318"/>
      <c r="G40" s="319"/>
      <c r="H40" s="319"/>
      <c r="I40" s="319"/>
      <c r="J40" s="320"/>
    </row>
    <row r="41" spans="1:10" s="256" customFormat="1" ht="25.5">
      <c r="A41" s="321" t="s">
        <v>753</v>
      </c>
      <c r="B41" s="322" t="s">
        <v>754</v>
      </c>
      <c r="C41" s="323"/>
      <c r="D41" s="323"/>
      <c r="E41" s="323"/>
      <c r="F41" s="323"/>
      <c r="G41" s="323"/>
      <c r="H41" s="323"/>
      <c r="I41" s="323"/>
      <c r="J41" s="324"/>
    </row>
    <row r="42" spans="1:10" ht="25.5">
      <c r="A42" s="321" t="s">
        <v>755</v>
      </c>
      <c r="B42" s="325" t="s">
        <v>756</v>
      </c>
      <c r="C42" s="323"/>
      <c r="D42" s="323"/>
      <c r="E42" s="323"/>
      <c r="F42" s="323"/>
      <c r="G42" s="323"/>
      <c r="H42" s="323"/>
      <c r="I42" s="323"/>
      <c r="J42" s="324"/>
    </row>
    <row r="43" spans="1:10" ht="47.25" customHeight="1" thickBot="1">
      <c r="A43" s="326" t="s">
        <v>757</v>
      </c>
      <c r="B43" s="347" t="s">
        <v>631</v>
      </c>
      <c r="C43" s="348"/>
      <c r="D43" s="348"/>
      <c r="E43" s="348"/>
      <c r="F43" s="348"/>
      <c r="G43" s="348"/>
      <c r="H43" s="348"/>
      <c r="I43" s="348"/>
      <c r="J43" s="349"/>
    </row>
  </sheetData>
  <mergeCells count="2">
    <mergeCell ref="D3:E3"/>
    <mergeCell ref="B43:J43"/>
  </mergeCells>
  <pageMargins left="0.7" right="0.7" top="0.75" bottom="0.75" header="0.3" footer="0.3"/>
  <pageSetup scale="46"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12D23-048A-41ED-B670-FAF2BDD404BF}">
  <sheetPr>
    <pageSetUpPr fitToPage="1"/>
  </sheetPr>
  <dimension ref="A1:M43"/>
  <sheetViews>
    <sheetView zoomScale="80" zoomScaleNormal="80" workbookViewId="0">
      <selection activeCell="C7" sqref="C7"/>
    </sheetView>
  </sheetViews>
  <sheetFormatPr defaultColWidth="9.140625" defaultRowHeight="12.75"/>
  <cols>
    <col min="1" max="1" width="55.7109375" style="312" customWidth="1"/>
    <col min="2" max="10" width="20.7109375" style="312" customWidth="1"/>
    <col min="11" max="11" width="18.42578125" style="312" customWidth="1"/>
    <col min="12" max="16384" width="9.140625" style="312"/>
  </cols>
  <sheetData>
    <row r="1" spans="1:13" s="256" customFormat="1" ht="23.25">
      <c r="A1" s="249" t="s">
        <v>18</v>
      </c>
      <c r="B1" s="250"/>
      <c r="C1" s="251"/>
      <c r="D1" s="252"/>
      <c r="E1" s="252"/>
      <c r="F1" s="252"/>
      <c r="G1" s="253"/>
      <c r="H1" s="254"/>
      <c r="I1" s="254"/>
      <c r="J1" s="255"/>
    </row>
    <row r="2" spans="1:13" s="256" customFormat="1" ht="45">
      <c r="A2" s="257" t="s">
        <v>759</v>
      </c>
      <c r="B2" s="258" t="s">
        <v>712</v>
      </c>
      <c r="C2" s="259">
        <v>2022</v>
      </c>
      <c r="D2" s="260" t="s">
        <v>762</v>
      </c>
      <c r="E2" s="261"/>
      <c r="F2" s="262"/>
      <c r="G2" s="263" t="s">
        <v>713</v>
      </c>
      <c r="H2" s="264">
        <v>45565</v>
      </c>
      <c r="I2" s="264"/>
      <c r="J2" s="265"/>
    </row>
    <row r="3" spans="1:13" s="256" customFormat="1" ht="45">
      <c r="A3" s="266"/>
      <c r="B3" s="267" t="s">
        <v>714</v>
      </c>
      <c r="C3" s="268" t="s">
        <v>763</v>
      </c>
      <c r="D3" s="346"/>
      <c r="E3" s="346"/>
      <c r="F3" s="269"/>
      <c r="G3" s="263" t="s">
        <v>715</v>
      </c>
      <c r="H3" s="264">
        <v>45658</v>
      </c>
      <c r="I3" s="264"/>
      <c r="J3" s="270"/>
    </row>
    <row r="4" spans="1:13" s="256" customFormat="1" ht="21">
      <c r="A4" s="271" t="s">
        <v>716</v>
      </c>
      <c r="B4" s="272"/>
      <c r="C4" s="273"/>
      <c r="D4" s="272"/>
      <c r="E4" s="272"/>
      <c r="F4" s="272"/>
      <c r="G4" s="272"/>
      <c r="H4" s="274"/>
      <c r="I4" s="274"/>
      <c r="J4" s="275"/>
    </row>
    <row r="5" spans="1:13" s="256" customFormat="1" ht="123" customHeight="1">
      <c r="A5" s="276"/>
      <c r="B5" s="277" t="s">
        <v>717</v>
      </c>
      <c r="C5" s="277" t="s">
        <v>773</v>
      </c>
      <c r="D5" s="277" t="s">
        <v>718</v>
      </c>
      <c r="E5" s="277" t="s">
        <v>719</v>
      </c>
      <c r="F5" s="278" t="s">
        <v>720</v>
      </c>
      <c r="G5" s="277" t="s">
        <v>721</v>
      </c>
      <c r="H5" s="277" t="s">
        <v>722</v>
      </c>
      <c r="I5" s="277" t="s">
        <v>723</v>
      </c>
      <c r="J5" s="279" t="s">
        <v>724</v>
      </c>
      <c r="M5" s="37"/>
    </row>
    <row r="6" spans="1:13" s="256" customFormat="1">
      <c r="A6" s="280" t="s">
        <v>530</v>
      </c>
      <c r="B6" s="281">
        <v>59844129</v>
      </c>
      <c r="C6" s="281">
        <v>307240892.21000004</v>
      </c>
      <c r="D6" s="281">
        <v>689840012</v>
      </c>
      <c r="E6" s="281">
        <v>34681421</v>
      </c>
      <c r="F6" s="281"/>
      <c r="G6" s="281"/>
      <c r="H6" s="281">
        <v>0</v>
      </c>
      <c r="I6" s="281">
        <v>0</v>
      </c>
      <c r="J6" s="281">
        <v>0</v>
      </c>
      <c r="M6" s="37"/>
    </row>
    <row r="7" spans="1:13" s="256" customFormat="1">
      <c r="A7" s="283" t="s">
        <v>725</v>
      </c>
      <c r="B7" s="80">
        <v>1195257.46</v>
      </c>
      <c r="C7" s="203">
        <v>3034950.39</v>
      </c>
      <c r="D7" s="80">
        <v>24429059.510000002</v>
      </c>
      <c r="E7" s="80">
        <v>565896.47</v>
      </c>
      <c r="F7" s="81"/>
      <c r="G7" s="284"/>
      <c r="H7" s="49"/>
      <c r="I7" s="49"/>
      <c r="J7" s="285"/>
      <c r="M7" s="37"/>
    </row>
    <row r="8" spans="1:13" s="256" customFormat="1" ht="25.5">
      <c r="A8" s="283" t="s">
        <v>726</v>
      </c>
      <c r="B8" s="83"/>
      <c r="C8" s="203">
        <v>25231161.675000001</v>
      </c>
      <c r="D8" s="80">
        <v>116242496.59999999</v>
      </c>
      <c r="E8" s="83"/>
      <c r="F8" s="84"/>
      <c r="G8" s="284"/>
      <c r="H8" s="49"/>
      <c r="I8" s="49"/>
      <c r="J8" s="285"/>
      <c r="M8" s="37"/>
    </row>
    <row r="9" spans="1:13" s="256" customFormat="1">
      <c r="A9" s="283" t="s">
        <v>727</v>
      </c>
      <c r="B9" s="80">
        <v>0</v>
      </c>
      <c r="C9" s="390">
        <v>5346297.5350000001</v>
      </c>
      <c r="D9" s="80">
        <v>31691873.18</v>
      </c>
      <c r="E9" s="80">
        <v>0</v>
      </c>
      <c r="F9" s="81"/>
      <c r="G9" s="284"/>
      <c r="H9" s="49"/>
      <c r="I9" s="49"/>
      <c r="J9" s="285"/>
      <c r="M9" s="37"/>
    </row>
    <row r="10" spans="1:13" s="256" customFormat="1">
      <c r="A10" s="283" t="s">
        <v>728</v>
      </c>
      <c r="B10" s="80">
        <v>53739001.299999997</v>
      </c>
      <c r="C10" s="203">
        <v>260958496.75</v>
      </c>
      <c r="D10" s="80">
        <v>449428112.14999998</v>
      </c>
      <c r="E10" s="80">
        <v>31907424.68</v>
      </c>
      <c r="F10" s="81"/>
      <c r="G10" s="284"/>
      <c r="H10" s="49"/>
      <c r="I10" s="49"/>
      <c r="J10" s="285"/>
      <c r="M10" s="235"/>
    </row>
    <row r="11" spans="1:13" s="256" customFormat="1">
      <c r="A11" s="280" t="s">
        <v>729</v>
      </c>
      <c r="B11" s="281">
        <v>4909870.24</v>
      </c>
      <c r="C11" s="281">
        <v>12669985.85</v>
      </c>
      <c r="D11" s="281">
        <v>68048470.560000002</v>
      </c>
      <c r="E11" s="281">
        <v>2208099.85</v>
      </c>
      <c r="F11" s="281"/>
      <c r="G11" s="281"/>
      <c r="H11" s="281">
        <v>0</v>
      </c>
      <c r="I11" s="281">
        <v>0</v>
      </c>
      <c r="J11" s="286"/>
      <c r="M11" s="37"/>
    </row>
    <row r="12" spans="1:13" s="256" customFormat="1">
      <c r="A12" s="283" t="s">
        <v>730</v>
      </c>
      <c r="B12" s="80">
        <v>312666.45</v>
      </c>
      <c r="C12" s="203">
        <v>725210.90999999992</v>
      </c>
      <c r="D12" s="80">
        <v>19644854.239999998</v>
      </c>
      <c r="E12" s="80">
        <v>136505.76999999999</v>
      </c>
      <c r="F12" s="284"/>
      <c r="G12" s="284"/>
      <c r="H12" s="80"/>
      <c r="I12" s="80"/>
      <c r="J12" s="285"/>
      <c r="M12" s="37"/>
    </row>
    <row r="13" spans="1:13" s="256" customFormat="1">
      <c r="A13" s="283" t="s">
        <v>731</v>
      </c>
      <c r="B13" s="80">
        <v>4597203.79</v>
      </c>
      <c r="C13" s="203">
        <v>11944774.939999999</v>
      </c>
      <c r="D13" s="80">
        <v>45425777.210000001</v>
      </c>
      <c r="E13" s="80">
        <v>2071594.08</v>
      </c>
      <c r="F13" s="284"/>
      <c r="G13" s="284"/>
      <c r="H13" s="80"/>
      <c r="I13" s="80"/>
      <c r="J13" s="285"/>
      <c r="M13" s="37"/>
    </row>
    <row r="14" spans="1:13" s="256" customFormat="1">
      <c r="A14" s="283" t="s">
        <v>732</v>
      </c>
      <c r="B14" s="80">
        <v>0</v>
      </c>
      <c r="C14" s="203">
        <v>0</v>
      </c>
      <c r="D14" s="80">
        <v>2977839.11</v>
      </c>
      <c r="E14" s="80">
        <v>0</v>
      </c>
      <c r="F14" s="284"/>
      <c r="G14" s="284"/>
      <c r="H14" s="80"/>
      <c r="I14" s="80"/>
      <c r="J14" s="285"/>
      <c r="M14" s="37"/>
    </row>
    <row r="15" spans="1:13" s="256" customFormat="1">
      <c r="A15" s="283" t="s">
        <v>733</v>
      </c>
      <c r="B15" s="287"/>
      <c r="C15" s="287"/>
      <c r="D15" s="287"/>
      <c r="E15" s="287"/>
      <c r="F15" s="287"/>
      <c r="G15" s="287"/>
      <c r="H15" s="287"/>
      <c r="I15" s="287"/>
      <c r="J15" s="285"/>
      <c r="M15" s="37"/>
    </row>
    <row r="16" spans="1:13" s="256" customFormat="1">
      <c r="A16" s="283" t="s">
        <v>536</v>
      </c>
      <c r="B16" s="287"/>
      <c r="C16" s="342">
        <v>84059901</v>
      </c>
      <c r="D16" s="287"/>
      <c r="E16" s="342">
        <v>34681421</v>
      </c>
      <c r="F16" s="287"/>
      <c r="G16" s="287"/>
      <c r="H16" s="287"/>
      <c r="I16" s="287"/>
      <c r="J16" s="285"/>
      <c r="M16" s="37"/>
    </row>
    <row r="17" spans="1:13" s="256" customFormat="1">
      <c r="A17" s="283" t="s">
        <v>734</v>
      </c>
      <c r="B17" s="287"/>
      <c r="C17" s="80">
        <v>83797901</v>
      </c>
      <c r="D17" s="287"/>
      <c r="E17" s="80">
        <v>27745141</v>
      </c>
      <c r="F17" s="287"/>
      <c r="G17" s="287"/>
      <c r="H17" s="287"/>
      <c r="I17" s="287"/>
      <c r="J17" s="285"/>
      <c r="M17" s="37"/>
    </row>
    <row r="18" spans="1:13" s="256" customFormat="1">
      <c r="A18" s="283" t="s">
        <v>735</v>
      </c>
      <c r="B18" s="287"/>
      <c r="C18" s="80">
        <v>262000</v>
      </c>
      <c r="D18" s="287"/>
      <c r="E18" s="80">
        <v>0</v>
      </c>
      <c r="F18" s="287"/>
      <c r="G18" s="287"/>
      <c r="H18" s="287"/>
      <c r="I18" s="287"/>
      <c r="J18" s="285"/>
      <c r="M18" s="37"/>
    </row>
    <row r="19" spans="1:13" s="256" customFormat="1">
      <c r="A19" s="283" t="s">
        <v>736</v>
      </c>
      <c r="B19" s="287"/>
      <c r="C19" s="80">
        <v>0</v>
      </c>
      <c r="D19" s="287"/>
      <c r="E19" s="80">
        <v>6936280</v>
      </c>
      <c r="F19" s="287"/>
      <c r="G19" s="287"/>
      <c r="H19" s="287"/>
      <c r="I19" s="287"/>
      <c r="J19" s="285"/>
      <c r="M19" s="37"/>
    </row>
    <row r="20" spans="1:13" s="256" customFormat="1">
      <c r="A20" s="288" t="s">
        <v>540</v>
      </c>
      <c r="B20" s="287"/>
      <c r="C20" s="287"/>
      <c r="D20" s="287"/>
      <c r="E20" s="287"/>
      <c r="F20" s="287"/>
      <c r="G20" s="287"/>
      <c r="H20" s="287"/>
      <c r="I20" s="287"/>
      <c r="J20" s="80">
        <v>0</v>
      </c>
      <c r="M20" s="37"/>
    </row>
    <row r="21" spans="1:13" s="256" customFormat="1">
      <c r="A21" s="288" t="s">
        <v>541</v>
      </c>
      <c r="B21" s="287"/>
      <c r="C21" s="287"/>
      <c r="D21" s="287"/>
      <c r="E21" s="287"/>
      <c r="F21" s="287"/>
      <c r="G21" s="287"/>
      <c r="H21" s="287"/>
      <c r="I21" s="287"/>
      <c r="J21" s="289"/>
      <c r="M21" s="37"/>
    </row>
    <row r="22" spans="1:13" s="256" customFormat="1">
      <c r="A22" s="288" t="s">
        <v>737</v>
      </c>
      <c r="B22" s="287"/>
      <c r="C22" s="287"/>
      <c r="D22" s="287"/>
      <c r="E22" s="287"/>
      <c r="F22" s="287"/>
      <c r="G22" s="287"/>
      <c r="H22" s="287"/>
      <c r="I22" s="287"/>
      <c r="J22" s="289"/>
      <c r="M22" s="37"/>
    </row>
    <row r="23" spans="1:13" s="256" customFormat="1">
      <c r="A23" s="288" t="s">
        <v>738</v>
      </c>
      <c r="B23" s="287"/>
      <c r="C23" s="287"/>
      <c r="D23" s="287"/>
      <c r="E23" s="287"/>
      <c r="F23" s="287"/>
      <c r="G23" s="287"/>
      <c r="H23" s="287"/>
      <c r="I23" s="287"/>
      <c r="J23" s="289"/>
      <c r="M23" s="37"/>
    </row>
    <row r="24" spans="1:13" s="256" customFormat="1">
      <c r="A24" s="288" t="s">
        <v>739</v>
      </c>
      <c r="B24" s="287"/>
      <c r="C24" s="287"/>
      <c r="D24" s="287"/>
      <c r="E24" s="287"/>
      <c r="F24" s="287"/>
      <c r="G24" s="287"/>
      <c r="H24" s="287"/>
      <c r="I24" s="287"/>
      <c r="J24" s="289"/>
      <c r="M24" s="37"/>
    </row>
    <row r="25" spans="1:13" s="256" customFormat="1">
      <c r="A25" s="288" t="s">
        <v>740</v>
      </c>
      <c r="B25" s="287"/>
      <c r="C25" s="287"/>
      <c r="D25" s="287"/>
      <c r="E25" s="287"/>
      <c r="F25" s="287"/>
      <c r="G25" s="287"/>
      <c r="H25" s="287"/>
      <c r="I25" s="287"/>
      <c r="J25" s="289"/>
      <c r="M25" s="37"/>
    </row>
    <row r="26" spans="1:13" s="256" customFormat="1">
      <c r="A26" s="288" t="s">
        <v>741</v>
      </c>
      <c r="B26" s="287"/>
      <c r="C26" s="287"/>
      <c r="D26" s="287"/>
      <c r="E26" s="287"/>
      <c r="F26" s="287"/>
      <c r="G26" s="287"/>
      <c r="H26" s="287"/>
      <c r="I26" s="287"/>
      <c r="J26" s="289"/>
      <c r="M26" s="37"/>
    </row>
    <row r="27" spans="1:13" s="256" customFormat="1">
      <c r="A27" s="288" t="s">
        <v>742</v>
      </c>
      <c r="B27" s="287"/>
      <c r="C27" s="287"/>
      <c r="D27" s="287"/>
      <c r="E27" s="287"/>
      <c r="F27" s="287"/>
      <c r="G27" s="287"/>
      <c r="H27" s="287"/>
      <c r="I27" s="287"/>
      <c r="J27" s="289"/>
      <c r="M27" s="37"/>
    </row>
    <row r="28" spans="1:13" s="256" customFormat="1">
      <c r="A28" s="280" t="s">
        <v>542</v>
      </c>
      <c r="B28" s="79">
        <v>59844129</v>
      </c>
      <c r="C28" s="79">
        <v>223180991.21000001</v>
      </c>
      <c r="D28" s="79">
        <v>689840012</v>
      </c>
      <c r="E28" s="287"/>
      <c r="F28" s="281"/>
      <c r="G28" s="281"/>
      <c r="H28" s="281">
        <v>0</v>
      </c>
      <c r="I28" s="281">
        <v>0</v>
      </c>
      <c r="J28" s="282">
        <v>0</v>
      </c>
      <c r="M28" s="37"/>
    </row>
    <row r="29" spans="1:13" s="256" customFormat="1">
      <c r="A29" s="290" t="s">
        <v>743</v>
      </c>
      <c r="B29" s="284"/>
      <c r="C29" s="284"/>
      <c r="D29" s="80">
        <v>0</v>
      </c>
      <c r="E29" s="287"/>
      <c r="F29" s="284"/>
      <c r="G29" s="284"/>
      <c r="H29" s="284"/>
      <c r="I29" s="284"/>
      <c r="J29" s="291"/>
      <c r="M29" s="37"/>
    </row>
    <row r="30" spans="1:13" s="256" customFormat="1">
      <c r="A30" s="292" t="s">
        <v>543</v>
      </c>
      <c r="B30" s="79">
        <v>59844129</v>
      </c>
      <c r="C30" s="79">
        <v>223180991.21000001</v>
      </c>
      <c r="D30" s="79">
        <v>689840012</v>
      </c>
      <c r="E30" s="287"/>
      <c r="F30" s="281"/>
      <c r="G30" s="281"/>
      <c r="H30" s="327"/>
      <c r="I30" s="327"/>
      <c r="J30" s="327"/>
      <c r="M30" s="37"/>
    </row>
    <row r="31" spans="1:13" s="256" customFormat="1">
      <c r="A31" s="290" t="s">
        <v>744</v>
      </c>
      <c r="B31" s="287"/>
      <c r="C31" s="287"/>
      <c r="D31" s="284"/>
      <c r="E31" s="287"/>
      <c r="F31" s="287"/>
      <c r="G31" s="287"/>
      <c r="H31" s="287"/>
      <c r="I31" s="287"/>
      <c r="J31" s="285"/>
      <c r="M31" s="37"/>
    </row>
    <row r="32" spans="1:13" s="256" customFormat="1">
      <c r="A32" s="292" t="s">
        <v>544</v>
      </c>
      <c r="B32" s="281"/>
      <c r="C32" s="281"/>
      <c r="D32" s="281"/>
      <c r="E32" s="287"/>
      <c r="F32" s="281"/>
      <c r="G32" s="281"/>
      <c r="H32" s="79"/>
      <c r="I32" s="79"/>
      <c r="J32" s="79"/>
      <c r="M32" s="37"/>
    </row>
    <row r="33" spans="1:13" s="256" customFormat="1" ht="25.5">
      <c r="A33" s="290" t="s">
        <v>745</v>
      </c>
      <c r="B33" s="284"/>
      <c r="C33" s="284"/>
      <c r="D33" s="284"/>
      <c r="E33" s="287"/>
      <c r="F33" s="287"/>
      <c r="G33" s="287"/>
      <c r="H33" s="287"/>
      <c r="I33" s="287"/>
      <c r="J33" s="285"/>
      <c r="M33" s="37"/>
    </row>
    <row r="34" spans="1:13" s="256" customFormat="1">
      <c r="A34" s="293" t="s">
        <v>746</v>
      </c>
      <c r="B34" s="294"/>
      <c r="C34" s="294"/>
      <c r="D34" s="295"/>
      <c r="E34" s="295"/>
      <c r="F34" s="295"/>
      <c r="G34" s="295"/>
      <c r="H34" s="295"/>
      <c r="I34" s="295"/>
      <c r="J34" s="296"/>
      <c r="M34" s="37"/>
    </row>
    <row r="35" spans="1:13" s="256" customFormat="1" ht="38.25">
      <c r="A35" s="290" t="s">
        <v>747</v>
      </c>
      <c r="B35" s="297" t="s">
        <v>769</v>
      </c>
      <c r="C35" s="298" t="s">
        <v>768</v>
      </c>
      <c r="D35" s="287"/>
      <c r="E35" s="287"/>
      <c r="F35" s="287"/>
      <c r="G35" s="299"/>
      <c r="H35" s="299"/>
      <c r="I35" s="299"/>
      <c r="J35" s="300"/>
      <c r="M35" s="37"/>
    </row>
    <row r="36" spans="1:13" s="256" customFormat="1" ht="25.5">
      <c r="A36" s="290" t="s">
        <v>748</v>
      </c>
      <c r="B36" s="301">
        <v>0</v>
      </c>
      <c r="C36" s="302">
        <v>0</v>
      </c>
      <c r="D36" s="287"/>
      <c r="E36" s="287"/>
      <c r="F36" s="287"/>
      <c r="G36" s="303"/>
      <c r="H36" s="303"/>
      <c r="I36" s="303"/>
      <c r="J36" s="304"/>
      <c r="M36" s="37"/>
    </row>
    <row r="37" spans="1:13" s="256" customFormat="1" ht="25.5">
      <c r="A37" s="290" t="s">
        <v>749</v>
      </c>
      <c r="B37" s="287"/>
      <c r="C37" s="287"/>
      <c r="D37" s="305" t="s">
        <v>660</v>
      </c>
      <c r="E37" s="287"/>
      <c r="F37" s="287"/>
      <c r="G37" s="306"/>
      <c r="H37" s="306"/>
      <c r="I37" s="306"/>
      <c r="J37" s="307"/>
      <c r="M37" s="37"/>
    </row>
    <row r="38" spans="1:13" ht="21">
      <c r="A38" s="308" t="s">
        <v>750</v>
      </c>
      <c r="B38" s="309"/>
      <c r="C38" s="310"/>
      <c r="D38" s="309"/>
      <c r="E38" s="309"/>
      <c r="F38" s="309"/>
      <c r="G38" s="309"/>
      <c r="H38" s="309"/>
      <c r="I38" s="309"/>
      <c r="J38" s="311"/>
    </row>
    <row r="39" spans="1:13">
      <c r="A39" s="313" t="s">
        <v>751</v>
      </c>
      <c r="B39" s="314"/>
      <c r="C39" s="314"/>
      <c r="D39" s="314"/>
      <c r="E39" s="314"/>
      <c r="F39" s="314"/>
      <c r="G39" s="315"/>
      <c r="H39" s="315"/>
      <c r="I39" s="315"/>
      <c r="J39" s="316"/>
    </row>
    <row r="40" spans="1:13" s="256" customFormat="1">
      <c r="A40" s="317" t="s">
        <v>752</v>
      </c>
      <c r="B40" s="318"/>
      <c r="C40" s="318"/>
      <c r="D40" s="318"/>
      <c r="E40" s="318"/>
      <c r="F40" s="318"/>
      <c r="G40" s="319"/>
      <c r="H40" s="319"/>
      <c r="I40" s="319"/>
      <c r="J40" s="320"/>
    </row>
    <row r="41" spans="1:13" s="256" customFormat="1" ht="25.5">
      <c r="A41" s="321" t="s">
        <v>753</v>
      </c>
      <c r="B41" s="322" t="s">
        <v>754</v>
      </c>
      <c r="C41" s="323"/>
      <c r="D41" s="323"/>
      <c r="E41" s="323"/>
      <c r="F41" s="323"/>
      <c r="G41" s="323"/>
      <c r="H41" s="323"/>
      <c r="I41" s="323"/>
      <c r="J41" s="324"/>
    </row>
    <row r="42" spans="1:13" ht="25.5">
      <c r="A42" s="321" t="s">
        <v>755</v>
      </c>
      <c r="B42" s="325" t="s">
        <v>756</v>
      </c>
      <c r="C42" s="323"/>
      <c r="D42" s="323"/>
      <c r="E42" s="323"/>
      <c r="F42" s="323"/>
      <c r="G42" s="323"/>
      <c r="H42" s="323"/>
      <c r="I42" s="323"/>
      <c r="J42" s="324"/>
    </row>
    <row r="43" spans="1:13" ht="47.25" customHeight="1" thickBot="1">
      <c r="A43" s="326" t="s">
        <v>757</v>
      </c>
      <c r="B43" s="347" t="s">
        <v>631</v>
      </c>
      <c r="C43" s="348"/>
      <c r="D43" s="348"/>
      <c r="E43" s="348"/>
      <c r="F43" s="348"/>
      <c r="G43" s="348"/>
      <c r="H43" s="348"/>
      <c r="I43" s="348"/>
      <c r="J43" s="349"/>
    </row>
  </sheetData>
  <mergeCells count="2">
    <mergeCell ref="D3:E3"/>
    <mergeCell ref="B43:J43"/>
  </mergeCells>
  <pageMargins left="0.7" right="0.7" top="0.75" bottom="0.75" header="0.3" footer="0.3"/>
  <pageSetup scale="46"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2D6EE-5662-4C27-AB2E-73378EC847B0}">
  <sheetPr>
    <pageSetUpPr fitToPage="1"/>
  </sheetPr>
  <dimension ref="A1:AM51"/>
  <sheetViews>
    <sheetView topLeftCell="A5" zoomScaleNormal="100" zoomScaleSheetLayoutView="110" workbookViewId="0">
      <selection activeCell="C46" sqref="C46"/>
    </sheetView>
  </sheetViews>
  <sheetFormatPr defaultColWidth="9.140625" defaultRowHeight="12.75" outlineLevelCol="1"/>
  <cols>
    <col min="1" max="1" width="65.140625" style="97" customWidth="1"/>
    <col min="2" max="2" width="14.140625" style="37" customWidth="1"/>
    <col min="3" max="3" width="16.5703125" style="37" customWidth="1"/>
    <col min="4" max="4" width="16.7109375" style="37" customWidth="1"/>
    <col min="5" max="5" width="14.85546875" style="37" customWidth="1"/>
    <col min="6" max="6" width="16" style="37" customWidth="1"/>
    <col min="7" max="7" width="13" style="37" customWidth="1"/>
    <col min="8" max="8" width="13.85546875" style="37" customWidth="1"/>
    <col min="9" max="9" width="16.85546875" style="37" bestFit="1" customWidth="1"/>
    <col min="10" max="10" width="19.140625" style="37" customWidth="1"/>
    <col min="11" max="11" width="19.85546875" style="37" customWidth="1"/>
    <col min="12" max="12" width="9.140625" style="37"/>
    <col min="13" max="13" width="16.85546875" style="53" customWidth="1" outlineLevel="1"/>
    <col min="14" max="15" width="16.140625" style="53" customWidth="1" outlineLevel="1"/>
    <col min="16" max="16" width="17.85546875" style="53" customWidth="1" outlineLevel="1"/>
    <col min="17" max="17" width="20.7109375" style="53" customWidth="1" outlineLevel="1"/>
    <col min="18" max="18" width="17.85546875" style="53" customWidth="1" outlineLevel="1"/>
    <col min="19" max="19" width="14.28515625" style="53" customWidth="1" outlineLevel="1"/>
    <col min="20" max="20" width="14.85546875" style="53" customWidth="1" outlineLevel="1"/>
    <col min="21" max="21" width="9.140625" style="37" customWidth="1" outlineLevel="1"/>
    <col min="22" max="22" width="5.140625" style="37" customWidth="1" outlineLevel="1"/>
    <col min="23" max="23" width="13.7109375" style="37" customWidth="1" outlineLevel="1"/>
    <col min="24" max="24" width="9.140625" style="37" customWidth="1" outlineLevel="1"/>
    <col min="25" max="25" width="10.28515625" style="37" customWidth="1" outlineLevel="1"/>
    <col min="26" max="26" width="9.140625" style="37" customWidth="1" outlineLevel="1"/>
    <col min="27" max="27" width="14.28515625" style="37" bestFit="1" customWidth="1"/>
    <col min="28" max="28" width="9.140625" style="237"/>
    <col min="29" max="29" width="9.140625" style="37"/>
    <col min="30" max="30" width="14.28515625" style="37" bestFit="1" customWidth="1"/>
    <col min="31" max="31" width="6.42578125" style="37" bestFit="1" customWidth="1"/>
    <col min="32" max="32" width="13.5703125" style="37" bestFit="1" customWidth="1"/>
    <col min="33" max="33" width="6.42578125" style="37" bestFit="1" customWidth="1"/>
    <col min="34" max="34" width="12.85546875" style="37" bestFit="1" customWidth="1"/>
    <col min="35" max="36" width="9.140625" style="37"/>
    <col min="37" max="37" width="14.28515625" style="37" bestFit="1" customWidth="1"/>
    <col min="38" max="38" width="12.85546875" style="37" bestFit="1" customWidth="1"/>
    <col min="39" max="16384" width="9.140625" style="37"/>
  </cols>
  <sheetData>
    <row r="1" spans="1:39">
      <c r="A1" s="350" t="s">
        <v>511</v>
      </c>
      <c r="B1" s="351"/>
      <c r="C1" s="351"/>
      <c r="D1" s="351"/>
      <c r="E1" s="351"/>
      <c r="F1" s="351"/>
      <c r="G1" s="351"/>
      <c r="H1" s="351"/>
      <c r="I1" s="351"/>
      <c r="J1" s="351"/>
      <c r="K1" s="352"/>
    </row>
    <row r="2" spans="1:39" ht="15">
      <c r="A2" s="58" t="s">
        <v>546</v>
      </c>
      <c r="B2" s="353" t="s">
        <v>667</v>
      </c>
      <c r="C2" s="354"/>
      <c r="D2" s="355" t="s">
        <v>669</v>
      </c>
      <c r="E2" s="356"/>
      <c r="F2" s="354"/>
      <c r="G2" s="357" t="s">
        <v>706</v>
      </c>
      <c r="H2" s="358"/>
      <c r="I2" s="358"/>
      <c r="J2" s="358"/>
      <c r="K2" s="359"/>
      <c r="M2" s="329"/>
    </row>
    <row r="3" spans="1:39" ht="15">
      <c r="A3" s="88"/>
      <c r="B3" s="353" t="s">
        <v>668</v>
      </c>
      <c r="C3" s="356"/>
      <c r="D3" s="356"/>
      <c r="E3" s="356"/>
      <c r="F3" s="354"/>
      <c r="G3" s="357" t="s">
        <v>707</v>
      </c>
      <c r="H3" s="358"/>
      <c r="I3" s="358"/>
      <c r="J3" s="358"/>
      <c r="K3" s="359"/>
    </row>
    <row r="4" spans="1:39" ht="13.5" thickBot="1">
      <c r="A4" s="363" t="s">
        <v>512</v>
      </c>
      <c r="B4" s="364"/>
      <c r="C4" s="364"/>
      <c r="D4" s="364"/>
      <c r="E4" s="364"/>
      <c r="F4" s="364"/>
      <c r="G4" s="364"/>
      <c r="H4" s="365"/>
      <c r="I4" s="39"/>
      <c r="J4" s="39"/>
      <c r="K4" s="39"/>
    </row>
    <row r="5" spans="1:39" ht="90.75" customHeight="1">
      <c r="A5" s="89"/>
      <c r="B5" s="77" t="s">
        <v>520</v>
      </c>
      <c r="C5" s="77" t="s">
        <v>609</v>
      </c>
      <c r="D5" s="40" t="s">
        <v>610</v>
      </c>
      <c r="E5" s="78" t="s">
        <v>608</v>
      </c>
      <c r="F5" s="40" t="s">
        <v>611</v>
      </c>
      <c r="G5" s="247" t="s">
        <v>612</v>
      </c>
      <c r="H5" s="40" t="s">
        <v>613</v>
      </c>
      <c r="I5" s="40" t="s">
        <v>614</v>
      </c>
      <c r="J5" s="41" t="s">
        <v>615</v>
      </c>
      <c r="K5" s="41" t="s">
        <v>616</v>
      </c>
      <c r="M5" s="8" t="s">
        <v>1</v>
      </c>
      <c r="N5" s="8" t="s">
        <v>382</v>
      </c>
      <c r="O5" s="8" t="s">
        <v>2</v>
      </c>
      <c r="P5" s="8" t="s">
        <v>3</v>
      </c>
      <c r="Q5" s="5" t="s">
        <v>0</v>
      </c>
      <c r="R5"/>
      <c r="S5" s="160" t="s">
        <v>678</v>
      </c>
      <c r="T5" s="133" t="s">
        <v>676</v>
      </c>
      <c r="Y5" s="61"/>
      <c r="AD5" s="218" t="s">
        <v>702</v>
      </c>
      <c r="AE5" s="219"/>
      <c r="AF5" s="220" t="s">
        <v>701</v>
      </c>
      <c r="AG5" s="220"/>
      <c r="AH5" s="220" t="s">
        <v>703</v>
      </c>
      <c r="AI5" s="221"/>
    </row>
    <row r="6" spans="1:39">
      <c r="A6" s="90" t="s">
        <v>530</v>
      </c>
      <c r="B6" s="79" t="e">
        <f t="shared" ref="B6:J6" si="0">SUM(B7:B11)</f>
        <v>#REF!</v>
      </c>
      <c r="C6" s="79" t="e">
        <f>SUM(C7:C11)</f>
        <v>#REF!</v>
      </c>
      <c r="D6" s="79" t="e">
        <f t="shared" si="0"/>
        <v>#REF!</v>
      </c>
      <c r="E6" s="79" t="e">
        <f t="shared" si="0"/>
        <v>#REF!</v>
      </c>
      <c r="F6" s="79">
        <f t="shared" si="0"/>
        <v>0</v>
      </c>
      <c r="G6" s="79">
        <f t="shared" si="0"/>
        <v>0</v>
      </c>
      <c r="H6" s="79">
        <f t="shared" si="0"/>
        <v>0</v>
      </c>
      <c r="I6" s="79" t="e">
        <f t="shared" si="0"/>
        <v>#REF!</v>
      </c>
      <c r="J6" s="79" t="e">
        <f t="shared" si="0"/>
        <v>#REF!</v>
      </c>
      <c r="K6" s="79" t="e">
        <f>SUM(K7:K21)</f>
        <v>#REF!</v>
      </c>
      <c r="M6" s="8">
        <v>1714769.76</v>
      </c>
      <c r="N6" s="8">
        <v>4322065.95</v>
      </c>
      <c r="O6" s="8">
        <v>21445615.530000001</v>
      </c>
      <c r="P6" s="8">
        <v>620816.74</v>
      </c>
      <c r="Q6" s="2" t="s">
        <v>4</v>
      </c>
      <c r="R6" s="8" t="e">
        <f>+#REF!+#REF!+#REF!+#REF!+#REF!+#REF!</f>
        <v>#REF!</v>
      </c>
      <c r="S6" s="133" t="e">
        <f>SUM(B7:E7)</f>
        <v>#REF!</v>
      </c>
      <c r="T6" s="152" t="e">
        <f>R6-S6</f>
        <v>#REF!</v>
      </c>
      <c r="AA6" s="60" t="e">
        <f>SUM(B6:E6)</f>
        <v>#REF!</v>
      </c>
      <c r="AD6" s="222" t="e">
        <f>SUM(B6:D6)</f>
        <v>#REF!</v>
      </c>
      <c r="AE6" s="223"/>
      <c r="AF6" s="224" t="e">
        <f>SUM(B6:C6)</f>
        <v>#REF!</v>
      </c>
      <c r="AG6" s="223"/>
      <c r="AH6" s="224" t="e">
        <f>SUM(D6)-(D6*12%)-D7</f>
        <v>#REF!</v>
      </c>
      <c r="AI6" s="225"/>
      <c r="AK6" s="60" t="e">
        <f>SUM(B6:D6)</f>
        <v>#REF!</v>
      </c>
      <c r="AL6" s="60" t="e">
        <f>AF6+AH6</f>
        <v>#REF!</v>
      </c>
    </row>
    <row r="7" spans="1:39">
      <c r="A7" s="91" t="s">
        <v>527</v>
      </c>
      <c r="B7" s="80" t="e">
        <f>(#REF!)</f>
        <v>#REF!</v>
      </c>
      <c r="C7" s="80" t="e">
        <f>(#REF!+#REF!+#REF!+#REF!+#REF!+#REF!)</f>
        <v>#REF!</v>
      </c>
      <c r="D7" s="80" t="e">
        <f>ROUND((#REF!),2)</f>
        <v>#REF!</v>
      </c>
      <c r="E7" s="80" t="e">
        <f>(#REF!)</f>
        <v>#REF!</v>
      </c>
      <c r="F7" s="81"/>
      <c r="G7" s="81"/>
      <c r="H7" s="81"/>
      <c r="I7" s="80" t="e">
        <f>#REF!</f>
        <v>#REF!</v>
      </c>
      <c r="J7" s="80" t="e">
        <f>#REF!</f>
        <v>#REF!</v>
      </c>
      <c r="K7" s="82"/>
      <c r="M7" s="8">
        <v>0</v>
      </c>
      <c r="N7" s="8">
        <v>20658065.322499998</v>
      </c>
      <c r="O7" s="8">
        <v>122786493.56400001</v>
      </c>
      <c r="P7" s="8">
        <v>0</v>
      </c>
      <c r="Q7" s="2" t="s">
        <v>5</v>
      </c>
      <c r="R7" s="8" t="e">
        <f>+#REF!+#REF!+#REF!+#REF!+#REF!+#REF!+#REF!+#REF!+#REF!</f>
        <v>#REF!</v>
      </c>
      <c r="S7" s="133" t="e">
        <f>SUM(B8:E8)</f>
        <v>#REF!</v>
      </c>
      <c r="T7" s="152" t="e">
        <f t="shared" ref="T7:T15" si="1">R7-S7</f>
        <v>#REF!</v>
      </c>
      <c r="AA7" s="60" t="e">
        <f>SUM(B7:E7)</f>
        <v>#REF!</v>
      </c>
      <c r="AB7" s="238" t="e">
        <f>AA7/$AA$6</f>
        <v>#REF!</v>
      </c>
      <c r="AC7" s="236"/>
      <c r="AD7" s="226"/>
      <c r="AE7" s="223"/>
      <c r="AF7" s="223"/>
      <c r="AG7" s="223"/>
      <c r="AH7" s="223"/>
      <c r="AI7" s="225"/>
    </row>
    <row r="8" spans="1:39" ht="22.5">
      <c r="A8" s="89" t="s">
        <v>617</v>
      </c>
      <c r="B8" s="83"/>
      <c r="C8" s="80" t="e">
        <f>(#REF!+#REF!+#REF!+#REF!+#REF!+#REF!)</f>
        <v>#REF!</v>
      </c>
      <c r="D8" s="80" t="e">
        <f>ROUND((#REF!),2)</f>
        <v>#REF!</v>
      </c>
      <c r="E8" s="83"/>
      <c r="F8" s="84"/>
      <c r="G8" s="84"/>
      <c r="H8" s="84"/>
      <c r="I8" s="80" t="e">
        <f>#REF!</f>
        <v>#REF!</v>
      </c>
      <c r="J8" s="80" t="e">
        <f>#REF!</f>
        <v>#REF!</v>
      </c>
      <c r="K8" s="85"/>
      <c r="M8" s="8">
        <v>0</v>
      </c>
      <c r="N8" s="8">
        <v>0</v>
      </c>
      <c r="O8" s="8">
        <v>0</v>
      </c>
      <c r="P8" s="8">
        <v>0</v>
      </c>
      <c r="Q8" s="25" t="s">
        <v>6</v>
      </c>
      <c r="R8" s="8">
        <v>0</v>
      </c>
      <c r="S8" s="133">
        <v>0</v>
      </c>
      <c r="T8" s="152">
        <f t="shared" si="1"/>
        <v>0</v>
      </c>
      <c r="AA8" s="60" t="e">
        <f t="shared" ref="AA8:AA11" si="2">SUM(B8:E8)</f>
        <v>#REF!</v>
      </c>
      <c r="AB8" s="238" t="e">
        <f t="shared" ref="AB8:AB11" si="3">AA8/$AA$6</f>
        <v>#REF!</v>
      </c>
      <c r="AC8" s="236"/>
      <c r="AD8" s="227" t="e">
        <f>SUM(B8:D8)</f>
        <v>#REF!</v>
      </c>
      <c r="AE8" s="228" t="e">
        <f>AD8/$AD$6</f>
        <v>#REF!</v>
      </c>
      <c r="AF8" s="223"/>
      <c r="AG8" s="223"/>
      <c r="AH8" s="223"/>
      <c r="AI8" s="225"/>
    </row>
    <row r="9" spans="1:39">
      <c r="A9" s="91" t="s">
        <v>528</v>
      </c>
      <c r="B9" s="80" t="e">
        <f>ROUND(#REF!,0)</f>
        <v>#REF!</v>
      </c>
      <c r="C9" s="80" t="e">
        <f>(#REF!+#REF!+#REF!+#REF!+#REF!+#REF!)</f>
        <v>#REF!</v>
      </c>
      <c r="D9" s="80" t="e">
        <f>ROUND((#REF!),2)</f>
        <v>#REF!</v>
      </c>
      <c r="E9" s="80" t="e">
        <f>(#REF!)</f>
        <v>#REF!</v>
      </c>
      <c r="F9" s="81"/>
      <c r="G9" s="81"/>
      <c r="H9" s="81"/>
      <c r="I9" s="80" t="e">
        <f>#REF!</f>
        <v>#REF!</v>
      </c>
      <c r="J9" s="80" t="e">
        <f>#REF!</f>
        <v>#REF!</v>
      </c>
      <c r="K9" s="82"/>
      <c r="M9" s="8">
        <v>0</v>
      </c>
      <c r="N9" s="8">
        <v>0</v>
      </c>
      <c r="O9" s="8">
        <v>0</v>
      </c>
      <c r="P9" s="8">
        <v>0</v>
      </c>
      <c r="Q9" s="25" t="s">
        <v>23</v>
      </c>
      <c r="R9" s="8">
        <v>0</v>
      </c>
      <c r="S9" s="133">
        <v>0</v>
      </c>
      <c r="T9" s="152">
        <f t="shared" si="1"/>
        <v>0</v>
      </c>
      <c r="W9" s="60"/>
      <c r="AA9" s="60" t="e">
        <f t="shared" si="2"/>
        <v>#REF!</v>
      </c>
      <c r="AB9" s="238" t="e">
        <f t="shared" si="3"/>
        <v>#REF!</v>
      </c>
      <c r="AC9" s="236"/>
      <c r="AD9" s="227" t="e">
        <f>SUM(B9:D9)</f>
        <v>#REF!</v>
      </c>
      <c r="AE9" s="228" t="e">
        <f>AD9/$AD$6</f>
        <v>#REF!</v>
      </c>
      <c r="AF9" s="223"/>
      <c r="AG9" s="223"/>
      <c r="AH9" s="223"/>
      <c r="AI9" s="225"/>
    </row>
    <row r="10" spans="1:39" ht="13.5" thickBot="1">
      <c r="A10" s="91" t="s">
        <v>529</v>
      </c>
      <c r="B10" s="80" t="e">
        <f>ROUND(#REF!,2)</f>
        <v>#REF!</v>
      </c>
      <c r="C10" s="80" t="e">
        <f>(#REF!+#REF!+#REF!+#REF!+#REF!+#REF!)</f>
        <v>#REF!</v>
      </c>
      <c r="D10" s="80" t="e">
        <f>ROUND((#REF!),2)+0.01</f>
        <v>#REF!</v>
      </c>
      <c r="E10" s="80" t="e">
        <f>(#REF!)</f>
        <v>#REF!</v>
      </c>
      <c r="F10" s="81"/>
      <c r="G10" s="81"/>
      <c r="H10" s="81"/>
      <c r="I10" s="80" t="e">
        <f>ROUND(#REF!,2)</f>
        <v>#REF!</v>
      </c>
      <c r="J10" s="80" t="e">
        <f>ROUND(#REF!,2)</f>
        <v>#REF!</v>
      </c>
      <c r="K10" s="82"/>
      <c r="M10" s="8">
        <v>0</v>
      </c>
      <c r="N10" s="8">
        <v>0</v>
      </c>
      <c r="O10" s="8">
        <v>0</v>
      </c>
      <c r="P10" s="8">
        <v>0</v>
      </c>
      <c r="Q10" s="25" t="s">
        <v>7</v>
      </c>
      <c r="R10" s="8">
        <v>0</v>
      </c>
      <c r="S10" s="133">
        <v>0</v>
      </c>
      <c r="T10" s="152">
        <f t="shared" si="1"/>
        <v>0</v>
      </c>
      <c r="AA10" s="60" t="e">
        <f t="shared" si="2"/>
        <v>#REF!</v>
      </c>
      <c r="AB10" s="238" t="e">
        <f t="shared" si="3"/>
        <v>#REF!</v>
      </c>
      <c r="AC10" s="236"/>
      <c r="AD10" s="229"/>
      <c r="AE10" s="230"/>
      <c r="AF10" s="233" t="e">
        <f>SUM(B10:C10)</f>
        <v>#REF!</v>
      </c>
      <c r="AG10" s="231" t="e">
        <f>AF10/AF6</f>
        <v>#REF!</v>
      </c>
      <c r="AH10" s="233" t="e">
        <f>SUM(D10)</f>
        <v>#REF!</v>
      </c>
      <c r="AI10" s="232" t="e">
        <f>AH10/AH6</f>
        <v>#REF!</v>
      </c>
      <c r="AK10" s="60" t="e">
        <f>SUM(B10:D10)</f>
        <v>#REF!</v>
      </c>
      <c r="AL10" s="60" t="e">
        <f>AF10+AH10</f>
        <v>#REF!</v>
      </c>
      <c r="AM10" s="235" t="e">
        <f>AL10/AL6</f>
        <v>#REF!</v>
      </c>
    </row>
    <row r="11" spans="1:39">
      <c r="A11" s="90" t="s">
        <v>531</v>
      </c>
      <c r="B11" s="79" t="e">
        <f t="shared" ref="B11:J11" si="4">SUM(B12:B15)</f>
        <v>#REF!</v>
      </c>
      <c r="C11" s="79" t="e">
        <f t="shared" si="4"/>
        <v>#REF!</v>
      </c>
      <c r="D11" s="79" t="e">
        <f t="shared" si="4"/>
        <v>#REF!</v>
      </c>
      <c r="E11" s="79" t="e">
        <f t="shared" si="4"/>
        <v>#REF!</v>
      </c>
      <c r="F11" s="79">
        <f t="shared" si="4"/>
        <v>0</v>
      </c>
      <c r="G11" s="79">
        <f t="shared" si="4"/>
        <v>0</v>
      </c>
      <c r="H11" s="79">
        <f t="shared" si="4"/>
        <v>0</v>
      </c>
      <c r="I11" s="79" t="e">
        <f t="shared" si="4"/>
        <v>#REF!</v>
      </c>
      <c r="J11" s="79" t="e">
        <f t="shared" si="4"/>
        <v>#REF!</v>
      </c>
      <c r="K11" s="82"/>
      <c r="M11" s="8">
        <v>0</v>
      </c>
      <c r="N11" s="8">
        <v>4941184.6074999999</v>
      </c>
      <c r="O11" s="8">
        <v>54492427.211999997</v>
      </c>
      <c r="P11" s="8">
        <v>0</v>
      </c>
      <c r="Q11" s="2" t="s">
        <v>262</v>
      </c>
      <c r="R11" s="8" t="e">
        <f>+#REF!+#REF!</f>
        <v>#REF!</v>
      </c>
      <c r="S11" s="133" t="e">
        <f>SUM(B9:E9)</f>
        <v>#REF!</v>
      </c>
      <c r="T11" s="152" t="e">
        <f t="shared" si="1"/>
        <v>#REF!</v>
      </c>
      <c r="AA11" s="60" t="e">
        <f t="shared" si="2"/>
        <v>#REF!</v>
      </c>
      <c r="AB11" s="238" t="e">
        <f t="shared" si="3"/>
        <v>#REF!</v>
      </c>
      <c r="AC11" s="236"/>
    </row>
    <row r="12" spans="1:39">
      <c r="A12" s="92" t="s">
        <v>532</v>
      </c>
      <c r="B12" s="80" t="e">
        <f>(#REF!)</f>
        <v>#REF!</v>
      </c>
      <c r="C12" s="80" t="e">
        <f>(#REF!+#REF!+#REF!+#REF!+#REF!+#REF!)</f>
        <v>#REF!</v>
      </c>
      <c r="D12" s="80" t="e">
        <f>ROUND((#REF!),2)</f>
        <v>#REF!</v>
      </c>
      <c r="E12" s="80" t="e">
        <f>(#REF!)</f>
        <v>#REF!</v>
      </c>
      <c r="F12" s="81"/>
      <c r="G12" s="81"/>
      <c r="H12" s="81"/>
      <c r="I12" s="80" t="e">
        <f>ROUND(#REF!,2)</f>
        <v>#REF!</v>
      </c>
      <c r="J12" s="80" t="e">
        <f>ROUND(#REF!,2)</f>
        <v>#REF!</v>
      </c>
      <c r="K12" s="82"/>
      <c r="M12" s="8">
        <v>52139523.590000004</v>
      </c>
      <c r="N12" s="8">
        <v>250862192.52000001</v>
      </c>
      <c r="O12" s="8">
        <v>380189356.50999999</v>
      </c>
      <c r="P12" s="8">
        <v>31720359.879999999</v>
      </c>
      <c r="Q12" s="2" t="s">
        <v>8</v>
      </c>
      <c r="R12" s="8" t="e">
        <f>+#REF!+#REF!+#REF!+#REF!+#REF!+#REF!+#REF!+#REF!</f>
        <v>#REF!</v>
      </c>
      <c r="S12" s="133" t="e">
        <f>SUM(B10:E10)</f>
        <v>#REF!</v>
      </c>
      <c r="T12" s="201" t="e">
        <f>R12-S12</f>
        <v>#REF!</v>
      </c>
      <c r="AA12" s="60"/>
      <c r="AB12" s="238"/>
      <c r="AC12" s="236"/>
    </row>
    <row r="13" spans="1:39">
      <c r="A13" s="92" t="s">
        <v>533</v>
      </c>
      <c r="B13" s="80" t="e">
        <f>(#REF!)</f>
        <v>#REF!</v>
      </c>
      <c r="C13" s="80" t="e">
        <f>(#REF!+#REF!+#REF!+#REF!+#REF!+#REF!)</f>
        <v>#REF!</v>
      </c>
      <c r="D13" s="80" t="e">
        <f>ROUND((#REF!),2)</f>
        <v>#REF!</v>
      </c>
      <c r="E13" s="80" t="e">
        <f>(#REF!)</f>
        <v>#REF!</v>
      </c>
      <c r="F13" s="81"/>
      <c r="G13" s="81"/>
      <c r="H13" s="81"/>
      <c r="I13" s="80" t="e">
        <f>ROUND(#REF!,2)</f>
        <v>#REF!</v>
      </c>
      <c r="J13" s="80" t="e">
        <f>ROUND(#REF!,2)</f>
        <v>#REF!</v>
      </c>
      <c r="K13" s="82"/>
      <c r="M13" s="8">
        <v>654853.97</v>
      </c>
      <c r="N13" s="8">
        <v>1089139.8799999999</v>
      </c>
      <c r="O13" s="8">
        <v>6726969.6500000004</v>
      </c>
      <c r="P13" s="8">
        <v>136724.07999999999</v>
      </c>
      <c r="Q13" s="2" t="s">
        <v>9</v>
      </c>
      <c r="R13" s="8" t="e">
        <f>+#REF!+#REF!+#REF!+#REF!+#REF!+#REF!</f>
        <v>#REF!</v>
      </c>
      <c r="S13" s="133" t="e">
        <f>SUM(B12:E12)</f>
        <v>#REF!</v>
      </c>
      <c r="T13" s="152" t="e">
        <f t="shared" si="1"/>
        <v>#REF!</v>
      </c>
      <c r="AA13" s="60"/>
      <c r="AB13" s="238"/>
      <c r="AC13" s="236"/>
      <c r="AH13" s="60" t="e">
        <f>D6</f>
        <v>#REF!</v>
      </c>
      <c r="AK13" s="60"/>
    </row>
    <row r="14" spans="1:39">
      <c r="A14" s="92" t="s">
        <v>534</v>
      </c>
      <c r="B14" s="80" t="e">
        <f>(#REF!)</f>
        <v>#REF!</v>
      </c>
      <c r="C14" s="80" t="e">
        <f>(#REF!+#REF!+#REF!+#REF!+#REF!)</f>
        <v>#REF!</v>
      </c>
      <c r="D14" s="80" t="e">
        <f>ROUND((#REF!),2)</f>
        <v>#REF!</v>
      </c>
      <c r="E14" s="80" t="e">
        <f>(#REF!)</f>
        <v>#REF!</v>
      </c>
      <c r="F14" s="81"/>
      <c r="G14" s="81"/>
      <c r="H14" s="81"/>
      <c r="I14" s="80" t="e">
        <f>#REF!</f>
        <v>#REF!</v>
      </c>
      <c r="J14" s="80" t="e">
        <f>#REF!</f>
        <v>#REF!</v>
      </c>
      <c r="K14" s="82"/>
      <c r="M14" s="8">
        <v>5334981.68</v>
      </c>
      <c r="N14" s="8">
        <v>17629563.199999999</v>
      </c>
      <c r="O14" s="8">
        <v>52590782.590000004</v>
      </c>
      <c r="P14" s="8">
        <v>2203520.2999999998</v>
      </c>
      <c r="Q14" s="2" t="s">
        <v>10</v>
      </c>
      <c r="R14" s="8" t="e">
        <f>+#REF!+#REF!+#REF!+#REF!+#REF!+#REF!</f>
        <v>#REF!</v>
      </c>
      <c r="S14" s="133" t="e">
        <f>SUM(B13:E13)</f>
        <v>#REF!</v>
      </c>
      <c r="T14" s="152" t="e">
        <f t="shared" si="1"/>
        <v>#REF!</v>
      </c>
      <c r="AA14" s="60"/>
      <c r="AB14" s="238"/>
      <c r="AC14" s="236"/>
      <c r="AH14" s="61" t="e">
        <f>-D6*12%</f>
        <v>#REF!</v>
      </c>
      <c r="AK14" s="61"/>
    </row>
    <row r="15" spans="1:39">
      <c r="A15" s="92" t="s">
        <v>535</v>
      </c>
      <c r="B15" s="86"/>
      <c r="C15" s="86"/>
      <c r="D15" s="86"/>
      <c r="E15" s="86"/>
      <c r="F15" s="82"/>
      <c r="G15" s="81"/>
      <c r="H15" s="82"/>
      <c r="I15" s="82"/>
      <c r="J15" s="82"/>
      <c r="K15" s="82"/>
      <c r="M15" s="8">
        <v>0</v>
      </c>
      <c r="N15" s="8">
        <v>0</v>
      </c>
      <c r="O15" s="8">
        <v>3315570.95</v>
      </c>
      <c r="P15" s="8">
        <v>0</v>
      </c>
      <c r="Q15" s="2" t="s">
        <v>11</v>
      </c>
      <c r="R15" s="8" t="e">
        <f>+#REF!</f>
        <v>#REF!</v>
      </c>
      <c r="S15" s="133" t="e">
        <f>SUM(B14:E14)</f>
        <v>#REF!</v>
      </c>
      <c r="T15" s="152" t="e">
        <f t="shared" si="1"/>
        <v>#REF!</v>
      </c>
      <c r="AH15" s="61" t="e">
        <f>-D7</f>
        <v>#REF!</v>
      </c>
      <c r="AK15" s="60"/>
    </row>
    <row r="16" spans="1:39" ht="13.5" thickBot="1">
      <c r="A16" s="91" t="s">
        <v>536</v>
      </c>
      <c r="B16" s="86"/>
      <c r="C16" s="79" t="e">
        <f>SUM(C17:C19)</f>
        <v>#REF!</v>
      </c>
      <c r="D16" s="86"/>
      <c r="E16" s="79" t="e">
        <f>SUM(E17:E19)</f>
        <v>#REF!</v>
      </c>
      <c r="F16" s="82"/>
      <c r="G16" s="82"/>
      <c r="H16" s="82"/>
      <c r="I16" s="82"/>
      <c r="J16" s="82"/>
      <c r="K16" s="82"/>
      <c r="M16" s="8"/>
      <c r="N16" s="8"/>
      <c r="O16" s="8"/>
      <c r="P16" s="8"/>
      <c r="Q16" s="12"/>
      <c r="R16" s="8">
        <v>0</v>
      </c>
      <c r="S16" s="133"/>
      <c r="T16" s="152"/>
      <c r="AH16" s="234" t="e">
        <f>SUM(AH13:AH15)</f>
        <v>#REF!</v>
      </c>
      <c r="AI16" s="37" t="s">
        <v>704</v>
      </c>
      <c r="AK16" s="234"/>
    </row>
    <row r="17" spans="1:37" ht="13.5" thickTop="1">
      <c r="A17" s="91" t="s">
        <v>537</v>
      </c>
      <c r="B17" s="82"/>
      <c r="C17" s="80" t="e">
        <f>(#REF!+#REF!+#REF!+#REF!+#REF!)</f>
        <v>#REF!</v>
      </c>
      <c r="D17" s="86"/>
      <c r="E17" s="80" t="e">
        <f>(#REF!)</f>
        <v>#REF!</v>
      </c>
      <c r="F17" s="82"/>
      <c r="G17" s="82"/>
      <c r="H17" s="82"/>
      <c r="I17" s="82"/>
      <c r="J17" s="82"/>
      <c r="K17" s="82"/>
      <c r="M17"/>
      <c r="N17"/>
      <c r="O17"/>
      <c r="P17"/>
      <c r="Q17"/>
      <c r="R17" s="8">
        <v>0</v>
      </c>
      <c r="S17" s="176"/>
      <c r="T17" s="153"/>
    </row>
    <row r="18" spans="1:37">
      <c r="A18" s="91" t="s">
        <v>538</v>
      </c>
      <c r="B18" s="82"/>
      <c r="C18" s="80" t="e">
        <f>(#REF!)</f>
        <v>#REF!</v>
      </c>
      <c r="D18" s="86"/>
      <c r="E18" s="80">
        <v>0</v>
      </c>
      <c r="F18" s="82"/>
      <c r="G18" s="82"/>
      <c r="H18" s="82"/>
      <c r="I18" s="82"/>
      <c r="J18" s="82"/>
      <c r="K18" s="82"/>
      <c r="M18"/>
      <c r="N18"/>
      <c r="O18"/>
      <c r="P18"/>
      <c r="Q18"/>
      <c r="R18" s="8">
        <v>0</v>
      </c>
      <c r="T18" s="154"/>
      <c r="AH18" s="60" t="e">
        <f>AH16*0.7</f>
        <v>#REF!</v>
      </c>
      <c r="AK18" s="60"/>
    </row>
    <row r="19" spans="1:37">
      <c r="A19" s="91" t="s">
        <v>539</v>
      </c>
      <c r="B19" s="82"/>
      <c r="C19" s="80" t="e">
        <f>(#REF!)</f>
        <v>#REF!</v>
      </c>
      <c r="D19" s="86"/>
      <c r="E19" s="80" t="e">
        <f>(#REF!)</f>
        <v>#REF!</v>
      </c>
      <c r="F19" s="82"/>
      <c r="G19" s="82"/>
      <c r="H19" s="82"/>
      <c r="I19" s="82"/>
      <c r="J19" s="82"/>
      <c r="K19" s="82"/>
      <c r="M19"/>
      <c r="N19"/>
      <c r="O19"/>
      <c r="P19"/>
      <c r="Q19"/>
      <c r="R19" s="8">
        <v>0</v>
      </c>
      <c r="T19" s="154"/>
    </row>
    <row r="20" spans="1:37">
      <c r="A20" s="93" t="s">
        <v>540</v>
      </c>
      <c r="B20" s="82"/>
      <c r="C20" s="82"/>
      <c r="D20" s="82"/>
      <c r="E20" s="82"/>
      <c r="F20" s="82"/>
      <c r="G20" s="82"/>
      <c r="H20" s="82"/>
      <c r="I20" s="82"/>
      <c r="J20" s="82"/>
      <c r="K20" s="80" t="e">
        <f>#REF!</f>
        <v>#REF!</v>
      </c>
      <c r="M20"/>
      <c r="N20"/>
      <c r="O20"/>
      <c r="P20"/>
      <c r="Q20"/>
      <c r="R20" s="8">
        <v>0</v>
      </c>
      <c r="T20" s="154"/>
    </row>
    <row r="21" spans="1:37">
      <c r="A21" s="93" t="s">
        <v>541</v>
      </c>
      <c r="B21" s="82"/>
      <c r="C21" s="82"/>
      <c r="D21" s="82"/>
      <c r="E21" s="82"/>
      <c r="F21" s="82"/>
      <c r="G21" s="82"/>
      <c r="H21" s="82"/>
      <c r="I21" s="82"/>
      <c r="J21" s="82"/>
      <c r="K21" s="80" t="e">
        <f>SUM(K22:K27)</f>
        <v>#REF!</v>
      </c>
      <c r="M21"/>
      <c r="N21"/>
      <c r="O21"/>
      <c r="P21"/>
      <c r="Q21"/>
      <c r="R21" s="8">
        <v>0</v>
      </c>
      <c r="T21" s="154"/>
      <c r="AA21" s="60"/>
    </row>
    <row r="22" spans="1:37">
      <c r="A22" s="93" t="s">
        <v>521</v>
      </c>
      <c r="B22" s="82"/>
      <c r="C22" s="82"/>
      <c r="D22" s="82"/>
      <c r="E22" s="82"/>
      <c r="F22" s="82"/>
      <c r="G22" s="82"/>
      <c r="H22" s="82"/>
      <c r="I22" s="82"/>
      <c r="J22" s="82"/>
      <c r="K22" s="80" t="e">
        <f>#REF!</f>
        <v>#REF!</v>
      </c>
      <c r="M22"/>
      <c r="N22"/>
      <c r="O22"/>
      <c r="P22"/>
      <c r="Q22"/>
      <c r="R22" s="8">
        <v>0</v>
      </c>
      <c r="T22" s="154"/>
    </row>
    <row r="23" spans="1:37">
      <c r="A23" s="93" t="s">
        <v>522</v>
      </c>
      <c r="B23" s="82"/>
      <c r="C23" s="82"/>
      <c r="D23" s="82"/>
      <c r="E23" s="82"/>
      <c r="F23" s="82"/>
      <c r="G23" s="82"/>
      <c r="H23" s="82"/>
      <c r="I23" s="82"/>
      <c r="J23" s="82"/>
      <c r="K23" s="80" t="e">
        <f>#REF!</f>
        <v>#REF!</v>
      </c>
      <c r="M23" s="8">
        <v>59844129</v>
      </c>
      <c r="N23" s="8">
        <v>299502211.48000002</v>
      </c>
      <c r="O23" s="8">
        <v>641546173</v>
      </c>
      <c r="P23" s="8">
        <v>34681420.999999993</v>
      </c>
      <c r="Q23"/>
      <c r="R23" s="8" t="e">
        <f>+#REF!</f>
        <v>#REF!</v>
      </c>
      <c r="S23" s="177" t="e">
        <f>SUM(S6:S15)</f>
        <v>#REF!</v>
      </c>
      <c r="T23" s="155" t="e">
        <f>R23-S23</f>
        <v>#REF!</v>
      </c>
    </row>
    <row r="24" spans="1:37">
      <c r="A24" s="93" t="s">
        <v>523</v>
      </c>
      <c r="B24" s="82"/>
      <c r="C24" s="82"/>
      <c r="D24" s="82"/>
      <c r="E24" s="82"/>
      <c r="F24" s="82"/>
      <c r="G24" s="82"/>
      <c r="H24" s="82"/>
      <c r="I24" s="82"/>
      <c r="J24" s="82"/>
      <c r="K24" s="80" t="e">
        <f>#REF!</f>
        <v>#REF!</v>
      </c>
      <c r="M24" s="8">
        <v>0</v>
      </c>
      <c r="N24" s="8">
        <v>0</v>
      </c>
      <c r="O24" s="8">
        <v>0</v>
      </c>
      <c r="P24" s="8">
        <v>0</v>
      </c>
      <c r="Q24"/>
      <c r="R24" s="8">
        <v>0</v>
      </c>
      <c r="S24" s="177"/>
      <c r="T24" s="155"/>
    </row>
    <row r="25" spans="1:37">
      <c r="A25" s="93" t="s">
        <v>524</v>
      </c>
      <c r="B25" s="82"/>
      <c r="C25" s="82"/>
      <c r="D25" s="82"/>
      <c r="E25" s="82"/>
      <c r="F25" s="82"/>
      <c r="G25" s="82"/>
      <c r="H25" s="82"/>
      <c r="I25" s="82"/>
      <c r="J25" s="82"/>
      <c r="K25" s="80" t="e">
        <f>#REF!</f>
        <v>#REF!</v>
      </c>
      <c r="M25" s="8" t="s">
        <v>16</v>
      </c>
      <c r="N25" s="8">
        <v>0</v>
      </c>
      <c r="O25" s="8" t="s">
        <v>21</v>
      </c>
      <c r="P25" s="8">
        <v>1035573934.48</v>
      </c>
      <c r="Q25" s="22"/>
      <c r="R25" s="8">
        <v>1035573934.48</v>
      </c>
      <c r="S25" s="177"/>
      <c r="T25" s="155"/>
    </row>
    <row r="26" spans="1:37">
      <c r="A26" s="93" t="s">
        <v>525</v>
      </c>
      <c r="B26" s="82"/>
      <c r="C26" s="82"/>
      <c r="D26" s="82"/>
      <c r="E26" s="82"/>
      <c r="F26" s="82"/>
      <c r="G26" s="82"/>
      <c r="H26" s="82"/>
      <c r="I26" s="82"/>
      <c r="J26" s="82"/>
      <c r="K26" s="80" t="e">
        <f>#REF!</f>
        <v>#REF!</v>
      </c>
      <c r="M26" s="8" t="s">
        <v>17</v>
      </c>
      <c r="N26" s="8">
        <v>0</v>
      </c>
      <c r="O26" s="8">
        <v>0</v>
      </c>
      <c r="P26" s="8">
        <v>0</v>
      </c>
      <c r="Q26" s="6"/>
      <c r="R26"/>
      <c r="S26" s="177"/>
      <c r="T26" s="155"/>
    </row>
    <row r="27" spans="1:37">
      <c r="A27" s="93" t="s">
        <v>526</v>
      </c>
      <c r="B27" s="82"/>
      <c r="C27" s="82"/>
      <c r="D27" s="82"/>
      <c r="E27" s="82"/>
      <c r="F27" s="82"/>
      <c r="G27" s="82"/>
      <c r="H27" s="82"/>
      <c r="I27" s="82"/>
      <c r="J27" s="82"/>
      <c r="K27" s="80" t="e">
        <f>#REF!</f>
        <v>#REF!</v>
      </c>
      <c r="M27" s="8">
        <v>0</v>
      </c>
      <c r="N27" s="8">
        <v>0</v>
      </c>
      <c r="O27" s="8">
        <v>0</v>
      </c>
      <c r="P27" s="8">
        <v>0</v>
      </c>
      <c r="Q27"/>
      <c r="R27"/>
      <c r="T27" s="154"/>
    </row>
    <row r="28" spans="1:37">
      <c r="A28" s="90" t="s">
        <v>542</v>
      </c>
      <c r="B28" s="79" t="e">
        <f>(#REF!)</f>
        <v>#REF!</v>
      </c>
      <c r="C28" s="79" t="e">
        <f>(#REF!+#REF!+#REF!)</f>
        <v>#REF!</v>
      </c>
      <c r="D28" s="79" t="e">
        <f>ROUND((#REF!),2)</f>
        <v>#REF!</v>
      </c>
      <c r="E28" s="82"/>
      <c r="F28" s="87"/>
      <c r="G28" s="87"/>
      <c r="H28" s="87"/>
      <c r="I28" s="79" t="e">
        <f>(#REF!)</f>
        <v>#REF!</v>
      </c>
      <c r="J28" s="79" t="e">
        <f>(#REF!)</f>
        <v>#REF!</v>
      </c>
      <c r="K28" s="79" t="e">
        <f>(#REF!)</f>
        <v>#REF!</v>
      </c>
      <c r="M28" s="8" t="s">
        <v>1</v>
      </c>
      <c r="N28" s="8">
        <v>0</v>
      </c>
      <c r="O28" s="8" t="s">
        <v>2</v>
      </c>
      <c r="P28" s="8" t="s">
        <v>3</v>
      </c>
      <c r="Q28" s="3" t="s">
        <v>12</v>
      </c>
      <c r="R28"/>
      <c r="T28" s="154"/>
    </row>
    <row r="29" spans="1:37">
      <c r="A29" s="248" t="s">
        <v>618</v>
      </c>
      <c r="B29" s="80" t="e">
        <f>B30-B28</f>
        <v>#REF!</v>
      </c>
      <c r="C29" s="80" t="e">
        <f>C30-C28</f>
        <v>#REF!</v>
      </c>
      <c r="D29" s="80" t="e">
        <f>ROUND((D30-D28-D32),2)</f>
        <v>#REF!</v>
      </c>
      <c r="E29" s="82"/>
      <c r="F29" s="81"/>
      <c r="G29" s="81"/>
      <c r="H29" s="81"/>
      <c r="I29" s="80" t="e">
        <f>I30-I28-I32</f>
        <v>#REF!</v>
      </c>
      <c r="J29" s="80" t="e">
        <f>J30-J28-J32</f>
        <v>#REF!</v>
      </c>
      <c r="K29" s="80" t="e">
        <f>K30-K28-K32</f>
        <v>#REF!</v>
      </c>
      <c r="M29" s="8">
        <v>59844129</v>
      </c>
      <c r="N29" s="8">
        <v>220377101.48000002</v>
      </c>
      <c r="O29" s="8">
        <v>641546173</v>
      </c>
      <c r="P29" s="8">
        <v>0</v>
      </c>
      <c r="Q29" s="1" t="s">
        <v>13</v>
      </c>
      <c r="R29"/>
      <c r="S29" s="177" t="e">
        <f>SUM(B28:D28)</f>
        <v>#REF!</v>
      </c>
      <c r="T29" s="155" t="e">
        <f>S29-M29-N29-O29</f>
        <v>#REF!</v>
      </c>
    </row>
    <row r="30" spans="1:37">
      <c r="A30" s="90" t="s">
        <v>543</v>
      </c>
      <c r="B30" s="79" t="e">
        <f>(#REF!)</f>
        <v>#REF!</v>
      </c>
      <c r="C30" s="79" t="e">
        <f>#REF!+#REF!</f>
        <v>#REF!</v>
      </c>
      <c r="D30" s="79" t="e">
        <f>#REF!</f>
        <v>#REF!</v>
      </c>
      <c r="E30" s="82"/>
      <c r="F30" s="87"/>
      <c r="G30" s="87"/>
      <c r="H30" s="87"/>
      <c r="I30" s="79" t="e">
        <f>#REF!</f>
        <v>#REF!</v>
      </c>
      <c r="J30" s="79" t="e">
        <f>#REF!</f>
        <v>#REF!</v>
      </c>
      <c r="K30" s="79" t="e">
        <f>#REF!</f>
        <v>#REF!</v>
      </c>
      <c r="M30" s="8">
        <v>0</v>
      </c>
      <c r="N30" s="8">
        <v>240000</v>
      </c>
      <c r="O30" s="8">
        <v>0</v>
      </c>
      <c r="P30" s="8">
        <v>0</v>
      </c>
      <c r="Q30" s="1" t="s">
        <v>14</v>
      </c>
      <c r="R30"/>
      <c r="S30" s="141" t="e">
        <f>SUM(C18:E18)</f>
        <v>#REF!</v>
      </c>
      <c r="T30" s="156" t="e">
        <f>S30-N30</f>
        <v>#REF!</v>
      </c>
      <c r="AA30" s="60" t="e">
        <f>SUM(B30:D30)</f>
        <v>#REF!</v>
      </c>
    </row>
    <row r="31" spans="1:37">
      <c r="A31" s="89" t="s">
        <v>619</v>
      </c>
      <c r="B31" s="82"/>
      <c r="C31" s="82"/>
      <c r="D31" s="81"/>
      <c r="E31" s="82"/>
      <c r="F31" s="82"/>
      <c r="G31" s="82"/>
      <c r="H31" s="82"/>
      <c r="I31" s="82"/>
      <c r="J31" s="82"/>
      <c r="K31" s="82"/>
      <c r="M31" s="8">
        <v>0</v>
      </c>
      <c r="N31" s="8">
        <v>0</v>
      </c>
      <c r="O31" s="8">
        <v>0</v>
      </c>
      <c r="P31" s="8">
        <v>6936280</v>
      </c>
      <c r="Q31" s="7" t="s">
        <v>20</v>
      </c>
      <c r="R31"/>
      <c r="S31" s="141" t="e">
        <f>SUM(C19:E19)</f>
        <v>#REF!</v>
      </c>
      <c r="T31" s="156" t="e">
        <f>S31-P31-N31</f>
        <v>#REF!</v>
      </c>
      <c r="AA31" s="60" t="e">
        <f>C16</f>
        <v>#REF!</v>
      </c>
    </row>
    <row r="32" spans="1:37">
      <c r="A32" s="90" t="s">
        <v>544</v>
      </c>
      <c r="B32" s="87"/>
      <c r="C32" s="87"/>
      <c r="D32" s="79" t="e">
        <f>#REF!</f>
        <v>#REF!</v>
      </c>
      <c r="E32" s="82"/>
      <c r="F32" s="87"/>
      <c r="G32" s="87"/>
      <c r="H32" s="87"/>
      <c r="I32" s="79" t="e">
        <f>#REF!</f>
        <v>#REF!</v>
      </c>
      <c r="J32" s="79" t="e">
        <f>#REF!</f>
        <v>#REF!</v>
      </c>
      <c r="K32" s="79" t="e">
        <f>#REF!</f>
        <v>#REF!</v>
      </c>
      <c r="M32" s="8">
        <v>0</v>
      </c>
      <c r="N32" s="8">
        <v>78885110</v>
      </c>
      <c r="O32" s="8">
        <v>0</v>
      </c>
      <c r="P32" s="8">
        <v>27745141</v>
      </c>
      <c r="Q32" s="1" t="s">
        <v>15</v>
      </c>
      <c r="R32"/>
      <c r="S32" s="141" t="e">
        <f>SUM(C17:E17)</f>
        <v>#REF!</v>
      </c>
      <c r="T32" s="156" t="e">
        <f>S32-P32-N32</f>
        <v>#REF!</v>
      </c>
      <c r="AA32" s="60" t="e">
        <f>E16</f>
        <v>#REF!</v>
      </c>
    </row>
    <row r="33" spans="1:28" ht="22.5">
      <c r="A33" s="94" t="s">
        <v>545</v>
      </c>
      <c r="B33" s="55"/>
      <c r="C33" s="55"/>
      <c r="D33" s="55"/>
      <c r="E33" s="55"/>
      <c r="F33" s="55"/>
      <c r="G33" s="55"/>
      <c r="H33" s="55"/>
      <c r="I33" s="55"/>
      <c r="J33" s="55"/>
      <c r="K33" s="128" t="s">
        <v>663</v>
      </c>
      <c r="M33" s="8">
        <v>59844129</v>
      </c>
      <c r="N33" s="8">
        <v>299502211.48000002</v>
      </c>
      <c r="O33" s="8">
        <v>641546173</v>
      </c>
      <c r="P33" s="8">
        <v>34681421</v>
      </c>
      <c r="Q33"/>
      <c r="R33"/>
      <c r="S33" s="133" t="e">
        <f>SUM(S29:S32)</f>
        <v>#REF!</v>
      </c>
      <c r="T33" s="156" t="e">
        <f>+M33+N33+O33+P33-S33</f>
        <v>#REF!</v>
      </c>
      <c r="AA33" s="60" t="e">
        <f>SUM(AA30:AA32)</f>
        <v>#REF!</v>
      </c>
    </row>
    <row r="34" spans="1:28" ht="22.5">
      <c r="A34" s="89" t="s">
        <v>620</v>
      </c>
      <c r="B34" s="49"/>
      <c r="C34" s="49"/>
      <c r="D34" s="49"/>
      <c r="E34" s="55"/>
      <c r="F34" s="55"/>
      <c r="G34" s="55"/>
      <c r="H34" s="55"/>
      <c r="I34" s="55"/>
      <c r="J34" s="55"/>
      <c r="K34" s="55"/>
      <c r="M34" s="8" t="s">
        <v>24</v>
      </c>
      <c r="N34" s="8">
        <v>0</v>
      </c>
      <c r="O34" s="8" t="s">
        <v>24</v>
      </c>
      <c r="P34" s="8" t="s">
        <v>24</v>
      </c>
      <c r="Q34"/>
      <c r="R34"/>
      <c r="S34" s="135"/>
      <c r="T34" s="135"/>
      <c r="Y34" s="60"/>
    </row>
    <row r="35" spans="1:28">
      <c r="A35" s="366" t="s">
        <v>627</v>
      </c>
      <c r="B35" s="367"/>
      <c r="C35" s="367"/>
      <c r="D35" s="367"/>
      <c r="E35" s="367"/>
      <c r="F35" s="367"/>
      <c r="G35" s="367"/>
      <c r="H35" s="367"/>
      <c r="I35" s="367"/>
      <c r="J35" s="367"/>
      <c r="K35" s="368"/>
      <c r="M35" s="8">
        <v>0</v>
      </c>
      <c r="N35" s="8">
        <v>0</v>
      </c>
      <c r="O35" s="8" t="s">
        <v>21</v>
      </c>
      <c r="P35" s="8">
        <v>1035573934.48</v>
      </c>
      <c r="Q35" s="8"/>
      <c r="R35"/>
      <c r="S35" s="135"/>
      <c r="T35" s="135"/>
    </row>
    <row r="36" spans="1:28" ht="22.5">
      <c r="A36" s="89" t="s">
        <v>621</v>
      </c>
      <c r="B36" s="128" t="s">
        <v>660</v>
      </c>
      <c r="C36" s="128" t="s">
        <v>660</v>
      </c>
      <c r="D36" s="44"/>
      <c r="E36" s="44"/>
      <c r="F36" s="44"/>
      <c r="G36" s="44"/>
      <c r="H36" s="44"/>
      <c r="I36" s="44"/>
      <c r="J36" s="44"/>
      <c r="K36" s="44"/>
      <c r="M36" s="8">
        <v>59844129</v>
      </c>
      <c r="N36" s="8">
        <v>299502211.48000002</v>
      </c>
      <c r="O36" s="8">
        <v>641546173</v>
      </c>
      <c r="P36" s="8">
        <v>34681421</v>
      </c>
      <c r="Q36" s="8"/>
      <c r="R36"/>
      <c r="S36" s="135"/>
      <c r="T36" s="135"/>
    </row>
    <row r="37" spans="1:28">
      <c r="A37" s="95" t="s">
        <v>622</v>
      </c>
      <c r="B37" s="46">
        <v>0</v>
      </c>
      <c r="C37" s="46">
        <v>0</v>
      </c>
      <c r="D37" s="44"/>
      <c r="E37" s="44"/>
      <c r="F37" s="44"/>
      <c r="G37" s="44"/>
      <c r="H37" s="44"/>
      <c r="I37" s="44"/>
      <c r="J37" s="44"/>
      <c r="K37" s="44"/>
      <c r="M37" s="8">
        <v>59844129</v>
      </c>
      <c r="N37" s="8">
        <v>299502211.48000002</v>
      </c>
      <c r="O37" s="8">
        <v>641546173</v>
      </c>
      <c r="P37" s="8">
        <v>34681421</v>
      </c>
      <c r="Q37" s="8"/>
      <c r="R37"/>
      <c r="S37" s="135"/>
      <c r="T37" s="135"/>
    </row>
    <row r="38" spans="1:28" ht="22.5">
      <c r="A38" s="96" t="s">
        <v>623</v>
      </c>
      <c r="B38" s="44"/>
      <c r="C38" s="44"/>
      <c r="D38" s="128" t="s">
        <v>660</v>
      </c>
      <c r="E38" s="44"/>
      <c r="F38" s="44"/>
      <c r="G38" s="44"/>
      <c r="H38" s="128" t="s">
        <v>660</v>
      </c>
      <c r="I38" s="128" t="s">
        <v>660</v>
      </c>
      <c r="J38" s="128" t="s">
        <v>660</v>
      </c>
      <c r="K38" s="128" t="s">
        <v>660</v>
      </c>
    </row>
    <row r="39" spans="1:28">
      <c r="A39" s="363" t="s">
        <v>515</v>
      </c>
      <c r="B39" s="364"/>
      <c r="C39" s="364"/>
      <c r="D39" s="364"/>
      <c r="E39" s="364"/>
      <c r="F39" s="364"/>
      <c r="G39" s="364"/>
      <c r="H39" s="364"/>
      <c r="I39" s="364"/>
      <c r="J39" s="364"/>
      <c r="K39" s="365"/>
    </row>
    <row r="40" spans="1:28">
      <c r="A40" s="369" t="s">
        <v>628</v>
      </c>
      <c r="B40" s="370"/>
      <c r="C40" s="370"/>
      <c r="D40" s="370"/>
      <c r="E40" s="370"/>
      <c r="F40" s="370"/>
      <c r="G40" s="370"/>
      <c r="H40" s="370"/>
      <c r="I40" s="371"/>
      <c r="J40" s="38"/>
      <c r="K40" s="38"/>
    </row>
    <row r="41" spans="1:28" s="53" customFormat="1" ht="11.25">
      <c r="A41" s="89" t="s">
        <v>624</v>
      </c>
      <c r="B41" s="369" t="s">
        <v>629</v>
      </c>
      <c r="C41" s="370"/>
      <c r="D41" s="370"/>
      <c r="E41" s="370"/>
      <c r="F41" s="370"/>
      <c r="G41" s="370"/>
      <c r="H41" s="370"/>
      <c r="I41" s="371"/>
      <c r="J41" s="98"/>
      <c r="K41" s="98"/>
      <c r="AB41" s="239"/>
    </row>
    <row r="42" spans="1:28" s="53" customFormat="1" ht="11.25">
      <c r="A42" s="89" t="s">
        <v>625</v>
      </c>
      <c r="B42" s="369" t="s">
        <v>630</v>
      </c>
      <c r="C42" s="370"/>
      <c r="D42" s="370"/>
      <c r="E42" s="370"/>
      <c r="F42" s="370"/>
      <c r="G42" s="370"/>
      <c r="H42" s="370"/>
      <c r="I42" s="371"/>
      <c r="J42" s="99"/>
      <c r="K42" s="99"/>
      <c r="AB42" s="239"/>
    </row>
    <row r="43" spans="1:28" s="53" customFormat="1" ht="22.5">
      <c r="A43" s="248" t="s">
        <v>626</v>
      </c>
      <c r="B43" s="360" t="s">
        <v>631</v>
      </c>
      <c r="C43" s="361"/>
      <c r="D43" s="361"/>
      <c r="E43" s="361"/>
      <c r="F43" s="361"/>
      <c r="G43" s="361"/>
      <c r="H43" s="361"/>
      <c r="I43" s="361"/>
      <c r="J43" s="361"/>
      <c r="K43" s="362"/>
      <c r="AB43" s="239"/>
    </row>
    <row r="44" spans="1:28">
      <c r="I44" s="15" t="e">
        <f>I28/I30</f>
        <v>#REF!</v>
      </c>
      <c r="J44" s="15" t="e">
        <f>J28/J30</f>
        <v>#REF!</v>
      </c>
      <c r="K44" s="15" t="e">
        <f>K28/K30</f>
        <v>#REF!</v>
      </c>
      <c r="L44" s="37" t="s">
        <v>661</v>
      </c>
    </row>
    <row r="45" spans="1:28">
      <c r="I45" s="15" t="e">
        <f>I29/I30</f>
        <v>#REF!</v>
      </c>
      <c r="J45" s="198" t="e">
        <f>J29/J30</f>
        <v>#REF!</v>
      </c>
      <c r="K45" s="15" t="e">
        <f>K29/K30</f>
        <v>#REF!</v>
      </c>
      <c r="L45" s="37" t="s">
        <v>680</v>
      </c>
    </row>
    <row r="46" spans="1:28" ht="13.5" thickBot="1">
      <c r="B46" t="e">
        <f>IF(B6&lt;&gt;B28,"not balanced", " ")</f>
        <v>#REF!</v>
      </c>
      <c r="C46" t="e">
        <f>IF(C6&lt;&gt;(C28+C16),"not balanced", " ")</f>
        <v>#REF!</v>
      </c>
      <c r="D46" t="e">
        <f>IF(D6&lt;&gt;D28,"not balanced", " ")</f>
        <v>#REF!</v>
      </c>
      <c r="E46" t="e">
        <f>IF(E6&lt;&gt;E16,"not balanced", " ")</f>
        <v>#REF!</v>
      </c>
      <c r="F46" t="str">
        <f>IF(F6&lt;&gt;F16,"not balanced", " ")</f>
        <v xml:space="preserve"> </v>
      </c>
      <c r="G46" t="str">
        <f>IF(G6&lt;&gt;G16,"not balanced", " ")</f>
        <v xml:space="preserve"> </v>
      </c>
      <c r="H46" t="str">
        <f>IF(H6&lt;&gt;H16,"not balanced", " ")</f>
        <v xml:space="preserve"> </v>
      </c>
      <c r="I46" s="197" t="e">
        <f>SUM(I44:I45)</f>
        <v>#REF!</v>
      </c>
      <c r="J46" s="197" t="e">
        <f>SUM(J44:J45)</f>
        <v>#REF!</v>
      </c>
      <c r="K46" s="197" t="e">
        <f>SUM(K44:K45)</f>
        <v>#REF!</v>
      </c>
    </row>
    <row r="47" spans="1:28" ht="13.5" thickTop="1">
      <c r="I47" s="37" t="s">
        <v>429</v>
      </c>
      <c r="J47" s="37" t="s">
        <v>675</v>
      </c>
      <c r="K47" s="37" t="s">
        <v>510</v>
      </c>
    </row>
    <row r="48" spans="1:28" s="131" customFormat="1" ht="15.75">
      <c r="A48" s="130" t="s">
        <v>658</v>
      </c>
      <c r="M48" s="53"/>
      <c r="N48" s="53"/>
      <c r="O48" s="53"/>
      <c r="P48" s="53"/>
      <c r="Q48" s="53"/>
      <c r="R48" s="53"/>
      <c r="S48" s="53"/>
      <c r="T48" s="53"/>
      <c r="AB48" s="240"/>
    </row>
    <row r="49" spans="1:28" s="131" customFormat="1" ht="15.75">
      <c r="A49" s="130" t="s">
        <v>659</v>
      </c>
      <c r="M49" s="53"/>
      <c r="N49" s="53"/>
      <c r="O49" s="53"/>
      <c r="P49" s="53"/>
      <c r="Q49" s="53"/>
      <c r="R49" s="53"/>
      <c r="S49" s="53"/>
      <c r="T49" s="53"/>
      <c r="AB49" s="240"/>
    </row>
    <row r="50" spans="1:28">
      <c r="D50" s="60"/>
    </row>
    <row r="51" spans="1:28" ht="12" customHeight="1"/>
  </sheetData>
  <mergeCells count="13">
    <mergeCell ref="B43:K43"/>
    <mergeCell ref="A4:H4"/>
    <mergeCell ref="A35:K35"/>
    <mergeCell ref="A39:K39"/>
    <mergeCell ref="A40:I40"/>
    <mergeCell ref="B41:I41"/>
    <mergeCell ref="B42:I42"/>
    <mergeCell ref="A1:K1"/>
    <mergeCell ref="B2:C2"/>
    <mergeCell ref="D2:F2"/>
    <mergeCell ref="G2:K2"/>
    <mergeCell ref="B3:F3"/>
    <mergeCell ref="G3:K3"/>
  </mergeCells>
  <conditionalFormatting sqref="I44:K46 B46:K46">
    <cfRule type="cellIs" dxfId="7" priority="7" stopIfTrue="1" operator="lessThan">
      <formula>0</formula>
    </cfRule>
  </conditionalFormatting>
  <conditionalFormatting sqref="Q5:Q10 Q12:Q16 Q23:Q32">
    <cfRule type="cellIs" dxfId="6" priority="1" stopIfTrue="1" operator="lessThan">
      <formula>0</formula>
    </cfRule>
  </conditionalFormatting>
  <printOptions horizontalCentered="1" verticalCentered="1"/>
  <pageMargins left="0.25" right="0.25" top="0.75" bottom="0.75" header="0.3" footer="0.3"/>
  <pageSetup scale="58"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D2B0-8EF1-4A32-A271-C947B7FBA9C0}">
  <sheetPr codeName="Sheet1">
    <pageSetUpPr fitToPage="1"/>
  </sheetPr>
  <dimension ref="A1:AB49"/>
  <sheetViews>
    <sheetView view="pageBreakPreview" topLeftCell="A32" zoomScale="110" zoomScaleNormal="140" zoomScaleSheetLayoutView="110" workbookViewId="0">
      <selection activeCell="E17" sqref="E17:E19"/>
    </sheetView>
  </sheetViews>
  <sheetFormatPr defaultColWidth="9.140625" defaultRowHeight="12.75" outlineLevelCol="1"/>
  <cols>
    <col min="1" max="1" width="51.85546875" style="97" customWidth="1"/>
    <col min="2" max="2" width="14.140625" style="37" bestFit="1" customWidth="1"/>
    <col min="3" max="3" width="17.42578125" style="37" bestFit="1" customWidth="1"/>
    <col min="4" max="4" width="14.42578125" style="37" bestFit="1" customWidth="1"/>
    <col min="5" max="5" width="14.5703125" style="37" customWidth="1"/>
    <col min="6" max="6" width="10.85546875" style="37" customWidth="1"/>
    <col min="7" max="7" width="15.7109375" style="37" bestFit="1" customWidth="1"/>
    <col min="8" max="8" width="18.85546875" style="37" customWidth="1"/>
    <col min="9" max="9" width="16.85546875" style="37" customWidth="1"/>
    <col min="10" max="10" width="13.42578125" style="37" customWidth="1"/>
    <col min="11" max="11" width="15.140625" style="37" customWidth="1"/>
    <col min="12" max="12" width="17.85546875" style="37" customWidth="1"/>
    <col min="13" max="13" width="9.140625" style="37"/>
    <col min="14" max="14" width="11.85546875" style="143" customWidth="1" outlineLevel="1"/>
    <col min="15" max="17" width="11" style="143" customWidth="1" outlineLevel="1"/>
    <col min="18" max="18" width="14" style="146" customWidth="1" outlineLevel="1"/>
    <col min="19" max="19" width="11" style="146" customWidth="1" outlineLevel="1"/>
    <col min="20" max="20" width="13.85546875" style="146" customWidth="1" outlineLevel="1"/>
    <col min="21" max="21" width="12.7109375" style="146" customWidth="1"/>
    <col min="22" max="22" width="9.140625" style="37"/>
    <col min="23" max="23" width="15" style="37" bestFit="1" customWidth="1"/>
    <col min="24" max="24" width="6.7109375" style="37" bestFit="1" customWidth="1"/>
    <col min="25" max="25" width="13.7109375" style="37" bestFit="1" customWidth="1"/>
    <col min="26" max="26" width="6.7109375" style="37" bestFit="1" customWidth="1"/>
    <col min="27" max="27" width="13.7109375" style="37" bestFit="1" customWidth="1"/>
    <col min="28" max="28" width="8.28515625" style="37" customWidth="1"/>
    <col min="29" max="16384" width="9.140625" style="37"/>
  </cols>
  <sheetData>
    <row r="1" spans="1:28" ht="15" customHeight="1">
      <c r="A1" s="350" t="s">
        <v>511</v>
      </c>
      <c r="B1" s="351"/>
      <c r="C1" s="351"/>
      <c r="D1" s="351"/>
      <c r="E1" s="351"/>
      <c r="F1" s="351"/>
      <c r="G1" s="351"/>
      <c r="H1" s="351"/>
      <c r="I1" s="351"/>
      <c r="J1" s="351"/>
      <c r="K1" s="352"/>
      <c r="N1" s="142"/>
      <c r="P1" s="142"/>
      <c r="R1" s="145"/>
    </row>
    <row r="2" spans="1:28" ht="24" customHeight="1">
      <c r="A2" s="58" t="s">
        <v>546</v>
      </c>
      <c r="B2" s="353" t="s">
        <v>670</v>
      </c>
      <c r="C2" s="354"/>
      <c r="D2" s="355" t="s">
        <v>669</v>
      </c>
      <c r="E2" s="356"/>
      <c r="F2" s="354"/>
      <c r="G2" s="357" t="s">
        <v>706</v>
      </c>
      <c r="H2" s="358"/>
      <c r="I2" s="358"/>
      <c r="J2" s="358"/>
      <c r="K2" s="359"/>
      <c r="N2" s="142"/>
      <c r="P2" s="142"/>
      <c r="W2" s="60"/>
    </row>
    <row r="3" spans="1:28" ht="15" customHeight="1">
      <c r="A3" s="88"/>
      <c r="B3" s="353" t="s">
        <v>671</v>
      </c>
      <c r="C3" s="356"/>
      <c r="D3" s="356"/>
      <c r="E3" s="356"/>
      <c r="F3" s="354"/>
      <c r="G3" s="357" t="s">
        <v>707</v>
      </c>
      <c r="H3" s="358"/>
      <c r="I3" s="358"/>
      <c r="J3" s="358"/>
      <c r="K3" s="359"/>
      <c r="N3" s="142"/>
      <c r="P3" s="142"/>
    </row>
    <row r="4" spans="1:28" ht="9.9499999999999993" customHeight="1" thickBot="1">
      <c r="A4" s="363" t="s">
        <v>512</v>
      </c>
      <c r="B4" s="364"/>
      <c r="C4" s="364"/>
      <c r="D4" s="364"/>
      <c r="E4" s="364"/>
      <c r="F4" s="364"/>
      <c r="G4" s="364"/>
      <c r="H4" s="365"/>
      <c r="I4" s="39"/>
      <c r="J4" s="39"/>
      <c r="K4" s="39"/>
      <c r="N4" s="142"/>
      <c r="P4" s="142"/>
    </row>
    <row r="5" spans="1:28" ht="81.75" customHeight="1" thickBot="1">
      <c r="A5" s="89"/>
      <c r="B5" s="207" t="s">
        <v>520</v>
      </c>
      <c r="C5" s="207" t="s">
        <v>685</v>
      </c>
      <c r="D5" s="208" t="s">
        <v>686</v>
      </c>
      <c r="E5" s="209" t="s">
        <v>608</v>
      </c>
      <c r="F5" s="208" t="s">
        <v>687</v>
      </c>
      <c r="G5" s="208" t="s">
        <v>688</v>
      </c>
      <c r="H5" s="208" t="s">
        <v>689</v>
      </c>
      <c r="I5" s="208" t="s">
        <v>690</v>
      </c>
      <c r="J5" s="210" t="s">
        <v>691</v>
      </c>
      <c r="K5" s="210" t="s">
        <v>692</v>
      </c>
      <c r="T5" s="160" t="s">
        <v>677</v>
      </c>
      <c r="W5" s="218" t="s">
        <v>702</v>
      </c>
      <c r="X5" s="219"/>
      <c r="Y5" s="220" t="s">
        <v>701</v>
      </c>
      <c r="Z5" s="220"/>
      <c r="AA5" s="220" t="s">
        <v>703</v>
      </c>
      <c r="AB5" s="221"/>
    </row>
    <row r="6" spans="1:28" ht="15.75" customHeight="1">
      <c r="A6" s="90" t="s">
        <v>530</v>
      </c>
      <c r="B6" s="79" t="e">
        <f t="shared" ref="B6:K6" si="0">SUM(B7:B11)</f>
        <v>#REF!</v>
      </c>
      <c r="C6" s="79" t="e">
        <f>SUM(C7:C11)+0.01</f>
        <v>#REF!</v>
      </c>
      <c r="D6" s="79" t="e">
        <f>SUM(D7:D11)</f>
        <v>#REF!</v>
      </c>
      <c r="E6" s="79" t="e">
        <f t="shared" si="0"/>
        <v>#REF!</v>
      </c>
      <c r="F6" s="79">
        <f t="shared" si="0"/>
        <v>0</v>
      </c>
      <c r="G6" s="50">
        <f t="shared" si="0"/>
        <v>0</v>
      </c>
      <c r="H6" s="50">
        <f t="shared" si="0"/>
        <v>0</v>
      </c>
      <c r="I6" s="50" t="e">
        <f t="shared" si="0"/>
        <v>#REF!</v>
      </c>
      <c r="J6" s="50" t="e">
        <f t="shared" si="0"/>
        <v>#REF!</v>
      </c>
      <c r="K6" s="50">
        <f t="shared" si="0"/>
        <v>0</v>
      </c>
      <c r="L6" s="60" t="e">
        <f>L34</f>
        <v>#REF!</v>
      </c>
      <c r="N6" s="179" t="s">
        <v>1</v>
      </c>
      <c r="O6" s="180" t="s">
        <v>22</v>
      </c>
      <c r="P6" s="180" t="s">
        <v>2</v>
      </c>
      <c r="Q6" s="180" t="s">
        <v>3</v>
      </c>
      <c r="R6" s="147" t="s">
        <v>0</v>
      </c>
      <c r="S6" s="181"/>
      <c r="T6" s="146" t="s">
        <v>674</v>
      </c>
      <c r="U6" s="146" t="s">
        <v>565</v>
      </c>
      <c r="W6" s="222" t="e">
        <f>SUM(B6:D6)</f>
        <v>#REF!</v>
      </c>
      <c r="X6" s="223"/>
      <c r="Y6" s="224" t="e">
        <f>SUM(B6:C6)</f>
        <v>#REF!</v>
      </c>
      <c r="Z6" s="223"/>
      <c r="AA6" s="224" t="e">
        <f>SUM(D6)-(D6*12%)-D7</f>
        <v>#REF!</v>
      </c>
      <c r="AB6" s="225"/>
    </row>
    <row r="7" spans="1:28">
      <c r="A7" s="91" t="s">
        <v>527</v>
      </c>
      <c r="B7" s="80" t="e">
        <f>(#REF!)</f>
        <v>#REF!</v>
      </c>
      <c r="C7" s="203" t="e">
        <f>(#REF!+#REF!+#REF!+#REF!+#REF!+#REF!)</f>
        <v>#REF!</v>
      </c>
      <c r="D7" s="80" t="e">
        <f>(#REF!)</f>
        <v>#REF!</v>
      </c>
      <c r="E7" s="80" t="e">
        <f>(#REF!)</f>
        <v>#REF!</v>
      </c>
      <c r="F7" s="81"/>
      <c r="G7" s="51"/>
      <c r="H7" s="51"/>
      <c r="I7" s="49" t="e">
        <f>#REF!</f>
        <v>#REF!</v>
      </c>
      <c r="J7" s="49" t="e">
        <f>#REF!</f>
        <v>#REF!</v>
      </c>
      <c r="K7" s="52"/>
      <c r="L7" s="60" t="e">
        <f>SUM(B7:E7)</f>
        <v>#REF!</v>
      </c>
      <c r="M7" s="238" t="e">
        <f>L7/$L$6</f>
        <v>#REF!</v>
      </c>
      <c r="N7" s="182">
        <v>1195257.46</v>
      </c>
      <c r="O7" s="183">
        <v>3034950.39</v>
      </c>
      <c r="P7" s="183">
        <v>21395895.489999998</v>
      </c>
      <c r="Q7" s="183">
        <v>565896.47</v>
      </c>
      <c r="R7" s="184" t="s">
        <v>4</v>
      </c>
      <c r="S7" s="185" t="e">
        <f>+#REF!+#REF!+#REF!+#REF!+#REF!+#REF!</f>
        <v>#REF!</v>
      </c>
      <c r="T7" s="144" t="e">
        <f>SUM(B7:E7)</f>
        <v>#REF!</v>
      </c>
      <c r="U7" s="159" t="e">
        <f>S7-T7</f>
        <v>#REF!</v>
      </c>
      <c r="W7" s="226"/>
      <c r="X7" s="223"/>
      <c r="Y7" s="223"/>
      <c r="Z7" s="223"/>
      <c r="AA7" s="223"/>
      <c r="AB7" s="225"/>
    </row>
    <row r="8" spans="1:28" ht="22.5">
      <c r="A8" s="89" t="s">
        <v>617</v>
      </c>
      <c r="B8" s="83"/>
      <c r="C8" s="203" t="e">
        <f>(#REF!+#REF!+#REF!+#REF!+#REF!++#REF!)</f>
        <v>#REF!</v>
      </c>
      <c r="D8" s="80" t="e">
        <f>(#REF!)</f>
        <v>#REF!</v>
      </c>
      <c r="E8" s="83"/>
      <c r="F8" s="84"/>
      <c r="G8" s="54"/>
      <c r="H8" s="54"/>
      <c r="I8" s="49" t="e">
        <f>#REF!</f>
        <v>#REF!</v>
      </c>
      <c r="J8" s="49" t="e">
        <f>#REF!</f>
        <v>#REF!</v>
      </c>
      <c r="K8" s="55"/>
      <c r="L8" s="60" t="e">
        <f t="shared" ref="L8:L11" si="1">SUM(B8:E8)</f>
        <v>#REF!</v>
      </c>
      <c r="M8" s="238" t="e">
        <f t="shared" ref="M8:M11" si="2">L8/$L$6</f>
        <v>#REF!</v>
      </c>
      <c r="N8" s="182">
        <v>0</v>
      </c>
      <c r="O8" s="183">
        <v>25231161.675000001</v>
      </c>
      <c r="P8" s="183">
        <v>88710946.210000008</v>
      </c>
      <c r="Q8" s="183">
        <v>0</v>
      </c>
      <c r="R8" s="184" t="s">
        <v>5</v>
      </c>
      <c r="S8" s="185" t="e">
        <f>+#REF!+#REF!+#REF!+#REF!+#REF!</f>
        <v>#REF!</v>
      </c>
      <c r="T8" s="144" t="e">
        <f>SUM(B8:E8)</f>
        <v>#REF!</v>
      </c>
      <c r="U8" s="159" t="e">
        <f t="shared" ref="U8:U34" si="3">S8-T8</f>
        <v>#REF!</v>
      </c>
      <c r="W8" s="227" t="e">
        <f>SUM(B8:D8)</f>
        <v>#REF!</v>
      </c>
      <c r="X8" s="228" t="e">
        <f>W8/$W$6</f>
        <v>#REF!</v>
      </c>
      <c r="Y8" s="223"/>
      <c r="Z8" s="223"/>
      <c r="AA8" s="223"/>
      <c r="AB8" s="225"/>
    </row>
    <row r="9" spans="1:28">
      <c r="A9" s="91" t="s">
        <v>528</v>
      </c>
      <c r="B9" s="80" t="e">
        <f>ROUND(#REF!,0)</f>
        <v>#REF!</v>
      </c>
      <c r="C9" s="204" t="e">
        <f>(#REF!+#REF!+#REF!+#REF!+#REF!+#REF!)-0.01</f>
        <v>#REF!</v>
      </c>
      <c r="D9" s="80" t="e">
        <f>(#REF!)</f>
        <v>#REF!</v>
      </c>
      <c r="E9" s="80" t="e">
        <f>(#REF!)</f>
        <v>#REF!</v>
      </c>
      <c r="F9" s="81"/>
      <c r="G9" s="51"/>
      <c r="H9" s="51"/>
      <c r="I9" s="49" t="e">
        <f>#REF!</f>
        <v>#REF!</v>
      </c>
      <c r="J9" s="49" t="e">
        <f>#REF!</f>
        <v>#REF!</v>
      </c>
      <c r="K9" s="52"/>
      <c r="L9" s="60" t="e">
        <f t="shared" si="1"/>
        <v>#REF!</v>
      </c>
      <c r="M9" s="238" t="e">
        <f t="shared" si="2"/>
        <v>#REF!</v>
      </c>
      <c r="N9" s="182">
        <v>0</v>
      </c>
      <c r="O9" s="183">
        <v>0</v>
      </c>
      <c r="P9" s="183">
        <v>0</v>
      </c>
      <c r="Q9" s="183">
        <v>0</v>
      </c>
      <c r="R9" s="186" t="s">
        <v>6</v>
      </c>
      <c r="S9" s="185">
        <v>0</v>
      </c>
      <c r="U9" s="159">
        <f t="shared" si="3"/>
        <v>0</v>
      </c>
      <c r="W9" s="227" t="e">
        <f>SUM(B9:D9)</f>
        <v>#REF!</v>
      </c>
      <c r="X9" s="228" t="e">
        <f>W9/$W$6</f>
        <v>#REF!</v>
      </c>
      <c r="Y9" s="223"/>
      <c r="Z9" s="223"/>
      <c r="AA9" s="223"/>
      <c r="AB9" s="225"/>
    </row>
    <row r="10" spans="1:28" ht="13.5" customHeight="1" thickBot="1">
      <c r="A10" s="91" t="s">
        <v>529</v>
      </c>
      <c r="B10" s="80" t="e">
        <f>ROUND(#REF!,2)</f>
        <v>#REF!</v>
      </c>
      <c r="C10" s="203" t="e">
        <f>(#REF!+#REF!+#REF!+#REF!+#REF!+#REF!)</f>
        <v>#REF!</v>
      </c>
      <c r="D10" s="80" t="e">
        <f>(#REF!)</f>
        <v>#REF!</v>
      </c>
      <c r="E10" s="80" t="e">
        <f>(#REF!)</f>
        <v>#REF!</v>
      </c>
      <c r="F10" s="81"/>
      <c r="G10" s="51"/>
      <c r="H10" s="51"/>
      <c r="I10" s="49" t="e">
        <f>ROUND(#REF!,2)</f>
        <v>#REF!</v>
      </c>
      <c r="J10" s="49" t="e">
        <f>ROUND(#REF!,0)</f>
        <v>#REF!</v>
      </c>
      <c r="K10" s="52"/>
      <c r="L10" s="60" t="e">
        <f t="shared" si="1"/>
        <v>#REF!</v>
      </c>
      <c r="M10" s="238" t="e">
        <f t="shared" si="2"/>
        <v>#REF!</v>
      </c>
      <c r="N10" s="182">
        <v>0</v>
      </c>
      <c r="O10" s="183">
        <v>0</v>
      </c>
      <c r="P10" s="183">
        <v>0</v>
      </c>
      <c r="Q10" s="183">
        <v>0</v>
      </c>
      <c r="R10" s="186" t="s">
        <v>23</v>
      </c>
      <c r="S10" s="185">
        <v>0</v>
      </c>
      <c r="U10" s="159">
        <f t="shared" si="3"/>
        <v>0</v>
      </c>
      <c r="W10" s="229"/>
      <c r="X10" s="230"/>
      <c r="Y10" s="233" t="e">
        <f>SUM(B10:C10)</f>
        <v>#REF!</v>
      </c>
      <c r="Z10" s="231" t="e">
        <f>Y10/Y6</f>
        <v>#REF!</v>
      </c>
      <c r="AA10" s="233" t="e">
        <f>SUM(D10)</f>
        <v>#REF!</v>
      </c>
      <c r="AB10" s="232" t="e">
        <f>AA10/AA6</f>
        <v>#REF!</v>
      </c>
    </row>
    <row r="11" spans="1:28" ht="20.25" customHeight="1">
      <c r="A11" s="90" t="s">
        <v>531</v>
      </c>
      <c r="B11" s="79" t="e">
        <f>SUM(B12:B15)</f>
        <v>#REF!</v>
      </c>
      <c r="C11" s="79" t="e">
        <f t="shared" ref="C11:J11" si="4">SUM(C12:C15)</f>
        <v>#REF!</v>
      </c>
      <c r="D11" s="79" t="e">
        <f t="shared" si="4"/>
        <v>#REF!</v>
      </c>
      <c r="E11" s="79" t="e">
        <f t="shared" si="4"/>
        <v>#REF!</v>
      </c>
      <c r="F11" s="79">
        <f t="shared" si="4"/>
        <v>0</v>
      </c>
      <c r="G11" s="50">
        <f t="shared" si="4"/>
        <v>0</v>
      </c>
      <c r="H11" s="50">
        <f t="shared" si="4"/>
        <v>0</v>
      </c>
      <c r="I11" s="50" t="e">
        <f t="shared" si="4"/>
        <v>#REF!</v>
      </c>
      <c r="J11" s="50">
        <f t="shared" si="4"/>
        <v>0</v>
      </c>
      <c r="K11" s="52"/>
      <c r="L11" s="60" t="e">
        <f t="shared" si="1"/>
        <v>#REF!</v>
      </c>
      <c r="M11" s="238" t="e">
        <f t="shared" si="2"/>
        <v>#REF!</v>
      </c>
      <c r="N11" s="182">
        <v>0</v>
      </c>
      <c r="O11" s="183">
        <v>0</v>
      </c>
      <c r="P11" s="183">
        <v>0</v>
      </c>
      <c r="Q11" s="183">
        <v>0</v>
      </c>
      <c r="R11" s="186" t="s">
        <v>7</v>
      </c>
      <c r="S11" s="185">
        <v>0</v>
      </c>
      <c r="U11" s="159">
        <f t="shared" si="3"/>
        <v>0</v>
      </c>
    </row>
    <row r="12" spans="1:28">
      <c r="A12" s="92" t="s">
        <v>532</v>
      </c>
      <c r="B12" s="80" t="e">
        <f>(#REF!)</f>
        <v>#REF!</v>
      </c>
      <c r="C12" s="203" t="e">
        <f>(#REF!+#REF!+#REF!+#REF!+#REF!+#REF!)</f>
        <v>#REF!</v>
      </c>
      <c r="D12" s="80" t="e">
        <f>(#REF!)</f>
        <v>#REF!</v>
      </c>
      <c r="E12" s="80" t="e">
        <f>(#REF!)</f>
        <v>#REF!</v>
      </c>
      <c r="F12" s="81"/>
      <c r="G12" s="51"/>
      <c r="H12" s="51"/>
      <c r="I12" s="49" t="e">
        <f>ROUND(#REF!,2)</f>
        <v>#REF!</v>
      </c>
      <c r="J12" s="49">
        <v>0</v>
      </c>
      <c r="K12" s="52"/>
      <c r="M12" s="241" t="e">
        <f>SUM(M7:M11)</f>
        <v>#REF!</v>
      </c>
      <c r="N12" s="182">
        <v>0</v>
      </c>
      <c r="O12" s="183">
        <v>5346297.5350000001</v>
      </c>
      <c r="P12" s="183">
        <v>21166041.719999999</v>
      </c>
      <c r="Q12" s="183">
        <v>0</v>
      </c>
      <c r="R12" s="184" t="s">
        <v>262</v>
      </c>
      <c r="S12" s="185" t="e">
        <f>+#REF!+#REF!</f>
        <v>#REF!</v>
      </c>
      <c r="T12" s="144" t="e">
        <f>SUM(B9:E9)</f>
        <v>#REF!</v>
      </c>
      <c r="U12" s="159" t="e">
        <f>S12-T12</f>
        <v>#REF!</v>
      </c>
    </row>
    <row r="13" spans="1:28">
      <c r="A13" s="92" t="s">
        <v>533</v>
      </c>
      <c r="B13" s="80" t="e">
        <f>(#REF!)</f>
        <v>#REF!</v>
      </c>
      <c r="C13" s="203" t="e">
        <f>(#REF!+#REF!+#REF!+#REF!+#REF!+#REF!)</f>
        <v>#REF!</v>
      </c>
      <c r="D13" s="80" t="e">
        <f>(#REF!)</f>
        <v>#REF!</v>
      </c>
      <c r="E13" s="80" t="e">
        <f>(#REF!)</f>
        <v>#REF!</v>
      </c>
      <c r="F13" s="81"/>
      <c r="G13" s="51"/>
      <c r="H13" s="51"/>
      <c r="I13" s="49" t="e">
        <f>ROUND(#REF!,2)</f>
        <v>#REF!</v>
      </c>
      <c r="J13" s="49">
        <v>0</v>
      </c>
      <c r="K13" s="52"/>
      <c r="N13" s="182">
        <v>53739001.299999997</v>
      </c>
      <c r="O13" s="183">
        <v>260958496.75</v>
      </c>
      <c r="P13" s="183">
        <v>383400900.76999998</v>
      </c>
      <c r="Q13" s="183">
        <v>31907424.68</v>
      </c>
      <c r="R13" s="184" t="s">
        <v>8</v>
      </c>
      <c r="S13" s="185" t="e">
        <f>+#REF!+#REF!+#REF!+#REF!+#REF!+#REF!+#REF!+#REF!</f>
        <v>#REF!</v>
      </c>
      <c r="T13" s="144" t="e">
        <f>SUM(B10:E10)</f>
        <v>#REF!</v>
      </c>
      <c r="U13" s="159" t="e">
        <f t="shared" si="3"/>
        <v>#REF!</v>
      </c>
    </row>
    <row r="14" spans="1:28">
      <c r="A14" s="92" t="s">
        <v>534</v>
      </c>
      <c r="B14" s="80" t="e">
        <f>(#REF!)</f>
        <v>#REF!</v>
      </c>
      <c r="C14" s="203" t="e">
        <f>(#REF!+#REF!+#REF!+#REF!+#REF!)</f>
        <v>#REF!</v>
      </c>
      <c r="D14" s="80" t="e">
        <f>(#REF!)</f>
        <v>#REF!</v>
      </c>
      <c r="E14" s="80" t="e">
        <f>(#REF!)</f>
        <v>#REF!</v>
      </c>
      <c r="F14" s="81"/>
      <c r="G14" s="51"/>
      <c r="H14" s="51"/>
      <c r="I14" s="49" t="e">
        <f>#REF!</f>
        <v>#REF!</v>
      </c>
      <c r="J14" s="53"/>
      <c r="K14" s="52"/>
      <c r="N14" s="182">
        <v>312666.45</v>
      </c>
      <c r="O14" s="183">
        <v>725210.90999999992</v>
      </c>
      <c r="P14" s="183">
        <v>15644192.220000001</v>
      </c>
      <c r="Q14" s="183">
        <v>136505.76999999999</v>
      </c>
      <c r="R14" s="184" t="s">
        <v>9</v>
      </c>
      <c r="S14" s="185" t="e">
        <f>+#REF!+#REF!+#REF!+#REF!+#REF!+#REF!</f>
        <v>#REF!</v>
      </c>
      <c r="T14" s="144" t="e">
        <f>SUM(B12:E12)</f>
        <v>#REF!</v>
      </c>
      <c r="U14" s="159" t="e">
        <f t="shared" si="3"/>
        <v>#REF!</v>
      </c>
    </row>
    <row r="15" spans="1:28">
      <c r="A15" s="92" t="s">
        <v>535</v>
      </c>
      <c r="B15" s="86"/>
      <c r="C15" s="86"/>
      <c r="D15" s="86"/>
      <c r="E15" s="86"/>
      <c r="F15" s="82"/>
      <c r="G15" s="51"/>
      <c r="H15" s="52"/>
      <c r="I15" s="52"/>
      <c r="J15" s="52"/>
      <c r="K15" s="52"/>
      <c r="N15" s="182">
        <v>4597203.79</v>
      </c>
      <c r="O15" s="183">
        <v>11944774.939999999</v>
      </c>
      <c r="P15" s="183">
        <v>45425777.210000001</v>
      </c>
      <c r="Q15" s="183">
        <v>2071594.08</v>
      </c>
      <c r="R15" s="184" t="s">
        <v>10</v>
      </c>
      <c r="S15" s="185" t="e">
        <f>+#REF!+#REF!+#REF!+#REF!+#REF!+#REF!</f>
        <v>#REF!</v>
      </c>
      <c r="T15" s="144" t="e">
        <f>SUM(B13:E13)</f>
        <v>#REF!</v>
      </c>
      <c r="U15" s="159" t="e">
        <f t="shared" si="3"/>
        <v>#REF!</v>
      </c>
    </row>
    <row r="16" spans="1:28">
      <c r="A16" s="91" t="s">
        <v>536</v>
      </c>
      <c r="B16" s="86"/>
      <c r="C16" s="79" t="e">
        <f>SUM(C17:C19)</f>
        <v>#REF!</v>
      </c>
      <c r="D16" s="86"/>
      <c r="E16" s="79" t="e">
        <f>SUM(E17:E19)</f>
        <v>#REF!</v>
      </c>
      <c r="F16" s="82"/>
      <c r="G16" s="52"/>
      <c r="H16" s="52"/>
      <c r="I16" s="52"/>
      <c r="J16" s="52"/>
      <c r="K16" s="52"/>
      <c r="N16" s="182">
        <v>0</v>
      </c>
      <c r="O16" s="183">
        <v>0</v>
      </c>
      <c r="P16" s="183">
        <v>2478794.23</v>
      </c>
      <c r="Q16" s="183">
        <v>0</v>
      </c>
      <c r="R16" s="184" t="s">
        <v>11</v>
      </c>
      <c r="S16" s="185" t="e">
        <f>+#REF!</f>
        <v>#REF!</v>
      </c>
      <c r="T16" s="144" t="e">
        <f>SUM(B14:E14)</f>
        <v>#REF!</v>
      </c>
      <c r="U16" s="159" t="e">
        <f t="shared" si="3"/>
        <v>#REF!</v>
      </c>
    </row>
    <row r="17" spans="1:21">
      <c r="A17" s="91" t="s">
        <v>537</v>
      </c>
      <c r="B17" s="82"/>
      <c r="C17" s="80" t="e">
        <f>ROUND((#REF!+#REF!+#REF!+#REF!+#REF!),2)</f>
        <v>#REF!</v>
      </c>
      <c r="D17" s="86"/>
      <c r="E17" s="80" t="e">
        <f>(#REF!)</f>
        <v>#REF!</v>
      </c>
      <c r="F17" s="82"/>
      <c r="G17" s="52"/>
      <c r="H17" s="52"/>
      <c r="I17" s="52"/>
      <c r="J17" s="52"/>
      <c r="K17" s="52"/>
      <c r="N17" s="187"/>
      <c r="O17" s="188"/>
      <c r="P17" s="188"/>
      <c r="Q17" s="188"/>
      <c r="R17" s="148"/>
      <c r="S17" s="185">
        <v>0</v>
      </c>
      <c r="T17" s="144"/>
      <c r="U17" s="159">
        <f t="shared" si="3"/>
        <v>0</v>
      </c>
    </row>
    <row r="18" spans="1:21" ht="12.75" customHeight="1">
      <c r="A18" s="91" t="s">
        <v>538</v>
      </c>
      <c r="B18" s="82"/>
      <c r="C18" s="80" t="e">
        <f>ROUND((#REF!),2)</f>
        <v>#REF!</v>
      </c>
      <c r="D18" s="86"/>
      <c r="E18" s="80">
        <v>0</v>
      </c>
      <c r="F18" s="82"/>
      <c r="G18" s="52"/>
      <c r="H18" s="52"/>
      <c r="I18" s="52"/>
      <c r="J18" s="52"/>
      <c r="K18" s="52"/>
      <c r="N18" s="187"/>
      <c r="O18" s="188"/>
      <c r="P18" s="188"/>
      <c r="Q18" s="188"/>
      <c r="R18" s="148"/>
      <c r="S18" s="189">
        <v>0</v>
      </c>
      <c r="T18" s="144"/>
      <c r="U18" s="159">
        <f t="shared" si="3"/>
        <v>0</v>
      </c>
    </row>
    <row r="19" spans="1:21">
      <c r="A19" s="91" t="s">
        <v>539</v>
      </c>
      <c r="B19" s="82"/>
      <c r="C19" s="80" t="e">
        <f>(#REF!)</f>
        <v>#REF!</v>
      </c>
      <c r="D19" s="86"/>
      <c r="E19" s="80" t="e">
        <f>(#REF!)</f>
        <v>#REF!</v>
      </c>
      <c r="F19" s="82"/>
      <c r="G19" s="52"/>
      <c r="H19" s="52"/>
      <c r="I19" s="52"/>
      <c r="J19" s="52"/>
      <c r="K19" s="52"/>
      <c r="N19" s="187"/>
      <c r="O19" s="188"/>
      <c r="P19" s="188"/>
      <c r="Q19" s="188"/>
      <c r="R19" s="148"/>
      <c r="S19" s="190">
        <v>0</v>
      </c>
      <c r="T19" s="144"/>
      <c r="U19" s="159">
        <f t="shared" si="3"/>
        <v>0</v>
      </c>
    </row>
    <row r="20" spans="1:21">
      <c r="A20" s="93" t="s">
        <v>540</v>
      </c>
      <c r="B20" s="82"/>
      <c r="C20" s="82"/>
      <c r="D20" s="82"/>
      <c r="E20" s="82"/>
      <c r="F20" s="82"/>
      <c r="G20" s="52"/>
      <c r="H20" s="52"/>
      <c r="I20" s="52"/>
      <c r="J20" s="52"/>
      <c r="K20" s="51"/>
      <c r="N20" s="187"/>
      <c r="O20" s="188"/>
      <c r="P20" s="188"/>
      <c r="Q20" s="188"/>
      <c r="R20" s="148"/>
      <c r="S20" s="190">
        <v>0</v>
      </c>
      <c r="T20" s="144"/>
      <c r="U20" s="159">
        <f t="shared" si="3"/>
        <v>0</v>
      </c>
    </row>
    <row r="21" spans="1:21">
      <c r="A21" s="93" t="s">
        <v>541</v>
      </c>
      <c r="B21" s="82"/>
      <c r="C21" s="82"/>
      <c r="D21" s="82"/>
      <c r="E21" s="82"/>
      <c r="F21" s="82"/>
      <c r="G21" s="52"/>
      <c r="H21" s="52"/>
      <c r="I21" s="52"/>
      <c r="J21" s="52"/>
      <c r="K21" s="49"/>
      <c r="N21" s="187"/>
      <c r="O21" s="188"/>
      <c r="P21" s="188"/>
      <c r="Q21" s="188"/>
      <c r="R21" s="148"/>
      <c r="S21" s="190">
        <v>0</v>
      </c>
      <c r="T21" s="178"/>
      <c r="U21" s="159">
        <f t="shared" si="3"/>
        <v>0</v>
      </c>
    </row>
    <row r="22" spans="1:21" ht="9.75" customHeight="1">
      <c r="A22" s="93" t="s">
        <v>521</v>
      </c>
      <c r="B22" s="82"/>
      <c r="C22" s="82"/>
      <c r="D22" s="82"/>
      <c r="E22" s="82"/>
      <c r="F22" s="82"/>
      <c r="G22" s="52"/>
      <c r="H22" s="52"/>
      <c r="I22" s="52"/>
      <c r="J22" s="52"/>
      <c r="K22" s="49"/>
      <c r="N22" s="187"/>
      <c r="O22" s="188"/>
      <c r="P22" s="188"/>
      <c r="Q22" s="188"/>
      <c r="R22" s="148"/>
      <c r="S22" s="190">
        <v>0</v>
      </c>
      <c r="U22" s="159">
        <f t="shared" si="3"/>
        <v>0</v>
      </c>
    </row>
    <row r="23" spans="1:21">
      <c r="A23" s="93" t="s">
        <v>522</v>
      </c>
      <c r="B23" s="82"/>
      <c r="C23" s="82"/>
      <c r="D23" s="82"/>
      <c r="E23" s="82"/>
      <c r="F23" s="82"/>
      <c r="G23" s="52"/>
      <c r="H23" s="52"/>
      <c r="I23" s="52"/>
      <c r="J23" s="52"/>
      <c r="K23" s="49"/>
      <c r="N23" s="182">
        <v>59844129</v>
      </c>
      <c r="O23" s="183">
        <v>307240892.20999998</v>
      </c>
      <c r="P23" s="183">
        <v>553119925.28999996</v>
      </c>
      <c r="Q23" s="183">
        <v>34681421</v>
      </c>
      <c r="R23" s="148"/>
      <c r="S23" s="190" t="e">
        <f>+#REF!</f>
        <v>#REF!</v>
      </c>
      <c r="T23" s="146" t="e">
        <f>SUM(B6:E6)</f>
        <v>#REF!</v>
      </c>
      <c r="U23" s="159" t="e">
        <f t="shared" si="3"/>
        <v>#REF!</v>
      </c>
    </row>
    <row r="24" spans="1:21">
      <c r="A24" s="93" t="s">
        <v>523</v>
      </c>
      <c r="B24" s="82"/>
      <c r="C24" s="82"/>
      <c r="D24" s="82"/>
      <c r="E24" s="82"/>
      <c r="F24" s="82"/>
      <c r="G24" s="52"/>
      <c r="H24" s="52"/>
      <c r="I24" s="52"/>
      <c r="J24" s="52"/>
      <c r="K24" s="49" t="e">
        <f>#REF!</f>
        <v>#REF!</v>
      </c>
      <c r="N24" s="182">
        <v>0</v>
      </c>
      <c r="O24" s="183">
        <v>0</v>
      </c>
      <c r="P24" s="183">
        <v>0</v>
      </c>
      <c r="Q24" s="183">
        <v>0</v>
      </c>
      <c r="R24" s="148"/>
      <c r="S24" s="189">
        <v>0</v>
      </c>
      <c r="U24" s="159">
        <f t="shared" si="3"/>
        <v>0</v>
      </c>
    </row>
    <row r="25" spans="1:21">
      <c r="A25" s="93" t="s">
        <v>524</v>
      </c>
      <c r="B25" s="82"/>
      <c r="C25" s="82"/>
      <c r="D25" s="82"/>
      <c r="E25" s="82"/>
      <c r="F25" s="82"/>
      <c r="G25" s="52"/>
      <c r="H25" s="52"/>
      <c r="I25" s="52"/>
      <c r="J25" s="52"/>
      <c r="K25" s="49" t="e">
        <f>#REF!</f>
        <v>#REF!</v>
      </c>
      <c r="N25" s="182" t="s">
        <v>16</v>
      </c>
      <c r="O25" s="183">
        <v>0</v>
      </c>
      <c r="P25" s="183" t="s">
        <v>21</v>
      </c>
      <c r="Q25" s="183">
        <v>954886367.5</v>
      </c>
      <c r="R25" s="149"/>
      <c r="S25" s="189">
        <v>954886367.5</v>
      </c>
      <c r="U25" s="159"/>
    </row>
    <row r="26" spans="1:21">
      <c r="A26" s="93" t="s">
        <v>525</v>
      </c>
      <c r="B26" s="82"/>
      <c r="C26" s="82"/>
      <c r="D26" s="82"/>
      <c r="E26" s="82"/>
      <c r="F26" s="82"/>
      <c r="G26" s="52"/>
      <c r="H26" s="52"/>
      <c r="I26" s="52"/>
      <c r="J26" s="52"/>
      <c r="K26" s="49"/>
      <c r="L26" s="60"/>
      <c r="N26" s="182" t="s">
        <v>17</v>
      </c>
      <c r="O26" s="183">
        <v>0</v>
      </c>
      <c r="P26" s="183">
        <v>0</v>
      </c>
      <c r="Q26" s="183">
        <v>0</v>
      </c>
      <c r="R26" s="150"/>
      <c r="S26" s="189">
        <v>0</v>
      </c>
      <c r="U26" s="159">
        <f t="shared" si="3"/>
        <v>0</v>
      </c>
    </row>
    <row r="27" spans="1:21">
      <c r="A27" s="93" t="s">
        <v>526</v>
      </c>
      <c r="B27" s="82"/>
      <c r="C27" s="82"/>
      <c r="D27" s="82"/>
      <c r="E27" s="82"/>
      <c r="F27" s="82"/>
      <c r="G27" s="52"/>
      <c r="H27" s="52"/>
      <c r="I27" s="52"/>
      <c r="J27" s="52"/>
      <c r="K27" s="49"/>
      <c r="N27" s="182">
        <v>0</v>
      </c>
      <c r="O27" s="183">
        <v>0</v>
      </c>
      <c r="P27" s="183">
        <v>0</v>
      </c>
      <c r="Q27" s="183">
        <v>0</v>
      </c>
      <c r="R27" s="148"/>
      <c r="S27" s="189">
        <v>0</v>
      </c>
      <c r="T27" s="178"/>
      <c r="U27" s="159">
        <f t="shared" si="3"/>
        <v>0</v>
      </c>
    </row>
    <row r="28" spans="1:21" ht="12" customHeight="1">
      <c r="A28" s="90" t="s">
        <v>542</v>
      </c>
      <c r="B28" s="79" t="e">
        <f>(#REF!)</f>
        <v>#REF!</v>
      </c>
      <c r="C28" s="79" t="e">
        <f>ROUND((#REF!+#REF!+#REF!),2)</f>
        <v>#REF!</v>
      </c>
      <c r="D28" s="79" t="e">
        <f>(#REF!)</f>
        <v>#REF!</v>
      </c>
      <c r="E28" s="82"/>
      <c r="F28" s="87"/>
      <c r="G28" s="56"/>
      <c r="H28" s="56"/>
      <c r="I28" s="50"/>
      <c r="J28" s="56"/>
      <c r="K28" s="50"/>
      <c r="N28" s="182" t="s">
        <v>1</v>
      </c>
      <c r="O28" s="183">
        <v>0</v>
      </c>
      <c r="P28" s="183" t="s">
        <v>2</v>
      </c>
      <c r="Q28" s="183" t="s">
        <v>3</v>
      </c>
      <c r="R28" s="191" t="s">
        <v>12</v>
      </c>
      <c r="S28" s="190">
        <v>0</v>
      </c>
      <c r="T28" s="178"/>
      <c r="U28" s="159">
        <f t="shared" si="3"/>
        <v>0</v>
      </c>
    </row>
    <row r="29" spans="1:21" ht="12" customHeight="1">
      <c r="A29" s="89" t="s">
        <v>618</v>
      </c>
      <c r="B29" s="80" t="e">
        <f>B30-B28</f>
        <v>#REF!</v>
      </c>
      <c r="C29" s="80" t="e">
        <f>C30-C28</f>
        <v>#REF!</v>
      </c>
      <c r="D29" s="80" t="e">
        <f>D30-D28-D32</f>
        <v>#REF!</v>
      </c>
      <c r="E29" s="82"/>
      <c r="F29" s="81"/>
      <c r="G29" s="51"/>
      <c r="H29" s="51"/>
      <c r="I29" s="49"/>
      <c r="J29" s="51"/>
      <c r="K29" s="49"/>
      <c r="N29" s="182">
        <v>59844129</v>
      </c>
      <c r="O29" s="183">
        <v>223180991.20999998</v>
      </c>
      <c r="P29" s="183">
        <v>578222547.85000002</v>
      </c>
      <c r="Q29" s="183">
        <v>0</v>
      </c>
      <c r="R29" s="192" t="s">
        <v>13</v>
      </c>
      <c r="S29" s="190" t="e">
        <f>+#REF!+#REF!+#REF!+#REF!+#REF!</f>
        <v>#REF!</v>
      </c>
      <c r="T29" s="178" t="e">
        <f>SUM(B28:D28)</f>
        <v>#REF!</v>
      </c>
      <c r="U29" s="159" t="e">
        <f t="shared" si="3"/>
        <v>#REF!</v>
      </c>
    </row>
    <row r="30" spans="1:21" ht="15" customHeight="1">
      <c r="A30" s="90" t="s">
        <v>543</v>
      </c>
      <c r="B30" s="79" t="e">
        <f>(#REF!)</f>
        <v>#REF!</v>
      </c>
      <c r="C30" s="79" t="e">
        <f>#REF!+#REF!</f>
        <v>#REF!</v>
      </c>
      <c r="D30" s="79" t="e">
        <f>#REF!</f>
        <v>#REF!</v>
      </c>
      <c r="E30" s="82"/>
      <c r="F30" s="87"/>
      <c r="G30" s="56"/>
      <c r="H30" s="56"/>
      <c r="I30" s="50"/>
      <c r="J30" s="56"/>
      <c r="K30" s="50"/>
      <c r="N30" s="182">
        <v>0</v>
      </c>
      <c r="O30" s="183">
        <v>262000</v>
      </c>
      <c r="P30" s="183">
        <v>0</v>
      </c>
      <c r="Q30" s="183">
        <v>0</v>
      </c>
      <c r="R30" s="192" t="s">
        <v>14</v>
      </c>
      <c r="S30" s="189" t="e">
        <f>+#REF!</f>
        <v>#REF!</v>
      </c>
      <c r="T30" s="178" t="e">
        <f>SUM(C18:E18)</f>
        <v>#REF!</v>
      </c>
      <c r="U30" s="159" t="e">
        <f t="shared" si="3"/>
        <v>#REF!</v>
      </c>
    </row>
    <row r="31" spans="1:21" ht="12.75" customHeight="1">
      <c r="A31" s="89" t="s">
        <v>619</v>
      </c>
      <c r="B31" s="82"/>
      <c r="C31" s="82"/>
      <c r="D31" s="80">
        <v>0</v>
      </c>
      <c r="E31" s="82"/>
      <c r="F31" s="82"/>
      <c r="G31" s="52"/>
      <c r="H31" s="52"/>
      <c r="I31" s="52"/>
      <c r="J31" s="52"/>
      <c r="K31" s="52"/>
      <c r="L31" s="60" t="e">
        <f>SUM(B30:D30)</f>
        <v>#REF!</v>
      </c>
      <c r="N31" s="182">
        <v>0</v>
      </c>
      <c r="O31" s="183">
        <v>0</v>
      </c>
      <c r="P31" s="183">
        <v>0</v>
      </c>
      <c r="Q31" s="183">
        <v>6936280</v>
      </c>
      <c r="R31" s="192" t="s">
        <v>20</v>
      </c>
      <c r="S31" s="185" t="e">
        <f>+#REF!</f>
        <v>#REF!</v>
      </c>
      <c r="T31" s="146" t="e">
        <f>SUM(C19:E19)</f>
        <v>#REF!</v>
      </c>
      <c r="U31" s="159" t="e">
        <f t="shared" si="3"/>
        <v>#REF!</v>
      </c>
    </row>
    <row r="32" spans="1:21" ht="15" customHeight="1">
      <c r="A32" s="90" t="s">
        <v>544</v>
      </c>
      <c r="B32" s="205" t="e">
        <f>#REF!</f>
        <v>#REF!</v>
      </c>
      <c r="C32" s="205" t="e">
        <f>#REF!</f>
        <v>#REF!</v>
      </c>
      <c r="D32" s="205" t="e">
        <f>#REF!</f>
        <v>#REF!</v>
      </c>
      <c r="E32" s="82"/>
      <c r="F32" s="87"/>
      <c r="G32" s="56"/>
      <c r="H32" s="56"/>
      <c r="I32" s="50"/>
      <c r="J32" s="56"/>
      <c r="K32" s="50"/>
      <c r="L32" s="60" t="e">
        <f>C16</f>
        <v>#REF!</v>
      </c>
      <c r="N32" s="182">
        <v>0</v>
      </c>
      <c r="O32" s="183">
        <v>83797901</v>
      </c>
      <c r="P32" s="183">
        <v>0</v>
      </c>
      <c r="Q32" s="183">
        <v>27745141</v>
      </c>
      <c r="R32" s="192" t="s">
        <v>15</v>
      </c>
      <c r="S32" s="185" t="e">
        <f>+#REF!+#REF!+#REF!+#REF!</f>
        <v>#REF!</v>
      </c>
      <c r="T32" s="146" t="e">
        <f>SUM(C17:E17)</f>
        <v>#REF!</v>
      </c>
      <c r="U32" s="159" t="e">
        <f t="shared" si="3"/>
        <v>#REF!</v>
      </c>
    </row>
    <row r="33" spans="1:28" ht="22.5">
      <c r="A33" s="94" t="s">
        <v>545</v>
      </c>
      <c r="B33" s="55"/>
      <c r="C33" s="55"/>
      <c r="D33" s="55"/>
      <c r="E33" s="55"/>
      <c r="F33" s="55"/>
      <c r="G33" s="55"/>
      <c r="H33" s="55"/>
      <c r="I33" s="55"/>
      <c r="J33" s="55"/>
      <c r="K33" s="57" t="s">
        <v>662</v>
      </c>
      <c r="L33" s="60" t="e">
        <f>E16</f>
        <v>#REF!</v>
      </c>
      <c r="N33" s="182">
        <f>SUM(N29:N32)</f>
        <v>59844129</v>
      </c>
      <c r="O33" s="182">
        <f t="shared" ref="O33:Q33" si="5">SUM(O29:O32)</f>
        <v>307240892.20999998</v>
      </c>
      <c r="P33" s="182">
        <f t="shared" si="5"/>
        <v>578222547.85000002</v>
      </c>
      <c r="Q33" s="182">
        <f t="shared" si="5"/>
        <v>34681421</v>
      </c>
      <c r="R33" s="148"/>
      <c r="S33" s="185" t="e">
        <f>+#REF!</f>
        <v>#REF!</v>
      </c>
      <c r="T33" s="178" t="e">
        <f>SUM(T29:T32)</f>
        <v>#REF!</v>
      </c>
      <c r="U33" s="159" t="e">
        <f t="shared" si="3"/>
        <v>#REF!</v>
      </c>
    </row>
    <row r="34" spans="1:28" ht="22.5">
      <c r="A34" s="89" t="s">
        <v>620</v>
      </c>
      <c r="B34" s="49"/>
      <c r="C34" s="138"/>
      <c r="D34" s="138"/>
      <c r="E34" s="55"/>
      <c r="F34" s="55"/>
      <c r="G34" s="55"/>
      <c r="H34" s="55"/>
      <c r="I34" s="55"/>
      <c r="J34" s="55"/>
      <c r="K34" s="55"/>
      <c r="L34" s="60" t="e">
        <f>SUM(L31:L33)</f>
        <v>#REF!</v>
      </c>
      <c r="N34" s="182" t="s">
        <v>24</v>
      </c>
      <c r="O34" s="183">
        <v>0</v>
      </c>
      <c r="P34" s="183" t="s">
        <v>24</v>
      </c>
      <c r="Q34" s="183" t="s">
        <v>24</v>
      </c>
      <c r="R34" s="148"/>
      <c r="S34" s="185"/>
      <c r="T34" s="144"/>
      <c r="U34" s="159">
        <f t="shared" si="3"/>
        <v>0</v>
      </c>
    </row>
    <row r="35" spans="1:28">
      <c r="A35" s="372" t="s">
        <v>514</v>
      </c>
      <c r="B35" s="373"/>
      <c r="C35" s="373"/>
      <c r="D35" s="373"/>
      <c r="E35" s="373"/>
      <c r="F35" s="373"/>
      <c r="G35" s="373"/>
      <c r="H35" s="373"/>
      <c r="I35" s="373"/>
      <c r="J35" s="373"/>
      <c r="K35" s="374"/>
      <c r="N35" s="182">
        <v>0</v>
      </c>
      <c r="O35" s="183">
        <v>0</v>
      </c>
      <c r="P35" s="183" t="s">
        <v>21</v>
      </c>
      <c r="Q35" s="183">
        <f>+N33+O33+P33+Q33</f>
        <v>979988990.05999994</v>
      </c>
      <c r="R35" s="148"/>
      <c r="S35" s="190"/>
      <c r="T35" s="144">
        <f>SUM(D20:F20)</f>
        <v>0</v>
      </c>
    </row>
    <row r="36" spans="1:28" ht="25.5" customHeight="1">
      <c r="A36" s="89" t="s">
        <v>621</v>
      </c>
      <c r="B36" s="128" t="s">
        <v>660</v>
      </c>
      <c r="C36" s="128" t="s">
        <v>699</v>
      </c>
      <c r="D36" s="44"/>
      <c r="E36" s="44"/>
      <c r="F36" s="44"/>
      <c r="G36" s="44"/>
      <c r="H36" s="44"/>
      <c r="I36" s="44"/>
      <c r="J36" s="44"/>
      <c r="K36" s="44"/>
      <c r="L36" s="60" t="e">
        <f>L34-L6</f>
        <v>#REF!</v>
      </c>
      <c r="N36" s="182">
        <v>59844129</v>
      </c>
      <c r="O36" s="183">
        <v>307240892.21000004</v>
      </c>
      <c r="P36" s="183">
        <v>578222547.85000002</v>
      </c>
      <c r="Q36" s="183">
        <v>34681421</v>
      </c>
      <c r="R36" s="148"/>
      <c r="S36" s="190"/>
      <c r="T36" s="144">
        <f>SUM(D18:F18)</f>
        <v>0</v>
      </c>
    </row>
    <row r="37" spans="1:28" ht="25.5" customHeight="1" thickBot="1">
      <c r="A37" s="95" t="s">
        <v>622</v>
      </c>
      <c r="B37" s="211">
        <v>0</v>
      </c>
      <c r="C37" s="212">
        <v>0</v>
      </c>
      <c r="D37" s="44"/>
      <c r="E37" s="44"/>
      <c r="F37" s="44"/>
      <c r="G37" s="44"/>
      <c r="H37" s="44"/>
      <c r="I37" s="44"/>
      <c r="J37" s="44"/>
      <c r="K37" s="44"/>
      <c r="N37" s="193" t="e">
        <f>+#REF!</f>
        <v>#REF!</v>
      </c>
      <c r="O37" s="194" t="e">
        <f>+#REF!+#REF!+#REF!+#REF!+#REF!+#REF!</f>
        <v>#REF!</v>
      </c>
      <c r="P37" s="194" t="e">
        <f>+#REF!</f>
        <v>#REF!</v>
      </c>
      <c r="Q37" s="194" t="e">
        <f>+#REF!</f>
        <v>#REF!</v>
      </c>
      <c r="R37" s="195"/>
      <c r="S37" s="196"/>
    </row>
    <row r="38" spans="1:28" ht="25.5" customHeight="1">
      <c r="A38" s="96" t="s">
        <v>623</v>
      </c>
      <c r="B38" s="44"/>
      <c r="C38" s="44"/>
      <c r="D38" s="128" t="s">
        <v>699</v>
      </c>
      <c r="E38" s="44"/>
      <c r="F38" s="44"/>
      <c r="G38" s="44"/>
      <c r="H38" s="57" t="s">
        <v>663</v>
      </c>
      <c r="I38" s="57" t="s">
        <v>663</v>
      </c>
      <c r="J38" s="57" t="s">
        <v>660</v>
      </c>
      <c r="K38" s="57" t="s">
        <v>660</v>
      </c>
    </row>
    <row r="39" spans="1:28" ht="10.5" customHeight="1">
      <c r="A39" s="363" t="s">
        <v>515</v>
      </c>
      <c r="B39" s="364"/>
      <c r="C39" s="364"/>
      <c r="D39" s="364"/>
      <c r="E39" s="364"/>
      <c r="F39" s="364"/>
      <c r="G39" s="364"/>
      <c r="H39" s="364"/>
      <c r="I39" s="364"/>
      <c r="J39" s="364"/>
      <c r="K39" s="365"/>
      <c r="O39" s="151"/>
    </row>
    <row r="40" spans="1:28" ht="37.5" customHeight="1">
      <c r="A40" s="375" t="s">
        <v>693</v>
      </c>
      <c r="B40" s="376"/>
      <c r="C40" s="376"/>
      <c r="D40" s="376"/>
      <c r="E40" s="376"/>
      <c r="F40" s="376"/>
      <c r="G40" s="376"/>
      <c r="H40" s="376"/>
      <c r="I40" s="377"/>
      <c r="J40" s="38"/>
      <c r="K40" s="38"/>
      <c r="O40" s="202"/>
    </row>
    <row r="41" spans="1:28" ht="15">
      <c r="A41" s="213" t="s">
        <v>694</v>
      </c>
      <c r="B41" s="375" t="s">
        <v>695</v>
      </c>
      <c r="C41" s="376"/>
      <c r="D41" s="376"/>
      <c r="E41" s="376"/>
      <c r="F41" s="376"/>
      <c r="G41" s="376"/>
      <c r="H41" s="376"/>
      <c r="I41" s="377"/>
      <c r="J41" s="214"/>
      <c r="K41" s="214"/>
      <c r="O41" s="151"/>
      <c r="W41" s="53"/>
      <c r="X41" s="53"/>
      <c r="Y41" s="53"/>
      <c r="Z41" s="53"/>
      <c r="AA41" s="53"/>
      <c r="AB41" s="53"/>
    </row>
    <row r="42" spans="1:28" ht="15">
      <c r="A42" s="213" t="s">
        <v>696</v>
      </c>
      <c r="B42" s="375" t="s">
        <v>697</v>
      </c>
      <c r="C42" s="376"/>
      <c r="D42" s="376"/>
      <c r="E42" s="376"/>
      <c r="F42" s="376"/>
      <c r="G42" s="376"/>
      <c r="H42" s="376"/>
      <c r="I42" s="377"/>
      <c r="J42" s="215"/>
      <c r="K42" s="215"/>
      <c r="O42" s="202"/>
      <c r="W42" s="53"/>
      <c r="X42" s="53"/>
      <c r="Y42" s="53"/>
      <c r="Z42" s="53"/>
      <c r="AA42" s="53"/>
      <c r="AB42" s="53"/>
    </row>
    <row r="43" spans="1:28" ht="47.25" customHeight="1">
      <c r="A43" s="213" t="s">
        <v>698</v>
      </c>
      <c r="B43" s="357" t="s">
        <v>631</v>
      </c>
      <c r="C43" s="358"/>
      <c r="D43" s="358"/>
      <c r="E43" s="358"/>
      <c r="F43" s="358"/>
      <c r="G43" s="358"/>
      <c r="H43" s="358"/>
      <c r="I43" s="358"/>
      <c r="J43" s="358"/>
      <c r="K43" s="359"/>
      <c r="W43" s="53"/>
      <c r="X43" s="53"/>
      <c r="Y43" s="53"/>
      <c r="Z43" s="53"/>
      <c r="AA43" s="53"/>
      <c r="AB43" s="53"/>
    </row>
    <row r="44" spans="1:28">
      <c r="D44" s="61"/>
      <c r="E44" s="61"/>
    </row>
    <row r="45" spans="1:28" ht="15.75">
      <c r="A45" s="199" t="s">
        <v>681</v>
      </c>
      <c r="D45" s="61"/>
      <c r="E45" s="61"/>
    </row>
    <row r="46" spans="1:28" ht="15.75">
      <c r="A46" s="130" t="s">
        <v>659</v>
      </c>
      <c r="D46" s="61"/>
      <c r="E46" s="61"/>
    </row>
    <row r="47" spans="1:28">
      <c r="D47" s="61" t="e">
        <f>D28+D29+D32-D30</f>
        <v>#REF!</v>
      </c>
      <c r="E47" s="61"/>
    </row>
    <row r="48" spans="1:28" ht="15.75">
      <c r="W48" s="131"/>
      <c r="X48" s="131"/>
      <c r="Y48" s="131"/>
      <c r="Z48" s="131"/>
      <c r="AA48" s="131"/>
      <c r="AB48" s="131"/>
    </row>
    <row r="49" spans="23:28" ht="15.75">
      <c r="W49" s="131"/>
      <c r="X49" s="131"/>
      <c r="Y49" s="131"/>
      <c r="Z49" s="131"/>
      <c r="AA49" s="131"/>
      <c r="AB49" s="131"/>
    </row>
  </sheetData>
  <mergeCells count="13">
    <mergeCell ref="B43:K43"/>
    <mergeCell ref="A4:H4"/>
    <mergeCell ref="A35:K35"/>
    <mergeCell ref="A39:K39"/>
    <mergeCell ref="A40:I40"/>
    <mergeCell ref="B41:I41"/>
    <mergeCell ref="B42:I42"/>
    <mergeCell ref="A1:K1"/>
    <mergeCell ref="B2:C2"/>
    <mergeCell ref="D2:F2"/>
    <mergeCell ref="G2:K2"/>
    <mergeCell ref="B3:F3"/>
    <mergeCell ref="G3:K3"/>
  </mergeCells>
  <conditionalFormatting sqref="R6:R11 R13:R16 R23:R32">
    <cfRule type="cellIs" dxfId="5" priority="2" stopIfTrue="1" operator="lessThan">
      <formula>0</formula>
    </cfRule>
  </conditionalFormatting>
  <pageMargins left="0.25" right="0.25" top="0.75" bottom="0.75" header="0.3" footer="0.3"/>
  <pageSetup scale="31"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C8426-011D-48AF-9ECC-D1B4EA92C13A}">
  <sheetPr>
    <pageSetUpPr fitToPage="1"/>
  </sheetPr>
  <dimension ref="A1:J43"/>
  <sheetViews>
    <sheetView topLeftCell="A22" zoomScaleNormal="100" workbookViewId="0">
      <selection activeCell="C11" sqref="C11"/>
    </sheetView>
  </sheetViews>
  <sheetFormatPr defaultColWidth="9.140625" defaultRowHeight="12.75"/>
  <cols>
    <col min="1" max="1" width="55.7109375" style="312" customWidth="1"/>
    <col min="2" max="2" width="21.42578125" style="312" customWidth="1"/>
    <col min="3" max="3" width="22.42578125" style="312" customWidth="1"/>
    <col min="4" max="4" width="20.42578125" style="312" bestFit="1" customWidth="1"/>
    <col min="5" max="5" width="15.85546875" style="312" bestFit="1" customWidth="1"/>
    <col min="6" max="6" width="20.7109375" style="312" bestFit="1" customWidth="1"/>
    <col min="7" max="7" width="22.42578125" style="312" bestFit="1" customWidth="1"/>
    <col min="8" max="10" width="17.85546875" style="312" bestFit="1" customWidth="1"/>
    <col min="11" max="16384" width="9.140625" style="312"/>
  </cols>
  <sheetData>
    <row r="1" spans="1:10" s="256" customFormat="1" ht="23.25">
      <c r="A1" s="249" t="s">
        <v>18</v>
      </c>
      <c r="B1" s="250"/>
      <c r="C1" s="251"/>
      <c r="D1" s="252"/>
      <c r="E1" s="252"/>
      <c r="F1" s="252"/>
      <c r="G1" s="253"/>
      <c r="H1" s="254"/>
      <c r="I1" s="254"/>
      <c r="J1" s="255"/>
    </row>
    <row r="2" spans="1:10" s="256" customFormat="1" ht="45">
      <c r="A2" s="257" t="s">
        <v>759</v>
      </c>
      <c r="B2" s="258" t="s">
        <v>712</v>
      </c>
      <c r="C2" s="259">
        <v>2023</v>
      </c>
      <c r="D2" s="260" t="s">
        <v>765</v>
      </c>
      <c r="E2" s="261"/>
      <c r="F2" s="262"/>
      <c r="G2" s="263" t="s">
        <v>713</v>
      </c>
      <c r="H2" s="264">
        <v>45565</v>
      </c>
      <c r="I2" s="264"/>
      <c r="J2" s="265"/>
    </row>
    <row r="3" spans="1:10" s="256" customFormat="1" ht="30">
      <c r="A3" s="266"/>
      <c r="B3" s="267" t="s">
        <v>714</v>
      </c>
      <c r="C3" s="268" t="s">
        <v>764</v>
      </c>
      <c r="D3" s="346"/>
      <c r="E3" s="346"/>
      <c r="F3" s="269"/>
      <c r="G3" s="263" t="s">
        <v>715</v>
      </c>
      <c r="H3" s="264">
        <v>45658</v>
      </c>
      <c r="I3" s="264"/>
      <c r="J3" s="270"/>
    </row>
    <row r="4" spans="1:10" s="256" customFormat="1" ht="21">
      <c r="A4" s="271" t="s">
        <v>716</v>
      </c>
      <c r="B4" s="272"/>
      <c r="C4" s="273"/>
      <c r="D4" s="272"/>
      <c r="E4" s="272"/>
      <c r="F4" s="272"/>
      <c r="G4" s="272"/>
      <c r="H4" s="274"/>
      <c r="I4" s="274"/>
      <c r="J4" s="275"/>
    </row>
    <row r="5" spans="1:10" s="256" customFormat="1" ht="115.5" customHeight="1">
      <c r="A5" s="276"/>
      <c r="B5" s="277" t="s">
        <v>717</v>
      </c>
      <c r="C5" s="277" t="s">
        <v>775</v>
      </c>
      <c r="D5" s="277" t="s">
        <v>718</v>
      </c>
      <c r="E5" s="277" t="s">
        <v>719</v>
      </c>
      <c r="F5" s="278" t="s">
        <v>720</v>
      </c>
      <c r="G5" s="277" t="s">
        <v>721</v>
      </c>
      <c r="H5" s="277" t="s">
        <v>722</v>
      </c>
      <c r="I5" s="277" t="s">
        <v>723</v>
      </c>
      <c r="J5" s="279" t="s">
        <v>724</v>
      </c>
    </row>
    <row r="6" spans="1:10" s="256" customFormat="1">
      <c r="A6" s="280" t="s">
        <v>530</v>
      </c>
      <c r="B6" s="281">
        <v>59844129</v>
      </c>
      <c r="C6" s="281">
        <v>340187718.72894335</v>
      </c>
      <c r="D6" s="281">
        <v>218901920.49000001</v>
      </c>
      <c r="E6" s="281">
        <v>34681421</v>
      </c>
      <c r="F6" s="281"/>
      <c r="G6" s="281"/>
      <c r="H6" s="281">
        <v>0</v>
      </c>
      <c r="I6" s="281">
        <v>0</v>
      </c>
      <c r="J6" s="281">
        <v>0</v>
      </c>
    </row>
    <row r="7" spans="1:10" s="256" customFormat="1">
      <c r="A7" s="283" t="s">
        <v>725</v>
      </c>
      <c r="B7" s="80">
        <v>1168437.48</v>
      </c>
      <c r="C7" s="80">
        <v>3179200.6900000004</v>
      </c>
      <c r="D7" s="80">
        <v>22502762.460000001</v>
      </c>
      <c r="E7" s="80">
        <v>535392.77</v>
      </c>
      <c r="F7" s="81"/>
      <c r="G7" s="284"/>
      <c r="H7" s="49"/>
      <c r="I7" s="49"/>
      <c r="J7" s="285"/>
    </row>
    <row r="8" spans="1:10" s="256" customFormat="1" ht="25.5">
      <c r="A8" s="283" t="s">
        <v>726</v>
      </c>
      <c r="B8" s="83"/>
      <c r="C8" s="80">
        <v>25945358.092500001</v>
      </c>
      <c r="D8" s="80">
        <v>80826605</v>
      </c>
      <c r="E8" s="345">
        <v>0</v>
      </c>
      <c r="F8" s="84"/>
      <c r="G8" s="284"/>
      <c r="H8" s="49"/>
      <c r="I8" s="49"/>
      <c r="J8" s="285"/>
    </row>
    <row r="9" spans="1:10" s="256" customFormat="1">
      <c r="A9" s="283" t="s">
        <v>727</v>
      </c>
      <c r="B9" s="80">
        <v>0</v>
      </c>
      <c r="C9" s="80">
        <v>6041264.6275000013</v>
      </c>
      <c r="D9" s="80">
        <v>15259640.130000001</v>
      </c>
      <c r="E9" s="80">
        <v>0</v>
      </c>
      <c r="F9" s="81"/>
      <c r="G9" s="284"/>
      <c r="H9" s="49"/>
      <c r="I9" s="49"/>
      <c r="J9" s="285"/>
    </row>
    <row r="10" spans="1:10" s="256" customFormat="1">
      <c r="A10" s="283" t="s">
        <v>728</v>
      </c>
      <c r="B10" s="80">
        <v>53899053.450000003</v>
      </c>
      <c r="C10" s="80">
        <v>290289927.28894335</v>
      </c>
      <c r="D10" s="80">
        <v>71179416.040000007</v>
      </c>
      <c r="E10" s="80">
        <v>31924018.649999999</v>
      </c>
      <c r="F10" s="81"/>
      <c r="G10" s="284"/>
      <c r="H10" s="49"/>
      <c r="I10" s="49"/>
      <c r="J10" s="285"/>
    </row>
    <row r="11" spans="1:10" s="256" customFormat="1">
      <c r="A11" s="280" t="s">
        <v>729</v>
      </c>
      <c r="B11" s="281">
        <v>4776638.07</v>
      </c>
      <c r="C11" s="281">
        <v>14731968.029999999</v>
      </c>
      <c r="D11" s="281">
        <v>29133496.859999999</v>
      </c>
      <c r="E11" s="281">
        <v>2222009.58</v>
      </c>
      <c r="F11" s="281"/>
      <c r="G11" s="281"/>
      <c r="H11" s="281">
        <v>0</v>
      </c>
      <c r="I11" s="281">
        <v>0</v>
      </c>
      <c r="J11" s="286"/>
    </row>
    <row r="12" spans="1:10" s="256" customFormat="1">
      <c r="A12" s="283" t="s">
        <v>730</v>
      </c>
      <c r="B12" s="80">
        <v>281835.19</v>
      </c>
      <c r="C12" s="80">
        <v>767108.06</v>
      </c>
      <c r="D12" s="80">
        <v>9241269.5600000005</v>
      </c>
      <c r="E12" s="80">
        <v>131848.75</v>
      </c>
      <c r="F12" s="284"/>
      <c r="G12" s="284"/>
      <c r="H12" s="80"/>
      <c r="I12" s="80"/>
      <c r="J12" s="285"/>
    </row>
    <row r="13" spans="1:10" s="256" customFormat="1">
      <c r="A13" s="283" t="s">
        <v>731</v>
      </c>
      <c r="B13" s="80">
        <v>4494802.88</v>
      </c>
      <c r="C13" s="80">
        <v>13964859.969999999</v>
      </c>
      <c r="D13" s="80">
        <v>19741040.800000001</v>
      </c>
      <c r="E13" s="80">
        <v>2090160.83</v>
      </c>
      <c r="F13" s="284"/>
      <c r="G13" s="284"/>
      <c r="H13" s="80"/>
      <c r="I13" s="80"/>
      <c r="J13" s="285"/>
    </row>
    <row r="14" spans="1:10" s="256" customFormat="1">
      <c r="A14" s="283" t="s">
        <v>732</v>
      </c>
      <c r="B14" s="80">
        <v>0</v>
      </c>
      <c r="C14" s="80">
        <v>0</v>
      </c>
      <c r="D14" s="80">
        <v>151186.5</v>
      </c>
      <c r="E14" s="203">
        <v>0</v>
      </c>
      <c r="F14" s="284"/>
      <c r="G14" s="284"/>
      <c r="H14" s="80"/>
      <c r="I14" s="80"/>
      <c r="J14" s="285"/>
    </row>
    <row r="15" spans="1:10" s="256" customFormat="1">
      <c r="A15" s="283" t="s">
        <v>733</v>
      </c>
      <c r="B15" s="287"/>
      <c r="C15" s="287"/>
      <c r="D15" s="287"/>
      <c r="E15" s="287"/>
      <c r="F15" s="287"/>
      <c r="G15" s="287"/>
      <c r="H15" s="287"/>
      <c r="I15" s="287"/>
      <c r="J15" s="285"/>
    </row>
    <row r="16" spans="1:10" s="256" customFormat="1">
      <c r="A16" s="283" t="s">
        <v>536</v>
      </c>
      <c r="B16" s="287"/>
      <c r="C16" s="281">
        <v>118045138.39894333</v>
      </c>
      <c r="D16" s="287"/>
      <c r="E16" s="281">
        <v>34681421</v>
      </c>
      <c r="F16" s="287"/>
      <c r="G16" s="287"/>
      <c r="H16" s="287"/>
      <c r="I16" s="287"/>
      <c r="J16" s="285"/>
    </row>
    <row r="17" spans="1:10" s="256" customFormat="1">
      <c r="A17" s="283" t="s">
        <v>734</v>
      </c>
      <c r="B17" s="287"/>
      <c r="C17" s="200">
        <v>87166842.789999992</v>
      </c>
      <c r="D17" s="287"/>
      <c r="E17" s="80">
        <v>27745141</v>
      </c>
      <c r="F17" s="287"/>
      <c r="G17" s="287"/>
      <c r="H17" s="287"/>
      <c r="I17" s="287"/>
      <c r="J17" s="285"/>
    </row>
    <row r="18" spans="1:10" s="256" customFormat="1">
      <c r="A18" s="283" t="s">
        <v>735</v>
      </c>
      <c r="B18" s="287"/>
      <c r="C18" s="200">
        <v>275000</v>
      </c>
      <c r="D18" s="287"/>
      <c r="E18" s="80">
        <v>0</v>
      </c>
      <c r="F18" s="287"/>
      <c r="G18" s="287"/>
      <c r="H18" s="287"/>
      <c r="I18" s="287"/>
      <c r="J18" s="285"/>
    </row>
    <row r="19" spans="1:10" s="256" customFormat="1">
      <c r="A19" s="283" t="s">
        <v>736</v>
      </c>
      <c r="B19" s="287"/>
      <c r="C19" s="200">
        <v>30603295.608943336</v>
      </c>
      <c r="D19" s="287"/>
      <c r="E19" s="80">
        <v>6936280</v>
      </c>
      <c r="F19" s="287"/>
      <c r="G19" s="287"/>
      <c r="H19" s="287"/>
      <c r="I19" s="287"/>
      <c r="J19" s="285"/>
    </row>
    <row r="20" spans="1:10" s="256" customFormat="1">
      <c r="A20" s="288" t="s">
        <v>540</v>
      </c>
      <c r="B20" s="287"/>
      <c r="C20" s="287"/>
      <c r="D20" s="287"/>
      <c r="E20" s="287"/>
      <c r="F20" s="287"/>
      <c r="G20" s="287"/>
      <c r="H20" s="287"/>
      <c r="I20" s="287"/>
      <c r="J20" s="80"/>
    </row>
    <row r="21" spans="1:10" s="256" customFormat="1">
      <c r="A21" s="288" t="s">
        <v>541</v>
      </c>
      <c r="B21" s="287"/>
      <c r="C21" s="287"/>
      <c r="D21" s="287"/>
      <c r="E21" s="287"/>
      <c r="F21" s="287"/>
      <c r="G21" s="287"/>
      <c r="H21" s="287"/>
      <c r="I21" s="287"/>
      <c r="J21" s="289"/>
    </row>
    <row r="22" spans="1:10" s="256" customFormat="1">
      <c r="A22" s="288" t="s">
        <v>737</v>
      </c>
      <c r="B22" s="287"/>
      <c r="C22" s="287"/>
      <c r="D22" s="287"/>
      <c r="E22" s="287"/>
      <c r="F22" s="287"/>
      <c r="G22" s="287"/>
      <c r="H22" s="287"/>
      <c r="I22" s="287"/>
      <c r="J22" s="289"/>
    </row>
    <row r="23" spans="1:10" s="256" customFormat="1">
      <c r="A23" s="288" t="s">
        <v>738</v>
      </c>
      <c r="B23" s="287"/>
      <c r="C23" s="287"/>
      <c r="D23" s="287"/>
      <c r="E23" s="287"/>
      <c r="F23" s="287"/>
      <c r="G23" s="287"/>
      <c r="H23" s="287"/>
      <c r="I23" s="287"/>
      <c r="J23" s="289"/>
    </row>
    <row r="24" spans="1:10" s="256" customFormat="1">
      <c r="A24" s="288" t="s">
        <v>739</v>
      </c>
      <c r="B24" s="287"/>
      <c r="C24" s="287"/>
      <c r="D24" s="287"/>
      <c r="E24" s="287"/>
      <c r="F24" s="287"/>
      <c r="G24" s="287"/>
      <c r="H24" s="287"/>
      <c r="I24" s="287"/>
      <c r="J24" s="289"/>
    </row>
    <row r="25" spans="1:10" s="256" customFormat="1">
      <c r="A25" s="288" t="s">
        <v>740</v>
      </c>
      <c r="B25" s="287"/>
      <c r="C25" s="287"/>
      <c r="D25" s="287"/>
      <c r="E25" s="287"/>
      <c r="F25" s="287"/>
      <c r="G25" s="287"/>
      <c r="H25" s="287"/>
      <c r="I25" s="287"/>
      <c r="J25" s="289"/>
    </row>
    <row r="26" spans="1:10" s="256" customFormat="1">
      <c r="A26" s="288" t="s">
        <v>741</v>
      </c>
      <c r="B26" s="287"/>
      <c r="C26" s="287"/>
      <c r="D26" s="287"/>
      <c r="E26" s="287"/>
      <c r="F26" s="287"/>
      <c r="G26" s="287"/>
      <c r="H26" s="287"/>
      <c r="I26" s="287"/>
      <c r="J26" s="289"/>
    </row>
    <row r="27" spans="1:10" s="256" customFormat="1">
      <c r="A27" s="288" t="s">
        <v>742</v>
      </c>
      <c r="B27" s="287"/>
      <c r="C27" s="287"/>
      <c r="D27" s="287"/>
      <c r="E27" s="287"/>
      <c r="F27" s="287"/>
      <c r="G27" s="287"/>
      <c r="H27" s="287"/>
      <c r="I27" s="287"/>
      <c r="J27" s="289"/>
    </row>
    <row r="28" spans="1:10" s="256" customFormat="1">
      <c r="A28" s="280" t="s">
        <v>542</v>
      </c>
      <c r="B28" s="79">
        <v>59844129</v>
      </c>
      <c r="C28" s="79">
        <v>222142580.33000001</v>
      </c>
      <c r="D28" s="79">
        <v>218901920.49000001</v>
      </c>
      <c r="E28" s="287"/>
      <c r="F28" s="281"/>
      <c r="G28" s="281"/>
      <c r="H28" s="281"/>
      <c r="I28" s="281"/>
      <c r="J28" s="282"/>
    </row>
    <row r="29" spans="1:10" s="256" customFormat="1">
      <c r="A29" s="290" t="s">
        <v>743</v>
      </c>
      <c r="B29" s="284"/>
      <c r="C29" s="284"/>
      <c r="D29" s="330">
        <v>650148312.50999999</v>
      </c>
      <c r="E29" s="287"/>
      <c r="F29" s="284"/>
      <c r="G29" s="284"/>
      <c r="H29" s="284"/>
      <c r="I29" s="284"/>
      <c r="J29" s="291"/>
    </row>
    <row r="30" spans="1:10" s="256" customFormat="1">
      <c r="A30" s="292" t="s">
        <v>543</v>
      </c>
      <c r="B30" s="79">
        <v>59844129</v>
      </c>
      <c r="C30" s="79">
        <v>222142580.33000001</v>
      </c>
      <c r="D30" s="79">
        <v>869050233</v>
      </c>
      <c r="E30" s="287"/>
      <c r="F30" s="281"/>
      <c r="G30" s="281"/>
      <c r="H30" s="327"/>
      <c r="I30" s="327"/>
      <c r="J30" s="327"/>
    </row>
    <row r="31" spans="1:10" s="256" customFormat="1">
      <c r="A31" s="290" t="s">
        <v>744</v>
      </c>
      <c r="B31" s="287"/>
      <c r="C31" s="287"/>
      <c r="D31" s="284"/>
      <c r="E31" s="287"/>
      <c r="F31" s="287"/>
      <c r="G31" s="287"/>
      <c r="H31" s="287"/>
      <c r="I31" s="287"/>
      <c r="J31" s="285"/>
    </row>
    <row r="32" spans="1:10" s="256" customFormat="1">
      <c r="A32" s="292" t="s">
        <v>544</v>
      </c>
      <c r="B32" s="281"/>
      <c r="C32" s="281"/>
      <c r="D32" s="281"/>
      <c r="E32" s="287"/>
      <c r="F32" s="281"/>
      <c r="G32" s="281"/>
      <c r="H32" s="79"/>
      <c r="I32" s="79"/>
      <c r="J32" s="79"/>
    </row>
    <row r="33" spans="1:10" s="256" customFormat="1" ht="25.5">
      <c r="A33" s="290" t="s">
        <v>745</v>
      </c>
      <c r="B33" s="284"/>
      <c r="C33" s="284"/>
      <c r="D33" s="284"/>
      <c r="E33" s="287"/>
      <c r="F33" s="287"/>
      <c r="G33" s="287"/>
      <c r="H33" s="287"/>
      <c r="I33" s="287"/>
      <c r="J33" s="285"/>
    </row>
    <row r="34" spans="1:10" s="256" customFormat="1">
      <c r="A34" s="293" t="s">
        <v>746</v>
      </c>
      <c r="B34" s="294"/>
      <c r="C34" s="294"/>
      <c r="D34" s="295"/>
      <c r="E34" s="295"/>
      <c r="F34" s="295"/>
      <c r="G34" s="295"/>
      <c r="H34" s="295"/>
      <c r="I34" s="295"/>
      <c r="J34" s="296"/>
    </row>
    <row r="35" spans="1:10" s="256" customFormat="1" ht="38.25">
      <c r="A35" s="290" t="s">
        <v>747</v>
      </c>
      <c r="B35" s="297" t="s">
        <v>770</v>
      </c>
      <c r="C35" s="298" t="s">
        <v>770</v>
      </c>
      <c r="D35" s="287"/>
      <c r="E35" s="287"/>
      <c r="F35" s="287"/>
      <c r="G35" s="299"/>
      <c r="H35" s="299"/>
      <c r="I35" s="299"/>
      <c r="J35" s="300"/>
    </row>
    <row r="36" spans="1:10" s="256" customFormat="1" ht="25.5">
      <c r="A36" s="290" t="s">
        <v>748</v>
      </c>
      <c r="B36" s="301">
        <v>0</v>
      </c>
      <c r="C36" s="302">
        <v>0</v>
      </c>
      <c r="D36" s="287"/>
      <c r="E36" s="287"/>
      <c r="F36" s="287"/>
      <c r="G36" s="303"/>
      <c r="H36" s="303"/>
      <c r="I36" s="303"/>
      <c r="J36" s="304"/>
    </row>
    <row r="37" spans="1:10" s="256" customFormat="1" ht="25.5">
      <c r="A37" s="290" t="s">
        <v>749</v>
      </c>
      <c r="B37" s="287"/>
      <c r="C37" s="287"/>
      <c r="D37" s="305" t="s">
        <v>660</v>
      </c>
      <c r="E37" s="287"/>
      <c r="F37" s="287"/>
      <c r="G37" s="306"/>
      <c r="H37" s="306"/>
      <c r="I37" s="306"/>
      <c r="J37" s="307"/>
    </row>
    <row r="38" spans="1:10" ht="21">
      <c r="A38" s="308" t="s">
        <v>750</v>
      </c>
      <c r="B38" s="309"/>
      <c r="C38" s="310"/>
      <c r="D38" s="309"/>
      <c r="E38" s="309"/>
      <c r="F38" s="309"/>
      <c r="G38" s="309"/>
      <c r="H38" s="309"/>
      <c r="I38" s="309"/>
      <c r="J38" s="311"/>
    </row>
    <row r="39" spans="1:10">
      <c r="A39" s="313" t="s">
        <v>751</v>
      </c>
      <c r="B39" s="314"/>
      <c r="C39" s="314"/>
      <c r="D39" s="314"/>
      <c r="E39" s="314"/>
      <c r="F39" s="314"/>
      <c r="G39" s="315"/>
      <c r="H39" s="315"/>
      <c r="I39" s="315"/>
      <c r="J39" s="316"/>
    </row>
    <row r="40" spans="1:10" s="256" customFormat="1">
      <c r="A40" s="317" t="s">
        <v>752</v>
      </c>
      <c r="B40" s="318"/>
      <c r="C40" s="318"/>
      <c r="D40" s="318"/>
      <c r="E40" s="318"/>
      <c r="F40" s="318"/>
      <c r="G40" s="319"/>
      <c r="H40" s="319"/>
      <c r="I40" s="319"/>
      <c r="J40" s="320"/>
    </row>
    <row r="41" spans="1:10" s="256" customFormat="1" ht="25.5">
      <c r="A41" s="321" t="s">
        <v>753</v>
      </c>
      <c r="B41" s="322" t="s">
        <v>754</v>
      </c>
      <c r="C41" s="323"/>
      <c r="D41" s="323"/>
      <c r="E41" s="323"/>
      <c r="F41" s="323"/>
      <c r="G41" s="323"/>
      <c r="H41" s="323"/>
      <c r="I41" s="323"/>
      <c r="J41" s="324"/>
    </row>
    <row r="42" spans="1:10" ht="25.5">
      <c r="A42" s="321" t="s">
        <v>755</v>
      </c>
      <c r="B42" s="325" t="s">
        <v>756</v>
      </c>
      <c r="C42" s="323"/>
      <c r="D42" s="323"/>
      <c r="E42" s="323"/>
      <c r="F42" s="323"/>
      <c r="G42" s="323"/>
      <c r="H42" s="323"/>
      <c r="I42" s="323"/>
      <c r="J42" s="324"/>
    </row>
    <row r="43" spans="1:10" ht="47.25" customHeight="1" thickBot="1">
      <c r="A43" s="326" t="s">
        <v>757</v>
      </c>
      <c r="B43" s="347" t="s">
        <v>631</v>
      </c>
      <c r="C43" s="348"/>
      <c r="D43" s="348"/>
      <c r="E43" s="348"/>
      <c r="F43" s="348"/>
      <c r="G43" s="348"/>
      <c r="H43" s="348"/>
      <c r="I43" s="348"/>
      <c r="J43" s="349"/>
    </row>
  </sheetData>
  <mergeCells count="2">
    <mergeCell ref="D3:E3"/>
    <mergeCell ref="B43:J43"/>
  </mergeCells>
  <pageMargins left="0.7" right="0.7" top="0.75" bottom="0.75" header="0.3" footer="0.3"/>
  <pageSetup scale="46"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B031C-2592-4C62-A3CB-5CDDCFA5ECB6}">
  <dimension ref="A1:AC54"/>
  <sheetViews>
    <sheetView view="pageBreakPreview" topLeftCell="A17" zoomScaleNormal="130" zoomScaleSheetLayoutView="100" workbookViewId="0">
      <selection activeCell="B45" sqref="B45"/>
    </sheetView>
  </sheetViews>
  <sheetFormatPr defaultColWidth="9.140625" defaultRowHeight="12.75" outlineLevelCol="1"/>
  <cols>
    <col min="1" max="1" width="48.85546875" style="53" customWidth="1"/>
    <col min="2" max="2" width="18.5703125" style="37" customWidth="1"/>
    <col min="3" max="3" width="21.5703125" style="37" customWidth="1"/>
    <col min="4" max="8" width="18.5703125" style="37" customWidth="1"/>
    <col min="9" max="10" width="13.7109375" style="37" hidden="1" customWidth="1"/>
    <col min="11" max="11" width="15.140625" style="37" hidden="1" customWidth="1"/>
    <col min="12" max="12" width="17.85546875" style="37" customWidth="1"/>
    <col min="13" max="13" width="9.140625" style="37"/>
    <col min="14" max="16" width="15.5703125" style="83" customWidth="1" outlineLevel="1"/>
    <col min="17" max="17" width="17.140625" style="83" customWidth="1" outlineLevel="1"/>
    <col min="18" max="18" width="17.28515625" style="53" customWidth="1" outlineLevel="1"/>
    <col min="19" max="19" width="19.5703125" style="83" customWidth="1" outlineLevel="1"/>
    <col min="20" max="20" width="17.140625" style="83" customWidth="1" outlineLevel="1"/>
    <col min="21" max="21" width="15.5703125" style="83" customWidth="1" outlineLevel="1"/>
    <col min="22" max="23" width="9.140625" style="37"/>
    <col min="24" max="24" width="13.7109375" style="37" bestFit="1" customWidth="1"/>
    <col min="25" max="25" width="6.7109375" style="37" bestFit="1" customWidth="1"/>
    <col min="26" max="26" width="13.7109375" style="37" bestFit="1" customWidth="1"/>
    <col min="27" max="27" width="6.7109375" style="37" bestFit="1" customWidth="1"/>
    <col min="28" max="28" width="13.7109375" style="37" bestFit="1" customWidth="1"/>
    <col min="29" max="29" width="6.7109375" style="37" bestFit="1" customWidth="1"/>
    <col min="30" max="16384" width="9.140625" style="37"/>
  </cols>
  <sheetData>
    <row r="1" spans="1:29" ht="15" customHeight="1">
      <c r="A1" s="350" t="s">
        <v>511</v>
      </c>
      <c r="B1" s="351"/>
      <c r="C1" s="351"/>
      <c r="D1" s="351"/>
      <c r="E1" s="351"/>
      <c r="F1" s="351"/>
      <c r="G1" s="351"/>
      <c r="H1" s="351"/>
      <c r="I1" s="351"/>
      <c r="J1" s="351"/>
      <c r="K1" s="352"/>
    </row>
    <row r="2" spans="1:29" ht="24" customHeight="1">
      <c r="A2" s="100" t="s">
        <v>638</v>
      </c>
      <c r="B2" s="378" t="s">
        <v>665</v>
      </c>
      <c r="C2" s="377"/>
      <c r="D2" s="378" t="s">
        <v>664</v>
      </c>
      <c r="E2" s="377"/>
      <c r="F2" s="139"/>
      <c r="G2" s="357" t="s">
        <v>706</v>
      </c>
      <c r="H2" s="358"/>
      <c r="I2" s="358"/>
      <c r="J2" s="358"/>
      <c r="K2" s="359"/>
    </row>
    <row r="3" spans="1:29" ht="15" customHeight="1">
      <c r="A3" s="98"/>
      <c r="B3" s="379" t="s">
        <v>666</v>
      </c>
      <c r="C3" s="376"/>
      <c r="D3" s="376"/>
      <c r="E3" s="376"/>
      <c r="F3" s="377"/>
      <c r="G3" s="357" t="s">
        <v>707</v>
      </c>
      <c r="H3" s="358"/>
      <c r="I3" s="358"/>
      <c r="J3" s="358"/>
      <c r="K3" s="359"/>
    </row>
    <row r="4" spans="1:29" ht="9.9499999999999993" customHeight="1" thickBot="1">
      <c r="A4" s="363" t="s">
        <v>512</v>
      </c>
      <c r="B4" s="364"/>
      <c r="C4" s="364"/>
      <c r="D4" s="364"/>
      <c r="E4" s="364"/>
      <c r="F4" s="364"/>
      <c r="G4" s="364"/>
      <c r="H4" s="365"/>
      <c r="I4" s="39"/>
      <c r="J4" s="39"/>
      <c r="K4" s="39"/>
    </row>
    <row r="5" spans="1:29" ht="75.75" customHeight="1">
      <c r="A5" s="101"/>
      <c r="B5" s="140" t="s">
        <v>520</v>
      </c>
      <c r="C5" s="140" t="s">
        <v>760</v>
      </c>
      <c r="D5" s="140" t="s">
        <v>632</v>
      </c>
      <c r="E5" s="140" t="s">
        <v>672</v>
      </c>
      <c r="F5" s="140" t="s">
        <v>673</v>
      </c>
      <c r="G5" s="140" t="s">
        <v>633</v>
      </c>
      <c r="H5" s="140" t="s">
        <v>634</v>
      </c>
      <c r="I5" s="77" t="s">
        <v>635</v>
      </c>
      <c r="J5" s="77" t="s">
        <v>636</v>
      </c>
      <c r="K5" s="77" t="s">
        <v>637</v>
      </c>
      <c r="N5" s="161" t="s">
        <v>1</v>
      </c>
      <c r="O5" s="162" t="s">
        <v>382</v>
      </c>
      <c r="P5" s="162" t="s">
        <v>2</v>
      </c>
      <c r="Q5" s="162" t="s">
        <v>3</v>
      </c>
      <c r="R5" s="134" t="s">
        <v>0</v>
      </c>
      <c r="S5" s="163"/>
      <c r="T5" s="59" t="s">
        <v>679</v>
      </c>
      <c r="X5" s="218" t="s">
        <v>702</v>
      </c>
      <c r="Y5" s="219"/>
      <c r="Z5" s="220" t="s">
        <v>701</v>
      </c>
      <c r="AA5" s="220"/>
      <c r="AB5" s="220" t="s">
        <v>703</v>
      </c>
      <c r="AC5" s="221"/>
    </row>
    <row r="6" spans="1:29">
      <c r="A6" s="102" t="s">
        <v>530</v>
      </c>
      <c r="B6" s="79" t="e">
        <f>SUM(B7:B11)</f>
        <v>#REF!</v>
      </c>
      <c r="C6" s="79" t="e">
        <f t="shared" ref="C6:K6" si="0">SUM(C7:C11)</f>
        <v>#REF!</v>
      </c>
      <c r="D6" s="79" t="e">
        <f t="shared" si="0"/>
        <v>#REF!</v>
      </c>
      <c r="E6" s="79" t="e">
        <f>SUM(E7:E11)</f>
        <v>#REF!</v>
      </c>
      <c r="F6" s="79">
        <f t="shared" si="0"/>
        <v>0</v>
      </c>
      <c r="G6" s="79">
        <f t="shared" si="0"/>
        <v>0</v>
      </c>
      <c r="H6" s="79"/>
      <c r="I6" s="79">
        <f t="shared" si="0"/>
        <v>0</v>
      </c>
      <c r="J6" s="79">
        <f t="shared" si="0"/>
        <v>0</v>
      </c>
      <c r="K6" s="50">
        <f t="shared" si="0"/>
        <v>0</v>
      </c>
      <c r="L6" s="60" t="e">
        <f>L34</f>
        <v>#REF!</v>
      </c>
      <c r="N6" s="164">
        <v>1168437.48</v>
      </c>
      <c r="O6" s="132">
        <v>3179200.6900000004</v>
      </c>
      <c r="P6" s="132">
        <v>14574933.560000001</v>
      </c>
      <c r="Q6" s="132">
        <v>535392.77</v>
      </c>
      <c r="R6" s="165" t="s">
        <v>4</v>
      </c>
      <c r="S6" s="166" t="e">
        <f>+#REF!+#REF!+#REF!+#REF!+#REF!</f>
        <v>#REF!</v>
      </c>
      <c r="T6" s="132" t="e">
        <f>SUM(B7:E7)</f>
        <v>#REF!</v>
      </c>
      <c r="U6" s="157" t="e">
        <f>S6-T6</f>
        <v>#REF!</v>
      </c>
      <c r="X6" s="222" t="e">
        <f>SUM(B6:D6)</f>
        <v>#REF!</v>
      </c>
      <c r="Y6" s="223"/>
      <c r="Z6" s="224" t="e">
        <f>SUM(B6:C6)</f>
        <v>#REF!</v>
      </c>
      <c r="AA6" s="223"/>
      <c r="AB6" s="224" t="e">
        <f>SUM(D6)-(D6*12%)-D7</f>
        <v>#REF!</v>
      </c>
      <c r="AC6" s="225"/>
    </row>
    <row r="7" spans="1:29" ht="10.5" customHeight="1">
      <c r="A7" s="103" t="s">
        <v>527</v>
      </c>
      <c r="B7" s="80" t="e">
        <f>(#REF!)</f>
        <v>#REF!</v>
      </c>
      <c r="C7" s="80" t="e">
        <f>(#REF!+#REF!+#REF!+#REF!+#REF!)</f>
        <v>#REF!</v>
      </c>
      <c r="D7" s="80" t="e">
        <f>(#REF!)</f>
        <v>#REF!</v>
      </c>
      <c r="E7" s="80" t="e">
        <f>(#REF!)</f>
        <v>#REF!</v>
      </c>
      <c r="F7" s="81"/>
      <c r="G7" s="81"/>
      <c r="H7" s="80"/>
      <c r="I7" s="81"/>
      <c r="J7" s="81"/>
      <c r="K7" s="43"/>
      <c r="L7" s="60" t="e">
        <f>SUM(B7:E7)</f>
        <v>#REF!</v>
      </c>
      <c r="M7" s="238" t="e">
        <f>L7/$L$6</f>
        <v>#REF!</v>
      </c>
      <c r="N7" s="164">
        <v>0</v>
      </c>
      <c r="O7" s="132">
        <v>26056207.342500001</v>
      </c>
      <c r="P7" s="132">
        <v>70982222.579999998</v>
      </c>
      <c r="Q7" s="132">
        <v>0</v>
      </c>
      <c r="R7" s="165" t="s">
        <v>5</v>
      </c>
      <c r="S7" s="166" t="e">
        <f>+#REF!+#REF!+#REF!+#REF!</f>
        <v>#REF!</v>
      </c>
      <c r="T7" s="132" t="e">
        <f>SUM(B8:E8)</f>
        <v>#REF!</v>
      </c>
      <c r="U7" s="157" t="e">
        <f t="shared" ref="U7:U15" si="1">S7-T7</f>
        <v>#REF!</v>
      </c>
      <c r="X7" s="226"/>
      <c r="Y7" s="223"/>
      <c r="Z7" s="223"/>
      <c r="AA7" s="223"/>
      <c r="AB7" s="223"/>
      <c r="AC7" s="225"/>
    </row>
    <row r="8" spans="1:29" ht="22.5">
      <c r="A8" s="101" t="s">
        <v>639</v>
      </c>
      <c r="B8" s="83"/>
      <c r="C8" s="80" t="e">
        <f>(+#REF!+#REF!+#REF!+#REF!)</f>
        <v>#REF!</v>
      </c>
      <c r="D8" s="80" t="e">
        <f>#REF!</f>
        <v>#REF!</v>
      </c>
      <c r="E8" s="83"/>
      <c r="F8" s="84"/>
      <c r="G8" s="84"/>
      <c r="H8" s="80"/>
      <c r="I8" s="84"/>
      <c r="J8" s="84"/>
      <c r="K8" s="44"/>
      <c r="L8" s="60" t="e">
        <f t="shared" ref="L8:L11" si="2">SUM(B8:E8)</f>
        <v>#REF!</v>
      </c>
      <c r="M8" s="238" t="e">
        <f t="shared" ref="M8:M11" si="3">L8/$L$6</f>
        <v>#REF!</v>
      </c>
      <c r="N8" s="164">
        <v>0</v>
      </c>
      <c r="O8" s="132"/>
      <c r="P8" s="132">
        <v>0</v>
      </c>
      <c r="Q8" s="132">
        <v>0</v>
      </c>
      <c r="R8" s="167" t="s">
        <v>6</v>
      </c>
      <c r="S8" s="166">
        <v>0</v>
      </c>
      <c r="T8" s="132">
        <v>0</v>
      </c>
      <c r="U8" s="157">
        <f t="shared" si="1"/>
        <v>0</v>
      </c>
      <c r="X8" s="227" t="e">
        <f>SUM(B8:D8)</f>
        <v>#REF!</v>
      </c>
      <c r="Y8" s="228" t="e">
        <f>X8/$X$6</f>
        <v>#REF!</v>
      </c>
      <c r="Z8" s="223"/>
      <c r="AA8" s="223"/>
      <c r="AB8" s="223"/>
      <c r="AC8" s="225"/>
    </row>
    <row r="9" spans="1:29">
      <c r="A9" s="103" t="s">
        <v>528</v>
      </c>
      <c r="B9" s="80" t="e">
        <f>ROUND(#REF!,0)</f>
        <v>#REF!</v>
      </c>
      <c r="C9" s="80" t="e">
        <f>(#REF!+#REF!+#REF!+#REF!+#REF!)</f>
        <v>#REF!</v>
      </c>
      <c r="D9" s="80" t="e">
        <f>#REF!</f>
        <v>#REF!</v>
      </c>
      <c r="E9" s="80" t="e">
        <f>(#REF!)</f>
        <v>#REF!</v>
      </c>
      <c r="F9" s="81"/>
      <c r="G9" s="81"/>
      <c r="H9" s="80"/>
      <c r="I9" s="81"/>
      <c r="J9" s="81"/>
      <c r="K9" s="43"/>
      <c r="L9" s="60" t="e">
        <f t="shared" si="2"/>
        <v>#REF!</v>
      </c>
      <c r="M9" s="238" t="e">
        <f t="shared" si="3"/>
        <v>#REF!</v>
      </c>
      <c r="N9" s="164">
        <v>0</v>
      </c>
      <c r="O9" s="132"/>
      <c r="P9" s="132">
        <v>0</v>
      </c>
      <c r="Q9" s="132">
        <v>0</v>
      </c>
      <c r="R9" s="167" t="s">
        <v>23</v>
      </c>
      <c r="S9" s="166">
        <v>0</v>
      </c>
      <c r="T9" s="132">
        <v>0</v>
      </c>
      <c r="U9" s="157">
        <f t="shared" si="1"/>
        <v>0</v>
      </c>
      <c r="X9" s="227" t="e">
        <f>SUM(B9:D9)</f>
        <v>#REF!</v>
      </c>
      <c r="Y9" s="228" t="e">
        <f>X9/$X$6</f>
        <v>#REF!</v>
      </c>
      <c r="Z9" s="223"/>
      <c r="AA9" s="223"/>
      <c r="AB9" s="223"/>
      <c r="AC9" s="225"/>
    </row>
    <row r="10" spans="1:29" ht="13.5" thickBot="1">
      <c r="A10" s="103" t="s">
        <v>529</v>
      </c>
      <c r="B10" s="80" t="e">
        <f>ROUND(#REF!,2)</f>
        <v>#REF!</v>
      </c>
      <c r="C10" s="80" t="e">
        <f>(#REF!+#REF!+#REF!+#REF!+#REF!)</f>
        <v>#REF!</v>
      </c>
      <c r="D10" s="80" t="e">
        <f>#REF!</f>
        <v>#REF!</v>
      </c>
      <c r="E10" s="80" t="e">
        <f>#REF!</f>
        <v>#REF!</v>
      </c>
      <c r="F10" s="81"/>
      <c r="G10" s="81"/>
      <c r="H10" s="80"/>
      <c r="I10" s="81"/>
      <c r="J10" s="81"/>
      <c r="K10" s="43"/>
      <c r="L10" s="60" t="e">
        <f t="shared" si="2"/>
        <v>#REF!</v>
      </c>
      <c r="M10" s="238" t="e">
        <f t="shared" si="3"/>
        <v>#REF!</v>
      </c>
      <c r="N10" s="164">
        <v>0</v>
      </c>
      <c r="O10" s="132">
        <v>0</v>
      </c>
      <c r="P10" s="132">
        <v>0</v>
      </c>
      <c r="Q10" s="132">
        <v>0</v>
      </c>
      <c r="R10" s="167" t="s">
        <v>7</v>
      </c>
      <c r="S10" s="166">
        <v>0</v>
      </c>
      <c r="T10" s="132">
        <v>0</v>
      </c>
      <c r="U10" s="157">
        <f t="shared" si="1"/>
        <v>0</v>
      </c>
      <c r="X10" s="229"/>
      <c r="Y10" s="230"/>
      <c r="Z10" s="233" t="e">
        <f>SUM(B10:C10)</f>
        <v>#REF!</v>
      </c>
      <c r="AA10" s="231" t="e">
        <f>Z10/Z6</f>
        <v>#REF!</v>
      </c>
      <c r="AB10" s="233" t="e">
        <f>SUM(D10)</f>
        <v>#REF!</v>
      </c>
      <c r="AC10" s="232" t="e">
        <f>AB10/AB6</f>
        <v>#REF!</v>
      </c>
    </row>
    <row r="11" spans="1:29" ht="10.5" customHeight="1">
      <c r="A11" s="102" t="s">
        <v>531</v>
      </c>
      <c r="B11" s="79" t="e">
        <f t="shared" ref="B11:G11" si="4">SUM(B12:B15)</f>
        <v>#REF!</v>
      </c>
      <c r="C11" s="79" t="e">
        <f t="shared" si="4"/>
        <v>#REF!</v>
      </c>
      <c r="D11" s="79" t="e">
        <f t="shared" si="4"/>
        <v>#REF!</v>
      </c>
      <c r="E11" s="79" t="e">
        <f t="shared" si="4"/>
        <v>#REF!</v>
      </c>
      <c r="F11" s="79">
        <f t="shared" si="4"/>
        <v>0</v>
      </c>
      <c r="G11" s="79">
        <f t="shared" si="4"/>
        <v>0</v>
      </c>
      <c r="H11" s="79"/>
      <c r="I11" s="87"/>
      <c r="J11" s="87"/>
      <c r="K11" s="43"/>
      <c r="L11" s="60" t="e">
        <f t="shared" si="2"/>
        <v>#REF!</v>
      </c>
      <c r="M11" s="238" t="e">
        <f t="shared" si="3"/>
        <v>#REF!</v>
      </c>
      <c r="N11" s="164">
        <v>0</v>
      </c>
      <c r="O11" s="132">
        <v>6078214.3775000013</v>
      </c>
      <c r="P11" s="132">
        <v>14552938.43</v>
      </c>
      <c r="Q11" s="132">
        <v>0</v>
      </c>
      <c r="R11" s="165" t="s">
        <v>262</v>
      </c>
      <c r="S11" s="166" t="e">
        <f>+#REF!+#REF!</f>
        <v>#REF!</v>
      </c>
      <c r="T11" s="132" t="e">
        <f>SUM(B9:E9)</f>
        <v>#REF!</v>
      </c>
      <c r="U11" s="157" t="e">
        <f t="shared" si="1"/>
        <v>#REF!</v>
      </c>
    </row>
    <row r="12" spans="1:29" ht="10.5" customHeight="1">
      <c r="A12" s="104" t="s">
        <v>532</v>
      </c>
      <c r="B12" s="80" t="e">
        <f>(#REF!)</f>
        <v>#REF!</v>
      </c>
      <c r="C12" s="80" t="e">
        <f>(#REF!+#REF!+#REF!+#REF!+#REF!)</f>
        <v>#REF!</v>
      </c>
      <c r="D12" s="80" t="e">
        <f>#REF!</f>
        <v>#REF!</v>
      </c>
      <c r="E12" s="80" t="e">
        <f>#REF!</f>
        <v>#REF!</v>
      </c>
      <c r="F12" s="81"/>
      <c r="G12" s="81"/>
      <c r="H12" s="80"/>
      <c r="I12" s="81"/>
      <c r="J12" s="81"/>
      <c r="K12" s="43"/>
      <c r="M12" s="241" t="e">
        <f>SUM(M7:M11)</f>
        <v>#REF!</v>
      </c>
      <c r="N12" s="164">
        <v>53899053.450000003</v>
      </c>
      <c r="O12" s="132">
        <v>290102305.98184758</v>
      </c>
      <c r="P12" s="132">
        <v>54982700.390000001</v>
      </c>
      <c r="Q12" s="132">
        <v>31924018.650000002</v>
      </c>
      <c r="R12" s="165" t="s">
        <v>8</v>
      </c>
      <c r="S12" s="166" t="e">
        <f>+#REF!+#REF!+#REF!+#REF!+#REF!+#REF!+#REF!</f>
        <v>#REF!</v>
      </c>
      <c r="T12" s="132" t="e">
        <f>SUM(B10:E10)</f>
        <v>#REF!</v>
      </c>
      <c r="U12" s="157" t="e">
        <f t="shared" si="1"/>
        <v>#REF!</v>
      </c>
    </row>
    <row r="13" spans="1:29" ht="11.25" customHeight="1">
      <c r="A13" s="104" t="s">
        <v>533</v>
      </c>
      <c r="B13" s="80" t="e">
        <f>(#REF!)</f>
        <v>#REF!</v>
      </c>
      <c r="C13" s="80" t="e">
        <f>(#REF!+#REF!+#REF!+#REF!+#REF!)</f>
        <v>#REF!</v>
      </c>
      <c r="D13" s="80" t="e">
        <f>#REF!</f>
        <v>#REF!</v>
      </c>
      <c r="E13" s="80" t="e">
        <f>#REF!</f>
        <v>#REF!</v>
      </c>
      <c r="F13" s="81"/>
      <c r="G13" s="81"/>
      <c r="H13" s="80"/>
      <c r="I13" s="81"/>
      <c r="J13" s="81"/>
      <c r="K13" s="43"/>
      <c r="N13" s="164">
        <v>281835.19</v>
      </c>
      <c r="O13" s="132">
        <v>767108.06</v>
      </c>
      <c r="P13" s="132">
        <v>7308691.7199999997</v>
      </c>
      <c r="Q13" s="132">
        <v>131848.75</v>
      </c>
      <c r="R13" s="165" t="s">
        <v>9</v>
      </c>
      <c r="S13" s="166" t="e">
        <f>+#REF!+#REF!+#REF!+#REF!+#REF!</f>
        <v>#REF!</v>
      </c>
      <c r="T13" s="132" t="e">
        <f>SUM(B12:E12)</f>
        <v>#REF!</v>
      </c>
      <c r="U13" s="157" t="e">
        <f t="shared" si="1"/>
        <v>#REF!</v>
      </c>
    </row>
    <row r="14" spans="1:29" ht="12" customHeight="1">
      <c r="A14" s="104" t="s">
        <v>534</v>
      </c>
      <c r="B14" s="80" t="e">
        <f>(#REF!)</f>
        <v>#REF!</v>
      </c>
      <c r="C14" s="80" t="e">
        <f>(#REF!+#REF!+#REF!+#REF!+#REF!)</f>
        <v>#REF!</v>
      </c>
      <c r="D14" s="80" t="e">
        <f>#REF!</f>
        <v>#REF!</v>
      </c>
      <c r="E14" s="80" t="e">
        <f>(#REF!)</f>
        <v>#REF!</v>
      </c>
      <c r="F14" s="81"/>
      <c r="G14" s="81"/>
      <c r="H14" s="80"/>
      <c r="I14" s="81"/>
      <c r="J14" s="81"/>
      <c r="K14" s="43"/>
      <c r="N14" s="164">
        <v>4494802.88</v>
      </c>
      <c r="O14" s="132">
        <v>13964859.969999999</v>
      </c>
      <c r="P14" s="132">
        <v>18771367.460000001</v>
      </c>
      <c r="Q14" s="132">
        <v>2090160.83</v>
      </c>
      <c r="R14" s="165" t="s">
        <v>10</v>
      </c>
      <c r="S14" s="166" t="e">
        <f>+#REF!+#REF!+#REF!+#REF!+#REF!</f>
        <v>#REF!</v>
      </c>
      <c r="T14" s="132" t="e">
        <f>SUM(B13:E13)</f>
        <v>#REF!</v>
      </c>
      <c r="U14" s="157" t="e">
        <f t="shared" si="1"/>
        <v>#REF!</v>
      </c>
    </row>
    <row r="15" spans="1:29" ht="14.25" customHeight="1">
      <c r="A15" s="104" t="s">
        <v>535</v>
      </c>
      <c r="B15" s="86"/>
      <c r="C15" s="86"/>
      <c r="D15" s="86"/>
      <c r="E15" s="86"/>
      <c r="F15" s="82"/>
      <c r="G15" s="82"/>
      <c r="H15" s="82"/>
      <c r="I15" s="82"/>
      <c r="J15" s="82"/>
      <c r="K15" s="43"/>
      <c r="N15" s="164">
        <v>0</v>
      </c>
      <c r="O15" s="132">
        <v>0</v>
      </c>
      <c r="P15" s="132">
        <v>2568599.1800000002</v>
      </c>
      <c r="Q15" s="132">
        <v>0</v>
      </c>
      <c r="R15" s="165" t="s">
        <v>11</v>
      </c>
      <c r="S15" s="166" t="e">
        <f>+#REF!</f>
        <v>#REF!</v>
      </c>
      <c r="T15" s="132" t="e">
        <f>SUM(B14:E14)</f>
        <v>#REF!</v>
      </c>
      <c r="U15" s="157" t="e">
        <f t="shared" si="1"/>
        <v>#REF!</v>
      </c>
    </row>
    <row r="16" spans="1:29" ht="13.5" customHeight="1">
      <c r="A16" s="103" t="s">
        <v>536</v>
      </c>
      <c r="B16" s="86"/>
      <c r="C16" s="79" t="e">
        <f>SUM(C17:C19)</f>
        <v>#REF!</v>
      </c>
      <c r="D16" s="86"/>
      <c r="E16" s="79" t="e">
        <f>SUM(E17:E19)</f>
        <v>#REF!</v>
      </c>
      <c r="F16" s="82"/>
      <c r="G16" s="82"/>
      <c r="H16" s="82"/>
      <c r="I16" s="82"/>
      <c r="J16" s="82"/>
      <c r="K16" s="43"/>
      <c r="N16" s="164">
        <f>SUM(N6:N15)</f>
        <v>59844129</v>
      </c>
      <c r="O16" s="164">
        <f t="shared" ref="O16:Q16" si="5">SUM(O6:O15)</f>
        <v>340147896.42184758</v>
      </c>
      <c r="P16" s="164">
        <f>SUM(P6:P15)</f>
        <v>183741453.31999999</v>
      </c>
      <c r="Q16" s="164">
        <f t="shared" si="5"/>
        <v>34681421</v>
      </c>
      <c r="R16" s="135"/>
      <c r="S16" s="166"/>
      <c r="T16" s="132"/>
      <c r="U16" s="158"/>
    </row>
    <row r="17" spans="1:21">
      <c r="A17" s="103" t="s">
        <v>537</v>
      </c>
      <c r="B17" s="82"/>
      <c r="C17" s="200" t="e">
        <f>(#REF!+#REF!+#REF!+#REF!+#REF!)</f>
        <v>#REF!</v>
      </c>
      <c r="D17" s="86"/>
      <c r="E17" s="80" t="e">
        <f>#REF!</f>
        <v>#REF!</v>
      </c>
      <c r="F17" s="82"/>
      <c r="G17" s="82"/>
      <c r="H17" s="82"/>
      <c r="I17" s="82"/>
      <c r="J17" s="82"/>
      <c r="K17" s="43"/>
      <c r="L17" s="60"/>
      <c r="N17" s="164">
        <v>0</v>
      </c>
      <c r="O17" s="132">
        <v>0</v>
      </c>
      <c r="P17" s="132">
        <v>0</v>
      </c>
      <c r="Q17" s="132">
        <v>0</v>
      </c>
      <c r="R17" s="135"/>
      <c r="S17" s="168"/>
      <c r="T17" s="59"/>
      <c r="U17" s="158"/>
    </row>
    <row r="18" spans="1:21">
      <c r="A18" s="103" t="s">
        <v>538</v>
      </c>
      <c r="B18" s="82"/>
      <c r="C18" s="200" t="e">
        <f>(#REF!)</f>
        <v>#REF!</v>
      </c>
      <c r="D18" s="86"/>
      <c r="E18" s="80">
        <v>0</v>
      </c>
      <c r="F18" s="82"/>
      <c r="G18" s="82"/>
      <c r="H18" s="82"/>
      <c r="I18" s="82"/>
      <c r="J18" s="82"/>
      <c r="K18" s="43"/>
      <c r="L18" s="60"/>
      <c r="N18" s="164" t="s">
        <v>16</v>
      </c>
      <c r="O18" s="132">
        <v>0</v>
      </c>
      <c r="P18" s="132" t="s">
        <v>21</v>
      </c>
      <c r="Q18" s="132">
        <v>608591455.43999994</v>
      </c>
      <c r="R18" s="136"/>
      <c r="S18" s="166" t="e">
        <f>+#REF!</f>
        <v>#REF!</v>
      </c>
      <c r="T18" s="132" t="e">
        <f>SUM(T6:T15)</f>
        <v>#REF!</v>
      </c>
      <c r="U18" s="157" t="e">
        <f>S18-T18</f>
        <v>#REF!</v>
      </c>
    </row>
    <row r="19" spans="1:21" ht="10.5" customHeight="1">
      <c r="A19" s="103" t="s">
        <v>539</v>
      </c>
      <c r="B19" s="82"/>
      <c r="C19" s="200" t="e">
        <f>(#REF!)</f>
        <v>#REF!</v>
      </c>
      <c r="D19" s="86"/>
      <c r="E19" s="80" t="e">
        <f>#REF!</f>
        <v>#REF!</v>
      </c>
      <c r="F19" s="82"/>
      <c r="G19" s="82"/>
      <c r="H19" s="82"/>
      <c r="I19" s="82"/>
      <c r="J19" s="82"/>
      <c r="K19" s="43"/>
      <c r="N19" s="164">
        <v>0</v>
      </c>
      <c r="O19" s="132">
        <v>0</v>
      </c>
      <c r="P19" s="132">
        <v>0</v>
      </c>
      <c r="Q19" s="132">
        <v>0</v>
      </c>
      <c r="R19" s="137"/>
      <c r="S19" s="166">
        <v>0</v>
      </c>
      <c r="T19" s="132"/>
      <c r="U19" s="158"/>
    </row>
    <row r="20" spans="1:21" ht="10.5" customHeight="1">
      <c r="A20" s="105" t="s">
        <v>540</v>
      </c>
      <c r="B20" s="82"/>
      <c r="C20" s="82"/>
      <c r="D20" s="82"/>
      <c r="E20" s="82"/>
      <c r="F20" s="82"/>
      <c r="G20" s="82"/>
      <c r="H20" s="82"/>
      <c r="I20" s="82"/>
      <c r="J20" s="82"/>
      <c r="K20" s="39"/>
      <c r="N20" s="164">
        <v>0</v>
      </c>
      <c r="O20" s="132">
        <v>0</v>
      </c>
      <c r="P20" s="132">
        <v>0</v>
      </c>
      <c r="Q20" s="132">
        <v>0</v>
      </c>
      <c r="R20" s="135"/>
      <c r="S20" s="168"/>
      <c r="T20" s="59"/>
      <c r="U20" s="158"/>
    </row>
    <row r="21" spans="1:21" ht="10.5" customHeight="1">
      <c r="A21" s="105" t="s">
        <v>541</v>
      </c>
      <c r="B21" s="82"/>
      <c r="C21" s="82"/>
      <c r="D21" s="82"/>
      <c r="E21" s="82"/>
      <c r="F21" s="82"/>
      <c r="G21" s="82"/>
      <c r="H21" s="82"/>
      <c r="I21" s="82"/>
      <c r="J21" s="82"/>
      <c r="K21" s="39"/>
      <c r="N21" s="164" t="s">
        <v>1</v>
      </c>
      <c r="O21" s="132">
        <v>0</v>
      </c>
      <c r="P21" s="132" t="s">
        <v>2</v>
      </c>
      <c r="Q21" s="132" t="s">
        <v>3</v>
      </c>
      <c r="R21" s="169" t="s">
        <v>12</v>
      </c>
      <c r="S21" s="168"/>
      <c r="T21" s="59"/>
      <c r="U21" s="158"/>
    </row>
    <row r="22" spans="1:21" ht="10.5" customHeight="1">
      <c r="A22" s="105" t="s">
        <v>521</v>
      </c>
      <c r="B22" s="82"/>
      <c r="C22" s="82"/>
      <c r="D22" s="82"/>
      <c r="E22" s="82"/>
      <c r="F22" s="82"/>
      <c r="G22" s="82"/>
      <c r="H22" s="82"/>
      <c r="I22" s="82"/>
      <c r="J22" s="82"/>
      <c r="K22" s="39"/>
      <c r="N22" s="164">
        <v>59844129</v>
      </c>
      <c r="O22" s="132">
        <v>222142580.33000001</v>
      </c>
      <c r="P22" s="132">
        <v>183741453.31999999</v>
      </c>
      <c r="Q22" s="132">
        <v>0</v>
      </c>
      <c r="R22" s="170" t="s">
        <v>13</v>
      </c>
      <c r="S22" s="166" t="e">
        <f>+#REF!+#REF!+#REF!+#REF!</f>
        <v>#REF!</v>
      </c>
      <c r="T22" s="132" t="e">
        <f>SUM(B28:D28)</f>
        <v>#REF!</v>
      </c>
      <c r="U22" s="157" t="e">
        <f>T22-N22-O22-P22</f>
        <v>#REF!</v>
      </c>
    </row>
    <row r="23" spans="1:21" ht="10.5" customHeight="1">
      <c r="A23" s="105" t="s">
        <v>522</v>
      </c>
      <c r="B23" s="82"/>
      <c r="C23" s="82"/>
      <c r="D23" s="82"/>
      <c r="E23" s="82"/>
      <c r="F23" s="82"/>
      <c r="G23" s="82"/>
      <c r="H23" s="82"/>
      <c r="I23" s="82"/>
      <c r="J23" s="82"/>
      <c r="K23" s="39"/>
      <c r="N23" s="164">
        <v>0</v>
      </c>
      <c r="O23" s="132">
        <v>275000</v>
      </c>
      <c r="P23" s="132">
        <v>0</v>
      </c>
      <c r="Q23" s="132">
        <v>0</v>
      </c>
      <c r="R23" s="170" t="s">
        <v>14</v>
      </c>
      <c r="S23" s="166" t="e">
        <f>+#REF!</f>
        <v>#REF!</v>
      </c>
      <c r="T23" s="242" t="e">
        <f>SUM(B18:E18)</f>
        <v>#REF!</v>
      </c>
      <c r="U23" s="157" t="e">
        <f>T23-Q23-O23</f>
        <v>#REF!</v>
      </c>
    </row>
    <row r="24" spans="1:21" ht="10.5" customHeight="1">
      <c r="A24" s="105" t="s">
        <v>523</v>
      </c>
      <c r="B24" s="82"/>
      <c r="C24" s="82"/>
      <c r="D24" s="82"/>
      <c r="E24" s="82"/>
      <c r="F24" s="82"/>
      <c r="G24" s="82"/>
      <c r="H24" s="82"/>
      <c r="I24" s="82"/>
      <c r="J24" s="82"/>
      <c r="K24" s="39"/>
      <c r="N24" s="164">
        <v>0</v>
      </c>
      <c r="O24" s="132">
        <v>30563473.30184757</v>
      </c>
      <c r="P24" s="132">
        <v>0</v>
      </c>
      <c r="Q24" s="132">
        <v>6936280</v>
      </c>
      <c r="R24" s="170" t="s">
        <v>20</v>
      </c>
      <c r="S24" s="166" t="e">
        <f>+#REF!+#REF!</f>
        <v>#REF!</v>
      </c>
      <c r="T24" s="132" t="e">
        <f>SUM(C19:E19)</f>
        <v>#REF!</v>
      </c>
      <c r="U24" s="157" t="e">
        <f>T24-Q24-O24</f>
        <v>#REF!</v>
      </c>
    </row>
    <row r="25" spans="1:21" ht="10.5" customHeight="1">
      <c r="A25" s="105" t="s">
        <v>524</v>
      </c>
      <c r="B25" s="82"/>
      <c r="C25" s="82"/>
      <c r="D25" s="82"/>
      <c r="E25" s="82"/>
      <c r="F25" s="82"/>
      <c r="G25" s="82"/>
      <c r="H25" s="82"/>
      <c r="I25" s="82"/>
      <c r="J25" s="82"/>
      <c r="K25" s="39"/>
      <c r="N25" s="164">
        <v>0</v>
      </c>
      <c r="O25" s="132">
        <v>87166842.789999992</v>
      </c>
      <c r="P25" s="132">
        <v>0</v>
      </c>
      <c r="Q25" s="132">
        <v>27745141</v>
      </c>
      <c r="R25" s="170" t="s">
        <v>15</v>
      </c>
      <c r="S25" s="166" t="e">
        <f>+#REF!+#REF!+#REF!+#REF!</f>
        <v>#REF!</v>
      </c>
      <c r="T25" s="132" t="e">
        <f>SUM(C17:E17)</f>
        <v>#REF!</v>
      </c>
      <c r="U25" s="157" t="e">
        <f>T25-Q25-O25</f>
        <v>#REF!</v>
      </c>
    </row>
    <row r="26" spans="1:21" ht="10.5" customHeight="1">
      <c r="A26" s="105" t="s">
        <v>525</v>
      </c>
      <c r="B26" s="82"/>
      <c r="C26" s="82"/>
      <c r="D26" s="82"/>
      <c r="E26" s="82"/>
      <c r="F26" s="82"/>
      <c r="G26" s="82"/>
      <c r="H26" s="82"/>
      <c r="I26" s="82"/>
      <c r="J26" s="82"/>
      <c r="K26" s="39"/>
      <c r="L26" s="60"/>
      <c r="N26" s="164">
        <f>SUM(N22:N25)</f>
        <v>59844129</v>
      </c>
      <c r="O26" s="164">
        <f t="shared" ref="O26:Q26" si="6">SUM(O22:O25)</f>
        <v>340147896.42184758</v>
      </c>
      <c r="P26" s="164">
        <f t="shared" si="6"/>
        <v>183741453.31999999</v>
      </c>
      <c r="Q26" s="164">
        <f t="shared" si="6"/>
        <v>34681421</v>
      </c>
      <c r="R26" s="135"/>
      <c r="S26" s="166" t="e">
        <f>SUM(S22:S25)</f>
        <v>#REF!</v>
      </c>
      <c r="T26" s="132" t="e">
        <f>SUM(T22:T25)</f>
        <v>#REF!</v>
      </c>
      <c r="U26" s="157" t="e">
        <f>+N26+O26+P26+Q26-T26</f>
        <v>#REF!</v>
      </c>
    </row>
    <row r="27" spans="1:21" ht="10.5" customHeight="1">
      <c r="A27" s="105" t="s">
        <v>526</v>
      </c>
      <c r="B27" s="82"/>
      <c r="C27" s="82"/>
      <c r="D27" s="82"/>
      <c r="E27" s="82"/>
      <c r="F27" s="82"/>
      <c r="G27" s="82"/>
      <c r="H27" s="82"/>
      <c r="I27" s="82"/>
      <c r="J27" s="82"/>
      <c r="K27" s="39"/>
      <c r="N27" s="164" t="s">
        <v>24</v>
      </c>
      <c r="O27" s="132">
        <v>0</v>
      </c>
      <c r="P27" s="132" t="s">
        <v>24</v>
      </c>
      <c r="Q27" s="132" t="s">
        <v>24</v>
      </c>
      <c r="R27" s="135"/>
      <c r="S27" s="168"/>
      <c r="T27" s="59"/>
    </row>
    <row r="28" spans="1:21" ht="12" customHeight="1">
      <c r="A28" s="102" t="s">
        <v>542</v>
      </c>
      <c r="B28" s="79" t="e">
        <f>(#REF!)</f>
        <v>#REF!</v>
      </c>
      <c r="C28" s="79" t="e">
        <f>(#REF!+#REF!)</f>
        <v>#REF!</v>
      </c>
      <c r="D28" s="79" t="e">
        <f>(#REF!)</f>
        <v>#REF!</v>
      </c>
      <c r="E28" s="82"/>
      <c r="F28" s="87"/>
      <c r="G28" s="87"/>
      <c r="H28" s="79"/>
      <c r="I28" s="87"/>
      <c r="J28" s="87"/>
      <c r="K28" s="42"/>
      <c r="N28" s="164">
        <v>0</v>
      </c>
      <c r="O28" s="132">
        <v>0</v>
      </c>
      <c r="P28" s="132" t="s">
        <v>21</v>
      </c>
      <c r="Q28" s="132">
        <f>+N26+O26+P26+Q26</f>
        <v>618414899.74184752</v>
      </c>
      <c r="R28" s="135"/>
      <c r="S28" s="168"/>
      <c r="T28" s="59"/>
    </row>
    <row r="29" spans="1:21" ht="12" customHeight="1">
      <c r="A29" s="101" t="s">
        <v>640</v>
      </c>
      <c r="B29" s="80" t="e">
        <f>B30-B28</f>
        <v>#REF!</v>
      </c>
      <c r="C29" s="80" t="e">
        <f>C30-C28</f>
        <v>#REF!</v>
      </c>
      <c r="D29" s="80" t="e">
        <f>D30-D28-D32</f>
        <v>#REF!</v>
      </c>
      <c r="E29" s="82"/>
      <c r="F29" s="81"/>
      <c r="G29" s="81"/>
      <c r="H29" s="80"/>
      <c r="I29" s="81"/>
      <c r="J29" s="81"/>
      <c r="K29" s="39"/>
      <c r="N29" s="164">
        <v>59844129</v>
      </c>
      <c r="O29" s="132">
        <f>+O26</f>
        <v>340147896.42184758</v>
      </c>
      <c r="P29" s="132">
        <v>183741453.31999999</v>
      </c>
      <c r="Q29" s="132">
        <v>34681421</v>
      </c>
      <c r="R29" s="135"/>
      <c r="S29" s="168"/>
      <c r="T29" s="59"/>
    </row>
    <row r="30" spans="1:21" ht="15" customHeight="1">
      <c r="A30" s="102" t="s">
        <v>543</v>
      </c>
      <c r="B30" s="79" t="e">
        <f>(#REF!)</f>
        <v>#REF!</v>
      </c>
      <c r="C30" s="79" t="e">
        <f>ROUND(#REF!+#REF!,2)</f>
        <v>#REF!</v>
      </c>
      <c r="D30" s="79" t="e">
        <f>#REF!</f>
        <v>#REF!</v>
      </c>
      <c r="E30" s="82"/>
      <c r="F30" s="87"/>
      <c r="G30" s="87"/>
      <c r="H30" s="79"/>
      <c r="I30" s="79"/>
      <c r="J30" s="79"/>
      <c r="K30" s="42"/>
      <c r="N30" s="164" t="e">
        <f>+#REF!</f>
        <v>#REF!</v>
      </c>
      <c r="O30" s="132" t="e">
        <f>+#REF!+#REF!+#REF!+#REF!+#REF!</f>
        <v>#REF!</v>
      </c>
      <c r="P30" s="132" t="e">
        <f>+#REF!</f>
        <v>#REF!</v>
      </c>
      <c r="Q30" s="132" t="e">
        <f>+#REF!</f>
        <v>#REF!</v>
      </c>
      <c r="R30" s="135"/>
      <c r="S30" s="168"/>
      <c r="T30" s="59"/>
    </row>
    <row r="31" spans="1:21" ht="13.5" thickBot="1">
      <c r="A31" s="101" t="s">
        <v>641</v>
      </c>
      <c r="B31" s="82"/>
      <c r="C31" s="82"/>
      <c r="D31" s="82"/>
      <c r="E31" s="82"/>
      <c r="F31" s="82"/>
      <c r="G31" s="82"/>
      <c r="H31" s="82"/>
      <c r="I31" s="82"/>
      <c r="J31" s="82"/>
      <c r="K31" s="43"/>
      <c r="L31" s="60" t="e">
        <f>SUM(B30:D30)</f>
        <v>#REF!</v>
      </c>
      <c r="N31" s="171"/>
      <c r="O31" s="172"/>
      <c r="P31" s="173"/>
      <c r="Q31" s="173"/>
      <c r="R31" s="174"/>
      <c r="S31" s="175"/>
    </row>
    <row r="32" spans="1:21" ht="15" customHeight="1">
      <c r="A32" s="102" t="s">
        <v>544</v>
      </c>
      <c r="B32" s="79" t="e">
        <f>#REF!</f>
        <v>#REF!</v>
      </c>
      <c r="C32" s="79" t="e">
        <f>#REF!</f>
        <v>#REF!</v>
      </c>
      <c r="D32" s="328" t="e">
        <f>#REF!</f>
        <v>#REF!</v>
      </c>
      <c r="E32" s="82"/>
      <c r="F32" s="87"/>
      <c r="G32" s="87"/>
      <c r="H32" s="79"/>
      <c r="I32" s="87"/>
      <c r="J32" s="87"/>
      <c r="K32" s="42"/>
      <c r="L32" s="60" t="e">
        <f>C16</f>
        <v>#REF!</v>
      </c>
    </row>
    <row r="33" spans="1:29" ht="26.25" customHeight="1">
      <c r="A33" s="106" t="s">
        <v>642</v>
      </c>
      <c r="B33" s="44"/>
      <c r="C33" s="44"/>
      <c r="D33" s="44"/>
      <c r="E33" s="44"/>
      <c r="F33" s="44"/>
      <c r="G33" s="44"/>
      <c r="H33" s="44"/>
      <c r="I33" s="44"/>
      <c r="J33" s="44"/>
      <c r="K33" s="45" t="s">
        <v>513</v>
      </c>
      <c r="L33" s="60" t="e">
        <f>E16</f>
        <v>#REF!</v>
      </c>
    </row>
    <row r="34" spans="1:29" ht="22.5" customHeight="1">
      <c r="A34" s="101" t="s">
        <v>643</v>
      </c>
      <c r="B34" s="49"/>
      <c r="C34" s="49"/>
      <c r="D34" s="49"/>
      <c r="E34" s="44"/>
      <c r="F34" s="44"/>
      <c r="G34" s="44"/>
      <c r="H34" s="44"/>
      <c r="I34" s="44"/>
      <c r="J34" s="44"/>
      <c r="K34" s="44"/>
      <c r="L34" s="60" t="e">
        <f>SUM(L31:L33)</f>
        <v>#REF!</v>
      </c>
    </row>
    <row r="35" spans="1:29" ht="19.5" customHeight="1">
      <c r="A35" s="383" t="s">
        <v>627</v>
      </c>
      <c r="B35" s="384"/>
      <c r="C35" s="384"/>
      <c r="D35" s="384"/>
      <c r="E35" s="384"/>
      <c r="F35" s="384"/>
      <c r="G35" s="384"/>
      <c r="H35" s="384"/>
      <c r="I35" s="384"/>
      <c r="J35" s="384"/>
      <c r="K35" s="385"/>
    </row>
    <row r="36" spans="1:29" ht="42" customHeight="1">
      <c r="A36" s="101" t="s">
        <v>644</v>
      </c>
      <c r="B36" s="128" t="s">
        <v>660</v>
      </c>
      <c r="C36" s="128" t="s">
        <v>660</v>
      </c>
      <c r="D36" s="44"/>
      <c r="E36" s="44"/>
      <c r="F36" s="44"/>
      <c r="G36" s="44"/>
      <c r="H36" s="44"/>
      <c r="I36" s="44"/>
      <c r="J36" s="44"/>
      <c r="K36" s="44"/>
      <c r="L36" s="60" t="e">
        <f>L34-L6</f>
        <v>#REF!</v>
      </c>
    </row>
    <row r="37" spans="1:29" ht="27.75" customHeight="1">
      <c r="A37" s="107" t="s">
        <v>645</v>
      </c>
      <c r="B37" s="212">
        <v>0</v>
      </c>
      <c r="C37" s="212">
        <v>0</v>
      </c>
      <c r="D37" s="44"/>
      <c r="E37" s="44"/>
      <c r="F37" s="44"/>
      <c r="G37" s="44"/>
      <c r="H37" s="44"/>
      <c r="I37" s="44"/>
      <c r="J37" s="44"/>
      <c r="K37" s="44"/>
    </row>
    <row r="38" spans="1:29" ht="47.25" customHeight="1">
      <c r="A38" s="106" t="s">
        <v>646</v>
      </c>
      <c r="B38" s="44"/>
      <c r="C38" s="44"/>
      <c r="D38" s="128" t="s">
        <v>761</v>
      </c>
      <c r="E38" s="44"/>
      <c r="F38" s="44"/>
      <c r="G38" s="44"/>
      <c r="H38" s="128" t="s">
        <v>662</v>
      </c>
      <c r="I38" s="47" t="s">
        <v>513</v>
      </c>
      <c r="J38" s="47" t="s">
        <v>513</v>
      </c>
      <c r="K38" s="45" t="s">
        <v>513</v>
      </c>
    </row>
    <row r="39" spans="1:29" ht="9.9499999999999993" customHeight="1">
      <c r="A39" s="363" t="s">
        <v>515</v>
      </c>
      <c r="B39" s="364"/>
      <c r="C39" s="364"/>
      <c r="D39" s="364"/>
      <c r="E39" s="364"/>
      <c r="F39" s="364"/>
      <c r="G39" s="364"/>
      <c r="H39" s="364"/>
      <c r="I39" s="364"/>
      <c r="J39" s="364"/>
      <c r="K39" s="365"/>
    </row>
    <row r="40" spans="1:29" ht="16.5" customHeight="1">
      <c r="A40" s="386" t="s">
        <v>516</v>
      </c>
      <c r="B40" s="387"/>
      <c r="C40" s="387"/>
      <c r="D40" s="387"/>
      <c r="E40" s="387"/>
      <c r="F40" s="387"/>
      <c r="G40" s="387"/>
      <c r="H40" s="387"/>
      <c r="I40" s="388"/>
      <c r="J40" s="38"/>
      <c r="K40" s="38"/>
    </row>
    <row r="41" spans="1:29" ht="12.95" customHeight="1">
      <c r="A41" s="101" t="s">
        <v>647</v>
      </c>
      <c r="B41" s="386" t="s">
        <v>517</v>
      </c>
      <c r="C41" s="387"/>
      <c r="D41" s="387"/>
      <c r="E41" s="387"/>
      <c r="F41" s="387"/>
      <c r="G41" s="387"/>
      <c r="H41" s="387"/>
      <c r="I41" s="388"/>
      <c r="J41" s="38"/>
      <c r="K41" s="38"/>
      <c r="X41" s="53"/>
      <c r="Y41" s="53"/>
      <c r="Z41" s="53"/>
      <c r="AA41" s="53"/>
      <c r="AB41" s="53"/>
      <c r="AC41" s="53"/>
    </row>
    <row r="42" spans="1:29" ht="12" customHeight="1">
      <c r="A42" s="101" t="s">
        <v>648</v>
      </c>
      <c r="B42" s="386" t="s">
        <v>518</v>
      </c>
      <c r="C42" s="387"/>
      <c r="D42" s="387"/>
      <c r="E42" s="387"/>
      <c r="F42" s="387"/>
      <c r="G42" s="387"/>
      <c r="H42" s="387"/>
      <c r="I42" s="388"/>
      <c r="J42" s="48"/>
      <c r="K42" s="48"/>
      <c r="X42" s="53"/>
      <c r="Y42" s="53"/>
      <c r="Z42" s="53"/>
      <c r="AA42" s="53"/>
      <c r="AB42" s="53"/>
      <c r="AC42" s="53"/>
    </row>
    <row r="43" spans="1:29" ht="19.5" customHeight="1">
      <c r="A43" s="101" t="s">
        <v>649</v>
      </c>
      <c r="B43" s="380" t="s">
        <v>519</v>
      </c>
      <c r="C43" s="381"/>
      <c r="D43" s="381"/>
      <c r="E43" s="381"/>
      <c r="F43" s="381"/>
      <c r="G43" s="381"/>
      <c r="H43" s="381"/>
      <c r="I43" s="381"/>
      <c r="J43" s="381"/>
      <c r="K43" s="382"/>
      <c r="X43" s="53"/>
      <c r="Y43" s="53"/>
      <c r="Z43" s="53"/>
      <c r="AA43" s="53"/>
      <c r="AB43" s="53"/>
      <c r="AC43" s="53"/>
    </row>
    <row r="45" spans="1:29">
      <c r="B45" t="e">
        <f>IF(B6&lt;&gt;B28,"not balanced", " ")</f>
        <v>#REF!</v>
      </c>
      <c r="C45" t="e">
        <f>IF(C6&lt;&gt;(C28+C16),"not balanced", " ")</f>
        <v>#REF!</v>
      </c>
      <c r="D45" t="e">
        <f>IF(D6&lt;&gt;D28,"not balanced", " ")</f>
        <v>#REF!</v>
      </c>
      <c r="E45" t="e">
        <f>IF(E6&lt;&gt;(E28+E16),"not balanced", " ")</f>
        <v>#REF!</v>
      </c>
      <c r="F45" t="str">
        <f>IF(F6&lt;&gt;(F28+F16),"not balanced", " ")</f>
        <v xml:space="preserve"> </v>
      </c>
      <c r="G45" t="str">
        <f>IF(G6&lt;&gt;(G28+G16),"not balanced", " ")</f>
        <v xml:space="preserve"> </v>
      </c>
      <c r="H45" t="str">
        <f>IF(H6&lt;&gt;(H28+H16),"not balanced", " ")</f>
        <v xml:space="preserve"> </v>
      </c>
    </row>
    <row r="47" spans="1:29">
      <c r="C47" s="60"/>
      <c r="D47" s="60"/>
      <c r="F47"/>
    </row>
    <row r="48" spans="1:29" ht="15.75">
      <c r="C48" s="60"/>
      <c r="F48" s="60"/>
      <c r="X48" s="131"/>
      <c r="Y48" s="131"/>
      <c r="Z48" s="131"/>
      <c r="AA48" s="131"/>
      <c r="AB48" s="131"/>
      <c r="AC48" s="131"/>
    </row>
    <row r="49" spans="3:29" ht="15.75">
      <c r="C49" s="60"/>
      <c r="X49" s="131"/>
      <c r="Y49" s="131"/>
      <c r="Z49" s="131"/>
      <c r="AA49" s="131"/>
      <c r="AB49" s="131"/>
      <c r="AC49" s="131"/>
    </row>
    <row r="51" spans="3:29">
      <c r="C51" s="60" t="e">
        <f>C6</f>
        <v>#REF!</v>
      </c>
    </row>
    <row r="52" spans="3:29">
      <c r="C52" s="60" t="e">
        <f>SUM(C28+C16)</f>
        <v>#REF!</v>
      </c>
    </row>
    <row r="53" spans="3:29">
      <c r="C53" s="60" t="e">
        <f>C51-C52</f>
        <v>#REF!</v>
      </c>
    </row>
    <row r="54" spans="3:29">
      <c r="C54" s="60"/>
    </row>
  </sheetData>
  <mergeCells count="13">
    <mergeCell ref="B43:K43"/>
    <mergeCell ref="A4:H4"/>
    <mergeCell ref="A35:K35"/>
    <mergeCell ref="A39:K39"/>
    <mergeCell ref="A40:I40"/>
    <mergeCell ref="B41:I41"/>
    <mergeCell ref="B42:I42"/>
    <mergeCell ref="A1:K1"/>
    <mergeCell ref="B2:C2"/>
    <mergeCell ref="G2:K2"/>
    <mergeCell ref="B3:F3"/>
    <mergeCell ref="G3:K3"/>
    <mergeCell ref="D2:E2"/>
  </mergeCells>
  <conditionalFormatting sqref="B45:H45">
    <cfRule type="cellIs" dxfId="4" priority="5" stopIfTrue="1" operator="lessThan">
      <formula>0</formula>
    </cfRule>
  </conditionalFormatting>
  <conditionalFormatting sqref="R5:R10 R12:R25">
    <cfRule type="cellIs" dxfId="3" priority="1" stopIfTrue="1" operator="lessThan">
      <formula>0</formula>
    </cfRule>
  </conditionalFormatting>
  <printOptions horizontalCentered="1" verticalCentered="1"/>
  <pageMargins left="0.25" right="0.25" top="0.75" bottom="0.75" header="0.3" footer="0.3"/>
  <pageSetup scale="42" orientation="landscape"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653D-F179-4200-BF9D-4466E17A9334}">
  <sheetPr>
    <pageSetUpPr fitToPage="1"/>
  </sheetPr>
  <dimension ref="A1:K43"/>
  <sheetViews>
    <sheetView tabSelected="1" topLeftCell="A32" zoomScale="90" zoomScaleNormal="90" workbookViewId="0">
      <selection activeCell="A44" sqref="A44:XFD44"/>
    </sheetView>
  </sheetViews>
  <sheetFormatPr defaultColWidth="9.140625" defaultRowHeight="12.75"/>
  <cols>
    <col min="1" max="1" width="55.7109375" style="312" customWidth="1"/>
    <col min="2" max="2" width="21.42578125" style="312" customWidth="1"/>
    <col min="3" max="3" width="22.42578125" style="312" customWidth="1"/>
    <col min="4" max="4" width="20.42578125" style="312" bestFit="1" customWidth="1"/>
    <col min="5" max="5" width="15.85546875" style="312" bestFit="1" customWidth="1"/>
    <col min="6" max="6" width="20.7109375" style="312" bestFit="1" customWidth="1"/>
    <col min="7" max="7" width="22.42578125" style="312" bestFit="1" customWidth="1"/>
    <col min="8" max="10" width="17.85546875" style="312" bestFit="1" customWidth="1"/>
    <col min="11" max="16384" width="9.140625" style="312"/>
  </cols>
  <sheetData>
    <row r="1" spans="1:11" s="256" customFormat="1" ht="23.25">
      <c r="A1" s="249" t="s">
        <v>18</v>
      </c>
      <c r="B1" s="250"/>
      <c r="C1" s="251"/>
      <c r="D1" s="252"/>
      <c r="E1" s="252"/>
      <c r="F1" s="252"/>
      <c r="G1" s="253"/>
      <c r="H1" s="254"/>
      <c r="I1" s="254"/>
      <c r="J1" s="255"/>
    </row>
    <row r="2" spans="1:11" s="256" customFormat="1" ht="45">
      <c r="A2" s="257" t="s">
        <v>759</v>
      </c>
      <c r="B2" s="258" t="s">
        <v>712</v>
      </c>
      <c r="C2" s="259">
        <v>2024</v>
      </c>
      <c r="D2" s="260" t="s">
        <v>765</v>
      </c>
      <c r="E2" s="261"/>
      <c r="F2" s="262"/>
      <c r="G2" s="263" t="s">
        <v>713</v>
      </c>
      <c r="H2" s="264">
        <v>45565</v>
      </c>
      <c r="I2" s="264"/>
      <c r="J2" s="265"/>
    </row>
    <row r="3" spans="1:11" s="256" customFormat="1" ht="30">
      <c r="A3" s="266"/>
      <c r="B3" s="267" t="s">
        <v>714</v>
      </c>
      <c r="C3" s="268" t="s">
        <v>766</v>
      </c>
      <c r="D3" s="346"/>
      <c r="E3" s="346"/>
      <c r="F3" s="269"/>
      <c r="G3" s="263" t="s">
        <v>715</v>
      </c>
      <c r="H3" s="264">
        <v>45658</v>
      </c>
      <c r="I3" s="264"/>
      <c r="J3" s="270"/>
    </row>
    <row r="4" spans="1:11" s="256" customFormat="1" ht="21">
      <c r="A4" s="271" t="s">
        <v>716</v>
      </c>
      <c r="B4" s="272"/>
      <c r="C4" s="273"/>
      <c r="D4" s="272"/>
      <c r="E4" s="272"/>
      <c r="F4" s="272"/>
      <c r="G4" s="272"/>
      <c r="H4" s="274"/>
      <c r="I4" s="274"/>
      <c r="J4" s="275"/>
    </row>
    <row r="5" spans="1:11" s="256" customFormat="1" ht="115.5" customHeight="1">
      <c r="A5" s="276"/>
      <c r="B5" s="277" t="s">
        <v>717</v>
      </c>
      <c r="C5" s="277" t="s">
        <v>774</v>
      </c>
      <c r="D5" s="277" t="s">
        <v>718</v>
      </c>
      <c r="E5" s="277" t="s">
        <v>719</v>
      </c>
      <c r="F5" s="278" t="s">
        <v>720</v>
      </c>
      <c r="G5" s="277" t="s">
        <v>721</v>
      </c>
      <c r="H5" s="277" t="s">
        <v>722</v>
      </c>
      <c r="I5" s="277" t="s">
        <v>723</v>
      </c>
      <c r="J5" s="279" t="s">
        <v>724</v>
      </c>
      <c r="K5" s="37"/>
    </row>
    <row r="6" spans="1:11" s="256" customFormat="1" ht="15">
      <c r="A6" s="280" t="s">
        <v>530</v>
      </c>
      <c r="B6" s="335">
        <v>59595532.350000001</v>
      </c>
      <c r="C6" s="335">
        <v>266761348.37999997</v>
      </c>
      <c r="D6" s="335">
        <v>155943453.60999998</v>
      </c>
      <c r="E6" s="335">
        <v>34681421</v>
      </c>
      <c r="F6" s="281"/>
      <c r="G6" s="281"/>
      <c r="H6" s="281">
        <v>0</v>
      </c>
      <c r="I6" s="281">
        <v>0</v>
      </c>
      <c r="J6" s="281">
        <v>0</v>
      </c>
      <c r="K6" s="37"/>
    </row>
    <row r="7" spans="1:11" s="256" customFormat="1" ht="15">
      <c r="A7" s="283" t="s">
        <v>725</v>
      </c>
      <c r="B7" s="336">
        <v>1467315.36</v>
      </c>
      <c r="C7" s="336">
        <v>4026688.86</v>
      </c>
      <c r="D7" s="336">
        <v>12160904.879999999</v>
      </c>
      <c r="E7" s="336">
        <v>702465.58</v>
      </c>
      <c r="F7" s="81"/>
      <c r="G7" s="284"/>
      <c r="H7" s="49"/>
      <c r="I7" s="49"/>
      <c r="J7" s="285"/>
      <c r="K7" s="37"/>
    </row>
    <row r="8" spans="1:11" s="256" customFormat="1" ht="25.5">
      <c r="A8" s="283" t="s">
        <v>726</v>
      </c>
      <c r="B8" s="331">
        <v>0</v>
      </c>
      <c r="C8" s="336">
        <v>13769376.077500001</v>
      </c>
      <c r="D8" s="336">
        <v>70510702.86999999</v>
      </c>
      <c r="E8" s="331">
        <v>0</v>
      </c>
      <c r="F8" s="84"/>
      <c r="G8" s="284"/>
      <c r="H8" s="49"/>
      <c r="I8" s="49"/>
      <c r="J8" s="285"/>
      <c r="K8" s="37"/>
    </row>
    <row r="9" spans="1:11" s="256" customFormat="1" ht="15">
      <c r="A9" s="283" t="s">
        <v>727</v>
      </c>
      <c r="B9" s="336">
        <v>0</v>
      </c>
      <c r="C9" s="336">
        <v>2996867.2424999997</v>
      </c>
      <c r="D9" s="336">
        <v>18803352.699999999</v>
      </c>
      <c r="E9" s="336">
        <v>0</v>
      </c>
      <c r="F9" s="81"/>
      <c r="G9" s="284"/>
      <c r="H9" s="49"/>
      <c r="I9" s="49"/>
      <c r="J9" s="285"/>
      <c r="K9" s="37"/>
    </row>
    <row r="10" spans="1:11" s="256" customFormat="1" ht="15">
      <c r="A10" s="283" t="s">
        <v>728</v>
      </c>
      <c r="B10" s="336">
        <v>53185055.539999999</v>
      </c>
      <c r="C10" s="336">
        <v>231586299.62999997</v>
      </c>
      <c r="D10" s="336">
        <v>46528397</v>
      </c>
      <c r="E10" s="336">
        <v>31924878.949999999</v>
      </c>
      <c r="F10" s="81"/>
      <c r="G10" s="284"/>
      <c r="H10" s="49"/>
      <c r="I10" s="49"/>
      <c r="J10" s="285"/>
      <c r="K10" s="235"/>
    </row>
    <row r="11" spans="1:11" s="256" customFormat="1" ht="15">
      <c r="A11" s="280" t="s">
        <v>729</v>
      </c>
      <c r="B11" s="335">
        <v>4943161.45</v>
      </c>
      <c r="C11" s="335">
        <v>14382116.57</v>
      </c>
      <c r="D11" s="335">
        <v>7940096.1600000001</v>
      </c>
      <c r="E11" s="335">
        <v>2054076.47</v>
      </c>
      <c r="F11" s="281"/>
      <c r="G11" s="281"/>
      <c r="H11" s="281">
        <v>0</v>
      </c>
      <c r="I11" s="281">
        <v>0</v>
      </c>
      <c r="J11" s="286"/>
      <c r="K11" s="37"/>
    </row>
    <row r="12" spans="1:11" s="256" customFormat="1" ht="15">
      <c r="A12" s="283" t="s">
        <v>730</v>
      </c>
      <c r="B12" s="336">
        <v>361596.3</v>
      </c>
      <c r="C12" s="336">
        <v>962042.38</v>
      </c>
      <c r="D12" s="336">
        <v>5677054.2800000003</v>
      </c>
      <c r="E12" s="336">
        <v>160063.03</v>
      </c>
      <c r="F12" s="284"/>
      <c r="G12" s="284"/>
      <c r="H12" s="80"/>
      <c r="I12" s="80"/>
      <c r="J12" s="285"/>
      <c r="K12" s="37"/>
    </row>
    <row r="13" spans="1:11" s="256" customFormat="1" ht="15">
      <c r="A13" s="283" t="s">
        <v>731</v>
      </c>
      <c r="B13" s="336">
        <v>4581565.1500000004</v>
      </c>
      <c r="C13" s="336">
        <v>13420074.189999999</v>
      </c>
      <c r="D13" s="336">
        <v>0</v>
      </c>
      <c r="E13" s="336">
        <v>1894013.44</v>
      </c>
      <c r="F13" s="284"/>
      <c r="G13" s="284"/>
      <c r="H13" s="80"/>
      <c r="I13" s="80"/>
      <c r="J13" s="285"/>
      <c r="K13" s="37"/>
    </row>
    <row r="14" spans="1:11" s="256" customFormat="1" ht="15">
      <c r="A14" s="283" t="s">
        <v>732</v>
      </c>
      <c r="B14" s="336">
        <v>0</v>
      </c>
      <c r="C14" s="336">
        <v>0</v>
      </c>
      <c r="D14" s="336">
        <v>2263041.88</v>
      </c>
      <c r="E14" s="336">
        <v>0</v>
      </c>
      <c r="F14" s="284"/>
      <c r="G14" s="284"/>
      <c r="H14" s="80"/>
      <c r="I14" s="80"/>
      <c r="J14" s="285"/>
      <c r="K14" s="37"/>
    </row>
    <row r="15" spans="1:11" s="256" customFormat="1" ht="15">
      <c r="A15" s="283" t="s">
        <v>733</v>
      </c>
      <c r="B15" s="337"/>
      <c r="C15" s="337"/>
      <c r="D15" s="337"/>
      <c r="E15" s="337"/>
      <c r="F15" s="287"/>
      <c r="G15" s="287"/>
      <c r="H15" s="287"/>
      <c r="I15" s="287"/>
      <c r="J15" s="285"/>
      <c r="K15" s="37"/>
    </row>
    <row r="16" spans="1:11" s="256" customFormat="1" ht="15">
      <c r="A16" s="283" t="s">
        <v>536</v>
      </c>
      <c r="B16" s="337"/>
      <c r="C16" s="338">
        <v>104926239.11</v>
      </c>
      <c r="D16" s="337"/>
      <c r="E16" s="335">
        <v>34681421</v>
      </c>
      <c r="F16" s="287"/>
      <c r="G16" s="287"/>
      <c r="H16" s="287"/>
      <c r="I16" s="287"/>
      <c r="J16" s="285"/>
      <c r="K16" s="37"/>
    </row>
    <row r="17" spans="1:11" s="256" customFormat="1" ht="15">
      <c r="A17" s="283" t="s">
        <v>734</v>
      </c>
      <c r="B17" s="337"/>
      <c r="C17" s="339">
        <v>78877451.219999999</v>
      </c>
      <c r="D17" s="337"/>
      <c r="E17" s="336">
        <v>27745141</v>
      </c>
      <c r="F17" s="287"/>
      <c r="G17" s="287"/>
      <c r="H17" s="287"/>
      <c r="I17" s="287"/>
      <c r="J17" s="285"/>
      <c r="K17" s="37"/>
    </row>
    <row r="18" spans="1:11" s="256" customFormat="1" ht="15">
      <c r="A18" s="283" t="s">
        <v>735</v>
      </c>
      <c r="B18" s="337"/>
      <c r="C18" s="339">
        <v>28000</v>
      </c>
      <c r="D18" s="337"/>
      <c r="E18" s="336">
        <v>0</v>
      </c>
      <c r="F18" s="287"/>
      <c r="G18" s="287"/>
      <c r="H18" s="287"/>
      <c r="I18" s="287"/>
      <c r="J18" s="285"/>
      <c r="K18" s="37"/>
    </row>
    <row r="19" spans="1:11" s="256" customFormat="1" ht="15">
      <c r="A19" s="283" t="s">
        <v>736</v>
      </c>
      <c r="B19" s="337"/>
      <c r="C19" s="339">
        <v>26020787.890000001</v>
      </c>
      <c r="D19" s="337"/>
      <c r="E19" s="336">
        <v>6936280</v>
      </c>
      <c r="F19" s="287"/>
      <c r="G19" s="287"/>
      <c r="H19" s="287"/>
      <c r="I19" s="287"/>
      <c r="J19" s="285"/>
      <c r="K19" s="37"/>
    </row>
    <row r="20" spans="1:11" s="256" customFormat="1" ht="15">
      <c r="A20" s="288" t="s">
        <v>540</v>
      </c>
      <c r="B20" s="337"/>
      <c r="C20" s="337"/>
      <c r="D20" s="337"/>
      <c r="E20" s="337"/>
      <c r="F20" s="287"/>
      <c r="G20" s="287"/>
      <c r="H20" s="287"/>
      <c r="I20" s="287"/>
      <c r="J20" s="80">
        <v>0</v>
      </c>
      <c r="K20" s="37"/>
    </row>
    <row r="21" spans="1:11" s="256" customFormat="1" ht="15">
      <c r="A21" s="288" t="s">
        <v>541</v>
      </c>
      <c r="B21" s="337"/>
      <c r="C21" s="337"/>
      <c r="D21" s="337"/>
      <c r="E21" s="337"/>
      <c r="F21" s="287"/>
      <c r="G21" s="287"/>
      <c r="H21" s="287"/>
      <c r="I21" s="287"/>
      <c r="J21" s="289"/>
      <c r="K21" s="37"/>
    </row>
    <row r="22" spans="1:11" s="256" customFormat="1" ht="15">
      <c r="A22" s="288" t="s">
        <v>737</v>
      </c>
      <c r="B22" s="337"/>
      <c r="C22" s="337"/>
      <c r="D22" s="337"/>
      <c r="E22" s="337"/>
      <c r="F22" s="287"/>
      <c r="G22" s="287"/>
      <c r="H22" s="287"/>
      <c r="I22" s="287"/>
      <c r="J22" s="289"/>
      <c r="K22" s="37"/>
    </row>
    <row r="23" spans="1:11" s="256" customFormat="1" ht="15">
      <c r="A23" s="288" t="s">
        <v>738</v>
      </c>
      <c r="B23" s="337"/>
      <c r="C23" s="337"/>
      <c r="D23" s="337"/>
      <c r="E23" s="337"/>
      <c r="F23" s="287"/>
      <c r="G23" s="287"/>
      <c r="H23" s="287"/>
      <c r="I23" s="287"/>
      <c r="J23" s="289"/>
      <c r="K23" s="37"/>
    </row>
    <row r="24" spans="1:11" s="256" customFormat="1" ht="15">
      <c r="A24" s="288" t="s">
        <v>739</v>
      </c>
      <c r="B24" s="337"/>
      <c r="C24" s="337"/>
      <c r="D24" s="337"/>
      <c r="E24" s="337"/>
      <c r="F24" s="287"/>
      <c r="G24" s="287"/>
      <c r="H24" s="287"/>
      <c r="I24" s="287"/>
      <c r="J24" s="289"/>
      <c r="K24" s="37"/>
    </row>
    <row r="25" spans="1:11" s="256" customFormat="1" ht="15">
      <c r="A25" s="288" t="s">
        <v>740</v>
      </c>
      <c r="B25" s="337"/>
      <c r="C25" s="337"/>
      <c r="D25" s="337"/>
      <c r="E25" s="337"/>
      <c r="F25" s="287"/>
      <c r="G25" s="287"/>
      <c r="H25" s="287"/>
      <c r="I25" s="287"/>
      <c r="J25" s="289"/>
      <c r="K25" s="37"/>
    </row>
    <row r="26" spans="1:11" s="256" customFormat="1" ht="15">
      <c r="A26" s="288" t="s">
        <v>741</v>
      </c>
      <c r="B26" s="337"/>
      <c r="C26" s="337"/>
      <c r="D26" s="337"/>
      <c r="E26" s="337"/>
      <c r="F26" s="287"/>
      <c r="G26" s="287"/>
      <c r="H26" s="287"/>
      <c r="I26" s="287"/>
      <c r="J26" s="289"/>
      <c r="K26" s="37"/>
    </row>
    <row r="27" spans="1:11" s="256" customFormat="1" ht="15">
      <c r="A27" s="288" t="s">
        <v>742</v>
      </c>
      <c r="B27" s="337"/>
      <c r="C27" s="337"/>
      <c r="D27" s="337"/>
      <c r="E27" s="337"/>
      <c r="F27" s="287"/>
      <c r="G27" s="287"/>
      <c r="H27" s="287"/>
      <c r="I27" s="287"/>
      <c r="J27" s="289"/>
      <c r="K27" s="37"/>
    </row>
    <row r="28" spans="1:11" s="256" customFormat="1" ht="15">
      <c r="A28" s="280" t="s">
        <v>542</v>
      </c>
      <c r="B28" s="334">
        <v>59595532.350000001</v>
      </c>
      <c r="C28" s="334">
        <v>161835109.26999998</v>
      </c>
      <c r="D28" s="334">
        <v>155943453.60999998</v>
      </c>
      <c r="E28" s="337"/>
      <c r="F28" s="281"/>
      <c r="G28" s="281"/>
      <c r="H28" s="281">
        <v>0</v>
      </c>
      <c r="I28" s="281">
        <v>0</v>
      </c>
      <c r="J28" s="282">
        <v>0</v>
      </c>
      <c r="K28" s="37"/>
    </row>
    <row r="29" spans="1:11" s="256" customFormat="1" ht="15">
      <c r="A29" s="290" t="s">
        <v>743</v>
      </c>
      <c r="B29" s="332">
        <v>248596.64999999851</v>
      </c>
      <c r="C29" s="332">
        <v>61848634.730000019</v>
      </c>
      <c r="D29" s="333">
        <v>422213424.24000001</v>
      </c>
      <c r="E29" s="337"/>
      <c r="F29" s="284"/>
      <c r="G29" s="284"/>
      <c r="H29" s="284"/>
      <c r="I29" s="284"/>
      <c r="J29" s="291"/>
      <c r="K29" s="37"/>
    </row>
    <row r="30" spans="1:11" s="256" customFormat="1" ht="15">
      <c r="A30" s="292" t="s">
        <v>543</v>
      </c>
      <c r="B30" s="334">
        <v>59844129</v>
      </c>
      <c r="C30" s="334">
        <v>223683744</v>
      </c>
      <c r="D30" s="334">
        <v>952960797</v>
      </c>
      <c r="E30" s="337"/>
      <c r="F30" s="281"/>
      <c r="G30" s="281"/>
      <c r="H30" s="327"/>
      <c r="I30" s="327"/>
      <c r="J30" s="327"/>
      <c r="K30" s="37"/>
    </row>
    <row r="31" spans="1:11" s="256" customFormat="1" ht="15">
      <c r="A31" s="290" t="s">
        <v>744</v>
      </c>
      <c r="B31" s="337"/>
      <c r="C31" s="337"/>
      <c r="D31" s="340"/>
      <c r="E31" s="337"/>
      <c r="F31" s="287"/>
      <c r="G31" s="287"/>
      <c r="H31" s="287"/>
      <c r="I31" s="287"/>
      <c r="J31" s="285"/>
      <c r="K31" s="37"/>
    </row>
    <row r="32" spans="1:11" s="256" customFormat="1" ht="15">
      <c r="A32" s="292" t="s">
        <v>544</v>
      </c>
      <c r="B32" s="335"/>
      <c r="C32" s="335"/>
      <c r="D32" s="341">
        <v>374803919.14999998</v>
      </c>
      <c r="E32" s="337"/>
      <c r="F32" s="281"/>
      <c r="G32" s="281"/>
      <c r="H32" s="79"/>
      <c r="I32" s="79"/>
      <c r="J32" s="79"/>
      <c r="K32" s="37"/>
    </row>
    <row r="33" spans="1:11" s="256" customFormat="1" ht="25.5">
      <c r="A33" s="290" t="s">
        <v>745</v>
      </c>
      <c r="B33" s="341">
        <v>20945445</v>
      </c>
      <c r="C33" s="341">
        <v>78289310</v>
      </c>
      <c r="D33" s="341">
        <v>329921548</v>
      </c>
      <c r="E33" s="337"/>
      <c r="F33" s="287"/>
      <c r="G33" s="287"/>
      <c r="H33" s="287"/>
      <c r="I33" s="287"/>
      <c r="J33" s="285"/>
      <c r="K33" s="37"/>
    </row>
    <row r="34" spans="1:11" s="256" customFormat="1">
      <c r="A34" s="293" t="s">
        <v>746</v>
      </c>
      <c r="B34" s="294"/>
      <c r="C34" s="294"/>
      <c r="D34" s="295"/>
      <c r="E34" s="295"/>
      <c r="F34" s="295"/>
      <c r="G34" s="295"/>
      <c r="H34" s="295"/>
      <c r="I34" s="295"/>
      <c r="J34" s="296"/>
      <c r="K34" s="37"/>
    </row>
    <row r="35" spans="1:11" s="256" customFormat="1" ht="38.25">
      <c r="A35" s="290" t="s">
        <v>747</v>
      </c>
      <c r="B35" s="297" t="s">
        <v>770</v>
      </c>
      <c r="C35" s="298" t="s">
        <v>771</v>
      </c>
      <c r="D35" s="287"/>
      <c r="E35" s="287"/>
      <c r="F35" s="287"/>
      <c r="G35" s="299"/>
      <c r="H35" s="299"/>
      <c r="I35" s="299"/>
      <c r="J35" s="300"/>
      <c r="K35" s="37"/>
    </row>
    <row r="36" spans="1:11" s="256" customFormat="1" ht="25.5">
      <c r="A36" s="290" t="s">
        <v>748</v>
      </c>
      <c r="B36" s="301">
        <v>0</v>
      </c>
      <c r="C36" s="343">
        <v>7500000</v>
      </c>
      <c r="D36" s="287"/>
      <c r="E36" s="287"/>
      <c r="F36" s="287"/>
      <c r="G36" s="303"/>
      <c r="H36" s="303"/>
      <c r="I36" s="303"/>
      <c r="J36" s="304"/>
      <c r="K36" s="37"/>
    </row>
    <row r="37" spans="1:11" s="256" customFormat="1" ht="25.5">
      <c r="A37" s="290" t="s">
        <v>749</v>
      </c>
      <c r="B37" s="287"/>
      <c r="C37" s="287"/>
      <c r="D37" s="305" t="s">
        <v>660</v>
      </c>
      <c r="E37" s="287"/>
      <c r="F37" s="287"/>
      <c r="G37" s="306"/>
      <c r="H37" s="306"/>
      <c r="I37" s="306"/>
      <c r="J37" s="307"/>
      <c r="K37" s="37"/>
    </row>
    <row r="38" spans="1:11" ht="21">
      <c r="A38" s="308" t="s">
        <v>750</v>
      </c>
      <c r="B38" s="309"/>
      <c r="C38" s="310"/>
      <c r="D38" s="309"/>
      <c r="E38" s="309"/>
      <c r="F38" s="309"/>
      <c r="G38" s="309"/>
      <c r="H38" s="309"/>
      <c r="I38" s="309"/>
      <c r="J38" s="311"/>
    </row>
    <row r="39" spans="1:11">
      <c r="A39" s="313" t="s">
        <v>751</v>
      </c>
      <c r="B39" s="314"/>
      <c r="C39" s="314"/>
      <c r="D39" s="314"/>
      <c r="E39" s="314"/>
      <c r="F39" s="314"/>
      <c r="G39" s="315"/>
      <c r="H39" s="315"/>
      <c r="I39" s="315"/>
      <c r="J39" s="316"/>
    </row>
    <row r="40" spans="1:11" s="256" customFormat="1">
      <c r="A40" s="317" t="s">
        <v>752</v>
      </c>
      <c r="B40" s="318"/>
      <c r="C40" s="318"/>
      <c r="D40" s="318"/>
      <c r="E40" s="318"/>
      <c r="F40" s="318"/>
      <c r="G40" s="319"/>
      <c r="H40" s="319"/>
      <c r="I40" s="319"/>
      <c r="J40" s="320"/>
    </row>
    <row r="41" spans="1:11" s="256" customFormat="1" ht="25.5">
      <c r="A41" s="321" t="s">
        <v>753</v>
      </c>
      <c r="B41" s="322" t="s">
        <v>754</v>
      </c>
      <c r="C41" s="323"/>
      <c r="D41" s="323"/>
      <c r="E41" s="323"/>
      <c r="F41" s="323"/>
      <c r="G41" s="323"/>
      <c r="H41" s="323"/>
      <c r="I41" s="323"/>
      <c r="J41" s="324"/>
    </row>
    <row r="42" spans="1:11" ht="25.5">
      <c r="A42" s="321" t="s">
        <v>755</v>
      </c>
      <c r="B42" s="325" t="s">
        <v>756</v>
      </c>
      <c r="C42" s="323"/>
      <c r="D42" s="323"/>
      <c r="E42" s="323"/>
      <c r="F42" s="323"/>
      <c r="G42" s="323"/>
      <c r="H42" s="323"/>
      <c r="I42" s="323"/>
      <c r="J42" s="324"/>
    </row>
    <row r="43" spans="1:11" ht="47.25" customHeight="1" thickBot="1">
      <c r="A43" s="326" t="s">
        <v>757</v>
      </c>
      <c r="B43" s="347" t="s">
        <v>631</v>
      </c>
      <c r="C43" s="348"/>
      <c r="D43" s="348"/>
      <c r="E43" s="348"/>
      <c r="F43" s="348"/>
      <c r="G43" s="348"/>
      <c r="H43" s="348"/>
      <c r="I43" s="348"/>
      <c r="J43" s="349"/>
    </row>
  </sheetData>
  <mergeCells count="2">
    <mergeCell ref="D3:E3"/>
    <mergeCell ref="B43:J43"/>
  </mergeCells>
  <pageMargins left="0.7" right="0.7" top="0.75" bottom="0.75" header="0.3" footer="0.3"/>
  <pageSetup scale="4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9718-2324-40B2-A73C-29C0AFF1B72A}">
  <sheetPr>
    <tabColor rgb="FFFFC000"/>
  </sheetPr>
  <dimension ref="A1:AD55"/>
  <sheetViews>
    <sheetView view="pageBreakPreview" topLeftCell="B5" zoomScaleNormal="130" zoomScaleSheetLayoutView="100" workbookViewId="0">
      <selection activeCell="H32" sqref="H32"/>
    </sheetView>
  </sheetViews>
  <sheetFormatPr defaultColWidth="9.140625" defaultRowHeight="12.75" outlineLevelCol="1"/>
  <cols>
    <col min="1" max="1" width="48.85546875" style="53" customWidth="1"/>
    <col min="2" max="2" width="18.5703125" style="37" customWidth="1"/>
    <col min="3" max="3" width="21.5703125" style="37" customWidth="1"/>
    <col min="4" max="8" width="18.5703125" style="37" customWidth="1"/>
    <col min="9" max="10" width="13.7109375" style="37" hidden="1" customWidth="1"/>
    <col min="11" max="11" width="15.140625" style="37" hidden="1" customWidth="1"/>
    <col min="12" max="12" width="14.28515625" style="37" bestFit="1" customWidth="1"/>
    <col min="13" max="13" width="6.42578125" style="37" bestFit="1" customWidth="1"/>
    <col min="14" max="14" width="9.140625" style="37"/>
    <col min="15" max="17" width="15.5703125" style="83" customWidth="1" outlineLevel="1"/>
    <col min="18" max="18" width="17.140625" style="83" customWidth="1" outlineLevel="1"/>
    <col min="19" max="19" width="17.28515625" style="53" customWidth="1" outlineLevel="1"/>
    <col min="20" max="20" width="19.5703125" style="83" customWidth="1" outlineLevel="1"/>
    <col min="21" max="21" width="17.140625" style="83" customWidth="1" outlineLevel="1"/>
    <col min="22" max="22" width="15.5703125" style="83" customWidth="1" outlineLevel="1"/>
    <col min="23" max="23" width="21" style="37" customWidth="1"/>
    <col min="24" max="24" width="12.85546875" style="37" bestFit="1" customWidth="1"/>
    <col min="25" max="25" width="13.85546875" style="37" bestFit="1" customWidth="1"/>
    <col min="26" max="26" width="12.85546875" style="37" bestFit="1" customWidth="1"/>
    <col min="27" max="27" width="14.28515625" style="37" bestFit="1" customWidth="1"/>
    <col min="28" max="28" width="6.7109375" style="37" bestFit="1" customWidth="1"/>
    <col min="29" max="29" width="14.28515625" style="37" bestFit="1" customWidth="1"/>
    <col min="30" max="30" width="6.7109375" style="37" bestFit="1" customWidth="1"/>
    <col min="31" max="16384" width="9.140625" style="37"/>
  </cols>
  <sheetData>
    <row r="1" spans="1:30" ht="15" customHeight="1">
      <c r="A1" s="350" t="s">
        <v>511</v>
      </c>
      <c r="B1" s="351"/>
      <c r="C1" s="351"/>
      <c r="D1" s="351"/>
      <c r="E1" s="351"/>
      <c r="F1" s="351"/>
      <c r="G1" s="351"/>
      <c r="H1" s="351"/>
      <c r="I1" s="351"/>
      <c r="J1" s="351"/>
      <c r="K1" s="352"/>
    </row>
    <row r="2" spans="1:30" ht="24" customHeight="1">
      <c r="A2" s="100" t="s">
        <v>638</v>
      </c>
      <c r="B2" s="378" t="s">
        <v>683</v>
      </c>
      <c r="C2" s="377"/>
      <c r="D2" s="378" t="s">
        <v>664</v>
      </c>
      <c r="E2" s="377"/>
      <c r="F2" s="139"/>
      <c r="G2" s="357" t="s">
        <v>708</v>
      </c>
      <c r="H2" s="358"/>
      <c r="I2" s="358"/>
      <c r="J2" s="358"/>
      <c r="K2" s="359"/>
    </row>
    <row r="3" spans="1:30" ht="15" customHeight="1">
      <c r="A3" s="98"/>
      <c r="B3" s="389" t="s">
        <v>684</v>
      </c>
      <c r="C3" s="376"/>
      <c r="D3" s="376"/>
      <c r="E3" s="376"/>
      <c r="F3" s="377"/>
      <c r="G3" s="357" t="s">
        <v>709</v>
      </c>
      <c r="H3" s="358"/>
      <c r="I3" s="358"/>
      <c r="J3" s="358"/>
      <c r="K3" s="359"/>
    </row>
    <row r="4" spans="1:30" ht="9.9499999999999993" customHeight="1" thickBot="1">
      <c r="A4" s="363" t="s">
        <v>512</v>
      </c>
      <c r="B4" s="364"/>
      <c r="C4" s="364"/>
      <c r="D4" s="364"/>
      <c r="E4" s="364"/>
      <c r="F4" s="364"/>
      <c r="G4" s="364"/>
      <c r="H4" s="365"/>
      <c r="I4" s="39"/>
      <c r="J4" s="39"/>
      <c r="K4" s="39"/>
    </row>
    <row r="5" spans="1:30" ht="60.75" customHeight="1">
      <c r="A5" s="101"/>
      <c r="B5" s="140" t="s">
        <v>520</v>
      </c>
      <c r="C5" s="140" t="s">
        <v>700</v>
      </c>
      <c r="D5" s="140" t="s">
        <v>632</v>
      </c>
      <c r="E5" s="140" t="s">
        <v>672</v>
      </c>
      <c r="F5" s="140" t="s">
        <v>673</v>
      </c>
      <c r="G5" s="140" t="s">
        <v>633</v>
      </c>
      <c r="H5" s="140" t="s">
        <v>634</v>
      </c>
      <c r="I5" s="77" t="s">
        <v>635</v>
      </c>
      <c r="J5" s="77" t="s">
        <v>636</v>
      </c>
      <c r="K5" s="77" t="s">
        <v>637</v>
      </c>
      <c r="O5" s="161" t="s">
        <v>1</v>
      </c>
      <c r="P5" s="162" t="s">
        <v>382</v>
      </c>
      <c r="Q5" s="162" t="s">
        <v>2</v>
      </c>
      <c r="R5" s="162" t="s">
        <v>3</v>
      </c>
      <c r="S5" s="134" t="s">
        <v>0</v>
      </c>
      <c r="T5" s="163"/>
      <c r="U5" s="59" t="s">
        <v>682</v>
      </c>
      <c r="Y5" s="218" t="s">
        <v>702</v>
      </c>
      <c r="Z5" s="219"/>
      <c r="AA5" s="220" t="s">
        <v>701</v>
      </c>
      <c r="AB5" s="220"/>
      <c r="AC5" s="220" t="s">
        <v>703</v>
      </c>
      <c r="AD5" s="221"/>
    </row>
    <row r="6" spans="1:30" ht="21.75" customHeight="1">
      <c r="A6" s="102" t="s">
        <v>530</v>
      </c>
      <c r="B6" s="79" t="e">
        <f>SUM(B7:B11)</f>
        <v>#REF!</v>
      </c>
      <c r="C6" s="79" t="e">
        <f t="shared" ref="C6:K6" si="0">SUM(C7:C11)</f>
        <v>#REF!</v>
      </c>
      <c r="D6" s="79" t="e">
        <f>SUM(D7:D11)</f>
        <v>#REF!</v>
      </c>
      <c r="E6" s="79" t="e">
        <f>SUM(E7:E11)</f>
        <v>#REF!</v>
      </c>
      <c r="F6" s="79">
        <f t="shared" si="0"/>
        <v>0</v>
      </c>
      <c r="G6" s="79">
        <f t="shared" si="0"/>
        <v>0</v>
      </c>
      <c r="H6" s="79"/>
      <c r="I6" s="79">
        <f t="shared" si="0"/>
        <v>0</v>
      </c>
      <c r="J6" s="79">
        <f t="shared" si="0"/>
        <v>0</v>
      </c>
      <c r="K6" s="50">
        <f t="shared" si="0"/>
        <v>0</v>
      </c>
      <c r="L6" s="60" t="e">
        <f>L34</f>
        <v>#REF!</v>
      </c>
      <c r="O6" s="164">
        <v>1467315.36</v>
      </c>
      <c r="P6" s="132">
        <v>4026688.86</v>
      </c>
      <c r="Q6" s="132">
        <v>12160904.879999999</v>
      </c>
      <c r="R6" s="132">
        <v>702465.58</v>
      </c>
      <c r="S6" s="165" t="s">
        <v>4</v>
      </c>
      <c r="T6" s="166">
        <v>18357374.679999996</v>
      </c>
      <c r="U6" s="132" t="e">
        <f>SUM(B7:E7)</f>
        <v>#REF!</v>
      </c>
      <c r="V6" s="157" t="e">
        <f>T6-U6</f>
        <v>#REF!</v>
      </c>
      <c r="Y6" s="222" t="e">
        <f>SUM(B6:D6)</f>
        <v>#REF!</v>
      </c>
      <c r="Z6" s="223"/>
      <c r="AA6" s="224" t="e">
        <f>SUM(B6:C6)</f>
        <v>#REF!</v>
      </c>
      <c r="AB6" s="223"/>
      <c r="AC6" s="224" t="e">
        <f>SUM(D6)-(D6*12%)-D7</f>
        <v>#REF!</v>
      </c>
      <c r="AD6" s="225"/>
    </row>
    <row r="7" spans="1:30">
      <c r="A7" s="103" t="s">
        <v>527</v>
      </c>
      <c r="B7" s="80" t="e">
        <f>(#REF!)</f>
        <v>#REF!</v>
      </c>
      <c r="C7" s="80" t="e">
        <f>(#REF!+#REF!+#REF!+#REF!+#REF!)</f>
        <v>#REF!</v>
      </c>
      <c r="D7" s="80" t="e">
        <f>(#REF!)</f>
        <v>#REF!</v>
      </c>
      <c r="E7" s="80" t="e">
        <f>(#REF!)</f>
        <v>#REF!</v>
      </c>
      <c r="F7" s="81"/>
      <c r="G7" s="81"/>
      <c r="H7" s="80"/>
      <c r="I7" s="81"/>
      <c r="J7" s="81"/>
      <c r="K7" s="43"/>
      <c r="L7" s="60" t="e">
        <f>SUM(B7:E7)</f>
        <v>#REF!</v>
      </c>
      <c r="M7" s="238" t="e">
        <f>L7/$L$6</f>
        <v>#REF!</v>
      </c>
      <c r="O7" s="164">
        <v>0</v>
      </c>
      <c r="P7" s="132">
        <v>13741376.077500001</v>
      </c>
      <c r="Q7" s="132">
        <v>70510702.86999999</v>
      </c>
      <c r="R7" s="132">
        <v>0</v>
      </c>
      <c r="S7" s="165" t="s">
        <v>5</v>
      </c>
      <c r="T7" s="166">
        <v>84252078.94749999</v>
      </c>
      <c r="U7" s="132" t="e">
        <f>SUM(B8:E8)</f>
        <v>#REF!</v>
      </c>
      <c r="V7" s="157" t="e">
        <f t="shared" ref="V7:V15" si="1">T7-U7</f>
        <v>#REF!</v>
      </c>
      <c r="Y7" s="226"/>
      <c r="Z7" s="223"/>
      <c r="AA7" s="223"/>
      <c r="AB7" s="223"/>
      <c r="AC7" s="223"/>
      <c r="AD7" s="225"/>
    </row>
    <row r="8" spans="1:30" ht="22.5">
      <c r="A8" s="101" t="s">
        <v>639</v>
      </c>
      <c r="B8" s="83"/>
      <c r="C8" s="80" t="e">
        <f>(#REF!+#REF!+#REF!+#REF!)</f>
        <v>#REF!</v>
      </c>
      <c r="D8" s="80" t="e">
        <f>#REF!</f>
        <v>#REF!</v>
      </c>
      <c r="E8" s="83"/>
      <c r="F8" s="84"/>
      <c r="G8" s="84"/>
      <c r="H8" s="80"/>
      <c r="I8" s="84"/>
      <c r="J8" s="84"/>
      <c r="K8" s="44"/>
      <c r="L8" s="60" t="e">
        <f>SUM(B8:E8)</f>
        <v>#REF!</v>
      </c>
      <c r="M8" s="238" t="e">
        <f t="shared" ref="M8:M11" si="2">L8/$L$6</f>
        <v>#REF!</v>
      </c>
      <c r="O8" s="164">
        <v>0</v>
      </c>
      <c r="P8" s="132">
        <v>0</v>
      </c>
      <c r="Q8" s="132">
        <v>0</v>
      </c>
      <c r="R8" s="132">
        <v>0</v>
      </c>
      <c r="S8" s="167" t="s">
        <v>6</v>
      </c>
      <c r="T8" s="166">
        <v>0</v>
      </c>
      <c r="U8" s="132">
        <v>0</v>
      </c>
      <c r="V8" s="157">
        <f t="shared" si="1"/>
        <v>0</v>
      </c>
      <c r="Y8" s="227" t="e">
        <f>SUM(B8:D8)</f>
        <v>#REF!</v>
      </c>
      <c r="Z8" s="228" t="e">
        <f>Y8/$Y$6</f>
        <v>#REF!</v>
      </c>
      <c r="AA8" s="223"/>
      <c r="AB8" s="223"/>
      <c r="AC8" s="223"/>
      <c r="AD8" s="225"/>
    </row>
    <row r="9" spans="1:30">
      <c r="A9" s="103" t="s">
        <v>528</v>
      </c>
      <c r="B9" s="80" t="e">
        <f>ROUND(#REF!,0)</f>
        <v>#REF!</v>
      </c>
      <c r="C9" s="80" t="e">
        <f>(#REF!+#REF!+#REF!+#REF!+#REF!)</f>
        <v>#REF!</v>
      </c>
      <c r="D9" s="80" t="e">
        <f>#REF!</f>
        <v>#REF!</v>
      </c>
      <c r="E9" s="80" t="e">
        <f>(#REF!)</f>
        <v>#REF!</v>
      </c>
      <c r="F9" s="81"/>
      <c r="G9" s="81"/>
      <c r="H9" s="80"/>
      <c r="I9" s="81"/>
      <c r="J9" s="81"/>
      <c r="K9" s="43"/>
      <c r="L9" s="60" t="e">
        <f t="shared" ref="L9:L11" si="3">SUM(B9:E9)</f>
        <v>#REF!</v>
      </c>
      <c r="M9" s="238" t="e">
        <f t="shared" si="2"/>
        <v>#REF!</v>
      </c>
      <c r="O9" s="164">
        <v>0</v>
      </c>
      <c r="P9" s="132">
        <v>0</v>
      </c>
      <c r="Q9" s="132">
        <v>0</v>
      </c>
      <c r="R9" s="132">
        <v>0</v>
      </c>
      <c r="S9" s="167" t="s">
        <v>23</v>
      </c>
      <c r="T9" s="166">
        <v>0</v>
      </c>
      <c r="U9" s="132">
        <v>0</v>
      </c>
      <c r="V9" s="157">
        <f t="shared" si="1"/>
        <v>0</v>
      </c>
      <c r="Y9" s="227" t="e">
        <f>SUM(B9:D9)</f>
        <v>#REF!</v>
      </c>
      <c r="Z9" s="228" t="e">
        <f>Y9/$Y$6</f>
        <v>#REF!</v>
      </c>
      <c r="AA9" s="223"/>
      <c r="AB9" s="223"/>
      <c r="AC9" s="223"/>
      <c r="AD9" s="225"/>
    </row>
    <row r="10" spans="1:30" ht="13.5" thickBot="1">
      <c r="A10" s="103" t="s">
        <v>529</v>
      </c>
      <c r="B10" s="80" t="e">
        <f>ROUND(#REF!,2)</f>
        <v>#REF!</v>
      </c>
      <c r="C10" s="80" t="e">
        <f>(#REF!+#REF!+#REF!+#REF!+#REF!)</f>
        <v>#REF!</v>
      </c>
      <c r="D10" s="80" t="e">
        <f>#REF!</f>
        <v>#REF!</v>
      </c>
      <c r="E10" s="80" t="e">
        <f>#REF!</f>
        <v>#REF!</v>
      </c>
      <c r="F10" s="81"/>
      <c r="G10" s="81"/>
      <c r="H10" s="80"/>
      <c r="I10" s="81"/>
      <c r="J10" s="81"/>
      <c r="K10" s="43"/>
      <c r="L10" s="60" t="e">
        <f t="shared" si="3"/>
        <v>#REF!</v>
      </c>
      <c r="M10" s="238" t="e">
        <f t="shared" si="2"/>
        <v>#REF!</v>
      </c>
      <c r="O10" s="164">
        <v>0</v>
      </c>
      <c r="P10" s="132">
        <v>0</v>
      </c>
      <c r="Q10" s="132">
        <v>0</v>
      </c>
      <c r="R10" s="132">
        <v>0</v>
      </c>
      <c r="S10" s="167" t="s">
        <v>7</v>
      </c>
      <c r="T10" s="166">
        <v>0</v>
      </c>
      <c r="U10" s="132">
        <v>0</v>
      </c>
      <c r="V10" s="157">
        <f t="shared" si="1"/>
        <v>0</v>
      </c>
      <c r="Y10" s="229"/>
      <c r="Z10" s="230"/>
      <c r="AA10" s="233" t="e">
        <f>SUM(B10:C10)</f>
        <v>#REF!</v>
      </c>
      <c r="AB10" s="231" t="e">
        <f>AA10/AA6</f>
        <v>#REF!</v>
      </c>
      <c r="AC10" s="233" t="e">
        <f>SUM(D10)</f>
        <v>#REF!</v>
      </c>
      <c r="AD10" s="232" t="e">
        <f>AC10/AC6</f>
        <v>#REF!</v>
      </c>
    </row>
    <row r="11" spans="1:30" ht="10.5" customHeight="1">
      <c r="A11" s="102" t="s">
        <v>531</v>
      </c>
      <c r="B11" s="79" t="e">
        <f t="shared" ref="B11:G11" si="4">SUM(B12:B15)</f>
        <v>#REF!</v>
      </c>
      <c r="C11" s="79" t="e">
        <f t="shared" si="4"/>
        <v>#REF!</v>
      </c>
      <c r="D11" s="79" t="e">
        <f t="shared" si="4"/>
        <v>#REF!</v>
      </c>
      <c r="E11" s="79" t="e">
        <f t="shared" si="4"/>
        <v>#REF!</v>
      </c>
      <c r="F11" s="79">
        <f t="shared" si="4"/>
        <v>0</v>
      </c>
      <c r="G11" s="79">
        <f t="shared" si="4"/>
        <v>0</v>
      </c>
      <c r="H11" s="79"/>
      <c r="I11" s="87"/>
      <c r="J11" s="87"/>
      <c r="K11" s="43"/>
      <c r="L11" s="60" t="e">
        <f t="shared" si="3"/>
        <v>#REF!</v>
      </c>
      <c r="M11" s="238" t="e">
        <f t="shared" si="2"/>
        <v>#REF!</v>
      </c>
      <c r="O11" s="164">
        <v>0</v>
      </c>
      <c r="P11" s="132">
        <v>2996867.2424999997</v>
      </c>
      <c r="Q11" s="132">
        <v>18803352.699999999</v>
      </c>
      <c r="R11" s="132">
        <v>0</v>
      </c>
      <c r="S11" s="165" t="s">
        <v>262</v>
      </c>
      <c r="T11" s="166">
        <v>21800219.942499999</v>
      </c>
      <c r="U11" s="132" t="e">
        <f>SUM(B9:E9)</f>
        <v>#REF!</v>
      </c>
      <c r="V11" s="157" t="e">
        <f t="shared" si="1"/>
        <v>#REF!</v>
      </c>
    </row>
    <row r="12" spans="1:30" ht="10.5" customHeight="1">
      <c r="A12" s="104" t="s">
        <v>532</v>
      </c>
      <c r="B12" s="80" t="e">
        <f>(#REF!)</f>
        <v>#REF!</v>
      </c>
      <c r="C12" s="80" t="e">
        <f>(#REF!+#REF!+#REF!+#REF!+#REF!)</f>
        <v>#REF!</v>
      </c>
      <c r="D12" s="80" t="e">
        <f>#REF!</f>
        <v>#REF!</v>
      </c>
      <c r="E12" s="80" t="e">
        <f>#REF!</f>
        <v>#REF!</v>
      </c>
      <c r="F12" s="81"/>
      <c r="G12" s="81"/>
      <c r="H12" s="80"/>
      <c r="I12" s="81"/>
      <c r="J12" s="81"/>
      <c r="K12" s="43"/>
      <c r="M12" s="241" t="e">
        <f>SUM(M7:M11)</f>
        <v>#REF!</v>
      </c>
      <c r="O12" s="164">
        <v>53185055.539999999</v>
      </c>
      <c r="P12" s="132">
        <v>231586299.73999998</v>
      </c>
      <c r="Q12" s="132">
        <v>46528397</v>
      </c>
      <c r="R12" s="132">
        <v>31924878.949999999</v>
      </c>
      <c r="S12" s="165" t="s">
        <v>8</v>
      </c>
      <c r="T12" s="166">
        <v>363224631.22999996</v>
      </c>
      <c r="U12" s="132" t="e">
        <f>SUM(B10:E10)</f>
        <v>#REF!</v>
      </c>
      <c r="V12" s="157" t="e">
        <f t="shared" si="1"/>
        <v>#REF!</v>
      </c>
    </row>
    <row r="13" spans="1:30" ht="11.25" customHeight="1">
      <c r="A13" s="104" t="s">
        <v>533</v>
      </c>
      <c r="B13" s="80" t="e">
        <f>(#REF!)</f>
        <v>#REF!</v>
      </c>
      <c r="C13" s="80" t="e">
        <f>(#REF!+#REF!+#REF!+#REF!+#REF!)</f>
        <v>#REF!</v>
      </c>
      <c r="D13" s="80" t="e">
        <f>#REF!</f>
        <v>#REF!</v>
      </c>
      <c r="E13" s="80" t="e">
        <f>#REF!</f>
        <v>#REF!</v>
      </c>
      <c r="F13" s="81"/>
      <c r="G13" s="81"/>
      <c r="H13" s="80"/>
      <c r="I13" s="81"/>
      <c r="J13" s="81"/>
      <c r="K13" s="43"/>
      <c r="O13" s="164">
        <v>361596.3</v>
      </c>
      <c r="P13" s="132">
        <v>962042.38</v>
      </c>
      <c r="Q13" s="132">
        <v>5677054.2800000003</v>
      </c>
      <c r="R13" s="132">
        <v>160063.03</v>
      </c>
      <c r="S13" s="165" t="s">
        <v>9</v>
      </c>
      <c r="T13" s="166">
        <v>7160755.9900000002</v>
      </c>
      <c r="U13" s="132" t="e">
        <f>SUM(B12:E12)</f>
        <v>#REF!</v>
      </c>
      <c r="V13" s="157" t="e">
        <f t="shared" si="1"/>
        <v>#REF!</v>
      </c>
    </row>
    <row r="14" spans="1:30" ht="12" customHeight="1">
      <c r="A14" s="104" t="s">
        <v>534</v>
      </c>
      <c r="B14" s="80" t="e">
        <f>(#REF!)</f>
        <v>#REF!</v>
      </c>
      <c r="C14" s="80" t="e">
        <f>(#REF!+#REF!+#REF!+#REF!+#REF!)</f>
        <v>#REF!</v>
      </c>
      <c r="D14" s="80" t="e">
        <f>#REF!</f>
        <v>#REF!</v>
      </c>
      <c r="E14" s="80" t="e">
        <f>(#REF!)</f>
        <v>#REF!</v>
      </c>
      <c r="F14" s="81"/>
      <c r="G14" s="81"/>
      <c r="H14" s="80"/>
      <c r="I14" s="81"/>
      <c r="J14" s="81"/>
      <c r="K14" s="43"/>
      <c r="O14" s="164">
        <v>4581565.1500000004</v>
      </c>
      <c r="P14" s="132">
        <v>13420074.189999999</v>
      </c>
      <c r="Q14" s="132">
        <v>0</v>
      </c>
      <c r="R14" s="132">
        <v>1894013.44</v>
      </c>
      <c r="S14" s="165" t="s">
        <v>10</v>
      </c>
      <c r="T14" s="166">
        <v>19895652.780000001</v>
      </c>
      <c r="U14" s="132" t="e">
        <f>SUM(B13:E13)</f>
        <v>#REF!</v>
      </c>
      <c r="V14" s="157" t="e">
        <f t="shared" si="1"/>
        <v>#REF!</v>
      </c>
    </row>
    <row r="15" spans="1:30" ht="14.25" customHeight="1">
      <c r="A15" s="104" t="s">
        <v>535</v>
      </c>
      <c r="B15" s="86"/>
      <c r="C15" s="86"/>
      <c r="D15" s="86"/>
      <c r="E15" s="86"/>
      <c r="F15" s="82"/>
      <c r="G15" s="81"/>
      <c r="H15" s="82"/>
      <c r="I15" s="82"/>
      <c r="J15" s="82"/>
      <c r="K15" s="43"/>
      <c r="O15" s="164">
        <v>0</v>
      </c>
      <c r="P15" s="132">
        <v>28000</v>
      </c>
      <c r="Q15" s="132">
        <v>2263041.88</v>
      </c>
      <c r="R15" s="132">
        <v>0</v>
      </c>
      <c r="S15" s="165" t="s">
        <v>11</v>
      </c>
      <c r="T15" s="166">
        <v>2291041.88</v>
      </c>
      <c r="U15" s="132" t="e">
        <f>SUM(B14:E14)</f>
        <v>#REF!</v>
      </c>
      <c r="V15" s="157" t="e">
        <f t="shared" si="1"/>
        <v>#REF!</v>
      </c>
    </row>
    <row r="16" spans="1:30" ht="13.5" customHeight="1">
      <c r="A16" s="103" t="s">
        <v>536</v>
      </c>
      <c r="B16" s="86"/>
      <c r="C16" s="79" t="e">
        <f>SUM(C17:C19)</f>
        <v>#REF!</v>
      </c>
      <c r="D16" s="86"/>
      <c r="E16" s="79" t="e">
        <f>SUM(E17:E19)</f>
        <v>#REF!</v>
      </c>
      <c r="F16" s="82"/>
      <c r="G16" s="82"/>
      <c r="H16" s="82"/>
      <c r="I16" s="82"/>
      <c r="J16" s="82"/>
      <c r="K16" s="43"/>
      <c r="L16" s="61"/>
      <c r="O16" s="164">
        <v>59595532.349999994</v>
      </c>
      <c r="P16" s="164">
        <v>266761348.48999998</v>
      </c>
      <c r="Q16" s="164">
        <v>155943453.60999998</v>
      </c>
      <c r="R16" s="164">
        <v>34681421</v>
      </c>
      <c r="S16" s="135"/>
      <c r="T16" s="166"/>
      <c r="U16" s="132"/>
      <c r="V16" s="158"/>
    </row>
    <row r="17" spans="1:29">
      <c r="A17" s="103" t="s">
        <v>537</v>
      </c>
      <c r="B17" s="82"/>
      <c r="C17" s="200" t="e">
        <f>(#REF!+#REF!+#REF!+#REF!+#REF!)</f>
        <v>#REF!</v>
      </c>
      <c r="D17" s="86"/>
      <c r="E17" s="80" t="e">
        <f>#REF!</f>
        <v>#REF!</v>
      </c>
      <c r="F17" s="82"/>
      <c r="G17" s="82"/>
      <c r="H17" s="82"/>
      <c r="I17" s="82"/>
      <c r="J17" s="82"/>
      <c r="K17" s="43"/>
      <c r="O17" s="164">
        <v>0</v>
      </c>
      <c r="P17" s="132">
        <v>0</v>
      </c>
      <c r="Q17" s="132">
        <v>0</v>
      </c>
      <c r="R17" s="132">
        <v>0</v>
      </c>
      <c r="S17" s="135"/>
      <c r="T17" s="168"/>
      <c r="U17" s="59"/>
      <c r="V17" s="158"/>
    </row>
    <row r="18" spans="1:29">
      <c r="A18" s="103" t="s">
        <v>538</v>
      </c>
      <c r="B18" s="82"/>
      <c r="C18" s="200" t="e">
        <f>(#REF!)</f>
        <v>#REF!</v>
      </c>
      <c r="D18" s="86"/>
      <c r="E18" s="80">
        <v>0</v>
      </c>
      <c r="F18" s="82"/>
      <c r="G18" s="82"/>
      <c r="H18" s="82"/>
      <c r="I18" s="82"/>
      <c r="J18" s="82"/>
      <c r="K18" s="43"/>
      <c r="L18" s="60"/>
      <c r="M18" s="60"/>
      <c r="O18" s="164" t="s">
        <v>16</v>
      </c>
      <c r="P18" s="132">
        <v>0</v>
      </c>
      <c r="Q18" s="132" t="s">
        <v>21</v>
      </c>
      <c r="R18" s="132">
        <v>516981755.44999993</v>
      </c>
      <c r="S18" s="136"/>
      <c r="T18" s="166">
        <v>516981755.44999993</v>
      </c>
      <c r="U18" s="132" t="e">
        <f>SUM(U6:U15)</f>
        <v>#REF!</v>
      </c>
      <c r="V18" s="157" t="e">
        <f>T18-U18</f>
        <v>#REF!</v>
      </c>
    </row>
    <row r="19" spans="1:29" ht="10.5" customHeight="1">
      <c r="A19" s="103" t="s">
        <v>539</v>
      </c>
      <c r="B19" s="82"/>
      <c r="C19" s="200" t="e">
        <f>(#REF!)</f>
        <v>#REF!</v>
      </c>
      <c r="D19" s="86"/>
      <c r="E19" s="80" t="e">
        <f>#REF!</f>
        <v>#REF!</v>
      </c>
      <c r="F19" s="82"/>
      <c r="G19" s="82"/>
      <c r="H19" s="82"/>
      <c r="I19" s="82"/>
      <c r="J19" s="82"/>
      <c r="K19" s="43"/>
      <c r="L19" s="60"/>
      <c r="M19" s="60"/>
      <c r="O19" s="164">
        <v>0</v>
      </c>
      <c r="P19" s="132">
        <v>0</v>
      </c>
      <c r="Q19" s="132">
        <v>0</v>
      </c>
      <c r="R19" s="132">
        <v>0</v>
      </c>
      <c r="S19" s="137"/>
      <c r="T19" s="166">
        <v>0</v>
      </c>
      <c r="U19" s="132"/>
      <c r="V19" s="158"/>
    </row>
    <row r="20" spans="1:29" ht="10.5" customHeight="1">
      <c r="A20" s="105" t="s">
        <v>540</v>
      </c>
      <c r="B20" s="82"/>
      <c r="C20" s="82"/>
      <c r="D20" s="82"/>
      <c r="E20" s="82"/>
      <c r="F20" s="82"/>
      <c r="G20" s="82"/>
      <c r="H20" s="82"/>
      <c r="I20" s="82"/>
      <c r="J20" s="82"/>
      <c r="K20" s="39"/>
      <c r="L20" s="60"/>
      <c r="M20" s="60"/>
      <c r="O20" s="164">
        <v>0</v>
      </c>
      <c r="P20" s="132">
        <v>0</v>
      </c>
      <c r="Q20" s="132">
        <v>0</v>
      </c>
      <c r="R20" s="132">
        <v>0</v>
      </c>
      <c r="S20" s="135"/>
      <c r="T20" s="168"/>
      <c r="U20" s="59"/>
      <c r="V20" s="158"/>
    </row>
    <row r="21" spans="1:29" ht="10.5" customHeight="1">
      <c r="A21" s="105" t="s">
        <v>541</v>
      </c>
      <c r="B21" s="82"/>
      <c r="C21" s="82"/>
      <c r="D21" s="82"/>
      <c r="E21" s="82"/>
      <c r="F21" s="82"/>
      <c r="G21" s="82"/>
      <c r="H21" s="82"/>
      <c r="I21" s="82"/>
      <c r="J21" s="82"/>
      <c r="K21" s="39"/>
      <c r="O21" s="164" t="s">
        <v>1</v>
      </c>
      <c r="P21" s="132">
        <v>0</v>
      </c>
      <c r="Q21" s="132" t="s">
        <v>2</v>
      </c>
      <c r="R21" s="132" t="s">
        <v>3</v>
      </c>
      <c r="S21" s="169" t="s">
        <v>12</v>
      </c>
      <c r="T21" s="168"/>
      <c r="U21" s="59"/>
      <c r="V21" s="158"/>
    </row>
    <row r="22" spans="1:29" ht="10.5" customHeight="1">
      <c r="A22" s="105" t="s">
        <v>521</v>
      </c>
      <c r="B22" s="82"/>
      <c r="C22" s="82"/>
      <c r="D22" s="82"/>
      <c r="E22" s="82"/>
      <c r="F22" s="82"/>
      <c r="G22" s="82"/>
      <c r="H22" s="82"/>
      <c r="I22" s="82"/>
      <c r="J22" s="82"/>
      <c r="K22" s="39"/>
      <c r="O22" s="164">
        <v>59595532.350000001</v>
      </c>
      <c r="P22" s="132">
        <v>161835109.26999998</v>
      </c>
      <c r="Q22" s="132">
        <v>155943453.60999998</v>
      </c>
      <c r="R22" s="132">
        <v>0</v>
      </c>
      <c r="S22" s="170" t="s">
        <v>13</v>
      </c>
      <c r="T22" s="166"/>
      <c r="U22" s="132" t="e">
        <f>SUM(B28:D28)</f>
        <v>#REF!</v>
      </c>
      <c r="V22" s="157" t="e">
        <f>U22-O22-P22-Q22</f>
        <v>#REF!</v>
      </c>
    </row>
    <row r="23" spans="1:29" ht="10.5" customHeight="1">
      <c r="A23" s="105" t="s">
        <v>522</v>
      </c>
      <c r="B23" s="82"/>
      <c r="C23" s="82"/>
      <c r="D23" s="82"/>
      <c r="E23" s="82"/>
      <c r="F23" s="82"/>
      <c r="G23" s="82"/>
      <c r="H23" s="82"/>
      <c r="I23" s="82"/>
      <c r="J23" s="82"/>
      <c r="K23" s="39"/>
      <c r="O23" s="164">
        <v>0</v>
      </c>
      <c r="P23" s="132">
        <v>28000</v>
      </c>
      <c r="Q23" s="132">
        <v>0</v>
      </c>
      <c r="R23" s="132">
        <v>0</v>
      </c>
      <c r="S23" s="170" t="s">
        <v>14</v>
      </c>
      <c r="T23" s="166"/>
      <c r="U23" s="59"/>
      <c r="V23" s="157">
        <f>U23-R23-P23</f>
        <v>-28000</v>
      </c>
    </row>
    <row r="24" spans="1:29" ht="10.5" customHeight="1">
      <c r="A24" s="105" t="s">
        <v>523</v>
      </c>
      <c r="B24" s="82"/>
      <c r="C24" s="82"/>
      <c r="D24" s="82"/>
      <c r="E24" s="82"/>
      <c r="F24" s="82"/>
      <c r="G24" s="82"/>
      <c r="H24" s="82"/>
      <c r="I24" s="82"/>
      <c r="J24" s="82"/>
      <c r="K24" s="39"/>
      <c r="O24" s="164">
        <v>0</v>
      </c>
      <c r="P24" s="132">
        <v>26020788</v>
      </c>
      <c r="Q24" s="132">
        <v>0</v>
      </c>
      <c r="R24" s="132">
        <v>6936280</v>
      </c>
      <c r="S24" s="170" t="s">
        <v>20</v>
      </c>
      <c r="T24" s="166"/>
      <c r="U24" s="132" t="e">
        <f>SUM(C19:E19)</f>
        <v>#REF!</v>
      </c>
      <c r="V24" s="157" t="e">
        <f>U24-R24-P24</f>
        <v>#REF!</v>
      </c>
    </row>
    <row r="25" spans="1:29" ht="10.5" customHeight="1">
      <c r="A25" s="105" t="s">
        <v>524</v>
      </c>
      <c r="B25" s="82"/>
      <c r="C25" s="82"/>
      <c r="D25" s="82"/>
      <c r="E25" s="82"/>
      <c r="F25" s="82"/>
      <c r="G25" s="82"/>
      <c r="H25" s="82"/>
      <c r="I25" s="82"/>
      <c r="J25" s="82"/>
      <c r="K25" s="39"/>
      <c r="O25" s="164">
        <v>0</v>
      </c>
      <c r="P25" s="132">
        <v>78877451.219999999</v>
      </c>
      <c r="Q25" s="132">
        <v>0</v>
      </c>
      <c r="R25" s="132">
        <v>27745141</v>
      </c>
      <c r="S25" s="170" t="s">
        <v>15</v>
      </c>
      <c r="T25" s="166"/>
      <c r="U25" s="132" t="e">
        <f>SUM(C17:E17)</f>
        <v>#REF!</v>
      </c>
      <c r="V25" s="157" t="e">
        <f>U25-R25-P25</f>
        <v>#REF!</v>
      </c>
    </row>
    <row r="26" spans="1:29" ht="10.5" customHeight="1">
      <c r="A26" s="105" t="s">
        <v>525</v>
      </c>
      <c r="B26" s="82"/>
      <c r="C26" s="82"/>
      <c r="D26" s="82"/>
      <c r="E26" s="82"/>
      <c r="F26" s="82"/>
      <c r="G26" s="82"/>
      <c r="H26" s="82"/>
      <c r="I26" s="82"/>
      <c r="J26" s="82"/>
      <c r="K26" s="39"/>
      <c r="L26" s="60"/>
      <c r="O26" s="246">
        <v>59595532.350000001</v>
      </c>
      <c r="P26" s="246">
        <v>266761348.49000001</v>
      </c>
      <c r="Q26" s="246">
        <v>155943453.60999998</v>
      </c>
      <c r="R26" s="246">
        <v>34681421</v>
      </c>
      <c r="S26" s="135"/>
      <c r="T26" s="166"/>
      <c r="U26" s="132" t="e">
        <f>SUM(U22:U25)</f>
        <v>#REF!</v>
      </c>
      <c r="V26" s="157" t="e">
        <f>+O26+P26+Q26+R26-U26</f>
        <v>#REF!</v>
      </c>
    </row>
    <row r="27" spans="1:29" ht="10.5" customHeight="1">
      <c r="A27" s="105" t="s">
        <v>526</v>
      </c>
      <c r="B27" s="82"/>
      <c r="C27" s="82"/>
      <c r="D27" s="82"/>
      <c r="E27" s="82"/>
      <c r="F27" s="82"/>
      <c r="G27" s="82"/>
      <c r="H27" s="82"/>
      <c r="I27" s="82"/>
      <c r="J27" s="82"/>
      <c r="K27" s="39"/>
      <c r="O27" s="164" t="s">
        <v>24</v>
      </c>
      <c r="P27" s="132">
        <v>0</v>
      </c>
      <c r="Q27" s="132" t="s">
        <v>24</v>
      </c>
      <c r="R27" s="132" t="s">
        <v>24</v>
      </c>
      <c r="S27" s="135"/>
      <c r="T27" s="168"/>
      <c r="U27" s="59"/>
    </row>
    <row r="28" spans="1:29" ht="12" customHeight="1">
      <c r="A28" s="102" t="s">
        <v>542</v>
      </c>
      <c r="B28" s="79" t="e">
        <f>(#REF!)</f>
        <v>#REF!</v>
      </c>
      <c r="C28" s="79" t="e">
        <f>(#REF!+#REF!)</f>
        <v>#REF!</v>
      </c>
      <c r="D28" s="79" t="e">
        <f>(#REF!)</f>
        <v>#REF!</v>
      </c>
      <c r="E28" s="82"/>
      <c r="F28" s="87"/>
      <c r="G28" s="87"/>
      <c r="H28" s="79"/>
      <c r="I28" s="87"/>
      <c r="J28" s="87"/>
      <c r="K28" s="42"/>
      <c r="O28" s="164">
        <v>0</v>
      </c>
      <c r="P28" s="132">
        <v>0</v>
      </c>
      <c r="Q28" s="132" t="s">
        <v>21</v>
      </c>
      <c r="R28" s="132">
        <v>516981755.44999993</v>
      </c>
      <c r="S28" s="135"/>
      <c r="T28" s="168"/>
      <c r="U28" s="59"/>
      <c r="W28" s="37" t="s">
        <v>705</v>
      </c>
    </row>
    <row r="29" spans="1:29" ht="12" customHeight="1">
      <c r="A29" s="101" t="s">
        <v>640</v>
      </c>
      <c r="B29" s="80" t="e">
        <f>B30-B28</f>
        <v>#REF!</v>
      </c>
      <c r="C29" s="80" t="e">
        <f>C30-C28</f>
        <v>#REF!</v>
      </c>
      <c r="D29" s="80" t="e">
        <f>D30-D28-D32</f>
        <v>#REF!</v>
      </c>
      <c r="E29" s="82"/>
      <c r="F29" s="81"/>
      <c r="G29" s="81"/>
      <c r="H29" s="80"/>
      <c r="I29" s="81"/>
      <c r="J29" s="81"/>
      <c r="K29" s="39"/>
      <c r="O29" s="164">
        <v>59844129</v>
      </c>
      <c r="P29" s="132">
        <v>368709716</v>
      </c>
      <c r="Q29" s="132">
        <v>952960797</v>
      </c>
      <c r="R29" s="132">
        <v>34681421</v>
      </c>
      <c r="S29" s="135"/>
      <c r="T29" s="168"/>
      <c r="U29" s="59"/>
      <c r="X29" s="61">
        <v>942632997</v>
      </c>
      <c r="Y29" s="61">
        <v>59844129</v>
      </c>
      <c r="Z29" s="61">
        <v>223683744</v>
      </c>
      <c r="AA29" s="61">
        <v>1226160870</v>
      </c>
      <c r="AB29" s="61"/>
      <c r="AC29" s="61"/>
    </row>
    <row r="30" spans="1:29" ht="15" customHeight="1">
      <c r="A30" s="102" t="s">
        <v>543</v>
      </c>
      <c r="B30" s="79" t="e">
        <f>(#REF!)</f>
        <v>#REF!</v>
      </c>
      <c r="C30" s="79" t="e">
        <f>ROUND(#REF!+#REF!,2)</f>
        <v>#REF!</v>
      </c>
      <c r="D30" s="79" t="e">
        <f>#REF!</f>
        <v>#REF!</v>
      </c>
      <c r="E30" s="82"/>
      <c r="F30" s="87"/>
      <c r="G30" s="87"/>
      <c r="H30" s="79"/>
      <c r="I30" s="79"/>
      <c r="J30" s="79"/>
      <c r="K30" s="42"/>
      <c r="O30" s="164">
        <v>59844129</v>
      </c>
      <c r="P30" s="132">
        <v>368709716</v>
      </c>
      <c r="Q30" s="132">
        <v>952960797</v>
      </c>
      <c r="R30" s="132">
        <v>34681421</v>
      </c>
      <c r="S30" s="135"/>
      <c r="T30" s="168"/>
      <c r="U30" s="59"/>
      <c r="W30" s="60"/>
    </row>
    <row r="31" spans="1:29" ht="13.5" thickBot="1">
      <c r="A31" s="101" t="s">
        <v>641</v>
      </c>
      <c r="B31" s="82"/>
      <c r="C31" s="82"/>
      <c r="D31" s="217"/>
      <c r="E31" s="82"/>
      <c r="F31" s="82"/>
      <c r="G31" s="82"/>
      <c r="H31" s="82"/>
      <c r="I31" s="82"/>
      <c r="J31" s="82"/>
      <c r="K31" s="43"/>
      <c r="L31" s="60">
        <f>AA29</f>
        <v>1226160870</v>
      </c>
      <c r="O31" s="171"/>
      <c r="P31" s="172"/>
      <c r="Q31" s="173"/>
      <c r="R31" s="173"/>
      <c r="S31" s="174"/>
      <c r="T31" s="175"/>
      <c r="W31" s="60"/>
    </row>
    <row r="32" spans="1:29" ht="15" customHeight="1">
      <c r="A32" s="102" t="s">
        <v>544</v>
      </c>
      <c r="B32" s="79" t="e">
        <f>#REF!</f>
        <v>#REF!</v>
      </c>
      <c r="C32" s="79" t="e">
        <f>#REF!</f>
        <v>#REF!</v>
      </c>
      <c r="D32" s="205" t="e">
        <f>#REF!</f>
        <v>#REF!</v>
      </c>
      <c r="E32" s="82"/>
      <c r="F32" s="87"/>
      <c r="G32" s="87"/>
      <c r="H32" s="79"/>
      <c r="I32" s="87"/>
      <c r="J32" s="87"/>
      <c r="K32" s="42"/>
      <c r="L32" s="60" t="e">
        <f>C16</f>
        <v>#REF!</v>
      </c>
      <c r="W32" s="60"/>
    </row>
    <row r="33" spans="1:30" ht="26.25" customHeight="1">
      <c r="A33" s="106" t="s">
        <v>642</v>
      </c>
      <c r="B33" s="44"/>
      <c r="C33" s="44"/>
      <c r="D33" s="44"/>
      <c r="E33" s="44"/>
      <c r="F33" s="44"/>
      <c r="G33" s="44"/>
      <c r="H33" s="44"/>
      <c r="I33" s="44"/>
      <c r="J33" s="44"/>
      <c r="K33" s="45" t="s">
        <v>513</v>
      </c>
      <c r="L33" s="60" t="e">
        <f>E16</f>
        <v>#REF!</v>
      </c>
    </row>
    <row r="34" spans="1:30" ht="22.5" customHeight="1">
      <c r="A34" s="101" t="s">
        <v>643</v>
      </c>
      <c r="B34" s="205" t="e">
        <f>+#REF!</f>
        <v>#REF!</v>
      </c>
      <c r="C34" s="205" t="e">
        <f>+#REF!</f>
        <v>#REF!</v>
      </c>
      <c r="D34" s="205" t="e">
        <f>+#REF!</f>
        <v>#REF!</v>
      </c>
      <c r="E34" s="44"/>
      <c r="F34" s="44"/>
      <c r="G34" s="44"/>
      <c r="H34" s="44"/>
      <c r="I34" s="44"/>
      <c r="J34" s="44"/>
      <c r="K34" s="44"/>
      <c r="L34" s="60" t="e">
        <f>SUM(L31:L33)</f>
        <v>#REF!</v>
      </c>
    </row>
    <row r="35" spans="1:30" ht="19.5" customHeight="1">
      <c r="A35" s="383" t="s">
        <v>627</v>
      </c>
      <c r="B35" s="384"/>
      <c r="C35" s="384"/>
      <c r="D35" s="384"/>
      <c r="E35" s="384"/>
      <c r="F35" s="384"/>
      <c r="G35" s="384"/>
      <c r="H35" s="384"/>
      <c r="I35" s="384"/>
      <c r="J35" s="384"/>
      <c r="K35" s="385"/>
    </row>
    <row r="36" spans="1:30" ht="42" customHeight="1">
      <c r="A36" s="101" t="s">
        <v>644</v>
      </c>
      <c r="B36" s="128" t="s">
        <v>660</v>
      </c>
      <c r="C36" s="128" t="s">
        <v>660</v>
      </c>
      <c r="D36" s="44"/>
      <c r="E36" s="44"/>
      <c r="F36" s="44"/>
      <c r="G36" s="44"/>
      <c r="H36" s="44"/>
      <c r="I36" s="44"/>
      <c r="J36" s="44"/>
      <c r="K36" s="44"/>
      <c r="L36" s="60" t="e">
        <f>L34-L6</f>
        <v>#REF!</v>
      </c>
    </row>
    <row r="37" spans="1:30" ht="27.75" customHeight="1">
      <c r="A37" s="107" t="s">
        <v>645</v>
      </c>
      <c r="B37" s="212">
        <v>0</v>
      </c>
      <c r="C37" s="212">
        <v>0</v>
      </c>
      <c r="D37" s="44"/>
      <c r="E37" s="44"/>
      <c r="F37" s="44"/>
      <c r="G37" s="44"/>
      <c r="H37" s="44"/>
      <c r="I37" s="44"/>
      <c r="J37" s="44"/>
      <c r="K37" s="44"/>
    </row>
    <row r="38" spans="1:30" ht="47.25" customHeight="1">
      <c r="A38" s="106" t="s">
        <v>646</v>
      </c>
      <c r="B38" s="44"/>
      <c r="C38" s="44"/>
      <c r="D38" s="216" t="s">
        <v>662</v>
      </c>
      <c r="E38" s="44"/>
      <c r="F38" s="44"/>
      <c r="G38" s="44"/>
      <c r="H38" s="128" t="s">
        <v>662</v>
      </c>
      <c r="I38" s="47" t="s">
        <v>513</v>
      </c>
      <c r="J38" s="47" t="s">
        <v>513</v>
      </c>
      <c r="K38" s="45" t="s">
        <v>513</v>
      </c>
    </row>
    <row r="39" spans="1:30" ht="9.9499999999999993" customHeight="1">
      <c r="A39" s="363" t="s">
        <v>515</v>
      </c>
      <c r="B39" s="364"/>
      <c r="C39" s="364"/>
      <c r="D39" s="364"/>
      <c r="E39" s="364"/>
      <c r="F39" s="364"/>
      <c r="G39" s="364"/>
      <c r="H39" s="364"/>
      <c r="I39" s="364"/>
      <c r="J39" s="364"/>
      <c r="K39" s="365"/>
    </row>
    <row r="40" spans="1:30" ht="16.5" customHeight="1">
      <c r="A40" s="386" t="s">
        <v>516</v>
      </c>
      <c r="B40" s="387"/>
      <c r="C40" s="387"/>
      <c r="D40" s="387"/>
      <c r="E40" s="387"/>
      <c r="F40" s="387"/>
      <c r="G40" s="387"/>
      <c r="H40" s="387"/>
      <c r="I40" s="388"/>
      <c r="J40" s="38"/>
      <c r="K40" s="38"/>
    </row>
    <row r="41" spans="1:30" ht="12.95" customHeight="1">
      <c r="A41" s="101" t="s">
        <v>647</v>
      </c>
      <c r="B41" s="386" t="s">
        <v>517</v>
      </c>
      <c r="C41" s="387"/>
      <c r="D41" s="387"/>
      <c r="E41" s="387"/>
      <c r="F41" s="387"/>
      <c r="G41" s="387"/>
      <c r="H41" s="387"/>
      <c r="I41" s="388"/>
      <c r="J41" s="38"/>
      <c r="K41" s="38"/>
      <c r="Y41" s="53"/>
      <c r="Z41" s="53"/>
      <c r="AA41" s="53"/>
      <c r="AB41" s="53"/>
      <c r="AC41" s="53"/>
      <c r="AD41" s="53"/>
    </row>
    <row r="42" spans="1:30" ht="12" customHeight="1">
      <c r="A42" s="101" t="s">
        <v>648</v>
      </c>
      <c r="B42" s="386" t="s">
        <v>518</v>
      </c>
      <c r="C42" s="387"/>
      <c r="D42" s="387"/>
      <c r="E42" s="387"/>
      <c r="F42" s="387"/>
      <c r="G42" s="387"/>
      <c r="H42" s="387"/>
      <c r="I42" s="388"/>
      <c r="J42" s="48"/>
      <c r="K42" s="48"/>
      <c r="Y42" s="53"/>
      <c r="Z42" s="53"/>
      <c r="AA42" s="53"/>
      <c r="AB42" s="53"/>
      <c r="AC42" s="53"/>
      <c r="AD42" s="53"/>
    </row>
    <row r="43" spans="1:30" ht="19.5" customHeight="1">
      <c r="A43" s="101" t="s">
        <v>649</v>
      </c>
      <c r="B43" s="380" t="s">
        <v>519</v>
      </c>
      <c r="C43" s="381"/>
      <c r="D43" s="381"/>
      <c r="E43" s="381"/>
      <c r="F43" s="381"/>
      <c r="G43" s="381"/>
      <c r="H43" s="381"/>
      <c r="I43" s="381"/>
      <c r="J43" s="381"/>
      <c r="K43" s="382"/>
      <c r="Y43" s="53"/>
      <c r="Z43" s="53"/>
      <c r="AA43" s="53"/>
      <c r="AB43" s="53"/>
      <c r="AC43" s="53"/>
      <c r="AD43" s="53"/>
    </row>
    <row r="45" spans="1:30">
      <c r="A45" s="53" t="s">
        <v>711</v>
      </c>
      <c r="B45" s="245" t="e">
        <f>IF(B6&lt;&gt;(B28+B16),"not balanced", " ")</f>
        <v>#REF!</v>
      </c>
      <c r="C45" s="245" t="e">
        <f>IF(C6&lt;&gt;(C28+C16),"not balanced", " ")</f>
        <v>#REF!</v>
      </c>
      <c r="D45" s="245" t="e">
        <f>IF(D6&lt;&gt;D28,"not balanced", " ")</f>
        <v>#REF!</v>
      </c>
      <c r="E45" s="245" t="e">
        <f>IF(E6&lt;&gt;(E28+E16),"not balanced", " ")</f>
        <v>#REF!</v>
      </c>
      <c r="F45" s="245" t="str">
        <f t="shared" ref="F45:H45" si="5">IF(F6&lt;&gt;F28,"not balanced", " ")</f>
        <v xml:space="preserve"> </v>
      </c>
      <c r="G45" s="245" t="str">
        <f t="shared" si="5"/>
        <v xml:space="preserve"> </v>
      </c>
      <c r="H45" s="245" t="str">
        <f t="shared" si="5"/>
        <v xml:space="preserve"> </v>
      </c>
    </row>
    <row r="46" spans="1:30">
      <c r="B46" t="e">
        <f>IF(B6&lt;&gt;B28,"not balanced", " ")</f>
        <v>#REF!</v>
      </c>
      <c r="C46" s="243" t="s">
        <v>710</v>
      </c>
      <c r="D46" s="244"/>
      <c r="E46" s="244" t="e">
        <f>IF(E6&lt;&gt;(E28+E16),"not balanced", " ")</f>
        <v>#REF!</v>
      </c>
      <c r="F46" t="str">
        <f>IF(F6&lt;&gt;(F28+F16),"not balanced", " ")</f>
        <v xml:space="preserve"> </v>
      </c>
      <c r="G46" t="str">
        <f>IF(G6&lt;&gt;(G28+G16),"not balanced", " ")</f>
        <v xml:space="preserve"> </v>
      </c>
      <c r="H46" t="str">
        <f>IF(H6&lt;&gt;(H28+H16),"not balanced", " ")</f>
        <v xml:space="preserve"> </v>
      </c>
    </row>
    <row r="48" spans="1:30">
      <c r="C48" s="60"/>
      <c r="D48" s="60"/>
    </row>
    <row r="49" spans="3:30" ht="15.75">
      <c r="C49" s="60"/>
      <c r="F49" s="60"/>
      <c r="Y49" s="131"/>
      <c r="Z49" s="131"/>
      <c r="AA49" s="131"/>
      <c r="AB49" s="131"/>
      <c r="AC49" s="131"/>
      <c r="AD49" s="131"/>
    </row>
    <row r="50" spans="3:30" ht="15.75">
      <c r="C50" s="60"/>
      <c r="Y50" s="131"/>
      <c r="Z50" s="131"/>
      <c r="AA50" s="131"/>
      <c r="AB50" s="131"/>
      <c r="AC50" s="131"/>
      <c r="AD50" s="131"/>
    </row>
    <row r="52" spans="3:30">
      <c r="C52" s="60"/>
    </row>
    <row r="53" spans="3:30">
      <c r="C53" s="60"/>
    </row>
    <row r="54" spans="3:30">
      <c r="C54" s="60"/>
    </row>
    <row r="55" spans="3:30">
      <c r="C55" s="60"/>
    </row>
  </sheetData>
  <mergeCells count="13">
    <mergeCell ref="A1:K1"/>
    <mergeCell ref="B2:C2"/>
    <mergeCell ref="D2:E2"/>
    <mergeCell ref="G2:K2"/>
    <mergeCell ref="B3:F3"/>
    <mergeCell ref="G3:K3"/>
    <mergeCell ref="B43:K43"/>
    <mergeCell ref="A4:H4"/>
    <mergeCell ref="A35:K35"/>
    <mergeCell ref="A39:K39"/>
    <mergeCell ref="A40:I40"/>
    <mergeCell ref="B41:I41"/>
    <mergeCell ref="B42:I42"/>
  </mergeCells>
  <conditionalFormatting sqref="B46:H46">
    <cfRule type="cellIs" dxfId="2" priority="2" stopIfTrue="1" operator="lessThan">
      <formula>0</formula>
    </cfRule>
  </conditionalFormatting>
  <conditionalFormatting sqref="S5:S10 S12:S25">
    <cfRule type="cellIs" dxfId="1" priority="1" stopIfTrue="1" operator="lessThan">
      <formula>0</formula>
    </cfRule>
  </conditionalFormatting>
  <printOptions horizontalCentered="1" verticalCentered="1"/>
  <pageMargins left="0.25" right="0.25" top="0.75" bottom="0.75" header="0.3" footer="0.3"/>
  <pageSetup scale="42"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pageSetUpPr fitToPage="1"/>
  </sheetPr>
  <dimension ref="A1:AP591"/>
  <sheetViews>
    <sheetView workbookViewId="0">
      <selection activeCell="C14" sqref="C14"/>
    </sheetView>
  </sheetViews>
  <sheetFormatPr defaultRowHeight="12.75"/>
  <cols>
    <col min="1" max="1" width="13.85546875" bestFit="1" customWidth="1"/>
    <col min="2" max="2" width="28.5703125" bestFit="1" customWidth="1"/>
    <col min="3" max="3" width="71.85546875" customWidth="1"/>
    <col min="4" max="4" width="16.5703125" customWidth="1"/>
    <col min="5" max="5" width="15" customWidth="1"/>
    <col min="6" max="6" width="18.85546875" customWidth="1"/>
    <col min="7" max="7" width="12" customWidth="1"/>
    <col min="8" max="8" width="15.85546875" customWidth="1"/>
    <col min="9" max="9" width="20.85546875" customWidth="1"/>
    <col min="10" max="10" width="25.42578125" bestFit="1" customWidth="1"/>
    <col min="11" max="11" width="16.42578125" customWidth="1"/>
    <col min="12" max="12" width="9.85546875" customWidth="1"/>
    <col min="13" max="13" width="13.42578125" bestFit="1" customWidth="1"/>
    <col min="14" max="14" width="16.28515625" bestFit="1" customWidth="1"/>
    <col min="19" max="19" width="28.5703125" bestFit="1" customWidth="1"/>
    <col min="20" max="20" width="17" bestFit="1" customWidth="1"/>
    <col min="21" max="22" width="15.5703125" bestFit="1" customWidth="1"/>
    <col min="23" max="23" width="15.5703125" customWidth="1"/>
    <col min="24" max="24" width="15" bestFit="1" customWidth="1"/>
    <col min="25" max="25" width="8.28515625" bestFit="1" customWidth="1"/>
    <col min="26" max="26" width="31.28515625" style="18" customWidth="1"/>
    <col min="27" max="27" width="17.5703125" customWidth="1"/>
    <col min="28" max="28" width="14.85546875" style="4" customWidth="1"/>
    <col min="29" max="29" width="18.85546875" customWidth="1"/>
    <col min="30" max="30" width="17.140625" style="4" customWidth="1"/>
    <col min="31" max="31" width="18.85546875" customWidth="1"/>
    <col min="32" max="32" width="16.7109375" customWidth="1"/>
    <col min="33" max="33" width="6.28515625" customWidth="1"/>
    <col min="34" max="34" width="16.140625" bestFit="1" customWidth="1"/>
    <col min="35" max="35" width="23.85546875" customWidth="1"/>
    <col min="36" max="36" width="14.5703125" style="4" bestFit="1" customWidth="1"/>
    <col min="37" max="37" width="11.5703125" customWidth="1"/>
    <col min="38" max="38" width="15.5703125" bestFit="1" customWidth="1"/>
    <col min="39" max="39" width="15" bestFit="1" customWidth="1"/>
    <col min="40" max="40" width="15" customWidth="1"/>
    <col min="41" max="41" width="32.140625" bestFit="1" customWidth="1"/>
    <col min="42" max="42" width="20.42578125" customWidth="1"/>
  </cols>
  <sheetData>
    <row r="1" spans="1:9" ht="18">
      <c r="A1" s="20">
        <v>44671</v>
      </c>
      <c r="B1" s="19" t="s">
        <v>383</v>
      </c>
    </row>
    <row r="2" spans="1:9">
      <c r="A2" s="21" t="s">
        <v>243</v>
      </c>
    </row>
    <row r="3" spans="1:9">
      <c r="A3" s="21"/>
    </row>
    <row r="4" spans="1:9">
      <c r="A4" s="32" t="s">
        <v>314</v>
      </c>
    </row>
    <row r="5" spans="1:9">
      <c r="A5" s="32" t="s">
        <v>375</v>
      </c>
    </row>
    <row r="6" spans="1:9">
      <c r="A6" s="32" t="s">
        <v>315</v>
      </c>
    </row>
    <row r="7" spans="1:9">
      <c r="A7" s="32" t="s">
        <v>606</v>
      </c>
    </row>
    <row r="8" spans="1:9">
      <c r="A8" s="21"/>
    </row>
    <row r="9" spans="1:9" ht="15">
      <c r="A9" s="14"/>
      <c r="E9" s="36"/>
    </row>
    <row r="10" spans="1:9">
      <c r="A10" s="14"/>
    </row>
    <row r="11" spans="1:9">
      <c r="A11" s="14"/>
    </row>
    <row r="12" spans="1:9">
      <c r="A12" s="17" t="s">
        <v>205</v>
      </c>
      <c r="B12" t="s">
        <v>236</v>
      </c>
    </row>
    <row r="13" spans="1:9">
      <c r="A13" s="18" t="s">
        <v>217</v>
      </c>
      <c r="B13" s="16">
        <v>-16370568.360000001</v>
      </c>
      <c r="C13" s="4">
        <f>GETPIVOTDATA("SumOfPAYMENT_AMT",$A$12,"FEE_CD","CERTD")</f>
        <v>-16370568.360000001</v>
      </c>
      <c r="D13" s="26" t="s">
        <v>373</v>
      </c>
      <c r="E13" s="27"/>
      <c r="I13" s="4"/>
    </row>
    <row r="14" spans="1:9">
      <c r="A14" s="18" t="s">
        <v>216</v>
      </c>
      <c r="B14" s="16">
        <v>-28129022.540000003</v>
      </c>
      <c r="C14" s="4">
        <f>GETPIVOTDATA("SumOfPAYMENT_AMT",$A$12,"FEE_CD","CERTQ")+4082152.44</f>
        <v>-24046870.100000001</v>
      </c>
      <c r="D14" s="28" t="s">
        <v>371</v>
      </c>
      <c r="E14" s="28" t="s">
        <v>372</v>
      </c>
      <c r="F14" s="23" t="s">
        <v>655</v>
      </c>
      <c r="I14" s="4"/>
    </row>
    <row r="15" spans="1:9">
      <c r="A15" s="18" t="s">
        <v>384</v>
      </c>
      <c r="B15" s="16"/>
      <c r="C15" s="4">
        <v>3386566.9</v>
      </c>
      <c r="D15" s="29">
        <f>-(C16)-E15</f>
        <v>13628048.200000003</v>
      </c>
      <c r="E15" s="30">
        <f>-ROUNDDOWN(GETPIVOTDATA("SumOfPAYMENT_AMT",$A$12,"FEE_CD","CERTQ")*0.25,0)</f>
        <v>7032255</v>
      </c>
      <c r="F15" s="8">
        <f>SUM(D15:E15)</f>
        <v>20660303.200000003</v>
      </c>
      <c r="I15" s="4"/>
    </row>
    <row r="16" spans="1:9" ht="13.5" thickBot="1">
      <c r="A16" s="18"/>
      <c r="B16" s="16">
        <v>0</v>
      </c>
      <c r="C16" s="76">
        <f>SUM(C14:C15)</f>
        <v>-20660303.200000003</v>
      </c>
      <c r="I16" s="4"/>
    </row>
    <row r="17" spans="1:42" ht="13.5" thickTop="1">
      <c r="A17" s="18" t="s">
        <v>206</v>
      </c>
      <c r="B17" s="16">
        <v>-44499590.900000006</v>
      </c>
      <c r="C17" s="4"/>
    </row>
    <row r="18" spans="1:42">
      <c r="C18" s="4">
        <f>SUM(C13:C15)</f>
        <v>-37030871.560000002</v>
      </c>
      <c r="E18" s="8"/>
      <c r="F18" s="4"/>
    </row>
    <row r="19" spans="1:42" ht="15.75" thickBot="1">
      <c r="A19" s="18"/>
      <c r="B19" s="62"/>
      <c r="C19" s="74">
        <v>41113024</v>
      </c>
      <c r="F19" s="4"/>
      <c r="S19" s="17" t="s">
        <v>236</v>
      </c>
      <c r="T19" s="17" t="s">
        <v>428</v>
      </c>
      <c r="AH19" s="9" t="s">
        <v>487</v>
      </c>
    </row>
    <row r="20" spans="1:42" ht="30.75" thickBot="1">
      <c r="A20" s="13"/>
      <c r="C20" s="24">
        <f>SUM(C18:C19)</f>
        <v>4082152.4399999976</v>
      </c>
      <c r="D20" s="10" t="s">
        <v>487</v>
      </c>
      <c r="F20" s="35"/>
      <c r="J20" s="11"/>
      <c r="S20" s="17" t="s">
        <v>205</v>
      </c>
      <c r="T20" t="s">
        <v>217</v>
      </c>
      <c r="U20" t="s">
        <v>216</v>
      </c>
      <c r="V20" t="s">
        <v>206</v>
      </c>
      <c r="Y20" s="124" t="s">
        <v>316</v>
      </c>
      <c r="Z20" s="125" t="s">
        <v>317</v>
      </c>
      <c r="AA20" s="124" t="s">
        <v>601</v>
      </c>
      <c r="AB20" s="126" t="s">
        <v>603</v>
      </c>
      <c r="AC20" s="127" t="s">
        <v>652</v>
      </c>
      <c r="AD20" s="126" t="s">
        <v>653</v>
      </c>
      <c r="AE20" s="127" t="s">
        <v>19</v>
      </c>
      <c r="AF20" s="111" t="s">
        <v>487</v>
      </c>
      <c r="AH20" s="68" t="s">
        <v>604</v>
      </c>
      <c r="AL20" t="s">
        <v>654</v>
      </c>
      <c r="AP20" s="66" t="s">
        <v>602</v>
      </c>
    </row>
    <row r="21" spans="1:42" ht="15.75" thickBot="1">
      <c r="A21" s="70" t="s">
        <v>212</v>
      </c>
      <c r="B21" s="70" t="s">
        <v>27</v>
      </c>
      <c r="C21" s="70" t="s">
        <v>28</v>
      </c>
      <c r="D21" s="70" t="s">
        <v>263</v>
      </c>
      <c r="E21" s="70" t="s">
        <v>313</v>
      </c>
      <c r="F21" s="70" t="s">
        <v>29</v>
      </c>
      <c r="G21" s="70" t="s">
        <v>30</v>
      </c>
      <c r="H21" s="70" t="s">
        <v>32</v>
      </c>
      <c r="I21" s="70" t="s">
        <v>33</v>
      </c>
      <c r="J21" s="70" t="s">
        <v>34</v>
      </c>
      <c r="K21" s="70" t="s">
        <v>213</v>
      </c>
      <c r="L21" s="70" t="s">
        <v>214</v>
      </c>
      <c r="M21" s="70" t="s">
        <v>215</v>
      </c>
      <c r="N21" s="70" t="s">
        <v>31</v>
      </c>
      <c r="S21" s="18" t="s">
        <v>422</v>
      </c>
      <c r="T21" s="31">
        <v>-389319.90999999992</v>
      </c>
      <c r="U21" s="31">
        <v>-350000</v>
      </c>
      <c r="V21" s="31">
        <v>-739319.90999999992</v>
      </c>
      <c r="X21" s="31">
        <f>-GETPIVOTDATA("SumOfPAYMENT_AMT",$S$19,"CONTRACT_NUM","0121CCM001")</f>
        <v>739319.90999999992</v>
      </c>
      <c r="Y21" s="63" t="s">
        <v>318</v>
      </c>
      <c r="Z21" s="65" t="s">
        <v>319</v>
      </c>
      <c r="AA21" s="64">
        <v>650440</v>
      </c>
      <c r="AB21" s="121"/>
      <c r="AC21" s="67">
        <f>X21+AB21</f>
        <v>739319.90999999992</v>
      </c>
      <c r="AD21" s="121"/>
      <c r="AE21" s="67">
        <f>SUM(AC21:AD21)</f>
        <v>739319.90999999992</v>
      </c>
      <c r="AF21" s="31">
        <f>AE21-AA21</f>
        <v>88879.909999999916</v>
      </c>
      <c r="AH21" s="120">
        <f>AE21-AA21</f>
        <v>88879.909999999916</v>
      </c>
      <c r="AJ21" s="4">
        <v>739319.90999999992</v>
      </c>
      <c r="AK21" s="8">
        <f t="shared" ref="AK21:AK43" si="0">AJ21-X21</f>
        <v>0</v>
      </c>
      <c r="AL21" s="31">
        <v>824319.91000000015</v>
      </c>
      <c r="AM21" s="75">
        <f>AJ21-AL21</f>
        <v>-85000.000000000233</v>
      </c>
      <c r="AN21" s="31">
        <f>AL21-AE21</f>
        <v>85000.000000000233</v>
      </c>
      <c r="AO21" s="10" t="s">
        <v>650</v>
      </c>
      <c r="AP21" s="67">
        <v>85000</v>
      </c>
    </row>
    <row r="22" spans="1:42" ht="15.75" thickBot="1">
      <c r="A22" s="71" t="s">
        <v>217</v>
      </c>
      <c r="B22" s="71" t="s">
        <v>566</v>
      </c>
      <c r="C22" s="71" t="s">
        <v>567</v>
      </c>
      <c r="D22" s="71" t="s">
        <v>568</v>
      </c>
      <c r="E22" s="71" t="s">
        <v>24</v>
      </c>
      <c r="F22" s="71" t="s">
        <v>569</v>
      </c>
      <c r="G22" s="71" t="s">
        <v>40</v>
      </c>
      <c r="H22" s="71" t="s">
        <v>24</v>
      </c>
      <c r="I22" s="71" t="s">
        <v>39</v>
      </c>
      <c r="J22" s="72">
        <v>-276421</v>
      </c>
      <c r="K22" s="73">
        <v>44603</v>
      </c>
      <c r="L22" s="73">
        <v>44603</v>
      </c>
      <c r="M22" s="73">
        <v>44620</v>
      </c>
      <c r="N22" s="71" t="s">
        <v>38</v>
      </c>
      <c r="S22" s="18" t="s">
        <v>389</v>
      </c>
      <c r="T22" s="31">
        <v>-649126</v>
      </c>
      <c r="U22" s="31"/>
      <c r="V22" s="31">
        <v>-649126</v>
      </c>
      <c r="W22" s="31"/>
      <c r="X22" s="31">
        <f>-GETPIVOTDATA("SumOfPAYMENT_AMT",$S$19,"CONTRACT_NUM","0221CCM001")</f>
        <v>649126</v>
      </c>
      <c r="Y22" s="63" t="s">
        <v>320</v>
      </c>
      <c r="Z22" s="65" t="s">
        <v>321</v>
      </c>
      <c r="AA22" s="64">
        <v>649126</v>
      </c>
      <c r="AB22" s="121"/>
      <c r="AC22" s="67">
        <f t="shared" ref="AC22:AC48" si="1">X22+AB22</f>
        <v>649126</v>
      </c>
      <c r="AD22" s="121"/>
      <c r="AE22" s="67">
        <f t="shared" ref="AE22:AE48" si="2">SUM(AC22:AD22)</f>
        <v>649126</v>
      </c>
      <c r="AF22" s="31">
        <f t="shared" ref="AF22:AF47" si="3">AE22-AA22</f>
        <v>0</v>
      </c>
      <c r="AG22" s="31"/>
      <c r="AH22" s="120">
        <f t="shared" ref="AH22:AH48" si="4">AE22-AA22</f>
        <v>0</v>
      </c>
      <c r="AI22" s="31"/>
      <c r="AJ22" s="4">
        <v>649126</v>
      </c>
      <c r="AK22" s="8">
        <f t="shared" si="0"/>
        <v>0</v>
      </c>
      <c r="AL22" s="31">
        <v>649126</v>
      </c>
      <c r="AM22" s="31">
        <f t="shared" ref="AM22:AM48" si="5">AJ22-AL22</f>
        <v>0</v>
      </c>
      <c r="AN22" s="31">
        <f t="shared" ref="AN22:AN49" si="6">AL22-AE22</f>
        <v>0</v>
      </c>
      <c r="AP22" s="67"/>
    </row>
    <row r="23" spans="1:42" ht="15.75" thickBot="1">
      <c r="A23" s="71" t="s">
        <v>217</v>
      </c>
      <c r="B23" s="71" t="s">
        <v>380</v>
      </c>
      <c r="C23" s="71" t="s">
        <v>381</v>
      </c>
      <c r="D23" s="71" t="s">
        <v>467</v>
      </c>
      <c r="E23" s="71" t="s">
        <v>24</v>
      </c>
      <c r="F23" s="71" t="s">
        <v>547</v>
      </c>
      <c r="G23" s="71" t="s">
        <v>40</v>
      </c>
      <c r="H23" s="71" t="s">
        <v>24</v>
      </c>
      <c r="I23" s="71" t="s">
        <v>39</v>
      </c>
      <c r="J23" s="72">
        <v>-100000</v>
      </c>
      <c r="K23" s="73">
        <v>44496</v>
      </c>
      <c r="L23" s="73">
        <v>44496</v>
      </c>
      <c r="M23" s="73">
        <v>44498</v>
      </c>
      <c r="N23" s="71" t="s">
        <v>38</v>
      </c>
      <c r="S23" s="18" t="s">
        <v>548</v>
      </c>
      <c r="T23" s="31">
        <v>-282409</v>
      </c>
      <c r="U23" s="31"/>
      <c r="V23" s="31">
        <v>-282409</v>
      </c>
      <c r="W23" s="31"/>
      <c r="X23" s="31">
        <f>-GETPIVOTDATA("SumOfPAYMENT_AMT",$S$19,"CONTRACT_NUM","0321CCM001")</f>
        <v>282409</v>
      </c>
      <c r="Y23" s="63" t="s">
        <v>322</v>
      </c>
      <c r="Z23" s="65" t="s">
        <v>323</v>
      </c>
      <c r="AA23" s="64">
        <v>297409</v>
      </c>
      <c r="AB23" s="121">
        <v>15000</v>
      </c>
      <c r="AC23" s="67">
        <f>X23+AB23</f>
        <v>297409</v>
      </c>
      <c r="AD23" s="121"/>
      <c r="AE23" s="67">
        <f t="shared" si="2"/>
        <v>297409</v>
      </c>
      <c r="AF23" s="31">
        <f t="shared" si="3"/>
        <v>0</v>
      </c>
      <c r="AG23" s="31"/>
      <c r="AH23" s="120">
        <f t="shared" si="4"/>
        <v>0</v>
      </c>
      <c r="AJ23" s="4">
        <v>297409</v>
      </c>
      <c r="AK23" s="8">
        <f t="shared" si="0"/>
        <v>15000</v>
      </c>
      <c r="AL23" s="31">
        <v>297409</v>
      </c>
      <c r="AM23" s="31">
        <f t="shared" si="5"/>
        <v>0</v>
      </c>
      <c r="AN23" s="31">
        <f t="shared" si="6"/>
        <v>0</v>
      </c>
      <c r="AO23" s="10"/>
      <c r="AP23" s="67"/>
    </row>
    <row r="24" spans="1:42" ht="15.75" thickBot="1">
      <c r="A24" s="71" t="s">
        <v>217</v>
      </c>
      <c r="B24" s="71" t="s">
        <v>380</v>
      </c>
      <c r="C24" s="71" t="s">
        <v>381</v>
      </c>
      <c r="D24" s="71" t="s">
        <v>467</v>
      </c>
      <c r="E24" s="71" t="s">
        <v>24</v>
      </c>
      <c r="F24" s="71" t="s">
        <v>547</v>
      </c>
      <c r="G24" s="71" t="s">
        <v>42</v>
      </c>
      <c r="H24" s="71" t="s">
        <v>24</v>
      </c>
      <c r="I24" s="71" t="s">
        <v>39</v>
      </c>
      <c r="J24" s="72">
        <v>-100000</v>
      </c>
      <c r="K24" s="73">
        <v>44496</v>
      </c>
      <c r="L24" s="73">
        <v>44496</v>
      </c>
      <c r="M24" s="73">
        <v>44498</v>
      </c>
      <c r="N24" s="71" t="s">
        <v>38</v>
      </c>
      <c r="S24" s="18" t="s">
        <v>455</v>
      </c>
      <c r="T24" s="31">
        <v>-611839.43999999994</v>
      </c>
      <c r="U24" s="31">
        <v>-1597424.67</v>
      </c>
      <c r="V24" s="31">
        <v>-2209264.11</v>
      </c>
      <c r="W24" s="31"/>
      <c r="X24" s="31">
        <f>-GETPIVOTDATA("SumOfPAYMENT_AMT",$S$19,"CONTRACT_NUM","0421CCM001")</f>
        <v>2209264.11</v>
      </c>
      <c r="Y24" s="63" t="s">
        <v>324</v>
      </c>
      <c r="Z24" s="65" t="s">
        <v>325</v>
      </c>
      <c r="AA24" s="64">
        <v>2771685</v>
      </c>
      <c r="AB24" s="121"/>
      <c r="AC24" s="67">
        <f t="shared" si="1"/>
        <v>2209264.11</v>
      </c>
      <c r="AD24" s="121">
        <v>583414.93999999994</v>
      </c>
      <c r="AE24" s="67">
        <f t="shared" si="2"/>
        <v>2792679.05</v>
      </c>
      <c r="AF24" s="31">
        <f t="shared" si="3"/>
        <v>20994.049999999814</v>
      </c>
      <c r="AG24" s="31"/>
      <c r="AH24" s="120">
        <f t="shared" si="4"/>
        <v>20994.049999999814</v>
      </c>
      <c r="AJ24" s="4">
        <v>2792679.05</v>
      </c>
      <c r="AK24" s="8">
        <f t="shared" si="0"/>
        <v>583414.93999999994</v>
      </c>
      <c r="AL24" s="108">
        <f>2209264.11+583414.94</f>
        <v>2792679.05</v>
      </c>
      <c r="AM24" s="31">
        <f t="shared" si="5"/>
        <v>0</v>
      </c>
      <c r="AN24" s="31">
        <f t="shared" si="6"/>
        <v>0</v>
      </c>
      <c r="AP24" s="67"/>
    </row>
    <row r="25" spans="1:42" ht="15.75" thickBot="1">
      <c r="A25" s="71" t="s">
        <v>217</v>
      </c>
      <c r="B25" s="71" t="s">
        <v>380</v>
      </c>
      <c r="C25" s="71" t="s">
        <v>381</v>
      </c>
      <c r="D25" s="71" t="s">
        <v>467</v>
      </c>
      <c r="E25" s="71" t="s">
        <v>24</v>
      </c>
      <c r="F25" s="71" t="s">
        <v>547</v>
      </c>
      <c r="G25" s="71" t="s">
        <v>37</v>
      </c>
      <c r="H25" s="71" t="s">
        <v>24</v>
      </c>
      <c r="I25" s="71" t="s">
        <v>39</v>
      </c>
      <c r="J25" s="72">
        <v>-100000</v>
      </c>
      <c r="K25" s="73">
        <v>44496</v>
      </c>
      <c r="L25" s="73">
        <v>44496</v>
      </c>
      <c r="M25" s="73">
        <v>44498</v>
      </c>
      <c r="N25" s="71" t="s">
        <v>38</v>
      </c>
      <c r="S25" s="18" t="s">
        <v>560</v>
      </c>
      <c r="T25" s="31"/>
      <c r="U25" s="31">
        <v>-3600000</v>
      </c>
      <c r="V25" s="31">
        <v>-3600000</v>
      </c>
      <c r="W25" s="31"/>
      <c r="X25" s="31">
        <f>-GETPIVOTDATA("SumOfPAYMENT_AMT",$S$19,"CONTRACT_NUM","0521CCM001")</f>
        <v>3600000</v>
      </c>
      <c r="Y25" s="63" t="s">
        <v>326</v>
      </c>
      <c r="Z25" s="65" t="s">
        <v>327</v>
      </c>
      <c r="AA25" s="64">
        <v>2816599</v>
      </c>
      <c r="AB25" s="121">
        <v>-500000</v>
      </c>
      <c r="AC25" s="67">
        <f t="shared" si="1"/>
        <v>3100000</v>
      </c>
      <c r="AD25" s="121"/>
      <c r="AE25" s="67">
        <f t="shared" si="2"/>
        <v>3100000</v>
      </c>
      <c r="AF25" s="31">
        <f t="shared" si="3"/>
        <v>283401</v>
      </c>
      <c r="AG25" s="31"/>
      <c r="AH25" s="120">
        <f t="shared" si="4"/>
        <v>283401</v>
      </c>
      <c r="AJ25" s="4">
        <v>3100000</v>
      </c>
      <c r="AK25" s="8">
        <f t="shared" si="0"/>
        <v>-500000</v>
      </c>
      <c r="AL25" s="31">
        <v>3155000</v>
      </c>
      <c r="AM25" s="75">
        <f t="shared" si="5"/>
        <v>-55000</v>
      </c>
      <c r="AN25" s="31">
        <f t="shared" si="6"/>
        <v>55000</v>
      </c>
      <c r="AO25" s="10" t="s">
        <v>650</v>
      </c>
      <c r="AP25" s="67">
        <v>55000</v>
      </c>
    </row>
    <row r="26" spans="1:42" ht="15.75" thickBot="1">
      <c r="A26" s="71" t="s">
        <v>217</v>
      </c>
      <c r="B26" s="71" t="s">
        <v>376</v>
      </c>
      <c r="C26" s="71" t="s">
        <v>377</v>
      </c>
      <c r="D26" s="71" t="s">
        <v>392</v>
      </c>
      <c r="E26" s="71" t="s">
        <v>24</v>
      </c>
      <c r="F26" s="71" t="s">
        <v>488</v>
      </c>
      <c r="G26" s="71" t="s">
        <v>40</v>
      </c>
      <c r="H26" s="71" t="s">
        <v>24</v>
      </c>
      <c r="I26" s="71" t="s">
        <v>39</v>
      </c>
      <c r="J26" s="72">
        <v>-100000</v>
      </c>
      <c r="K26" s="73">
        <v>44407</v>
      </c>
      <c r="L26" s="73">
        <v>44407</v>
      </c>
      <c r="M26" s="73">
        <v>44407</v>
      </c>
      <c r="N26" s="71" t="s">
        <v>38</v>
      </c>
      <c r="S26" s="18" t="s">
        <v>387</v>
      </c>
      <c r="T26" s="31">
        <v>-3353090.8999999994</v>
      </c>
      <c r="U26" s="31">
        <v>-1052715.93</v>
      </c>
      <c r="V26" s="31">
        <v>-4405806.8299999991</v>
      </c>
      <c r="W26" s="31"/>
      <c r="X26" s="31">
        <f>-GETPIVOTDATA("SumOfPAYMENT_AMT",$S$19,"CONTRACT_NUM","0621CCM001")</f>
        <v>4405806.8299999991</v>
      </c>
      <c r="Y26" s="63" t="s">
        <v>328</v>
      </c>
      <c r="Z26" s="65" t="s">
        <v>329</v>
      </c>
      <c r="AA26" s="64">
        <v>4560914</v>
      </c>
      <c r="AB26" s="121">
        <f>500000+67914</f>
        <v>567914</v>
      </c>
      <c r="AC26" s="67">
        <f t="shared" si="1"/>
        <v>4973720.8299999991</v>
      </c>
      <c r="AD26" s="121"/>
      <c r="AE26" s="67">
        <f t="shared" si="2"/>
        <v>4973720.8299999991</v>
      </c>
      <c r="AF26" s="31">
        <f t="shared" si="3"/>
        <v>412806.82999999914</v>
      </c>
      <c r="AG26" s="31"/>
      <c r="AH26" s="120">
        <f t="shared" si="4"/>
        <v>412806.82999999914</v>
      </c>
      <c r="AJ26" s="4">
        <v>4973720.8299999991</v>
      </c>
      <c r="AK26" s="8">
        <f t="shared" si="0"/>
        <v>567914</v>
      </c>
      <c r="AL26" s="75">
        <v>4973720.8299999991</v>
      </c>
      <c r="AM26" s="31">
        <f t="shared" si="5"/>
        <v>0</v>
      </c>
      <c r="AN26" s="31">
        <f t="shared" si="6"/>
        <v>0</v>
      </c>
      <c r="AO26" s="4" t="s">
        <v>607</v>
      </c>
      <c r="AP26" s="67"/>
    </row>
    <row r="27" spans="1:42" ht="15.75" thickBot="1">
      <c r="A27" s="71" t="s">
        <v>217</v>
      </c>
      <c r="B27" s="71" t="s">
        <v>257</v>
      </c>
      <c r="C27" s="71" t="s">
        <v>258</v>
      </c>
      <c r="D27" s="71" t="s">
        <v>570</v>
      </c>
      <c r="E27" s="71" t="s">
        <v>24</v>
      </c>
      <c r="F27" s="71" t="s">
        <v>571</v>
      </c>
      <c r="G27" s="71" t="s">
        <v>283</v>
      </c>
      <c r="H27" s="71" t="s">
        <v>24</v>
      </c>
      <c r="I27" s="71" t="s">
        <v>39</v>
      </c>
      <c r="J27" s="72">
        <v>-50000</v>
      </c>
      <c r="K27" s="73">
        <v>44581</v>
      </c>
      <c r="L27" s="73">
        <v>44581</v>
      </c>
      <c r="M27" s="73">
        <v>44581</v>
      </c>
      <c r="N27" s="71" t="s">
        <v>38</v>
      </c>
      <c r="S27" s="18" t="s">
        <v>476</v>
      </c>
      <c r="T27" s="31">
        <v>-102000</v>
      </c>
      <c r="U27" s="31">
        <v>-331746</v>
      </c>
      <c r="V27" s="31">
        <v>-433746</v>
      </c>
      <c r="W27" s="31"/>
      <c r="X27" s="31">
        <f>-GETPIVOTDATA("SumOfPAYMENT_AMT",$S$19,"CONTRACT_NUM","0721CCM001")</f>
        <v>433746</v>
      </c>
      <c r="Y27" s="63" t="s">
        <v>330</v>
      </c>
      <c r="Z27" s="65" t="s">
        <v>331</v>
      </c>
      <c r="AA27" s="64">
        <v>433746</v>
      </c>
      <c r="AB27" s="121"/>
      <c r="AC27" s="67">
        <f t="shared" si="1"/>
        <v>433746</v>
      </c>
      <c r="AD27" s="121"/>
      <c r="AE27" s="67">
        <f t="shared" si="2"/>
        <v>433746</v>
      </c>
      <c r="AF27" s="31">
        <f t="shared" si="3"/>
        <v>0</v>
      </c>
      <c r="AG27" s="31"/>
      <c r="AH27" s="120">
        <f t="shared" si="4"/>
        <v>0</v>
      </c>
      <c r="AJ27" s="4">
        <v>433746</v>
      </c>
      <c r="AK27" s="8">
        <f t="shared" si="0"/>
        <v>0</v>
      </c>
      <c r="AL27" s="31">
        <v>433746</v>
      </c>
      <c r="AM27" s="31">
        <f t="shared" si="5"/>
        <v>0</v>
      </c>
      <c r="AN27" s="31">
        <f t="shared" si="6"/>
        <v>0</v>
      </c>
      <c r="AP27" s="67"/>
    </row>
    <row r="28" spans="1:42" ht="15.75" thickBot="1">
      <c r="A28" s="71" t="s">
        <v>217</v>
      </c>
      <c r="B28" s="71" t="s">
        <v>168</v>
      </c>
      <c r="C28" s="71" t="s">
        <v>169</v>
      </c>
      <c r="D28" s="71" t="s">
        <v>430</v>
      </c>
      <c r="E28" s="71" t="s">
        <v>24</v>
      </c>
      <c r="F28" s="71" t="s">
        <v>431</v>
      </c>
      <c r="G28" s="71" t="s">
        <v>40</v>
      </c>
      <c r="H28" s="71" t="s">
        <v>24</v>
      </c>
      <c r="I28" s="71" t="s">
        <v>39</v>
      </c>
      <c r="J28" s="72">
        <v>-70000</v>
      </c>
      <c r="K28" s="73">
        <v>44316</v>
      </c>
      <c r="L28" s="73">
        <v>44316</v>
      </c>
      <c r="M28" s="73">
        <v>44316</v>
      </c>
      <c r="N28" s="71" t="s">
        <v>38</v>
      </c>
      <c r="S28" s="18" t="s">
        <v>426</v>
      </c>
      <c r="T28" s="31">
        <v>-59000</v>
      </c>
      <c r="U28" s="31">
        <v>-750000</v>
      </c>
      <c r="V28" s="31">
        <v>-809000</v>
      </c>
      <c r="W28" s="31"/>
      <c r="X28" s="31">
        <f>-GETPIVOTDATA("SumOfPAYMENT_AMT",$S$19,"CONTRACT_NUM","0821CCM001")</f>
        <v>809000</v>
      </c>
      <c r="Y28" s="63" t="s">
        <v>332</v>
      </c>
      <c r="Z28" s="65" t="s">
        <v>333</v>
      </c>
      <c r="AA28" s="64">
        <v>1217944</v>
      </c>
      <c r="AB28" s="121">
        <f>157944+251000</f>
        <v>408944</v>
      </c>
      <c r="AC28" s="67">
        <f t="shared" si="1"/>
        <v>1217944</v>
      </c>
      <c r="AD28" s="121"/>
      <c r="AE28" s="67">
        <f t="shared" si="2"/>
        <v>1217944</v>
      </c>
      <c r="AF28" s="31">
        <f t="shared" si="3"/>
        <v>0</v>
      </c>
      <c r="AG28" s="31"/>
      <c r="AH28" s="120">
        <f t="shared" si="4"/>
        <v>0</v>
      </c>
      <c r="AJ28" s="30">
        <v>1217944</v>
      </c>
      <c r="AK28" s="8">
        <f t="shared" si="0"/>
        <v>408944</v>
      </c>
      <c r="AL28" s="109">
        <v>1217944</v>
      </c>
      <c r="AM28" s="108">
        <f t="shared" si="5"/>
        <v>0</v>
      </c>
      <c r="AN28" s="108">
        <f t="shared" si="6"/>
        <v>0</v>
      </c>
      <c r="AP28" s="67"/>
    </row>
    <row r="29" spans="1:42" ht="15.75" thickBot="1">
      <c r="A29" s="71" t="s">
        <v>217</v>
      </c>
      <c r="B29" s="71" t="s">
        <v>168</v>
      </c>
      <c r="C29" s="71" t="s">
        <v>169</v>
      </c>
      <c r="D29" s="71" t="s">
        <v>430</v>
      </c>
      <c r="E29" s="71" t="s">
        <v>24</v>
      </c>
      <c r="F29" s="71" t="s">
        <v>431</v>
      </c>
      <c r="G29" s="71" t="s">
        <v>42</v>
      </c>
      <c r="H29" s="71" t="s">
        <v>24</v>
      </c>
      <c r="I29" s="71" t="s">
        <v>39</v>
      </c>
      <c r="J29" s="72">
        <v>-70000</v>
      </c>
      <c r="K29" s="73">
        <v>44608</v>
      </c>
      <c r="L29" s="73">
        <v>44608</v>
      </c>
      <c r="M29" s="73">
        <v>44620</v>
      </c>
      <c r="N29" s="71" t="s">
        <v>38</v>
      </c>
      <c r="S29" s="18" t="s">
        <v>419</v>
      </c>
      <c r="T29" s="31">
        <v>-135854</v>
      </c>
      <c r="U29" s="31">
        <v>-714644.41999999993</v>
      </c>
      <c r="V29" s="31">
        <v>-850498.41999999993</v>
      </c>
      <c r="W29" s="31"/>
      <c r="X29" s="31">
        <f>-GETPIVOTDATA("SumOfPAYMENT_AMT",$S$19,"CONTRACT_NUM","0921CCM001")</f>
        <v>850498.41999999993</v>
      </c>
      <c r="Y29" s="63" t="s">
        <v>334</v>
      </c>
      <c r="Z29" s="65" t="s">
        <v>335</v>
      </c>
      <c r="AA29" s="64">
        <v>444086</v>
      </c>
      <c r="AB29" s="121"/>
      <c r="AC29" s="67">
        <f t="shared" si="1"/>
        <v>850498.41999999993</v>
      </c>
      <c r="AD29" s="121"/>
      <c r="AE29" s="67">
        <f t="shared" si="2"/>
        <v>850498.41999999993</v>
      </c>
      <c r="AF29" s="31">
        <f t="shared" si="3"/>
        <v>406412.41999999993</v>
      </c>
      <c r="AG29" s="31"/>
      <c r="AH29" s="120">
        <f t="shared" si="4"/>
        <v>406412.41999999993</v>
      </c>
      <c r="AJ29" s="4">
        <v>850498.41999999993</v>
      </c>
      <c r="AK29" s="8">
        <f t="shared" si="0"/>
        <v>0</v>
      </c>
      <c r="AL29" s="31">
        <v>850498.42000000016</v>
      </c>
      <c r="AM29" s="31">
        <f t="shared" si="5"/>
        <v>0</v>
      </c>
      <c r="AN29" s="31">
        <f t="shared" si="6"/>
        <v>0</v>
      </c>
      <c r="AP29" s="67"/>
    </row>
    <row r="30" spans="1:42" ht="15.75" thickBot="1">
      <c r="A30" s="71" t="s">
        <v>217</v>
      </c>
      <c r="B30" s="71" t="s">
        <v>179</v>
      </c>
      <c r="C30" s="71" t="s">
        <v>180</v>
      </c>
      <c r="D30" s="71" t="s">
        <v>555</v>
      </c>
      <c r="E30" s="71" t="s">
        <v>24</v>
      </c>
      <c r="F30" s="71" t="s">
        <v>572</v>
      </c>
      <c r="G30" s="71" t="s">
        <v>40</v>
      </c>
      <c r="H30" s="71" t="s">
        <v>24</v>
      </c>
      <c r="I30" s="71" t="s">
        <v>39</v>
      </c>
      <c r="J30" s="72">
        <v>-162559</v>
      </c>
      <c r="K30" s="73">
        <v>44581</v>
      </c>
      <c r="L30" s="73">
        <v>44581</v>
      </c>
      <c r="M30" s="73">
        <v>44581</v>
      </c>
      <c r="N30" s="71" t="s">
        <v>38</v>
      </c>
      <c r="S30" s="18" t="s">
        <v>467</v>
      </c>
      <c r="T30" s="31">
        <v>-308043.05</v>
      </c>
      <c r="U30" s="31">
        <v>-1582314.75</v>
      </c>
      <c r="V30" s="31">
        <v>-1890357.8</v>
      </c>
      <c r="W30" s="31"/>
      <c r="X30" s="31">
        <f>-GETPIVOTDATA("SumOfPAYMENT_AMT",$S$19,"CONTRACT_NUM","1021CCM001")</f>
        <v>1890357.8</v>
      </c>
      <c r="Y30" s="63" t="s">
        <v>25</v>
      </c>
      <c r="Z30" s="65" t="s">
        <v>336</v>
      </c>
      <c r="AA30" s="64">
        <v>1608464</v>
      </c>
      <c r="AB30" s="121">
        <v>365572</v>
      </c>
      <c r="AC30" s="67">
        <f t="shared" si="1"/>
        <v>2255929.7999999998</v>
      </c>
      <c r="AD30" s="121"/>
      <c r="AE30" s="67">
        <f t="shared" si="2"/>
        <v>2255929.7999999998</v>
      </c>
      <c r="AF30" s="31">
        <f t="shared" si="3"/>
        <v>647465.79999999981</v>
      </c>
      <c r="AG30" s="31"/>
      <c r="AH30" s="120">
        <f t="shared" si="4"/>
        <v>647465.79999999981</v>
      </c>
      <c r="AJ30" s="4">
        <v>2255929.7999999998</v>
      </c>
      <c r="AK30" s="8">
        <f t="shared" si="0"/>
        <v>365571.99999999977</v>
      </c>
      <c r="AL30" s="31">
        <v>2255929.7999999998</v>
      </c>
      <c r="AM30" s="31">
        <f t="shared" si="5"/>
        <v>0</v>
      </c>
      <c r="AN30" s="31">
        <f t="shared" si="6"/>
        <v>0</v>
      </c>
      <c r="AP30" s="67"/>
    </row>
    <row r="31" spans="1:42" ht="15.75" thickBot="1">
      <c r="A31" s="71" t="s">
        <v>217</v>
      </c>
      <c r="B31" s="71" t="s">
        <v>254</v>
      </c>
      <c r="C31" s="71" t="s">
        <v>255</v>
      </c>
      <c r="D31" s="71" t="s">
        <v>432</v>
      </c>
      <c r="E31" s="71" t="s">
        <v>24</v>
      </c>
      <c r="F31" s="71" t="s">
        <v>433</v>
      </c>
      <c r="G31" s="71" t="s">
        <v>40</v>
      </c>
      <c r="H31" s="71" t="s">
        <v>24</v>
      </c>
      <c r="I31" s="71" t="s">
        <v>39</v>
      </c>
      <c r="J31" s="72">
        <v>-122078</v>
      </c>
      <c r="K31" s="73">
        <v>44349</v>
      </c>
      <c r="L31" s="73">
        <v>44349</v>
      </c>
      <c r="M31" s="73">
        <v>44349</v>
      </c>
      <c r="N31" s="71" t="s">
        <v>38</v>
      </c>
      <c r="S31" s="18" t="s">
        <v>588</v>
      </c>
      <c r="T31" s="31">
        <v>-641914</v>
      </c>
      <c r="U31" s="31"/>
      <c r="V31" s="31">
        <v>-641914</v>
      </c>
      <c r="W31" s="31"/>
      <c r="X31" s="31">
        <f>-GETPIVOTDATA("SumOfPAYMENT_AMT",$S$19,"CONTRACT_NUM","1121CCM001")</f>
        <v>641914</v>
      </c>
      <c r="Y31" s="63" t="s">
        <v>196</v>
      </c>
      <c r="Z31" s="65" t="s">
        <v>337</v>
      </c>
      <c r="AA31" s="64">
        <v>641914</v>
      </c>
      <c r="AB31" s="121"/>
      <c r="AC31" s="67">
        <f t="shared" si="1"/>
        <v>641914</v>
      </c>
      <c r="AD31" s="121"/>
      <c r="AE31" s="67">
        <f t="shared" si="2"/>
        <v>641914</v>
      </c>
      <c r="AF31" s="31">
        <f t="shared" si="3"/>
        <v>0</v>
      </c>
      <c r="AG31" s="31"/>
      <c r="AH31" s="120">
        <f t="shared" si="4"/>
        <v>0</v>
      </c>
      <c r="AJ31" s="4">
        <v>641914</v>
      </c>
      <c r="AK31" s="8">
        <f t="shared" si="0"/>
        <v>0</v>
      </c>
      <c r="AL31" s="31">
        <v>641914</v>
      </c>
      <c r="AM31" s="31">
        <f t="shared" si="5"/>
        <v>0</v>
      </c>
      <c r="AN31" s="31">
        <f t="shared" si="6"/>
        <v>0</v>
      </c>
      <c r="AP31" s="67"/>
    </row>
    <row r="32" spans="1:42" ht="15.75" thickBot="1">
      <c r="A32" s="71" t="s">
        <v>217</v>
      </c>
      <c r="B32" s="71" t="s">
        <v>254</v>
      </c>
      <c r="C32" s="71" t="s">
        <v>255</v>
      </c>
      <c r="D32" s="71" t="s">
        <v>432</v>
      </c>
      <c r="E32" s="71" t="s">
        <v>24</v>
      </c>
      <c r="F32" s="71" t="s">
        <v>433</v>
      </c>
      <c r="G32" s="71" t="s">
        <v>40</v>
      </c>
      <c r="H32" s="71" t="s">
        <v>24</v>
      </c>
      <c r="I32" s="71" t="s">
        <v>39</v>
      </c>
      <c r="J32" s="72">
        <v>-18922</v>
      </c>
      <c r="K32" s="73">
        <v>44581</v>
      </c>
      <c r="L32" s="73">
        <v>44581</v>
      </c>
      <c r="M32" s="73">
        <v>44581</v>
      </c>
      <c r="N32" s="71" t="s">
        <v>38</v>
      </c>
      <c r="S32" s="18" t="s">
        <v>451</v>
      </c>
      <c r="T32" s="31">
        <v>-986894</v>
      </c>
      <c r="U32" s="31"/>
      <c r="V32" s="31">
        <v>-986894</v>
      </c>
      <c r="W32" s="31"/>
      <c r="X32" s="31">
        <f>-GETPIVOTDATA("SumOfPAYMENT_AMT",$S$19,"CONTRACT_NUM","1221CCM001")</f>
        <v>986894</v>
      </c>
      <c r="Y32" s="63" t="s">
        <v>276</v>
      </c>
      <c r="Z32" s="65" t="s">
        <v>338</v>
      </c>
      <c r="AA32" s="64">
        <v>187944</v>
      </c>
      <c r="AB32" s="121">
        <f>-365572-15000-251000-67914</f>
        <v>-699486</v>
      </c>
      <c r="AC32" s="67">
        <f t="shared" si="1"/>
        <v>287408</v>
      </c>
      <c r="AD32" s="121"/>
      <c r="AE32" s="67">
        <f t="shared" si="2"/>
        <v>287408</v>
      </c>
      <c r="AF32" s="31">
        <f t="shared" si="3"/>
        <v>99464</v>
      </c>
      <c r="AG32" s="31"/>
      <c r="AH32" s="120">
        <f t="shared" si="4"/>
        <v>99464</v>
      </c>
      <c r="AJ32" s="4">
        <v>287408</v>
      </c>
      <c r="AK32" s="8">
        <f t="shared" si="0"/>
        <v>-699486</v>
      </c>
      <c r="AL32" s="109">
        <v>287408</v>
      </c>
      <c r="AM32" s="108">
        <f t="shared" si="5"/>
        <v>0</v>
      </c>
      <c r="AN32" s="108">
        <f t="shared" si="6"/>
        <v>0</v>
      </c>
      <c r="AP32" s="67"/>
    </row>
    <row r="33" spans="1:42" ht="15.75" thickBot="1">
      <c r="A33" s="71" t="s">
        <v>217</v>
      </c>
      <c r="B33" s="71" t="s">
        <v>254</v>
      </c>
      <c r="C33" s="71" t="s">
        <v>255</v>
      </c>
      <c r="D33" s="71" t="s">
        <v>432</v>
      </c>
      <c r="E33" s="71" t="s">
        <v>24</v>
      </c>
      <c r="F33" s="71" t="s">
        <v>433</v>
      </c>
      <c r="G33" s="71" t="s">
        <v>42</v>
      </c>
      <c r="H33" s="71" t="s">
        <v>24</v>
      </c>
      <c r="I33" s="71" t="s">
        <v>39</v>
      </c>
      <c r="J33" s="72">
        <v>-142990</v>
      </c>
      <c r="K33" s="73">
        <v>44581</v>
      </c>
      <c r="L33" s="73">
        <v>44581</v>
      </c>
      <c r="M33" s="73">
        <v>44581</v>
      </c>
      <c r="N33" s="71" t="s">
        <v>38</v>
      </c>
      <c r="S33" s="18" t="s">
        <v>570</v>
      </c>
      <c r="T33" s="31">
        <v>-218615</v>
      </c>
      <c r="U33" s="31">
        <v>-345000</v>
      </c>
      <c r="V33" s="31">
        <v>-563615</v>
      </c>
      <c r="W33" s="31"/>
      <c r="X33" s="31">
        <f>-GETPIVOTDATA("SumOfPAYMENT_AMT",$S$19,"CONTRACT_NUM","1321CCM001")</f>
        <v>563615</v>
      </c>
      <c r="Y33" s="63" t="s">
        <v>339</v>
      </c>
      <c r="Z33" s="65" t="s">
        <v>340</v>
      </c>
      <c r="AA33" s="64">
        <v>562399</v>
      </c>
      <c r="AB33" s="121"/>
      <c r="AC33" s="67">
        <f t="shared" si="1"/>
        <v>563615</v>
      </c>
      <c r="AD33" s="121"/>
      <c r="AE33" s="67">
        <f t="shared" si="2"/>
        <v>563615</v>
      </c>
      <c r="AF33" s="31">
        <f t="shared" si="3"/>
        <v>1216</v>
      </c>
      <c r="AG33" s="31"/>
      <c r="AH33" s="120">
        <f t="shared" si="4"/>
        <v>1216</v>
      </c>
      <c r="AJ33" s="4">
        <v>563615</v>
      </c>
      <c r="AK33" s="8">
        <f t="shared" si="0"/>
        <v>0</v>
      </c>
      <c r="AL33" s="31">
        <v>563615</v>
      </c>
      <c r="AM33" s="31">
        <f t="shared" si="5"/>
        <v>0</v>
      </c>
      <c r="AN33" s="31">
        <f t="shared" si="6"/>
        <v>0</v>
      </c>
      <c r="AP33" s="67"/>
    </row>
    <row r="34" spans="1:42" ht="15.75" thickBot="1">
      <c r="A34" s="71" t="s">
        <v>217</v>
      </c>
      <c r="B34" s="71" t="s">
        <v>230</v>
      </c>
      <c r="C34" s="71" t="s">
        <v>231</v>
      </c>
      <c r="D34" s="71" t="s">
        <v>430</v>
      </c>
      <c r="E34" s="71" t="s">
        <v>24</v>
      </c>
      <c r="F34" s="71" t="s">
        <v>434</v>
      </c>
      <c r="G34" s="71" t="s">
        <v>40</v>
      </c>
      <c r="H34" s="71" t="s">
        <v>24</v>
      </c>
      <c r="I34" s="71" t="s">
        <v>39</v>
      </c>
      <c r="J34" s="72">
        <v>-17500</v>
      </c>
      <c r="K34" s="73">
        <v>44316</v>
      </c>
      <c r="L34" s="73">
        <v>44316</v>
      </c>
      <c r="M34" s="73">
        <v>44316</v>
      </c>
      <c r="N34" s="71" t="s">
        <v>38</v>
      </c>
      <c r="S34" s="18" t="s">
        <v>494</v>
      </c>
      <c r="T34" s="31"/>
      <c r="U34" s="31">
        <v>-2254981.71</v>
      </c>
      <c r="V34" s="31">
        <v>-2254981.71</v>
      </c>
      <c r="W34" s="31"/>
      <c r="X34" s="31">
        <f>-GETPIVOTDATA("SumOfPAYMENT_AMT",$S$19,"CONTRACT_NUM","1421CCM001")</f>
        <v>2254981.71</v>
      </c>
      <c r="Y34" s="63" t="s">
        <v>341</v>
      </c>
      <c r="Z34" s="65" t="s">
        <v>342</v>
      </c>
      <c r="AA34" s="64">
        <v>1429898</v>
      </c>
      <c r="AB34" s="121"/>
      <c r="AC34" s="67">
        <f t="shared" si="1"/>
        <v>2254981.71</v>
      </c>
      <c r="AD34" s="121"/>
      <c r="AE34" s="67">
        <f t="shared" si="2"/>
        <v>2254981.71</v>
      </c>
      <c r="AF34" s="31">
        <f t="shared" si="3"/>
        <v>825083.71</v>
      </c>
      <c r="AG34" s="31"/>
      <c r="AH34" s="120">
        <f t="shared" si="4"/>
        <v>825083.71</v>
      </c>
      <c r="AJ34" s="4">
        <v>2254981.71</v>
      </c>
      <c r="AK34" s="8">
        <f t="shared" si="0"/>
        <v>0</v>
      </c>
      <c r="AL34" s="31">
        <v>2254981.71</v>
      </c>
      <c r="AM34" s="31">
        <f t="shared" si="5"/>
        <v>0</v>
      </c>
      <c r="AN34" s="31">
        <f t="shared" si="6"/>
        <v>0</v>
      </c>
      <c r="AP34" s="67"/>
    </row>
    <row r="35" spans="1:42" ht="15.75" thickBot="1">
      <c r="A35" s="71" t="s">
        <v>217</v>
      </c>
      <c r="B35" s="71" t="s">
        <v>230</v>
      </c>
      <c r="C35" s="71" t="s">
        <v>231</v>
      </c>
      <c r="D35" s="71" t="s">
        <v>430</v>
      </c>
      <c r="E35" s="71" t="s">
        <v>24</v>
      </c>
      <c r="F35" s="71" t="s">
        <v>434</v>
      </c>
      <c r="G35" s="71" t="s">
        <v>42</v>
      </c>
      <c r="H35" s="71" t="s">
        <v>24</v>
      </c>
      <c r="I35" s="71" t="s">
        <v>39</v>
      </c>
      <c r="J35" s="72">
        <v>-17500</v>
      </c>
      <c r="K35" s="73">
        <v>44496</v>
      </c>
      <c r="L35" s="73">
        <v>44496</v>
      </c>
      <c r="M35" s="73">
        <v>44498</v>
      </c>
      <c r="N35" s="71" t="s">
        <v>38</v>
      </c>
      <c r="S35" s="18" t="s">
        <v>555</v>
      </c>
      <c r="T35" s="31">
        <v>-960913.13</v>
      </c>
      <c r="U35" s="31">
        <v>-445000</v>
      </c>
      <c r="V35" s="31">
        <v>-1405913.13</v>
      </c>
      <c r="W35" s="31"/>
      <c r="X35" s="31">
        <f>-GETPIVOTDATA("SumOfPAYMENT_AMT",$S$19,"CONTRACT_NUM","1521CCM001")</f>
        <v>1405913.13</v>
      </c>
      <c r="Y35" s="63" t="s">
        <v>343</v>
      </c>
      <c r="Z35" s="65" t="s">
        <v>344</v>
      </c>
      <c r="AA35" s="64">
        <v>999663</v>
      </c>
      <c r="AB35" s="121">
        <v>-157944</v>
      </c>
      <c r="AC35" s="67">
        <f t="shared" si="1"/>
        <v>1247969.1299999999</v>
      </c>
      <c r="AD35" s="121">
        <v>60712</v>
      </c>
      <c r="AE35" s="113">
        <f t="shared" si="2"/>
        <v>1308681.1299999999</v>
      </c>
      <c r="AF35" s="31">
        <f t="shared" si="3"/>
        <v>309018.12999999989</v>
      </c>
      <c r="AG35" s="31"/>
      <c r="AH35" s="120">
        <f t="shared" si="4"/>
        <v>309018.12999999989</v>
      </c>
      <c r="AJ35" s="4">
        <v>1308681.1299999999</v>
      </c>
      <c r="AK35" s="8">
        <f t="shared" si="0"/>
        <v>-97232</v>
      </c>
      <c r="AL35" s="75">
        <v>1308681.1299999999</v>
      </c>
      <c r="AM35" s="31">
        <f t="shared" si="5"/>
        <v>0</v>
      </c>
      <c r="AN35" s="31">
        <f t="shared" si="6"/>
        <v>0</v>
      </c>
      <c r="AO35" s="4" t="s">
        <v>607</v>
      </c>
      <c r="AP35" s="67"/>
    </row>
    <row r="36" spans="1:42" ht="15.75" thickBot="1">
      <c r="A36" s="71" t="s">
        <v>217</v>
      </c>
      <c r="B36" s="71" t="s">
        <v>135</v>
      </c>
      <c r="C36" s="71" t="s">
        <v>136</v>
      </c>
      <c r="D36" s="71" t="s">
        <v>385</v>
      </c>
      <c r="E36" s="71" t="s">
        <v>24</v>
      </c>
      <c r="F36" s="71" t="s">
        <v>435</v>
      </c>
      <c r="G36" s="71" t="s">
        <v>40</v>
      </c>
      <c r="H36" s="71" t="s">
        <v>24</v>
      </c>
      <c r="I36" s="71" t="s">
        <v>39</v>
      </c>
      <c r="J36" s="72">
        <v>-85000</v>
      </c>
      <c r="K36" s="73">
        <v>44288</v>
      </c>
      <c r="L36" s="73">
        <v>44288</v>
      </c>
      <c r="M36" s="73">
        <v>44298</v>
      </c>
      <c r="N36" s="71" t="s">
        <v>38</v>
      </c>
      <c r="S36" s="18" t="s">
        <v>575</v>
      </c>
      <c r="T36" s="31">
        <v>-465548</v>
      </c>
      <c r="U36" s="31"/>
      <c r="V36" s="31">
        <v>-465548</v>
      </c>
      <c r="W36" s="31"/>
      <c r="X36" s="31">
        <f>-GETPIVOTDATA("SumOfPAYMENT_AMT",$S$19,"CONTRACT_NUM","1621CCM001")</f>
        <v>465548</v>
      </c>
      <c r="Y36" s="63" t="s">
        <v>248</v>
      </c>
      <c r="Z36" s="65" t="s">
        <v>345</v>
      </c>
      <c r="AA36" s="64">
        <v>465548</v>
      </c>
      <c r="AB36" s="121"/>
      <c r="AC36" s="67">
        <f t="shared" si="1"/>
        <v>465548</v>
      </c>
      <c r="AD36" s="121"/>
      <c r="AE36" s="67">
        <f t="shared" si="2"/>
        <v>465548</v>
      </c>
      <c r="AF36" s="31">
        <f t="shared" si="3"/>
        <v>0</v>
      </c>
      <c r="AG36" s="31"/>
      <c r="AH36" s="120">
        <f t="shared" si="4"/>
        <v>0</v>
      </c>
      <c r="AJ36" s="4">
        <v>465548</v>
      </c>
      <c r="AK36" s="8">
        <f t="shared" si="0"/>
        <v>0</v>
      </c>
      <c r="AL36" s="31">
        <v>465548</v>
      </c>
      <c r="AM36" s="31">
        <f t="shared" si="5"/>
        <v>0</v>
      </c>
      <c r="AN36" s="31">
        <f t="shared" si="6"/>
        <v>0</v>
      </c>
      <c r="AO36" s="31"/>
      <c r="AP36" s="67"/>
    </row>
    <row r="37" spans="1:42" ht="15.75" thickBot="1">
      <c r="A37" s="71" t="s">
        <v>217</v>
      </c>
      <c r="B37" s="71" t="s">
        <v>135</v>
      </c>
      <c r="C37" s="71" t="s">
        <v>136</v>
      </c>
      <c r="D37" s="71" t="s">
        <v>385</v>
      </c>
      <c r="E37" s="71" t="s">
        <v>24</v>
      </c>
      <c r="F37" s="71" t="s">
        <v>435</v>
      </c>
      <c r="G37" s="71" t="s">
        <v>42</v>
      </c>
      <c r="H37" s="71" t="s">
        <v>24</v>
      </c>
      <c r="I37" s="71" t="s">
        <v>39</v>
      </c>
      <c r="J37" s="72">
        <v>-9991.09</v>
      </c>
      <c r="K37" s="73">
        <v>44288</v>
      </c>
      <c r="L37" s="73">
        <v>44288</v>
      </c>
      <c r="M37" s="73">
        <v>44298</v>
      </c>
      <c r="N37" s="71" t="s">
        <v>38</v>
      </c>
      <c r="S37" s="18" t="s">
        <v>593</v>
      </c>
      <c r="T37" s="31">
        <v>-445000</v>
      </c>
      <c r="U37" s="31">
        <v>-165488</v>
      </c>
      <c r="V37" s="31">
        <v>-610488</v>
      </c>
      <c r="W37" s="31"/>
      <c r="X37" s="31">
        <f>-GETPIVOTDATA("SumOfPAYMENT_AMT",$S$19,"CONTRACT_NUM","1721CCM001")</f>
        <v>610488</v>
      </c>
      <c r="Y37" s="63" t="s">
        <v>256</v>
      </c>
      <c r="Z37" s="65" t="s">
        <v>346</v>
      </c>
      <c r="AA37" s="64">
        <v>577310</v>
      </c>
      <c r="AB37" s="121"/>
      <c r="AC37" s="67">
        <f t="shared" si="1"/>
        <v>610488</v>
      </c>
      <c r="AD37" s="121"/>
      <c r="AE37" s="67">
        <f t="shared" si="2"/>
        <v>610488</v>
      </c>
      <c r="AF37" s="31">
        <f t="shared" si="3"/>
        <v>33178</v>
      </c>
      <c r="AG37" s="31"/>
      <c r="AH37" s="120">
        <f t="shared" si="4"/>
        <v>33178</v>
      </c>
      <c r="AJ37" s="4">
        <v>610488</v>
      </c>
      <c r="AK37" s="8">
        <f t="shared" si="0"/>
        <v>0</v>
      </c>
      <c r="AL37" s="31">
        <v>610488</v>
      </c>
      <c r="AM37" s="31">
        <f t="shared" si="5"/>
        <v>0</v>
      </c>
      <c r="AN37" s="31">
        <f t="shared" si="6"/>
        <v>0</v>
      </c>
      <c r="AO37" s="4"/>
      <c r="AP37" s="67"/>
    </row>
    <row r="38" spans="1:42" ht="15.75" thickBot="1">
      <c r="A38" s="71" t="s">
        <v>217</v>
      </c>
      <c r="B38" s="71" t="s">
        <v>135</v>
      </c>
      <c r="C38" s="71" t="s">
        <v>136</v>
      </c>
      <c r="D38" s="71" t="s">
        <v>385</v>
      </c>
      <c r="E38" s="71" t="s">
        <v>24</v>
      </c>
      <c r="F38" s="71" t="s">
        <v>435</v>
      </c>
      <c r="G38" s="71" t="s">
        <v>42</v>
      </c>
      <c r="H38" s="71" t="s">
        <v>24</v>
      </c>
      <c r="I38" s="71" t="s">
        <v>39</v>
      </c>
      <c r="J38" s="72">
        <v>-75008.91</v>
      </c>
      <c r="K38" s="73">
        <v>44299</v>
      </c>
      <c r="L38" s="73">
        <v>44299</v>
      </c>
      <c r="M38" s="73">
        <v>44314</v>
      </c>
      <c r="N38" s="71" t="s">
        <v>38</v>
      </c>
      <c r="S38" s="18" t="s">
        <v>432</v>
      </c>
      <c r="T38" s="31">
        <v>-567980</v>
      </c>
      <c r="U38" s="31"/>
      <c r="V38" s="31">
        <v>-567980</v>
      </c>
      <c r="W38" s="31"/>
      <c r="X38" s="31">
        <f>-GETPIVOTDATA("SumOfPAYMENT_AMT",$S$19,"CONTRACT_NUM","1821CCM001")</f>
        <v>567980</v>
      </c>
      <c r="Y38" s="63" t="s">
        <v>304</v>
      </c>
      <c r="Z38" s="65" t="s">
        <v>347</v>
      </c>
      <c r="AA38" s="64">
        <v>567980</v>
      </c>
      <c r="AB38" s="121"/>
      <c r="AC38" s="67">
        <f t="shared" si="1"/>
        <v>567980</v>
      </c>
      <c r="AD38" s="121"/>
      <c r="AE38" s="67">
        <f t="shared" si="2"/>
        <v>567980</v>
      </c>
      <c r="AF38" s="31">
        <f t="shared" si="3"/>
        <v>0</v>
      </c>
      <c r="AG38" s="31"/>
      <c r="AH38" s="120">
        <f t="shared" si="4"/>
        <v>0</v>
      </c>
      <c r="AJ38" s="4">
        <v>567980</v>
      </c>
      <c r="AK38" s="8">
        <f t="shared" si="0"/>
        <v>0</v>
      </c>
      <c r="AL38" s="31">
        <v>567980</v>
      </c>
      <c r="AM38" s="31">
        <f t="shared" si="5"/>
        <v>0</v>
      </c>
      <c r="AN38" s="31">
        <f t="shared" si="6"/>
        <v>0</v>
      </c>
      <c r="AP38" s="67"/>
    </row>
    <row r="39" spans="1:42" ht="15.75" thickBot="1">
      <c r="A39" s="71" t="s">
        <v>217</v>
      </c>
      <c r="B39" s="71" t="s">
        <v>135</v>
      </c>
      <c r="C39" s="71" t="s">
        <v>136</v>
      </c>
      <c r="D39" s="71" t="s">
        <v>385</v>
      </c>
      <c r="E39" s="71" t="s">
        <v>24</v>
      </c>
      <c r="F39" s="71" t="s">
        <v>435</v>
      </c>
      <c r="G39" s="71" t="s">
        <v>37</v>
      </c>
      <c r="H39" s="71" t="s">
        <v>24</v>
      </c>
      <c r="I39" s="71" t="s">
        <v>39</v>
      </c>
      <c r="J39" s="72">
        <v>-31310.76</v>
      </c>
      <c r="K39" s="73">
        <v>44299</v>
      </c>
      <c r="L39" s="73">
        <v>44299</v>
      </c>
      <c r="M39" s="73">
        <v>44314</v>
      </c>
      <c r="N39" s="71" t="s">
        <v>38</v>
      </c>
      <c r="S39" s="18" t="s">
        <v>568</v>
      </c>
      <c r="T39" s="31">
        <v>-276421</v>
      </c>
      <c r="U39" s="31"/>
      <c r="V39" s="31">
        <v>-276421</v>
      </c>
      <c r="W39" s="31"/>
      <c r="X39" s="31">
        <f>-GETPIVOTDATA("SumOfPAYMENT_AMT",$S$19,"CONTRACT_NUM","1921CCM001")</f>
        <v>276421</v>
      </c>
      <c r="Y39" s="63" t="s">
        <v>348</v>
      </c>
      <c r="Z39" s="65" t="s">
        <v>349</v>
      </c>
      <c r="AA39" s="64">
        <v>276421</v>
      </c>
      <c r="AB39" s="121"/>
      <c r="AC39" s="67">
        <f t="shared" si="1"/>
        <v>276421</v>
      </c>
      <c r="AD39" s="121"/>
      <c r="AE39" s="67">
        <f t="shared" si="2"/>
        <v>276421</v>
      </c>
      <c r="AF39" s="31">
        <f t="shared" si="3"/>
        <v>0</v>
      </c>
      <c r="AG39" s="31"/>
      <c r="AH39" s="120">
        <f t="shared" si="4"/>
        <v>0</v>
      </c>
      <c r="AJ39" s="4">
        <v>276421</v>
      </c>
      <c r="AK39" s="8">
        <f t="shared" si="0"/>
        <v>0</v>
      </c>
      <c r="AL39" s="31">
        <v>276421</v>
      </c>
      <c r="AM39" s="31">
        <f t="shared" si="5"/>
        <v>0</v>
      </c>
      <c r="AN39" s="31">
        <f t="shared" si="6"/>
        <v>0</v>
      </c>
      <c r="AP39" s="67"/>
    </row>
    <row r="40" spans="1:42" ht="15.75" thickBot="1">
      <c r="A40" s="71" t="s">
        <v>217</v>
      </c>
      <c r="B40" s="71" t="s">
        <v>135</v>
      </c>
      <c r="C40" s="71" t="s">
        <v>136</v>
      </c>
      <c r="D40" s="71" t="s">
        <v>385</v>
      </c>
      <c r="E40" s="71" t="s">
        <v>24</v>
      </c>
      <c r="F40" s="71" t="s">
        <v>435</v>
      </c>
      <c r="G40" s="71" t="s">
        <v>37</v>
      </c>
      <c r="H40" s="71" t="s">
        <v>24</v>
      </c>
      <c r="I40" s="71" t="s">
        <v>39</v>
      </c>
      <c r="J40" s="72">
        <v>-33689.24</v>
      </c>
      <c r="K40" s="73">
        <v>44393</v>
      </c>
      <c r="L40" s="73">
        <v>44393</v>
      </c>
      <c r="M40" s="73">
        <v>44407</v>
      </c>
      <c r="N40" s="71" t="s">
        <v>38</v>
      </c>
      <c r="S40" s="18" t="s">
        <v>448</v>
      </c>
      <c r="T40" s="31">
        <v>-1086641.94</v>
      </c>
      <c r="U40" s="31">
        <v>-2535645.06</v>
      </c>
      <c r="V40" s="31">
        <v>-3622287</v>
      </c>
      <c r="W40" s="31"/>
      <c r="X40" s="31">
        <f>-GETPIVOTDATA("SumOfPAYMENT_AMT",$S$19,"CONTRACT_NUM","2021CCM001")</f>
        <v>3622287</v>
      </c>
      <c r="Y40" s="63" t="s">
        <v>350</v>
      </c>
      <c r="Z40" s="65" t="s">
        <v>351</v>
      </c>
      <c r="AA40" s="64">
        <v>3622287</v>
      </c>
      <c r="AB40" s="121"/>
      <c r="AC40" s="67">
        <f t="shared" si="1"/>
        <v>3622287</v>
      </c>
      <c r="AD40" s="121"/>
      <c r="AE40" s="67">
        <f>SUM(AC40:AD40)</f>
        <v>3622287</v>
      </c>
      <c r="AF40" s="31">
        <f t="shared" si="3"/>
        <v>0</v>
      </c>
      <c r="AG40" s="31"/>
      <c r="AH40" s="120">
        <f t="shared" si="4"/>
        <v>0</v>
      </c>
      <c r="AJ40" s="4">
        <v>3622287</v>
      </c>
      <c r="AK40" s="8">
        <f t="shared" si="0"/>
        <v>0</v>
      </c>
      <c r="AL40" s="31">
        <v>3622287</v>
      </c>
      <c r="AM40" s="31">
        <f t="shared" si="5"/>
        <v>0</v>
      </c>
      <c r="AN40" s="31">
        <f t="shared" si="6"/>
        <v>0</v>
      </c>
      <c r="AP40" s="67"/>
    </row>
    <row r="41" spans="1:42" ht="15.75" thickBot="1">
      <c r="A41" s="71" t="s">
        <v>217</v>
      </c>
      <c r="B41" s="71" t="s">
        <v>135</v>
      </c>
      <c r="C41" s="71" t="s">
        <v>136</v>
      </c>
      <c r="D41" s="71" t="s">
        <v>385</v>
      </c>
      <c r="E41" s="71" t="s">
        <v>24</v>
      </c>
      <c r="F41" s="71" t="s">
        <v>435</v>
      </c>
      <c r="G41" s="71" t="s">
        <v>47</v>
      </c>
      <c r="H41" s="71" t="s">
        <v>24</v>
      </c>
      <c r="I41" s="71" t="s">
        <v>39</v>
      </c>
      <c r="J41" s="72">
        <v>-35000</v>
      </c>
      <c r="K41" s="73">
        <v>44393</v>
      </c>
      <c r="L41" s="73">
        <v>44393</v>
      </c>
      <c r="M41" s="73">
        <v>44407</v>
      </c>
      <c r="N41" s="71" t="s">
        <v>38</v>
      </c>
      <c r="S41" s="18" t="s">
        <v>502</v>
      </c>
      <c r="T41" s="31"/>
      <c r="U41" s="31">
        <v>-750944</v>
      </c>
      <c r="V41" s="31">
        <v>-750944</v>
      </c>
      <c r="W41" s="31"/>
      <c r="X41" s="31">
        <f>-GETPIVOTDATA("SumOfPAYMENT_AMT",$S$19,"CONTRACT_NUM","2121CCM001")</f>
        <v>750944</v>
      </c>
      <c r="Y41" s="63" t="s">
        <v>352</v>
      </c>
      <c r="Z41" s="65" t="s">
        <v>353</v>
      </c>
      <c r="AA41" s="64">
        <v>750944</v>
      </c>
      <c r="AB41" s="121"/>
      <c r="AC41" s="67">
        <f t="shared" si="1"/>
        <v>750944</v>
      </c>
      <c r="AD41" s="121"/>
      <c r="AE41" s="67">
        <f t="shared" si="2"/>
        <v>750944</v>
      </c>
      <c r="AF41" s="31">
        <f t="shared" si="3"/>
        <v>0</v>
      </c>
      <c r="AG41" s="31"/>
      <c r="AH41" s="120">
        <f t="shared" si="4"/>
        <v>0</v>
      </c>
      <c r="AJ41" s="4">
        <v>750944</v>
      </c>
      <c r="AK41" s="8">
        <f t="shared" si="0"/>
        <v>0</v>
      </c>
      <c r="AL41" s="31">
        <v>750944</v>
      </c>
      <c r="AM41" s="31">
        <f t="shared" si="5"/>
        <v>0</v>
      </c>
      <c r="AN41" s="31">
        <f t="shared" si="6"/>
        <v>0</v>
      </c>
      <c r="AP41" s="67"/>
    </row>
    <row r="42" spans="1:42" ht="15.75" thickBot="1">
      <c r="A42" s="71" t="s">
        <v>217</v>
      </c>
      <c r="B42" s="71" t="s">
        <v>135</v>
      </c>
      <c r="C42" s="71" t="s">
        <v>136</v>
      </c>
      <c r="D42" s="71" t="s">
        <v>385</v>
      </c>
      <c r="E42" s="71" t="s">
        <v>24</v>
      </c>
      <c r="F42" s="71" t="s">
        <v>435</v>
      </c>
      <c r="G42" s="71" t="s">
        <v>26</v>
      </c>
      <c r="H42" s="71" t="s">
        <v>24</v>
      </c>
      <c r="I42" s="71" t="s">
        <v>39</v>
      </c>
      <c r="J42" s="72">
        <v>-143163.44</v>
      </c>
      <c r="K42" s="73">
        <v>44609</v>
      </c>
      <c r="L42" s="73">
        <v>44609</v>
      </c>
      <c r="M42" s="73">
        <v>44620</v>
      </c>
      <c r="N42" s="71" t="s">
        <v>38</v>
      </c>
      <c r="S42" s="18" t="s">
        <v>430</v>
      </c>
      <c r="T42" s="31">
        <v>-900283</v>
      </c>
      <c r="U42" s="31"/>
      <c r="V42" s="31">
        <v>-900283</v>
      </c>
      <c r="W42" s="31"/>
      <c r="X42" s="31">
        <f>-GETPIVOTDATA("SumOfPAYMENT_AMT",$S$19,"CONTRACT_NUM","2221CCM001")</f>
        <v>900283</v>
      </c>
      <c r="Y42" s="63" t="s">
        <v>354</v>
      </c>
      <c r="Z42" s="65" t="s">
        <v>355</v>
      </c>
      <c r="AA42" s="64">
        <v>900283</v>
      </c>
      <c r="AB42" s="121"/>
      <c r="AC42" s="67">
        <f t="shared" si="1"/>
        <v>900283</v>
      </c>
      <c r="AD42" s="121"/>
      <c r="AE42" s="67">
        <f t="shared" si="2"/>
        <v>900283</v>
      </c>
      <c r="AF42" s="31">
        <f t="shared" si="3"/>
        <v>0</v>
      </c>
      <c r="AG42" s="31"/>
      <c r="AH42" s="120">
        <f t="shared" si="4"/>
        <v>0</v>
      </c>
      <c r="AJ42" s="4">
        <v>900283</v>
      </c>
      <c r="AK42" s="8">
        <f t="shared" si="0"/>
        <v>0</v>
      </c>
      <c r="AL42" s="31">
        <v>900283</v>
      </c>
      <c r="AM42" s="31">
        <f t="shared" si="5"/>
        <v>0</v>
      </c>
      <c r="AN42" s="31">
        <f t="shared" si="6"/>
        <v>0</v>
      </c>
      <c r="AP42" s="67"/>
    </row>
    <row r="43" spans="1:42" ht="15.75" thickBot="1">
      <c r="A43" s="71" t="s">
        <v>217</v>
      </c>
      <c r="B43" s="71" t="s">
        <v>110</v>
      </c>
      <c r="C43" s="71" t="s">
        <v>111</v>
      </c>
      <c r="D43" s="71" t="s">
        <v>467</v>
      </c>
      <c r="E43" s="71" t="s">
        <v>24</v>
      </c>
      <c r="F43" s="71" t="s">
        <v>489</v>
      </c>
      <c r="G43" s="71" t="s">
        <v>37</v>
      </c>
      <c r="H43" s="71" t="s">
        <v>24</v>
      </c>
      <c r="I43" s="71" t="s">
        <v>39</v>
      </c>
      <c r="J43" s="72">
        <v>-8043.05</v>
      </c>
      <c r="K43" s="73">
        <v>44383</v>
      </c>
      <c r="L43" s="73">
        <v>44383</v>
      </c>
      <c r="M43" s="73">
        <v>44386</v>
      </c>
      <c r="N43" s="71" t="s">
        <v>38</v>
      </c>
      <c r="S43" s="18" t="s">
        <v>385</v>
      </c>
      <c r="T43" s="31">
        <v>-2875057.99</v>
      </c>
      <c r="U43" s="31"/>
      <c r="V43" s="31">
        <v>-2875057.99</v>
      </c>
      <c r="W43" s="31"/>
      <c r="X43" s="31">
        <f>-GETPIVOTDATA("SumOfPAYMENT_AMT",$S$19,"CONTRACT_NUM","2321CCM001")</f>
        <v>2875057.99</v>
      </c>
      <c r="Y43" s="63" t="s">
        <v>356</v>
      </c>
      <c r="Z43" s="119" t="s">
        <v>357</v>
      </c>
      <c r="AA43" s="64">
        <v>2415610</v>
      </c>
      <c r="AB43" s="121"/>
      <c r="AC43" s="67">
        <f t="shared" si="1"/>
        <v>2875057.99</v>
      </c>
      <c r="AD43" s="121">
        <f>223357.39</f>
        <v>223357.39</v>
      </c>
      <c r="AE43" s="110">
        <f>SUM(AC43:AD43)</f>
        <v>3098415.3800000004</v>
      </c>
      <c r="AF43" s="31">
        <f t="shared" si="3"/>
        <v>682805.38000000035</v>
      </c>
      <c r="AG43" s="31"/>
      <c r="AH43" s="120">
        <f t="shared" si="4"/>
        <v>682805.38000000035</v>
      </c>
      <c r="AJ43" s="4">
        <v>3098415.3800000004</v>
      </c>
      <c r="AK43" s="8">
        <f t="shared" si="0"/>
        <v>223357.39000000013</v>
      </c>
      <c r="AL43" s="75">
        <v>3098415.3800000008</v>
      </c>
      <c r="AM43" s="31">
        <f t="shared" si="5"/>
        <v>0</v>
      </c>
      <c r="AN43" s="31">
        <f t="shared" si="6"/>
        <v>0</v>
      </c>
      <c r="AO43" s="4" t="s">
        <v>607</v>
      </c>
      <c r="AP43" s="67"/>
    </row>
    <row r="44" spans="1:42" ht="15.75" thickBot="1">
      <c r="A44" s="71" t="s">
        <v>217</v>
      </c>
      <c r="B44" s="71" t="s">
        <v>152</v>
      </c>
      <c r="C44" s="71" t="s">
        <v>153</v>
      </c>
      <c r="D44" s="71" t="s">
        <v>555</v>
      </c>
      <c r="E44" s="71" t="s">
        <v>24</v>
      </c>
      <c r="F44" s="71" t="s">
        <v>573</v>
      </c>
      <c r="G44" s="71" t="s">
        <v>40</v>
      </c>
      <c r="H44" s="71" t="s">
        <v>24</v>
      </c>
      <c r="I44" s="71" t="s">
        <v>39</v>
      </c>
      <c r="J44" s="72">
        <v>-154000</v>
      </c>
      <c r="K44" s="73">
        <v>44581</v>
      </c>
      <c r="L44" s="73">
        <v>44581</v>
      </c>
      <c r="M44" s="73">
        <v>44581</v>
      </c>
      <c r="N44" s="71" t="s">
        <v>38</v>
      </c>
      <c r="S44" s="18" t="s">
        <v>436</v>
      </c>
      <c r="T44" s="75">
        <v>-500000</v>
      </c>
      <c r="U44" s="75">
        <v>-720768</v>
      </c>
      <c r="V44" s="75">
        <v>-1220768</v>
      </c>
      <c r="W44" s="31"/>
      <c r="X44" s="31">
        <f>-GETPIVOTDATA("SumOfPAYMENT_AMT",$S$19,"CONTRACT_NUM","2421CCM001")</f>
        <v>1220768</v>
      </c>
      <c r="Y44" s="63" t="s">
        <v>358</v>
      </c>
      <c r="Z44" s="65" t="s">
        <v>359</v>
      </c>
      <c r="AA44" s="64">
        <v>1027570</v>
      </c>
      <c r="AB44" s="121">
        <v>0</v>
      </c>
      <c r="AC44" s="67">
        <f t="shared" si="1"/>
        <v>1220768</v>
      </c>
      <c r="AD44" s="121">
        <v>-44189</v>
      </c>
      <c r="AE44" s="67">
        <f t="shared" si="2"/>
        <v>1176579</v>
      </c>
      <c r="AF44" s="31">
        <f>AE44-AA44</f>
        <v>149009</v>
      </c>
      <c r="AG44" s="31"/>
      <c r="AH44" s="120">
        <f t="shared" si="4"/>
        <v>149009</v>
      </c>
      <c r="AJ44" s="4">
        <f>1175949</f>
        <v>1175949</v>
      </c>
      <c r="AK44" s="8"/>
      <c r="AL44" s="31">
        <v>1175948.2</v>
      </c>
      <c r="AM44" s="31">
        <f t="shared" si="5"/>
        <v>0.80000000004656613</v>
      </c>
      <c r="AN44" s="31">
        <f t="shared" si="6"/>
        <v>-630.80000000004657</v>
      </c>
      <c r="AP44" s="67"/>
    </row>
    <row r="45" spans="1:42" ht="15.75" thickBot="1">
      <c r="A45" s="71" t="s">
        <v>217</v>
      </c>
      <c r="B45" s="71" t="s">
        <v>141</v>
      </c>
      <c r="C45" s="71" t="s">
        <v>142</v>
      </c>
      <c r="D45" s="71" t="s">
        <v>570</v>
      </c>
      <c r="E45" s="71" t="s">
        <v>24</v>
      </c>
      <c r="F45" s="71" t="s">
        <v>574</v>
      </c>
      <c r="G45" s="71" t="s">
        <v>40</v>
      </c>
      <c r="H45" s="71" t="s">
        <v>24</v>
      </c>
      <c r="I45" s="71" t="s">
        <v>39</v>
      </c>
      <c r="J45" s="72">
        <v>-20000</v>
      </c>
      <c r="K45" s="73">
        <v>44623</v>
      </c>
      <c r="L45" s="73">
        <v>44623</v>
      </c>
      <c r="M45" s="73">
        <v>44638</v>
      </c>
      <c r="N45" s="71" t="s">
        <v>38</v>
      </c>
      <c r="S45" s="18" t="s">
        <v>557</v>
      </c>
      <c r="T45" s="31">
        <v>-106385</v>
      </c>
      <c r="U45" s="31">
        <v>-161899</v>
      </c>
      <c r="V45" s="31">
        <v>-268284</v>
      </c>
      <c r="W45" s="31"/>
      <c r="X45" s="31">
        <f>-GETPIVOTDATA("SumOfPAYMENT_AMT",$S$19,"CONTRACT_NUM","2521CCM001")</f>
        <v>268284</v>
      </c>
      <c r="Y45" s="63" t="s">
        <v>360</v>
      </c>
      <c r="Z45" s="65" t="s">
        <v>361</v>
      </c>
      <c r="AA45" s="64">
        <v>268284</v>
      </c>
      <c r="AB45" s="121"/>
      <c r="AC45" s="67">
        <f t="shared" si="1"/>
        <v>268284</v>
      </c>
      <c r="AD45" s="121"/>
      <c r="AE45" s="67">
        <f t="shared" si="2"/>
        <v>268284</v>
      </c>
      <c r="AF45" s="31">
        <f t="shared" si="3"/>
        <v>0</v>
      </c>
      <c r="AG45" s="31"/>
      <c r="AH45" s="120">
        <f>AE45-AA45</f>
        <v>0</v>
      </c>
      <c r="AJ45" s="4">
        <v>268284</v>
      </c>
      <c r="AK45" s="8">
        <f>AJ45-X45</f>
        <v>0</v>
      </c>
      <c r="AL45" s="31">
        <v>268284</v>
      </c>
      <c r="AM45" s="31">
        <f t="shared" si="5"/>
        <v>0</v>
      </c>
      <c r="AN45" s="31">
        <f t="shared" si="6"/>
        <v>0</v>
      </c>
      <c r="AP45" s="67"/>
    </row>
    <row r="46" spans="1:42" ht="15.75" thickBot="1">
      <c r="A46" s="71" t="s">
        <v>217</v>
      </c>
      <c r="B46" s="71" t="s">
        <v>268</v>
      </c>
      <c r="C46" s="71" t="s">
        <v>269</v>
      </c>
      <c r="D46" s="71" t="s">
        <v>436</v>
      </c>
      <c r="E46" s="71" t="s">
        <v>24</v>
      </c>
      <c r="F46" s="71" t="s">
        <v>437</v>
      </c>
      <c r="G46" s="71" t="s">
        <v>40</v>
      </c>
      <c r="H46" s="71" t="s">
        <v>24</v>
      </c>
      <c r="I46" s="71" t="s">
        <v>39</v>
      </c>
      <c r="J46" s="72">
        <v>-42265.36</v>
      </c>
      <c r="K46" s="73">
        <v>44298</v>
      </c>
      <c r="L46" s="73">
        <v>44298</v>
      </c>
      <c r="M46" s="73">
        <v>44298</v>
      </c>
      <c r="N46" s="71" t="s">
        <v>38</v>
      </c>
      <c r="S46" s="18" t="s">
        <v>484</v>
      </c>
      <c r="T46" s="31"/>
      <c r="U46" s="31">
        <v>-750000</v>
      </c>
      <c r="V46" s="31">
        <v>-750000</v>
      </c>
      <c r="W46" s="31"/>
      <c r="X46" s="31">
        <f>-GETPIVOTDATA("SumOfPAYMENT_AMT",$S$19,"CONTRACT_NUM","2621CCM001")</f>
        <v>750000</v>
      </c>
      <c r="Y46" s="63" t="s">
        <v>362</v>
      </c>
      <c r="Z46" s="65" t="s">
        <v>363</v>
      </c>
      <c r="AA46" s="64">
        <v>739872</v>
      </c>
      <c r="AB46" s="121"/>
      <c r="AC46" s="67">
        <f t="shared" si="1"/>
        <v>750000</v>
      </c>
      <c r="AD46" s="121"/>
      <c r="AE46" s="67">
        <f t="shared" si="2"/>
        <v>750000</v>
      </c>
      <c r="AF46" s="31">
        <f t="shared" si="3"/>
        <v>10128</v>
      </c>
      <c r="AG46" s="31"/>
      <c r="AH46" s="120">
        <f t="shared" si="4"/>
        <v>10128</v>
      </c>
      <c r="AJ46" s="4">
        <v>750000</v>
      </c>
      <c r="AK46" s="8">
        <f>AJ46-X46</f>
        <v>0</v>
      </c>
      <c r="AL46" s="31">
        <v>750000</v>
      </c>
      <c r="AM46" s="31">
        <f t="shared" si="5"/>
        <v>0</v>
      </c>
      <c r="AN46" s="31">
        <f t="shared" si="6"/>
        <v>0</v>
      </c>
      <c r="AP46" s="67"/>
    </row>
    <row r="47" spans="1:42" ht="15.75" thickBot="1">
      <c r="A47" s="71" t="s">
        <v>217</v>
      </c>
      <c r="B47" s="71" t="s">
        <v>268</v>
      </c>
      <c r="C47" s="71" t="s">
        <v>269</v>
      </c>
      <c r="D47" s="71" t="s">
        <v>436</v>
      </c>
      <c r="E47" s="71" t="s">
        <v>24</v>
      </c>
      <c r="F47" s="71" t="s">
        <v>437</v>
      </c>
      <c r="G47" s="71" t="s">
        <v>40</v>
      </c>
      <c r="H47" s="71" t="s">
        <v>24</v>
      </c>
      <c r="I47" s="71" t="s">
        <v>39</v>
      </c>
      <c r="J47" s="72">
        <v>-46007.31</v>
      </c>
      <c r="K47" s="73">
        <v>44405</v>
      </c>
      <c r="L47" s="73">
        <v>44405</v>
      </c>
      <c r="M47" s="73">
        <v>44407</v>
      </c>
      <c r="N47" s="71" t="s">
        <v>38</v>
      </c>
      <c r="S47" s="18" t="s">
        <v>582</v>
      </c>
      <c r="T47" s="31">
        <v>-348233</v>
      </c>
      <c r="U47" s="31"/>
      <c r="V47" s="31">
        <v>-348233</v>
      </c>
      <c r="W47" s="31"/>
      <c r="X47" s="31">
        <f>-GETPIVOTDATA("SumOfPAYMENT_AMT",$S$19,"CONTRACT_NUM","2721CCM001")</f>
        <v>348233</v>
      </c>
      <c r="Y47" s="63" t="s">
        <v>364</v>
      </c>
      <c r="Z47" s="65" t="s">
        <v>365</v>
      </c>
      <c r="AA47" s="64">
        <v>348233</v>
      </c>
      <c r="AB47" s="121"/>
      <c r="AC47" s="67">
        <f t="shared" si="1"/>
        <v>348233</v>
      </c>
      <c r="AD47" s="121"/>
      <c r="AE47" s="67">
        <f>SUM(AC47:AD47)</f>
        <v>348233</v>
      </c>
      <c r="AF47" s="31">
        <f t="shared" si="3"/>
        <v>0</v>
      </c>
      <c r="AG47" s="31"/>
      <c r="AH47" s="120">
        <f t="shared" si="4"/>
        <v>0</v>
      </c>
      <c r="AJ47" s="4">
        <v>348233</v>
      </c>
      <c r="AK47" s="8">
        <f>AJ47-X47</f>
        <v>0</v>
      </c>
      <c r="AL47" s="31">
        <v>348233</v>
      </c>
      <c r="AM47" s="31">
        <f t="shared" si="5"/>
        <v>0</v>
      </c>
      <c r="AN47" s="31">
        <f t="shared" si="6"/>
        <v>0</v>
      </c>
      <c r="AP47" s="67"/>
    </row>
    <row r="48" spans="1:42" ht="15.75" thickBot="1">
      <c r="A48" s="71" t="s">
        <v>217</v>
      </c>
      <c r="B48" s="71" t="s">
        <v>268</v>
      </c>
      <c r="C48" s="71" t="s">
        <v>269</v>
      </c>
      <c r="D48" s="71" t="s">
        <v>436</v>
      </c>
      <c r="E48" s="71" t="s">
        <v>24</v>
      </c>
      <c r="F48" s="71" t="s">
        <v>437</v>
      </c>
      <c r="G48" s="71" t="s">
        <v>40</v>
      </c>
      <c r="H48" s="71" t="s">
        <v>24</v>
      </c>
      <c r="I48" s="71" t="s">
        <v>39</v>
      </c>
      <c r="J48" s="72">
        <v>-161727.32999999999</v>
      </c>
      <c r="K48" s="73">
        <v>44477</v>
      </c>
      <c r="L48" s="73">
        <v>44477</v>
      </c>
      <c r="M48" s="73">
        <v>44494</v>
      </c>
      <c r="N48" s="71" t="s">
        <v>38</v>
      </c>
      <c r="S48" s="18" t="s">
        <v>392</v>
      </c>
      <c r="T48" s="75">
        <v>-100000</v>
      </c>
      <c r="U48" s="206">
        <v>-10020451</v>
      </c>
      <c r="V48" s="31">
        <v>-10120451</v>
      </c>
      <c r="W48" s="31"/>
      <c r="X48" s="31">
        <f>-GETPIVOTDATA("SumOfPAYMENT_AMT",$S$19,"CONTRACT_NUM","2821CCM001")</f>
        <v>10120451</v>
      </c>
      <c r="Y48" s="63" t="s">
        <v>366</v>
      </c>
      <c r="Z48" s="65" t="s">
        <v>367</v>
      </c>
      <c r="AA48" s="64">
        <v>10120451</v>
      </c>
      <c r="AB48" s="121">
        <v>0</v>
      </c>
      <c r="AC48" s="67">
        <f t="shared" si="1"/>
        <v>10120451</v>
      </c>
      <c r="AD48" s="121">
        <v>-100000</v>
      </c>
      <c r="AE48" s="67">
        <f t="shared" si="2"/>
        <v>10020451</v>
      </c>
      <c r="AF48" s="31">
        <f>AE48-AA48</f>
        <v>-100000</v>
      </c>
      <c r="AG48" s="31"/>
      <c r="AH48" s="120">
        <f t="shared" si="4"/>
        <v>-100000</v>
      </c>
      <c r="AJ48" s="4">
        <v>10020451</v>
      </c>
      <c r="AK48" s="8">
        <f>AJ48-X48</f>
        <v>-100000</v>
      </c>
      <c r="AL48" s="75">
        <v>10120451</v>
      </c>
      <c r="AM48" s="31">
        <f t="shared" si="5"/>
        <v>-100000</v>
      </c>
      <c r="AN48" s="31">
        <f t="shared" si="6"/>
        <v>100000</v>
      </c>
      <c r="AO48" s="10" t="s">
        <v>650</v>
      </c>
      <c r="AP48" s="67">
        <v>100000</v>
      </c>
    </row>
    <row r="49" spans="1:42" ht="15.75" thickBot="1">
      <c r="A49" s="71" t="s">
        <v>217</v>
      </c>
      <c r="B49" s="71" t="s">
        <v>268</v>
      </c>
      <c r="C49" s="71" t="s">
        <v>269</v>
      </c>
      <c r="D49" s="71" t="s">
        <v>436</v>
      </c>
      <c r="E49" s="71" t="s">
        <v>24</v>
      </c>
      <c r="F49" s="71" t="s">
        <v>437</v>
      </c>
      <c r="G49" s="71" t="s">
        <v>42</v>
      </c>
      <c r="H49" s="71" t="s">
        <v>24</v>
      </c>
      <c r="I49" s="71" t="s">
        <v>39</v>
      </c>
      <c r="J49" s="72">
        <v>-250000</v>
      </c>
      <c r="K49" s="73">
        <v>44477</v>
      </c>
      <c r="L49" s="73">
        <v>44477</v>
      </c>
      <c r="M49" s="73">
        <v>44494</v>
      </c>
      <c r="N49" s="71" t="s">
        <v>38</v>
      </c>
      <c r="S49" s="18" t="s">
        <v>206</v>
      </c>
      <c r="T49" s="31">
        <v>-16370568.359999999</v>
      </c>
      <c r="U49" s="31">
        <v>-28129022.539999999</v>
      </c>
      <c r="V49" s="31">
        <v>-44499590.899999999</v>
      </c>
      <c r="W49" s="31"/>
      <c r="X49" s="31">
        <f>SUM(X21:X48)</f>
        <v>44499590.899999999</v>
      </c>
      <c r="Y49" s="63" t="s">
        <v>368</v>
      </c>
      <c r="Z49" s="65"/>
      <c r="AA49" s="116">
        <f t="shared" ref="AA49:AF49" si="7">SUM(AA21:AA48)</f>
        <v>41353024</v>
      </c>
      <c r="AB49" s="121">
        <f t="shared" si="7"/>
        <v>0</v>
      </c>
      <c r="AC49" s="110">
        <f t="shared" si="7"/>
        <v>44499590.899999999</v>
      </c>
      <c r="AD49" s="121">
        <f t="shared" si="7"/>
        <v>723295.33</v>
      </c>
      <c r="AE49" s="67">
        <f t="shared" si="7"/>
        <v>45222886.229999997</v>
      </c>
      <c r="AF49" s="112">
        <f t="shared" si="7"/>
        <v>3869862.2299999991</v>
      </c>
      <c r="AG49" s="31"/>
      <c r="AH49" s="69">
        <f>SUM(AH21:AH48)</f>
        <v>3869862.2299999991</v>
      </c>
      <c r="AJ49" s="114">
        <f>SUM(AJ21:AJ48)</f>
        <v>45222256.229999997</v>
      </c>
      <c r="AK49" s="33">
        <f>SUM(AK21:AK48)</f>
        <v>767484.32999999984</v>
      </c>
      <c r="AL49" s="118">
        <f>SUM(AL21:AL48)</f>
        <v>45462255.43</v>
      </c>
      <c r="AM49" s="31">
        <f>SUM(AM21:AM48)</f>
        <v>-239999.20000000019</v>
      </c>
      <c r="AN49" s="31">
        <f t="shared" si="6"/>
        <v>239369.20000000298</v>
      </c>
      <c r="AP49" s="67">
        <f>SUM(AP21:AP48)</f>
        <v>240000</v>
      </c>
    </row>
    <row r="50" spans="1:42" ht="15.75" thickBot="1">
      <c r="A50" s="71" t="s">
        <v>217</v>
      </c>
      <c r="B50" s="71" t="s">
        <v>284</v>
      </c>
      <c r="C50" s="71" t="s">
        <v>285</v>
      </c>
      <c r="D50" s="71" t="s">
        <v>575</v>
      </c>
      <c r="E50" s="71" t="s">
        <v>24</v>
      </c>
      <c r="F50" s="71" t="s">
        <v>576</v>
      </c>
      <c r="G50" s="71" t="s">
        <v>40</v>
      </c>
      <c r="H50" s="71" t="s">
        <v>24</v>
      </c>
      <c r="I50" s="71" t="s">
        <v>39</v>
      </c>
      <c r="J50" s="72">
        <v>-465548</v>
      </c>
      <c r="K50" s="73">
        <v>44616</v>
      </c>
      <c r="L50" s="73">
        <v>44616</v>
      </c>
      <c r="M50" s="73">
        <v>44620</v>
      </c>
      <c r="N50" s="71" t="s">
        <v>38</v>
      </c>
      <c r="U50" s="23" t="s">
        <v>655</v>
      </c>
      <c r="W50" s="31"/>
      <c r="AA50" s="122">
        <v>-240000</v>
      </c>
      <c r="AC50" s="31"/>
      <c r="AE50" s="117">
        <f>-AA49</f>
        <v>-41353024</v>
      </c>
      <c r="AF50" s="75">
        <f>AF49-AC53</f>
        <v>3869862.2299999991</v>
      </c>
      <c r="AG50" s="31"/>
      <c r="AH50" s="123">
        <f>GETPIVOTDATA("SumOfPAYMENT_AMT",$S$19)</f>
        <v>-44499590.899999999</v>
      </c>
      <c r="AJ50" s="4">
        <f>AE50</f>
        <v>-41353024</v>
      </c>
      <c r="AK50" s="10" t="s">
        <v>651</v>
      </c>
      <c r="AL50" s="31">
        <v>-240000</v>
      </c>
      <c r="AM50" s="31"/>
      <c r="AN50" s="31"/>
      <c r="AP50" s="31"/>
    </row>
    <row r="51" spans="1:42" ht="15.75" thickBot="1">
      <c r="A51" s="71" t="s">
        <v>217</v>
      </c>
      <c r="B51" s="71" t="s">
        <v>171</v>
      </c>
      <c r="C51" s="71" t="s">
        <v>172</v>
      </c>
      <c r="D51" s="71" t="s">
        <v>430</v>
      </c>
      <c r="E51" s="71" t="s">
        <v>24</v>
      </c>
      <c r="F51" s="71" t="s">
        <v>438</v>
      </c>
      <c r="G51" s="71" t="s">
        <v>40</v>
      </c>
      <c r="H51" s="71" t="s">
        <v>24</v>
      </c>
      <c r="I51" s="71" t="s">
        <v>39</v>
      </c>
      <c r="J51" s="72">
        <v>-200141.5</v>
      </c>
      <c r="K51" s="73">
        <v>44316</v>
      </c>
      <c r="L51" s="73">
        <v>44316</v>
      </c>
      <c r="M51" s="73">
        <v>44316</v>
      </c>
      <c r="N51" s="71" t="s">
        <v>38</v>
      </c>
      <c r="U51" s="31"/>
      <c r="V51" s="31"/>
      <c r="W51" s="31"/>
      <c r="AA51" s="75">
        <f>SUM(AA49:AA50)</f>
        <v>41113024</v>
      </c>
      <c r="AE51" s="75">
        <f>SUM(AE49:AE50)</f>
        <v>3869862.2299999967</v>
      </c>
      <c r="AF51" s="4"/>
      <c r="AH51" s="4">
        <f>SUM(AH49:AH50)</f>
        <v>-40629728.670000002</v>
      </c>
      <c r="AJ51" s="30">
        <f>SUM(AJ49:AJ50)</f>
        <v>3869232.2299999967</v>
      </c>
      <c r="AK51" s="10" t="s">
        <v>487</v>
      </c>
      <c r="AL51" s="115">
        <f>SUM(AL49:AL50)</f>
        <v>45222255.43</v>
      </c>
      <c r="AM51" s="31">
        <f>AL51-AJ49</f>
        <v>-0.79999999701976776</v>
      </c>
      <c r="AP51" s="31"/>
    </row>
    <row r="52" spans="1:42" ht="15">
      <c r="A52" s="71" t="s">
        <v>217</v>
      </c>
      <c r="B52" s="71" t="s">
        <v>171</v>
      </c>
      <c r="C52" s="71" t="s">
        <v>172</v>
      </c>
      <c r="D52" s="71" t="s">
        <v>430</v>
      </c>
      <c r="E52" s="71" t="s">
        <v>24</v>
      </c>
      <c r="F52" s="71" t="s">
        <v>438</v>
      </c>
      <c r="G52" s="71" t="s">
        <v>42</v>
      </c>
      <c r="H52" s="71" t="s">
        <v>24</v>
      </c>
      <c r="I52" s="71" t="s">
        <v>39</v>
      </c>
      <c r="J52" s="72">
        <v>-200141.5</v>
      </c>
      <c r="K52" s="73">
        <v>44608</v>
      </c>
      <c r="L52" s="73">
        <v>44608</v>
      </c>
      <c r="M52" s="73">
        <v>44620</v>
      </c>
      <c r="N52" s="71" t="s">
        <v>38</v>
      </c>
      <c r="U52" s="34">
        <f>GETPIVOTDATA("SumOfPAYMENT_AMT",$S$19,"FEE_CD","CERTQ","CONTRACT_NUM","2821CCM001")+4082152.44</f>
        <v>-5938298.5600000005</v>
      </c>
      <c r="V52" s="10" t="s">
        <v>657</v>
      </c>
      <c r="AF52" s="4">
        <v>3386566.9</v>
      </c>
      <c r="AH52" s="8">
        <f>AH51+AA49</f>
        <v>723295.32999999821</v>
      </c>
      <c r="AP52" s="31"/>
    </row>
    <row r="53" spans="1:42" ht="15">
      <c r="A53" s="71" t="s">
        <v>217</v>
      </c>
      <c r="B53" s="71" t="s">
        <v>54</v>
      </c>
      <c r="C53" s="71" t="s">
        <v>55</v>
      </c>
      <c r="D53" s="71" t="s">
        <v>385</v>
      </c>
      <c r="E53" s="71" t="s">
        <v>24</v>
      </c>
      <c r="F53" s="71" t="s">
        <v>490</v>
      </c>
      <c r="G53" s="71" t="s">
        <v>40</v>
      </c>
      <c r="H53" s="71" t="s">
        <v>24</v>
      </c>
      <c r="I53" s="71" t="s">
        <v>39</v>
      </c>
      <c r="J53" s="72">
        <v>-48000</v>
      </c>
      <c r="K53" s="73">
        <v>44404</v>
      </c>
      <c r="L53" s="73">
        <v>44404</v>
      </c>
      <c r="M53" s="73">
        <v>44407</v>
      </c>
      <c r="N53" s="71" t="s">
        <v>38</v>
      </c>
      <c r="U53" s="4">
        <v>-4082152.44</v>
      </c>
      <c r="AC53" s="31"/>
      <c r="AE53" s="31">
        <f>GETPIVOTDATA("SumOfPAYMENT_AMT",$S$19)+AE49</f>
        <v>723295.32999999821</v>
      </c>
      <c r="AF53" s="8">
        <f>AF50-AF52</f>
        <v>483295.32999999914</v>
      </c>
      <c r="AH53" s="4">
        <f>AH52-AD49</f>
        <v>-1.7462298274040222E-9</v>
      </c>
      <c r="AL53" s="31">
        <f>AL49-AE49</f>
        <v>239369.20000000298</v>
      </c>
      <c r="AP53" s="31"/>
    </row>
    <row r="54" spans="1:42" ht="15">
      <c r="A54" s="71" t="s">
        <v>217</v>
      </c>
      <c r="B54" s="71" t="s">
        <v>54</v>
      </c>
      <c r="C54" s="71" t="s">
        <v>55</v>
      </c>
      <c r="D54" s="71" t="s">
        <v>385</v>
      </c>
      <c r="E54" s="71" t="s">
        <v>24</v>
      </c>
      <c r="F54" s="71" t="s">
        <v>490</v>
      </c>
      <c r="G54" s="71" t="s">
        <v>42</v>
      </c>
      <c r="H54" s="71" t="s">
        <v>24</v>
      </c>
      <c r="I54" s="71" t="s">
        <v>39</v>
      </c>
      <c r="J54" s="72">
        <v>-35347.71</v>
      </c>
      <c r="K54" s="73">
        <v>44404</v>
      </c>
      <c r="L54" s="73">
        <v>44404</v>
      </c>
      <c r="M54" s="73">
        <v>44407</v>
      </c>
      <c r="N54" s="71" t="s">
        <v>38</v>
      </c>
      <c r="U54" s="31">
        <f>SUM(U52:U53)</f>
        <v>-10020451</v>
      </c>
      <c r="AA54" s="31"/>
      <c r="AC54" s="31"/>
      <c r="AE54" s="31"/>
      <c r="AF54" s="108">
        <v>4082152.44</v>
      </c>
      <c r="AG54" s="10" t="s">
        <v>656</v>
      </c>
      <c r="AL54" s="8">
        <f>-AN24</f>
        <v>0</v>
      </c>
      <c r="AM54" s="8"/>
    </row>
    <row r="55" spans="1:42" ht="15">
      <c r="A55" s="71" t="s">
        <v>217</v>
      </c>
      <c r="B55" s="71" t="s">
        <v>54</v>
      </c>
      <c r="C55" s="71" t="s">
        <v>55</v>
      </c>
      <c r="D55" s="71" t="s">
        <v>385</v>
      </c>
      <c r="E55" s="71" t="s">
        <v>24</v>
      </c>
      <c r="F55" s="71" t="s">
        <v>490</v>
      </c>
      <c r="G55" s="71" t="s">
        <v>42</v>
      </c>
      <c r="H55" s="71" t="s">
        <v>24</v>
      </c>
      <c r="I55" s="71" t="s">
        <v>39</v>
      </c>
      <c r="J55" s="72">
        <v>-12652.29</v>
      </c>
      <c r="K55" s="73">
        <v>44477</v>
      </c>
      <c r="L55" s="73">
        <v>44477</v>
      </c>
      <c r="M55" s="73">
        <v>44494</v>
      </c>
      <c r="N55" s="71" t="s">
        <v>38</v>
      </c>
      <c r="AE55" s="31">
        <f>AF53</f>
        <v>483295.32999999914</v>
      </c>
      <c r="AF55" s="129">
        <f>SUM(AF52:AF54)</f>
        <v>7952014.669999999</v>
      </c>
      <c r="AL55" s="31"/>
    </row>
    <row r="56" spans="1:42" ht="15">
      <c r="A56" s="71" t="s">
        <v>217</v>
      </c>
      <c r="B56" s="71" t="s">
        <v>54</v>
      </c>
      <c r="C56" s="71" t="s">
        <v>55</v>
      </c>
      <c r="D56" s="71" t="s">
        <v>385</v>
      </c>
      <c r="E56" s="71" t="s">
        <v>24</v>
      </c>
      <c r="F56" s="71" t="s">
        <v>490</v>
      </c>
      <c r="G56" s="71" t="s">
        <v>37</v>
      </c>
      <c r="H56" s="71" t="s">
        <v>24</v>
      </c>
      <c r="I56" s="71" t="s">
        <v>39</v>
      </c>
      <c r="J56" s="72">
        <v>-24710.74</v>
      </c>
      <c r="K56" s="73">
        <v>44477</v>
      </c>
      <c r="L56" s="73">
        <v>44477</v>
      </c>
      <c r="M56" s="73">
        <v>44494</v>
      </c>
      <c r="N56" s="71" t="s">
        <v>38</v>
      </c>
      <c r="AE56" s="31">
        <f>-AA50</f>
        <v>240000</v>
      </c>
      <c r="AF56" s="31">
        <f>AF55-7952014.23</f>
        <v>0.43999999854713678</v>
      </c>
      <c r="AL56" s="8"/>
    </row>
    <row r="57" spans="1:42" ht="15">
      <c r="A57" s="71" t="s">
        <v>217</v>
      </c>
      <c r="B57" s="71" t="s">
        <v>133</v>
      </c>
      <c r="C57" s="71" t="s">
        <v>134</v>
      </c>
      <c r="D57" s="71" t="s">
        <v>385</v>
      </c>
      <c r="E57" s="71" t="s">
        <v>24</v>
      </c>
      <c r="F57" s="71" t="s">
        <v>439</v>
      </c>
      <c r="G57" s="71" t="s">
        <v>40</v>
      </c>
      <c r="H57" s="71" t="s">
        <v>24</v>
      </c>
      <c r="I57" s="71" t="s">
        <v>39</v>
      </c>
      <c r="J57" s="72">
        <v>-15000</v>
      </c>
      <c r="K57" s="73">
        <v>44288</v>
      </c>
      <c r="L57" s="73">
        <v>44288</v>
      </c>
      <c r="M57" s="73">
        <v>44298</v>
      </c>
      <c r="N57" s="71" t="s">
        <v>38</v>
      </c>
      <c r="AE57" s="31">
        <f>SUM(AE55:AE56)</f>
        <v>723295.32999999914</v>
      </c>
      <c r="AH57" s="8"/>
      <c r="AP57" s="31"/>
    </row>
    <row r="58" spans="1:42" ht="15">
      <c r="A58" s="71" t="s">
        <v>217</v>
      </c>
      <c r="B58" s="71" t="s">
        <v>133</v>
      </c>
      <c r="C58" s="71" t="s">
        <v>134</v>
      </c>
      <c r="D58" s="71" t="s">
        <v>385</v>
      </c>
      <c r="E58" s="71" t="s">
        <v>24</v>
      </c>
      <c r="F58" s="71" t="s">
        <v>439</v>
      </c>
      <c r="G58" s="71" t="s">
        <v>42</v>
      </c>
      <c r="H58" s="71" t="s">
        <v>24</v>
      </c>
      <c r="I58" s="71" t="s">
        <v>39</v>
      </c>
      <c r="J58" s="72">
        <v>-15000</v>
      </c>
      <c r="K58" s="73">
        <v>44288</v>
      </c>
      <c r="L58" s="73">
        <v>44288</v>
      </c>
      <c r="M58" s="73">
        <v>44298</v>
      </c>
      <c r="N58" s="71" t="s">
        <v>38</v>
      </c>
    </row>
    <row r="59" spans="1:42" ht="15">
      <c r="A59" s="71" t="s">
        <v>217</v>
      </c>
      <c r="B59" s="71" t="s">
        <v>133</v>
      </c>
      <c r="C59" s="71" t="s">
        <v>134</v>
      </c>
      <c r="D59" s="71" t="s">
        <v>385</v>
      </c>
      <c r="E59" s="71" t="s">
        <v>24</v>
      </c>
      <c r="F59" s="71" t="s">
        <v>439</v>
      </c>
      <c r="G59" s="71" t="s">
        <v>37</v>
      </c>
      <c r="H59" s="71" t="s">
        <v>24</v>
      </c>
      <c r="I59" s="71" t="s">
        <v>39</v>
      </c>
      <c r="J59" s="72">
        <v>-7500</v>
      </c>
      <c r="K59" s="73">
        <v>44288</v>
      </c>
      <c r="L59" s="73">
        <v>44288</v>
      </c>
      <c r="M59" s="73">
        <v>44298</v>
      </c>
      <c r="N59" s="71" t="s">
        <v>38</v>
      </c>
    </row>
    <row r="60" spans="1:42" ht="15">
      <c r="A60" s="71" t="s">
        <v>217</v>
      </c>
      <c r="B60" s="71" t="s">
        <v>133</v>
      </c>
      <c r="C60" s="71" t="s">
        <v>134</v>
      </c>
      <c r="D60" s="71" t="s">
        <v>385</v>
      </c>
      <c r="E60" s="71" t="s">
        <v>24</v>
      </c>
      <c r="F60" s="71" t="s">
        <v>439</v>
      </c>
      <c r="G60" s="71" t="s">
        <v>47</v>
      </c>
      <c r="H60" s="71" t="s">
        <v>24</v>
      </c>
      <c r="I60" s="71" t="s">
        <v>39</v>
      </c>
      <c r="J60" s="72">
        <v>-1605.25</v>
      </c>
      <c r="K60" s="73">
        <v>44288</v>
      </c>
      <c r="L60" s="73">
        <v>44288</v>
      </c>
      <c r="M60" s="73">
        <v>44298</v>
      </c>
      <c r="N60" s="71" t="s">
        <v>38</v>
      </c>
    </row>
    <row r="61" spans="1:42" ht="15">
      <c r="A61" s="71" t="s">
        <v>217</v>
      </c>
      <c r="B61" s="71" t="s">
        <v>133</v>
      </c>
      <c r="C61" s="71" t="s">
        <v>134</v>
      </c>
      <c r="D61" s="71" t="s">
        <v>385</v>
      </c>
      <c r="E61" s="71" t="s">
        <v>24</v>
      </c>
      <c r="F61" s="71" t="s">
        <v>439</v>
      </c>
      <c r="G61" s="71" t="s">
        <v>47</v>
      </c>
      <c r="H61" s="71" t="s">
        <v>24</v>
      </c>
      <c r="I61" s="71" t="s">
        <v>39</v>
      </c>
      <c r="J61" s="72">
        <v>-5894.75</v>
      </c>
      <c r="K61" s="73">
        <v>44316</v>
      </c>
      <c r="L61" s="73">
        <v>44316</v>
      </c>
      <c r="M61" s="73">
        <v>44316</v>
      </c>
      <c r="N61" s="71" t="s">
        <v>38</v>
      </c>
    </row>
    <row r="62" spans="1:42" ht="15">
      <c r="A62" s="71" t="s">
        <v>217</v>
      </c>
      <c r="B62" s="71" t="s">
        <v>133</v>
      </c>
      <c r="C62" s="71" t="s">
        <v>134</v>
      </c>
      <c r="D62" s="71" t="s">
        <v>385</v>
      </c>
      <c r="E62" s="71" t="s">
        <v>24</v>
      </c>
      <c r="F62" s="71" t="s">
        <v>439</v>
      </c>
      <c r="G62" s="71" t="s">
        <v>26</v>
      </c>
      <c r="H62" s="71" t="s">
        <v>24</v>
      </c>
      <c r="I62" s="71" t="s">
        <v>39</v>
      </c>
      <c r="J62" s="72">
        <v>-98939.23</v>
      </c>
      <c r="K62" s="73">
        <v>44609</v>
      </c>
      <c r="L62" s="73">
        <v>44609</v>
      </c>
      <c r="M62" s="73">
        <v>44620</v>
      </c>
      <c r="N62" s="71" t="s">
        <v>38</v>
      </c>
    </row>
    <row r="63" spans="1:42" ht="15">
      <c r="A63" s="71" t="s">
        <v>217</v>
      </c>
      <c r="B63" s="71" t="s">
        <v>116</v>
      </c>
      <c r="C63" s="71" t="s">
        <v>117</v>
      </c>
      <c r="D63" s="71" t="s">
        <v>385</v>
      </c>
      <c r="E63" s="71" t="s">
        <v>24</v>
      </c>
      <c r="F63" s="71" t="s">
        <v>440</v>
      </c>
      <c r="G63" s="71" t="s">
        <v>40</v>
      </c>
      <c r="H63" s="71" t="s">
        <v>24</v>
      </c>
      <c r="I63" s="71" t="s">
        <v>39</v>
      </c>
      <c r="J63" s="72">
        <v>-52500</v>
      </c>
      <c r="K63" s="73">
        <v>44288</v>
      </c>
      <c r="L63" s="73">
        <v>44288</v>
      </c>
      <c r="M63" s="73">
        <v>44298</v>
      </c>
      <c r="N63" s="71" t="s">
        <v>38</v>
      </c>
    </row>
    <row r="64" spans="1:42" ht="15">
      <c r="A64" s="71" t="s">
        <v>217</v>
      </c>
      <c r="B64" s="71" t="s">
        <v>116</v>
      </c>
      <c r="C64" s="71" t="s">
        <v>117</v>
      </c>
      <c r="D64" s="71" t="s">
        <v>385</v>
      </c>
      <c r="E64" s="71" t="s">
        <v>24</v>
      </c>
      <c r="F64" s="71" t="s">
        <v>440</v>
      </c>
      <c r="G64" s="71" t="s">
        <v>42</v>
      </c>
      <c r="H64" s="71" t="s">
        <v>24</v>
      </c>
      <c r="I64" s="71" t="s">
        <v>39</v>
      </c>
      <c r="J64" s="72">
        <v>-519.66</v>
      </c>
      <c r="K64" s="73">
        <v>44288</v>
      </c>
      <c r="L64" s="73">
        <v>44288</v>
      </c>
      <c r="M64" s="73">
        <v>44298</v>
      </c>
      <c r="N64" s="71" t="s">
        <v>38</v>
      </c>
    </row>
    <row r="65" spans="1:14" ht="15">
      <c r="A65" s="71" t="s">
        <v>217</v>
      </c>
      <c r="B65" s="71" t="s">
        <v>116</v>
      </c>
      <c r="C65" s="71" t="s">
        <v>117</v>
      </c>
      <c r="D65" s="71" t="s">
        <v>385</v>
      </c>
      <c r="E65" s="71" t="s">
        <v>24</v>
      </c>
      <c r="F65" s="71" t="s">
        <v>440</v>
      </c>
      <c r="G65" s="71" t="s">
        <v>42</v>
      </c>
      <c r="H65" s="71" t="s">
        <v>24</v>
      </c>
      <c r="I65" s="71" t="s">
        <v>39</v>
      </c>
      <c r="J65" s="72">
        <v>-51980.34</v>
      </c>
      <c r="K65" s="73">
        <v>44316</v>
      </c>
      <c r="L65" s="73">
        <v>44316</v>
      </c>
      <c r="M65" s="73">
        <v>44316</v>
      </c>
      <c r="N65" s="71" t="s">
        <v>38</v>
      </c>
    </row>
    <row r="66" spans="1:14" ht="15">
      <c r="A66" s="71" t="s">
        <v>217</v>
      </c>
      <c r="B66" s="71" t="s">
        <v>116</v>
      </c>
      <c r="C66" s="71" t="s">
        <v>117</v>
      </c>
      <c r="D66" s="71" t="s">
        <v>385</v>
      </c>
      <c r="E66" s="71" t="s">
        <v>24</v>
      </c>
      <c r="F66" s="71" t="s">
        <v>440</v>
      </c>
      <c r="G66" s="71" t="s">
        <v>37</v>
      </c>
      <c r="H66" s="71" t="s">
        <v>24</v>
      </c>
      <c r="I66" s="71" t="s">
        <v>39</v>
      </c>
      <c r="J66" s="72">
        <v>-5153.0600000000004</v>
      </c>
      <c r="K66" s="73">
        <v>44316</v>
      </c>
      <c r="L66" s="73">
        <v>44316</v>
      </c>
      <c r="M66" s="73">
        <v>44316</v>
      </c>
      <c r="N66" s="71" t="s">
        <v>38</v>
      </c>
    </row>
    <row r="67" spans="1:14" ht="15">
      <c r="A67" s="71" t="s">
        <v>217</v>
      </c>
      <c r="B67" s="71" t="s">
        <v>116</v>
      </c>
      <c r="C67" s="71" t="s">
        <v>117</v>
      </c>
      <c r="D67" s="71" t="s">
        <v>385</v>
      </c>
      <c r="E67" s="71" t="s">
        <v>24</v>
      </c>
      <c r="F67" s="71" t="s">
        <v>440</v>
      </c>
      <c r="G67" s="71" t="s">
        <v>37</v>
      </c>
      <c r="H67" s="71" t="s">
        <v>24</v>
      </c>
      <c r="I67" s="71" t="s">
        <v>39</v>
      </c>
      <c r="J67" s="72">
        <v>-29846.94</v>
      </c>
      <c r="K67" s="73">
        <v>44404</v>
      </c>
      <c r="L67" s="73">
        <v>44404</v>
      </c>
      <c r="M67" s="73">
        <v>44407</v>
      </c>
      <c r="N67" s="71" t="s">
        <v>38</v>
      </c>
    </row>
    <row r="68" spans="1:14" ht="15">
      <c r="A68" s="71" t="s">
        <v>217</v>
      </c>
      <c r="B68" s="71" t="s">
        <v>116</v>
      </c>
      <c r="C68" s="71" t="s">
        <v>117</v>
      </c>
      <c r="D68" s="71" t="s">
        <v>385</v>
      </c>
      <c r="E68" s="71" t="s">
        <v>24</v>
      </c>
      <c r="F68" s="71" t="s">
        <v>440</v>
      </c>
      <c r="G68" s="71" t="s">
        <v>47</v>
      </c>
      <c r="H68" s="71" t="s">
        <v>24</v>
      </c>
      <c r="I68" s="71" t="s">
        <v>39</v>
      </c>
      <c r="J68" s="72">
        <v>-25000</v>
      </c>
      <c r="K68" s="73">
        <v>44404</v>
      </c>
      <c r="L68" s="73">
        <v>44404</v>
      </c>
      <c r="M68" s="73">
        <v>44407</v>
      </c>
      <c r="N68" s="71" t="s">
        <v>38</v>
      </c>
    </row>
    <row r="69" spans="1:14" ht="15">
      <c r="A69" s="71" t="s">
        <v>217</v>
      </c>
      <c r="B69" s="71" t="s">
        <v>116</v>
      </c>
      <c r="C69" s="71" t="s">
        <v>117</v>
      </c>
      <c r="D69" s="71" t="s">
        <v>385</v>
      </c>
      <c r="E69" s="71" t="s">
        <v>24</v>
      </c>
      <c r="F69" s="71" t="s">
        <v>440</v>
      </c>
      <c r="G69" s="71" t="s">
        <v>26</v>
      </c>
      <c r="H69" s="71" t="s">
        <v>24</v>
      </c>
      <c r="I69" s="71" t="s">
        <v>39</v>
      </c>
      <c r="J69" s="72">
        <v>-58404.26</v>
      </c>
      <c r="K69" s="73">
        <v>44609</v>
      </c>
      <c r="L69" s="73">
        <v>44609</v>
      </c>
      <c r="M69" s="73">
        <v>44620</v>
      </c>
      <c r="N69" s="71" t="s">
        <v>38</v>
      </c>
    </row>
    <row r="70" spans="1:14" ht="15">
      <c r="A70" s="71" t="s">
        <v>217</v>
      </c>
      <c r="B70" s="71" t="s">
        <v>114</v>
      </c>
      <c r="C70" s="71" t="s">
        <v>115</v>
      </c>
      <c r="D70" s="71" t="s">
        <v>555</v>
      </c>
      <c r="E70" s="71" t="s">
        <v>24</v>
      </c>
      <c r="F70" s="71" t="s">
        <v>556</v>
      </c>
      <c r="G70" s="71" t="s">
        <v>42</v>
      </c>
      <c r="H70" s="71" t="s">
        <v>24</v>
      </c>
      <c r="I70" s="71" t="s">
        <v>39</v>
      </c>
      <c r="J70" s="72">
        <v>-6040</v>
      </c>
      <c r="K70" s="73">
        <v>44608</v>
      </c>
      <c r="L70" s="73">
        <v>44608</v>
      </c>
      <c r="M70" s="73">
        <v>44620</v>
      </c>
      <c r="N70" s="71" t="s">
        <v>38</v>
      </c>
    </row>
    <row r="71" spans="1:14" ht="15">
      <c r="A71" s="71" t="s">
        <v>217</v>
      </c>
      <c r="B71" s="71" t="s">
        <v>139</v>
      </c>
      <c r="C71" s="71" t="s">
        <v>140</v>
      </c>
      <c r="D71" s="71" t="s">
        <v>570</v>
      </c>
      <c r="E71" s="71" t="s">
        <v>24</v>
      </c>
      <c r="F71" s="71" t="s">
        <v>577</v>
      </c>
      <c r="G71" s="71" t="s">
        <v>40</v>
      </c>
      <c r="H71" s="71" t="s">
        <v>24</v>
      </c>
      <c r="I71" s="71" t="s">
        <v>39</v>
      </c>
      <c r="J71" s="72">
        <v>-20000</v>
      </c>
      <c r="K71" s="73">
        <v>44581</v>
      </c>
      <c r="L71" s="73">
        <v>44581</v>
      </c>
      <c r="M71" s="73">
        <v>44581</v>
      </c>
      <c r="N71" s="71" t="s">
        <v>38</v>
      </c>
    </row>
    <row r="72" spans="1:14" ht="15">
      <c r="A72" s="71" t="s">
        <v>217</v>
      </c>
      <c r="B72" s="71" t="s">
        <v>232</v>
      </c>
      <c r="C72" s="71" t="s">
        <v>233</v>
      </c>
      <c r="D72" s="71" t="s">
        <v>430</v>
      </c>
      <c r="E72" s="71" t="s">
        <v>24</v>
      </c>
      <c r="F72" s="71" t="s">
        <v>441</v>
      </c>
      <c r="G72" s="71" t="s">
        <v>40</v>
      </c>
      <c r="H72" s="71" t="s">
        <v>24</v>
      </c>
      <c r="I72" s="71" t="s">
        <v>39</v>
      </c>
      <c r="J72" s="72">
        <v>-70000</v>
      </c>
      <c r="K72" s="73">
        <v>44316</v>
      </c>
      <c r="L72" s="73">
        <v>44316</v>
      </c>
      <c r="M72" s="73">
        <v>44316</v>
      </c>
      <c r="N72" s="71" t="s">
        <v>38</v>
      </c>
    </row>
    <row r="73" spans="1:14" ht="15">
      <c r="A73" s="71" t="s">
        <v>217</v>
      </c>
      <c r="B73" s="71" t="s">
        <v>232</v>
      </c>
      <c r="C73" s="71" t="s">
        <v>233</v>
      </c>
      <c r="D73" s="71" t="s">
        <v>430</v>
      </c>
      <c r="E73" s="71" t="s">
        <v>24</v>
      </c>
      <c r="F73" s="71" t="s">
        <v>441</v>
      </c>
      <c r="G73" s="71" t="s">
        <v>42</v>
      </c>
      <c r="H73" s="71" t="s">
        <v>24</v>
      </c>
      <c r="I73" s="71" t="s">
        <v>39</v>
      </c>
      <c r="J73" s="72">
        <v>-70000</v>
      </c>
      <c r="K73" s="73">
        <v>44608</v>
      </c>
      <c r="L73" s="73">
        <v>44608</v>
      </c>
      <c r="M73" s="73">
        <v>44620</v>
      </c>
      <c r="N73" s="71" t="s">
        <v>38</v>
      </c>
    </row>
    <row r="74" spans="1:14" ht="15">
      <c r="A74" s="71" t="s">
        <v>217</v>
      </c>
      <c r="B74" s="71" t="s">
        <v>181</v>
      </c>
      <c r="C74" s="71" t="s">
        <v>182</v>
      </c>
      <c r="D74" s="71" t="s">
        <v>385</v>
      </c>
      <c r="E74" s="71" t="s">
        <v>24</v>
      </c>
      <c r="F74" s="71" t="s">
        <v>442</v>
      </c>
      <c r="G74" s="71" t="s">
        <v>40</v>
      </c>
      <c r="H74" s="71" t="s">
        <v>24</v>
      </c>
      <c r="I74" s="71" t="s">
        <v>39</v>
      </c>
      <c r="J74" s="72">
        <v>-85000</v>
      </c>
      <c r="K74" s="73">
        <v>44288</v>
      </c>
      <c r="L74" s="73">
        <v>44288</v>
      </c>
      <c r="M74" s="73">
        <v>44298</v>
      </c>
      <c r="N74" s="71" t="s">
        <v>38</v>
      </c>
    </row>
    <row r="75" spans="1:14" ht="15">
      <c r="A75" s="71" t="s">
        <v>217</v>
      </c>
      <c r="B75" s="71" t="s">
        <v>181</v>
      </c>
      <c r="C75" s="71" t="s">
        <v>182</v>
      </c>
      <c r="D75" s="71" t="s">
        <v>385</v>
      </c>
      <c r="E75" s="71" t="s">
        <v>24</v>
      </c>
      <c r="F75" s="71" t="s">
        <v>442</v>
      </c>
      <c r="G75" s="71" t="s">
        <v>42</v>
      </c>
      <c r="H75" s="71" t="s">
        <v>24</v>
      </c>
      <c r="I75" s="71" t="s">
        <v>39</v>
      </c>
      <c r="J75" s="72">
        <v>-3102.82</v>
      </c>
      <c r="K75" s="73">
        <v>44288</v>
      </c>
      <c r="L75" s="73">
        <v>44288</v>
      </c>
      <c r="M75" s="73">
        <v>44298</v>
      </c>
      <c r="N75" s="71" t="s">
        <v>38</v>
      </c>
    </row>
    <row r="76" spans="1:14" ht="15">
      <c r="A76" s="71" t="s">
        <v>217</v>
      </c>
      <c r="B76" s="71" t="s">
        <v>181</v>
      </c>
      <c r="C76" s="71" t="s">
        <v>182</v>
      </c>
      <c r="D76" s="71" t="s">
        <v>385</v>
      </c>
      <c r="E76" s="71" t="s">
        <v>24</v>
      </c>
      <c r="F76" s="71" t="s">
        <v>442</v>
      </c>
      <c r="G76" s="71" t="s">
        <v>42</v>
      </c>
      <c r="H76" s="71" t="s">
        <v>24</v>
      </c>
      <c r="I76" s="71" t="s">
        <v>39</v>
      </c>
      <c r="J76" s="72">
        <v>-81897.179999999993</v>
      </c>
      <c r="K76" s="73">
        <v>44299</v>
      </c>
      <c r="L76" s="73">
        <v>44299</v>
      </c>
      <c r="M76" s="73">
        <v>44314</v>
      </c>
      <c r="N76" s="71" t="s">
        <v>38</v>
      </c>
    </row>
    <row r="77" spans="1:14" ht="15">
      <c r="A77" s="71" t="s">
        <v>217</v>
      </c>
      <c r="B77" s="71" t="s">
        <v>181</v>
      </c>
      <c r="C77" s="71" t="s">
        <v>182</v>
      </c>
      <c r="D77" s="71" t="s">
        <v>385</v>
      </c>
      <c r="E77" s="71" t="s">
        <v>24</v>
      </c>
      <c r="F77" s="71" t="s">
        <v>442</v>
      </c>
      <c r="G77" s="71" t="s">
        <v>37</v>
      </c>
      <c r="H77" s="71" t="s">
        <v>24</v>
      </c>
      <c r="I77" s="71" t="s">
        <v>39</v>
      </c>
      <c r="J77" s="72">
        <v>-1662.09</v>
      </c>
      <c r="K77" s="73">
        <v>44299</v>
      </c>
      <c r="L77" s="73">
        <v>44299</v>
      </c>
      <c r="M77" s="73">
        <v>44314</v>
      </c>
      <c r="N77" s="71" t="s">
        <v>38</v>
      </c>
    </row>
    <row r="78" spans="1:14" ht="15">
      <c r="A78" s="71" t="s">
        <v>217</v>
      </c>
      <c r="B78" s="71" t="s">
        <v>181</v>
      </c>
      <c r="C78" s="71" t="s">
        <v>182</v>
      </c>
      <c r="D78" s="71" t="s">
        <v>385</v>
      </c>
      <c r="E78" s="71" t="s">
        <v>24</v>
      </c>
      <c r="F78" s="71" t="s">
        <v>442</v>
      </c>
      <c r="G78" s="71" t="s">
        <v>37</v>
      </c>
      <c r="H78" s="71" t="s">
        <v>24</v>
      </c>
      <c r="I78" s="71" t="s">
        <v>39</v>
      </c>
      <c r="J78" s="72">
        <v>-68337.91</v>
      </c>
      <c r="K78" s="73">
        <v>44393</v>
      </c>
      <c r="L78" s="73">
        <v>44393</v>
      </c>
      <c r="M78" s="73">
        <v>44407</v>
      </c>
      <c r="N78" s="71" t="s">
        <v>38</v>
      </c>
    </row>
    <row r="79" spans="1:14" ht="15">
      <c r="A79" s="71" t="s">
        <v>217</v>
      </c>
      <c r="B79" s="71" t="s">
        <v>181</v>
      </c>
      <c r="C79" s="71" t="s">
        <v>182</v>
      </c>
      <c r="D79" s="71" t="s">
        <v>385</v>
      </c>
      <c r="E79" s="71" t="s">
        <v>24</v>
      </c>
      <c r="F79" s="71" t="s">
        <v>442</v>
      </c>
      <c r="G79" s="71" t="s">
        <v>47</v>
      </c>
      <c r="H79" s="71" t="s">
        <v>24</v>
      </c>
      <c r="I79" s="71" t="s">
        <v>39</v>
      </c>
      <c r="J79" s="72">
        <v>-14930.95</v>
      </c>
      <c r="K79" s="73">
        <v>44393</v>
      </c>
      <c r="L79" s="73">
        <v>44393</v>
      </c>
      <c r="M79" s="73">
        <v>44407</v>
      </c>
      <c r="N79" s="71" t="s">
        <v>38</v>
      </c>
    </row>
    <row r="80" spans="1:14" ht="15">
      <c r="A80" s="71" t="s">
        <v>217</v>
      </c>
      <c r="B80" s="71" t="s">
        <v>181</v>
      </c>
      <c r="C80" s="71" t="s">
        <v>182</v>
      </c>
      <c r="D80" s="71" t="s">
        <v>385</v>
      </c>
      <c r="E80" s="71" t="s">
        <v>24</v>
      </c>
      <c r="F80" s="71" t="s">
        <v>442</v>
      </c>
      <c r="G80" s="71" t="s">
        <v>47</v>
      </c>
      <c r="H80" s="71" t="s">
        <v>24</v>
      </c>
      <c r="I80" s="71" t="s">
        <v>39</v>
      </c>
      <c r="J80" s="72">
        <v>-45069.05</v>
      </c>
      <c r="K80" s="73">
        <v>44494</v>
      </c>
      <c r="L80" s="73">
        <v>44494</v>
      </c>
      <c r="M80" s="73">
        <v>44498</v>
      </c>
      <c r="N80" s="71" t="s">
        <v>38</v>
      </c>
    </row>
    <row r="81" spans="1:14" ht="15">
      <c r="A81" s="71" t="s">
        <v>217</v>
      </c>
      <c r="B81" s="71" t="s">
        <v>181</v>
      </c>
      <c r="C81" s="71" t="s">
        <v>182</v>
      </c>
      <c r="D81" s="71" t="s">
        <v>385</v>
      </c>
      <c r="E81" s="71" t="s">
        <v>24</v>
      </c>
      <c r="F81" s="71" t="s">
        <v>442</v>
      </c>
      <c r="G81" s="71" t="s">
        <v>26</v>
      </c>
      <c r="H81" s="71" t="s">
        <v>24</v>
      </c>
      <c r="I81" s="71" t="s">
        <v>39</v>
      </c>
      <c r="J81" s="72">
        <v>-44695.62</v>
      </c>
      <c r="K81" s="73">
        <v>44609</v>
      </c>
      <c r="L81" s="73">
        <v>44609</v>
      </c>
      <c r="M81" s="73">
        <v>44620</v>
      </c>
      <c r="N81" s="71" t="s">
        <v>38</v>
      </c>
    </row>
    <row r="82" spans="1:14" ht="15">
      <c r="A82" s="71" t="s">
        <v>217</v>
      </c>
      <c r="B82" s="71" t="s">
        <v>75</v>
      </c>
      <c r="C82" s="71" t="s">
        <v>76</v>
      </c>
      <c r="D82" s="71" t="s">
        <v>555</v>
      </c>
      <c r="E82" s="71" t="s">
        <v>24</v>
      </c>
      <c r="F82" s="71" t="s">
        <v>578</v>
      </c>
      <c r="G82" s="71" t="s">
        <v>40</v>
      </c>
      <c r="H82" s="71" t="s">
        <v>24</v>
      </c>
      <c r="I82" s="71" t="s">
        <v>39</v>
      </c>
      <c r="J82" s="72">
        <v>-48805</v>
      </c>
      <c r="K82" s="73">
        <v>44581</v>
      </c>
      <c r="L82" s="73">
        <v>44581</v>
      </c>
      <c r="M82" s="73">
        <v>44581</v>
      </c>
      <c r="N82" s="71" t="s">
        <v>38</v>
      </c>
    </row>
    <row r="83" spans="1:14" ht="15">
      <c r="A83" s="71" t="s">
        <v>217</v>
      </c>
      <c r="B83" s="71" t="s">
        <v>173</v>
      </c>
      <c r="C83" s="71" t="s">
        <v>174</v>
      </c>
      <c r="D83" s="71" t="s">
        <v>385</v>
      </c>
      <c r="E83" s="71" t="s">
        <v>24</v>
      </c>
      <c r="F83" s="71" t="s">
        <v>443</v>
      </c>
      <c r="G83" s="71" t="s">
        <v>40</v>
      </c>
      <c r="H83" s="71" t="s">
        <v>24</v>
      </c>
      <c r="I83" s="71" t="s">
        <v>39</v>
      </c>
      <c r="J83" s="72">
        <v>-20000</v>
      </c>
      <c r="K83" s="73">
        <v>44288</v>
      </c>
      <c r="L83" s="73">
        <v>44288</v>
      </c>
      <c r="M83" s="73">
        <v>44298</v>
      </c>
      <c r="N83" s="71" t="s">
        <v>38</v>
      </c>
    </row>
    <row r="84" spans="1:14" ht="15">
      <c r="A84" s="71" t="s">
        <v>217</v>
      </c>
      <c r="B84" s="71" t="s">
        <v>173</v>
      </c>
      <c r="C84" s="71" t="s">
        <v>174</v>
      </c>
      <c r="D84" s="71" t="s">
        <v>385</v>
      </c>
      <c r="E84" s="71" t="s">
        <v>24</v>
      </c>
      <c r="F84" s="71" t="s">
        <v>443</v>
      </c>
      <c r="G84" s="71" t="s">
        <v>42</v>
      </c>
      <c r="H84" s="71" t="s">
        <v>24</v>
      </c>
      <c r="I84" s="71" t="s">
        <v>39</v>
      </c>
      <c r="J84" s="72">
        <v>-4186.2700000000004</v>
      </c>
      <c r="K84" s="73">
        <v>44288</v>
      </c>
      <c r="L84" s="73">
        <v>44288</v>
      </c>
      <c r="M84" s="73">
        <v>44298</v>
      </c>
      <c r="N84" s="71" t="s">
        <v>38</v>
      </c>
    </row>
    <row r="85" spans="1:14" ht="15">
      <c r="A85" s="71" t="s">
        <v>217</v>
      </c>
      <c r="B85" s="71" t="s">
        <v>173</v>
      </c>
      <c r="C85" s="71" t="s">
        <v>174</v>
      </c>
      <c r="D85" s="71" t="s">
        <v>385</v>
      </c>
      <c r="E85" s="71" t="s">
        <v>24</v>
      </c>
      <c r="F85" s="71" t="s">
        <v>443</v>
      </c>
      <c r="G85" s="71" t="s">
        <v>42</v>
      </c>
      <c r="H85" s="71" t="s">
        <v>24</v>
      </c>
      <c r="I85" s="71" t="s">
        <v>39</v>
      </c>
      <c r="J85" s="72">
        <v>-15813.73</v>
      </c>
      <c r="K85" s="73">
        <v>44316</v>
      </c>
      <c r="L85" s="73">
        <v>44316</v>
      </c>
      <c r="M85" s="73">
        <v>44316</v>
      </c>
      <c r="N85" s="71" t="s">
        <v>38</v>
      </c>
    </row>
    <row r="86" spans="1:14" ht="15">
      <c r="A86" s="71" t="s">
        <v>217</v>
      </c>
      <c r="B86" s="71" t="s">
        <v>173</v>
      </c>
      <c r="C86" s="71" t="s">
        <v>174</v>
      </c>
      <c r="D86" s="71" t="s">
        <v>385</v>
      </c>
      <c r="E86" s="71" t="s">
        <v>24</v>
      </c>
      <c r="F86" s="71" t="s">
        <v>443</v>
      </c>
      <c r="G86" s="71" t="s">
        <v>37</v>
      </c>
      <c r="H86" s="71" t="s">
        <v>24</v>
      </c>
      <c r="I86" s="71" t="s">
        <v>39</v>
      </c>
      <c r="J86" s="72">
        <v>-10982.42</v>
      </c>
      <c r="K86" s="73">
        <v>44316</v>
      </c>
      <c r="L86" s="73">
        <v>44316</v>
      </c>
      <c r="M86" s="73">
        <v>44316</v>
      </c>
      <c r="N86" s="71" t="s">
        <v>38</v>
      </c>
    </row>
    <row r="87" spans="1:14" ht="15">
      <c r="A87" s="71" t="s">
        <v>217</v>
      </c>
      <c r="B87" s="71" t="s">
        <v>173</v>
      </c>
      <c r="C87" s="71" t="s">
        <v>174</v>
      </c>
      <c r="D87" s="71" t="s">
        <v>385</v>
      </c>
      <c r="E87" s="71" t="s">
        <v>24</v>
      </c>
      <c r="F87" s="71" t="s">
        <v>443</v>
      </c>
      <c r="G87" s="71" t="s">
        <v>37</v>
      </c>
      <c r="H87" s="71" t="s">
        <v>24</v>
      </c>
      <c r="I87" s="71" t="s">
        <v>39</v>
      </c>
      <c r="J87" s="72">
        <v>-4017.58</v>
      </c>
      <c r="K87" s="73">
        <v>44497</v>
      </c>
      <c r="L87" s="73">
        <v>44497</v>
      </c>
      <c r="M87" s="73">
        <v>44498</v>
      </c>
      <c r="N87" s="71" t="s">
        <v>38</v>
      </c>
    </row>
    <row r="88" spans="1:14" ht="15">
      <c r="A88" s="71" t="s">
        <v>217</v>
      </c>
      <c r="B88" s="71" t="s">
        <v>173</v>
      </c>
      <c r="C88" s="71" t="s">
        <v>174</v>
      </c>
      <c r="D88" s="71" t="s">
        <v>385</v>
      </c>
      <c r="E88" s="71" t="s">
        <v>24</v>
      </c>
      <c r="F88" s="71" t="s">
        <v>443</v>
      </c>
      <c r="G88" s="71" t="s">
        <v>47</v>
      </c>
      <c r="H88" s="71" t="s">
        <v>24</v>
      </c>
      <c r="I88" s="71" t="s">
        <v>39</v>
      </c>
      <c r="J88" s="72">
        <v>-5000</v>
      </c>
      <c r="K88" s="73">
        <v>44497</v>
      </c>
      <c r="L88" s="73">
        <v>44497</v>
      </c>
      <c r="M88" s="73">
        <v>44498</v>
      </c>
      <c r="N88" s="71" t="s">
        <v>38</v>
      </c>
    </row>
    <row r="89" spans="1:14" ht="15">
      <c r="A89" s="71" t="s">
        <v>217</v>
      </c>
      <c r="B89" s="71" t="s">
        <v>173</v>
      </c>
      <c r="C89" s="71" t="s">
        <v>174</v>
      </c>
      <c r="D89" s="71" t="s">
        <v>385</v>
      </c>
      <c r="E89" s="71" t="s">
        <v>24</v>
      </c>
      <c r="F89" s="71" t="s">
        <v>443</v>
      </c>
      <c r="G89" s="71" t="s">
        <v>26</v>
      </c>
      <c r="H89" s="71" t="s">
        <v>24</v>
      </c>
      <c r="I89" s="71" t="s">
        <v>39</v>
      </c>
      <c r="J89" s="72">
        <v>-35902.730000000003</v>
      </c>
      <c r="K89" s="73">
        <v>44609</v>
      </c>
      <c r="L89" s="73">
        <v>44609</v>
      </c>
      <c r="M89" s="73">
        <v>44620</v>
      </c>
      <c r="N89" s="71" t="s">
        <v>38</v>
      </c>
    </row>
    <row r="90" spans="1:14" ht="15">
      <c r="A90" s="71" t="s">
        <v>217</v>
      </c>
      <c r="B90" s="71" t="s">
        <v>56</v>
      </c>
      <c r="C90" s="71" t="s">
        <v>57</v>
      </c>
      <c r="D90" s="71" t="s">
        <v>385</v>
      </c>
      <c r="E90" s="71" t="s">
        <v>24</v>
      </c>
      <c r="F90" s="71" t="s">
        <v>444</v>
      </c>
      <c r="G90" s="71" t="s">
        <v>40</v>
      </c>
      <c r="H90" s="71" t="s">
        <v>24</v>
      </c>
      <c r="I90" s="71" t="s">
        <v>39</v>
      </c>
      <c r="J90" s="72">
        <v>-40000</v>
      </c>
      <c r="K90" s="73">
        <v>44288</v>
      </c>
      <c r="L90" s="73">
        <v>44288</v>
      </c>
      <c r="M90" s="73">
        <v>44298</v>
      </c>
      <c r="N90" s="71" t="s">
        <v>38</v>
      </c>
    </row>
    <row r="91" spans="1:14" ht="15">
      <c r="A91" s="71" t="s">
        <v>217</v>
      </c>
      <c r="B91" s="71" t="s">
        <v>56</v>
      </c>
      <c r="C91" s="71" t="s">
        <v>57</v>
      </c>
      <c r="D91" s="71" t="s">
        <v>385</v>
      </c>
      <c r="E91" s="71" t="s">
        <v>24</v>
      </c>
      <c r="F91" s="71" t="s">
        <v>444</v>
      </c>
      <c r="G91" s="71" t="s">
        <v>42</v>
      </c>
      <c r="H91" s="71" t="s">
        <v>24</v>
      </c>
      <c r="I91" s="71" t="s">
        <v>39</v>
      </c>
      <c r="J91" s="72">
        <v>-6131</v>
      </c>
      <c r="K91" s="73">
        <v>44288</v>
      </c>
      <c r="L91" s="73">
        <v>44288</v>
      </c>
      <c r="M91" s="73">
        <v>44298</v>
      </c>
      <c r="N91" s="71" t="s">
        <v>38</v>
      </c>
    </row>
    <row r="92" spans="1:14" ht="15">
      <c r="A92" s="71" t="s">
        <v>217</v>
      </c>
      <c r="B92" s="71" t="s">
        <v>56</v>
      </c>
      <c r="C92" s="71" t="s">
        <v>57</v>
      </c>
      <c r="D92" s="71" t="s">
        <v>385</v>
      </c>
      <c r="E92" s="71" t="s">
        <v>24</v>
      </c>
      <c r="F92" s="71" t="s">
        <v>444</v>
      </c>
      <c r="G92" s="71" t="s">
        <v>42</v>
      </c>
      <c r="H92" s="71" t="s">
        <v>24</v>
      </c>
      <c r="I92" s="71" t="s">
        <v>39</v>
      </c>
      <c r="J92" s="72">
        <v>-28869</v>
      </c>
      <c r="K92" s="73">
        <v>44299</v>
      </c>
      <c r="L92" s="73">
        <v>44299</v>
      </c>
      <c r="M92" s="73">
        <v>44314</v>
      </c>
      <c r="N92" s="71" t="s">
        <v>38</v>
      </c>
    </row>
    <row r="93" spans="1:14" ht="15">
      <c r="A93" s="71" t="s">
        <v>217</v>
      </c>
      <c r="B93" s="71" t="s">
        <v>56</v>
      </c>
      <c r="C93" s="71" t="s">
        <v>57</v>
      </c>
      <c r="D93" s="71" t="s">
        <v>385</v>
      </c>
      <c r="E93" s="71" t="s">
        <v>24</v>
      </c>
      <c r="F93" s="71" t="s">
        <v>444</v>
      </c>
      <c r="G93" s="71" t="s">
        <v>37</v>
      </c>
      <c r="H93" s="71" t="s">
        <v>24</v>
      </c>
      <c r="I93" s="71" t="s">
        <v>39</v>
      </c>
      <c r="J93" s="72">
        <v>-17262</v>
      </c>
      <c r="K93" s="73">
        <v>44299</v>
      </c>
      <c r="L93" s="73">
        <v>44299</v>
      </c>
      <c r="M93" s="73">
        <v>44314</v>
      </c>
      <c r="N93" s="71" t="s">
        <v>38</v>
      </c>
    </row>
    <row r="94" spans="1:14" ht="15">
      <c r="A94" s="71" t="s">
        <v>217</v>
      </c>
      <c r="B94" s="71" t="s">
        <v>56</v>
      </c>
      <c r="C94" s="71" t="s">
        <v>57</v>
      </c>
      <c r="D94" s="71" t="s">
        <v>385</v>
      </c>
      <c r="E94" s="71" t="s">
        <v>24</v>
      </c>
      <c r="F94" s="71" t="s">
        <v>444</v>
      </c>
      <c r="G94" s="71" t="s">
        <v>37</v>
      </c>
      <c r="H94" s="71" t="s">
        <v>24</v>
      </c>
      <c r="I94" s="71" t="s">
        <v>39</v>
      </c>
      <c r="J94" s="72">
        <v>-2738</v>
      </c>
      <c r="K94" s="73">
        <v>44393</v>
      </c>
      <c r="L94" s="73">
        <v>44393</v>
      </c>
      <c r="M94" s="73">
        <v>44407</v>
      </c>
      <c r="N94" s="71" t="s">
        <v>38</v>
      </c>
    </row>
    <row r="95" spans="1:14" ht="15">
      <c r="A95" s="71" t="s">
        <v>217</v>
      </c>
      <c r="B95" s="71" t="s">
        <v>56</v>
      </c>
      <c r="C95" s="71" t="s">
        <v>57</v>
      </c>
      <c r="D95" s="71" t="s">
        <v>385</v>
      </c>
      <c r="E95" s="71" t="s">
        <v>24</v>
      </c>
      <c r="F95" s="71" t="s">
        <v>444</v>
      </c>
      <c r="G95" s="71" t="s">
        <v>47</v>
      </c>
      <c r="H95" s="71" t="s">
        <v>24</v>
      </c>
      <c r="I95" s="71" t="s">
        <v>39</v>
      </c>
      <c r="J95" s="72">
        <v>-6334.5</v>
      </c>
      <c r="K95" s="73">
        <v>44393</v>
      </c>
      <c r="L95" s="73">
        <v>44393</v>
      </c>
      <c r="M95" s="73">
        <v>44407</v>
      </c>
      <c r="N95" s="71" t="s">
        <v>38</v>
      </c>
    </row>
    <row r="96" spans="1:14" ht="15">
      <c r="A96" s="71" t="s">
        <v>217</v>
      </c>
      <c r="B96" s="71" t="s">
        <v>56</v>
      </c>
      <c r="C96" s="71" t="s">
        <v>57</v>
      </c>
      <c r="D96" s="71" t="s">
        <v>385</v>
      </c>
      <c r="E96" s="71" t="s">
        <v>24</v>
      </c>
      <c r="F96" s="71" t="s">
        <v>444</v>
      </c>
      <c r="G96" s="71" t="s">
        <v>47</v>
      </c>
      <c r="H96" s="71" t="s">
        <v>24</v>
      </c>
      <c r="I96" s="71" t="s">
        <v>39</v>
      </c>
      <c r="J96" s="72">
        <v>-8665.5</v>
      </c>
      <c r="K96" s="73">
        <v>44497</v>
      </c>
      <c r="L96" s="73">
        <v>44497</v>
      </c>
      <c r="M96" s="73">
        <v>44498</v>
      </c>
      <c r="N96" s="71" t="s">
        <v>38</v>
      </c>
    </row>
    <row r="97" spans="1:14" ht="15">
      <c r="A97" s="71" t="s">
        <v>217</v>
      </c>
      <c r="B97" s="71" t="s">
        <v>378</v>
      </c>
      <c r="C97" s="71" t="s">
        <v>379</v>
      </c>
      <c r="D97" s="71" t="s">
        <v>385</v>
      </c>
      <c r="E97" s="71" t="s">
        <v>24</v>
      </c>
      <c r="F97" s="71" t="s">
        <v>445</v>
      </c>
      <c r="G97" s="71" t="s">
        <v>40</v>
      </c>
      <c r="H97" s="71" t="s">
        <v>24</v>
      </c>
      <c r="I97" s="71" t="s">
        <v>39</v>
      </c>
      <c r="J97" s="72">
        <v>-116666.69</v>
      </c>
      <c r="K97" s="73">
        <v>44349</v>
      </c>
      <c r="L97" s="73">
        <v>44349</v>
      </c>
      <c r="M97" s="73">
        <v>44349</v>
      </c>
      <c r="N97" s="71" t="s">
        <v>38</v>
      </c>
    </row>
    <row r="98" spans="1:14" ht="15">
      <c r="A98" s="71" t="s">
        <v>217</v>
      </c>
      <c r="B98" s="71" t="s">
        <v>378</v>
      </c>
      <c r="C98" s="71" t="s">
        <v>379</v>
      </c>
      <c r="D98" s="71" t="s">
        <v>385</v>
      </c>
      <c r="E98" s="71" t="s">
        <v>24</v>
      </c>
      <c r="F98" s="71" t="s">
        <v>445</v>
      </c>
      <c r="G98" s="71" t="s">
        <v>40</v>
      </c>
      <c r="H98" s="71" t="s">
        <v>24</v>
      </c>
      <c r="I98" s="71" t="s">
        <v>39</v>
      </c>
      <c r="J98" s="72">
        <v>-58333.31</v>
      </c>
      <c r="K98" s="73">
        <v>44588</v>
      </c>
      <c r="L98" s="73">
        <v>44588</v>
      </c>
      <c r="M98" s="73">
        <v>44592</v>
      </c>
      <c r="N98" s="71" t="s">
        <v>38</v>
      </c>
    </row>
    <row r="99" spans="1:14" ht="15">
      <c r="A99" s="71" t="s">
        <v>217</v>
      </c>
      <c r="B99" s="71" t="s">
        <v>378</v>
      </c>
      <c r="C99" s="71" t="s">
        <v>379</v>
      </c>
      <c r="D99" s="71" t="s">
        <v>385</v>
      </c>
      <c r="E99" s="71" t="s">
        <v>24</v>
      </c>
      <c r="F99" s="71" t="s">
        <v>445</v>
      </c>
      <c r="G99" s="71" t="s">
        <v>42</v>
      </c>
      <c r="H99" s="71" t="s">
        <v>24</v>
      </c>
      <c r="I99" s="71" t="s">
        <v>39</v>
      </c>
      <c r="J99" s="72">
        <v>-150000</v>
      </c>
      <c r="K99" s="73">
        <v>44588</v>
      </c>
      <c r="L99" s="73">
        <v>44588</v>
      </c>
      <c r="M99" s="73">
        <v>44592</v>
      </c>
      <c r="N99" s="71" t="s">
        <v>38</v>
      </c>
    </row>
    <row r="100" spans="1:14" ht="15">
      <c r="A100" s="71" t="s">
        <v>217</v>
      </c>
      <c r="B100" s="71" t="s">
        <v>192</v>
      </c>
      <c r="C100" s="71" t="s">
        <v>193</v>
      </c>
      <c r="D100" s="71" t="s">
        <v>385</v>
      </c>
      <c r="E100" s="71" t="s">
        <v>24</v>
      </c>
      <c r="F100" s="71" t="s">
        <v>386</v>
      </c>
      <c r="G100" s="71" t="s">
        <v>40</v>
      </c>
      <c r="H100" s="71" t="s">
        <v>24</v>
      </c>
      <c r="I100" s="71" t="s">
        <v>39</v>
      </c>
      <c r="J100" s="72">
        <v>-14136.81</v>
      </c>
      <c r="K100" s="73">
        <v>44222</v>
      </c>
      <c r="L100" s="73">
        <v>44222</v>
      </c>
      <c r="M100" s="73">
        <v>44222</v>
      </c>
      <c r="N100" s="71" t="s">
        <v>38</v>
      </c>
    </row>
    <row r="101" spans="1:14" ht="15">
      <c r="A101" s="71" t="s">
        <v>217</v>
      </c>
      <c r="B101" s="71" t="s">
        <v>192</v>
      </c>
      <c r="C101" s="71" t="s">
        <v>193</v>
      </c>
      <c r="D101" s="71" t="s">
        <v>385</v>
      </c>
      <c r="E101" s="71" t="s">
        <v>24</v>
      </c>
      <c r="F101" s="71" t="s">
        <v>386</v>
      </c>
      <c r="G101" s="71" t="s">
        <v>40</v>
      </c>
      <c r="H101" s="71" t="s">
        <v>24</v>
      </c>
      <c r="I101" s="71" t="s">
        <v>39</v>
      </c>
      <c r="J101" s="72">
        <v>-2363.19</v>
      </c>
      <c r="K101" s="73">
        <v>44316</v>
      </c>
      <c r="L101" s="73">
        <v>44316</v>
      </c>
      <c r="M101" s="73">
        <v>44316</v>
      </c>
      <c r="N101" s="71" t="s">
        <v>38</v>
      </c>
    </row>
    <row r="102" spans="1:14" ht="15">
      <c r="A102" s="71" t="s">
        <v>217</v>
      </c>
      <c r="B102" s="71" t="s">
        <v>192</v>
      </c>
      <c r="C102" s="71" t="s">
        <v>193</v>
      </c>
      <c r="D102" s="71" t="s">
        <v>385</v>
      </c>
      <c r="E102" s="71" t="s">
        <v>24</v>
      </c>
      <c r="F102" s="71" t="s">
        <v>386</v>
      </c>
      <c r="G102" s="71" t="s">
        <v>42</v>
      </c>
      <c r="H102" s="71" t="s">
        <v>24</v>
      </c>
      <c r="I102" s="71" t="s">
        <v>39</v>
      </c>
      <c r="J102" s="72">
        <v>-11838.42</v>
      </c>
      <c r="K102" s="73">
        <v>44316</v>
      </c>
      <c r="L102" s="73">
        <v>44316</v>
      </c>
      <c r="M102" s="73">
        <v>44316</v>
      </c>
      <c r="N102" s="71" t="s">
        <v>38</v>
      </c>
    </row>
    <row r="103" spans="1:14" ht="15">
      <c r="A103" s="71" t="s">
        <v>217</v>
      </c>
      <c r="B103" s="71" t="s">
        <v>192</v>
      </c>
      <c r="C103" s="71" t="s">
        <v>193</v>
      </c>
      <c r="D103" s="71" t="s">
        <v>385</v>
      </c>
      <c r="E103" s="71" t="s">
        <v>24</v>
      </c>
      <c r="F103" s="71" t="s">
        <v>386</v>
      </c>
      <c r="G103" s="71" t="s">
        <v>42</v>
      </c>
      <c r="H103" s="71" t="s">
        <v>24</v>
      </c>
      <c r="I103" s="71" t="s">
        <v>39</v>
      </c>
      <c r="J103" s="72">
        <v>-4661.58</v>
      </c>
      <c r="K103" s="73">
        <v>44393</v>
      </c>
      <c r="L103" s="73">
        <v>44393</v>
      </c>
      <c r="M103" s="73">
        <v>44407</v>
      </c>
      <c r="N103" s="71" t="s">
        <v>38</v>
      </c>
    </row>
    <row r="104" spans="1:14" ht="15">
      <c r="A104" s="71" t="s">
        <v>217</v>
      </c>
      <c r="B104" s="71" t="s">
        <v>192</v>
      </c>
      <c r="C104" s="71" t="s">
        <v>193</v>
      </c>
      <c r="D104" s="71" t="s">
        <v>385</v>
      </c>
      <c r="E104" s="71" t="s">
        <v>24</v>
      </c>
      <c r="F104" s="71" t="s">
        <v>386</v>
      </c>
      <c r="G104" s="71" t="s">
        <v>37</v>
      </c>
      <c r="H104" s="71" t="s">
        <v>24</v>
      </c>
      <c r="I104" s="71" t="s">
        <v>39</v>
      </c>
      <c r="J104" s="72">
        <v>-9577.86</v>
      </c>
      <c r="K104" s="73">
        <v>44393</v>
      </c>
      <c r="L104" s="73">
        <v>44393</v>
      </c>
      <c r="M104" s="73">
        <v>44407</v>
      </c>
      <c r="N104" s="71" t="s">
        <v>38</v>
      </c>
    </row>
    <row r="105" spans="1:14" ht="15">
      <c r="A105" s="71" t="s">
        <v>217</v>
      </c>
      <c r="B105" s="71" t="s">
        <v>192</v>
      </c>
      <c r="C105" s="71" t="s">
        <v>193</v>
      </c>
      <c r="D105" s="71" t="s">
        <v>385</v>
      </c>
      <c r="E105" s="71" t="s">
        <v>24</v>
      </c>
      <c r="F105" s="71" t="s">
        <v>386</v>
      </c>
      <c r="G105" s="71" t="s">
        <v>37</v>
      </c>
      <c r="H105" s="71" t="s">
        <v>24</v>
      </c>
      <c r="I105" s="71" t="s">
        <v>39</v>
      </c>
      <c r="J105" s="72">
        <v>-7422.14</v>
      </c>
      <c r="K105" s="73">
        <v>44497</v>
      </c>
      <c r="L105" s="73">
        <v>44497</v>
      </c>
      <c r="M105" s="73">
        <v>44498</v>
      </c>
      <c r="N105" s="71" t="s">
        <v>38</v>
      </c>
    </row>
    <row r="106" spans="1:14" ht="15">
      <c r="A106" s="71" t="s">
        <v>217</v>
      </c>
      <c r="B106" s="71" t="s">
        <v>192</v>
      </c>
      <c r="C106" s="71" t="s">
        <v>193</v>
      </c>
      <c r="D106" s="71" t="s">
        <v>385</v>
      </c>
      <c r="E106" s="71" t="s">
        <v>24</v>
      </c>
      <c r="F106" s="71" t="s">
        <v>386</v>
      </c>
      <c r="G106" s="71" t="s">
        <v>47</v>
      </c>
      <c r="H106" s="71" t="s">
        <v>24</v>
      </c>
      <c r="I106" s="71" t="s">
        <v>39</v>
      </c>
      <c r="J106" s="72">
        <v>-7919.97</v>
      </c>
      <c r="K106" s="73">
        <v>44609</v>
      </c>
      <c r="L106" s="73">
        <v>44609</v>
      </c>
      <c r="M106" s="73">
        <v>44620</v>
      </c>
      <c r="N106" s="71" t="s">
        <v>38</v>
      </c>
    </row>
    <row r="107" spans="1:14" ht="15">
      <c r="A107" s="71" t="s">
        <v>217</v>
      </c>
      <c r="B107" s="71" t="s">
        <v>93</v>
      </c>
      <c r="C107" s="71" t="s">
        <v>94</v>
      </c>
      <c r="D107" s="71" t="s">
        <v>385</v>
      </c>
      <c r="E107" s="71" t="s">
        <v>24</v>
      </c>
      <c r="F107" s="71" t="s">
        <v>446</v>
      </c>
      <c r="G107" s="71" t="s">
        <v>40</v>
      </c>
      <c r="H107" s="71" t="s">
        <v>24</v>
      </c>
      <c r="I107" s="71" t="s">
        <v>39</v>
      </c>
      <c r="J107" s="72">
        <v>-15000</v>
      </c>
      <c r="K107" s="73">
        <v>44308</v>
      </c>
      <c r="L107" s="73">
        <v>44308</v>
      </c>
      <c r="M107" s="73">
        <v>44314</v>
      </c>
      <c r="N107" s="71" t="s">
        <v>38</v>
      </c>
    </row>
    <row r="108" spans="1:14" ht="15">
      <c r="A108" s="71" t="s">
        <v>217</v>
      </c>
      <c r="B108" s="71" t="s">
        <v>93</v>
      </c>
      <c r="C108" s="71" t="s">
        <v>94</v>
      </c>
      <c r="D108" s="71" t="s">
        <v>385</v>
      </c>
      <c r="E108" s="71" t="s">
        <v>24</v>
      </c>
      <c r="F108" s="71" t="s">
        <v>446</v>
      </c>
      <c r="G108" s="71" t="s">
        <v>42</v>
      </c>
      <c r="H108" s="71" t="s">
        <v>24</v>
      </c>
      <c r="I108" s="71" t="s">
        <v>39</v>
      </c>
      <c r="J108" s="72">
        <v>-300.45</v>
      </c>
      <c r="K108" s="73">
        <v>44308</v>
      </c>
      <c r="L108" s="73">
        <v>44308</v>
      </c>
      <c r="M108" s="73">
        <v>44314</v>
      </c>
      <c r="N108" s="71" t="s">
        <v>38</v>
      </c>
    </row>
    <row r="109" spans="1:14" ht="15">
      <c r="A109" s="71" t="s">
        <v>217</v>
      </c>
      <c r="B109" s="71" t="s">
        <v>93</v>
      </c>
      <c r="C109" s="71" t="s">
        <v>94</v>
      </c>
      <c r="D109" s="71" t="s">
        <v>385</v>
      </c>
      <c r="E109" s="71" t="s">
        <v>24</v>
      </c>
      <c r="F109" s="71" t="s">
        <v>446</v>
      </c>
      <c r="G109" s="71" t="s">
        <v>42</v>
      </c>
      <c r="H109" s="71" t="s">
        <v>24</v>
      </c>
      <c r="I109" s="71" t="s">
        <v>39</v>
      </c>
      <c r="J109" s="72">
        <v>-12233.55</v>
      </c>
      <c r="K109" s="73">
        <v>44407</v>
      </c>
      <c r="L109" s="73">
        <v>44407</v>
      </c>
      <c r="M109" s="73">
        <v>44407</v>
      </c>
      <c r="N109" s="71" t="s">
        <v>38</v>
      </c>
    </row>
    <row r="110" spans="1:14" ht="15">
      <c r="A110" s="71" t="s">
        <v>217</v>
      </c>
      <c r="B110" s="71" t="s">
        <v>93</v>
      </c>
      <c r="C110" s="71" t="s">
        <v>94</v>
      </c>
      <c r="D110" s="71" t="s">
        <v>385</v>
      </c>
      <c r="E110" s="71" t="s">
        <v>24</v>
      </c>
      <c r="F110" s="71" t="s">
        <v>446</v>
      </c>
      <c r="G110" s="71" t="s">
        <v>42</v>
      </c>
      <c r="H110" s="71" t="s">
        <v>24</v>
      </c>
      <c r="I110" s="71" t="s">
        <v>39</v>
      </c>
      <c r="J110" s="72">
        <v>-2466</v>
      </c>
      <c r="K110" s="73">
        <v>44581</v>
      </c>
      <c r="L110" s="73">
        <v>44581</v>
      </c>
      <c r="M110" s="73">
        <v>44581</v>
      </c>
      <c r="N110" s="71" t="s">
        <v>38</v>
      </c>
    </row>
    <row r="111" spans="1:14" ht="15">
      <c r="A111" s="71" t="s">
        <v>217</v>
      </c>
      <c r="B111" s="71" t="s">
        <v>93</v>
      </c>
      <c r="C111" s="71" t="s">
        <v>94</v>
      </c>
      <c r="D111" s="71" t="s">
        <v>385</v>
      </c>
      <c r="E111" s="71" t="s">
        <v>24</v>
      </c>
      <c r="F111" s="71" t="s">
        <v>446</v>
      </c>
      <c r="G111" s="71" t="s">
        <v>37</v>
      </c>
      <c r="H111" s="71" t="s">
        <v>24</v>
      </c>
      <c r="I111" s="71" t="s">
        <v>39</v>
      </c>
      <c r="J111" s="72">
        <v>-4000</v>
      </c>
      <c r="K111" s="73">
        <v>44581</v>
      </c>
      <c r="L111" s="73">
        <v>44581</v>
      </c>
      <c r="M111" s="73">
        <v>44581</v>
      </c>
      <c r="N111" s="71" t="s">
        <v>38</v>
      </c>
    </row>
    <row r="112" spans="1:14" ht="15">
      <c r="A112" s="71" t="s">
        <v>217</v>
      </c>
      <c r="B112" s="71" t="s">
        <v>93</v>
      </c>
      <c r="C112" s="71" t="s">
        <v>94</v>
      </c>
      <c r="D112" s="71" t="s">
        <v>385</v>
      </c>
      <c r="E112" s="71" t="s">
        <v>24</v>
      </c>
      <c r="F112" s="71" t="s">
        <v>446</v>
      </c>
      <c r="G112" s="71" t="s">
        <v>47</v>
      </c>
      <c r="H112" s="71" t="s">
        <v>24</v>
      </c>
      <c r="I112" s="71" t="s">
        <v>39</v>
      </c>
      <c r="J112" s="72">
        <v>-322</v>
      </c>
      <c r="K112" s="73">
        <v>44581</v>
      </c>
      <c r="L112" s="73">
        <v>44581</v>
      </c>
      <c r="M112" s="73">
        <v>44581</v>
      </c>
      <c r="N112" s="71" t="s">
        <v>38</v>
      </c>
    </row>
    <row r="113" spans="1:14" ht="15">
      <c r="A113" s="71" t="s">
        <v>217</v>
      </c>
      <c r="B113" s="71" t="s">
        <v>246</v>
      </c>
      <c r="C113" s="71" t="s">
        <v>247</v>
      </c>
      <c r="D113" s="71" t="s">
        <v>432</v>
      </c>
      <c r="E113" s="71" t="s">
        <v>24</v>
      </c>
      <c r="F113" s="71" t="s">
        <v>447</v>
      </c>
      <c r="G113" s="71" t="s">
        <v>40</v>
      </c>
      <c r="H113" s="71" t="s">
        <v>24</v>
      </c>
      <c r="I113" s="71" t="s">
        <v>39</v>
      </c>
      <c r="J113" s="72">
        <v>-120000</v>
      </c>
      <c r="K113" s="73">
        <v>44320</v>
      </c>
      <c r="L113" s="73">
        <v>44320</v>
      </c>
      <c r="M113" s="73">
        <v>44330</v>
      </c>
      <c r="N113" s="71" t="s">
        <v>38</v>
      </c>
    </row>
    <row r="114" spans="1:14" ht="15">
      <c r="A114" s="71" t="s">
        <v>217</v>
      </c>
      <c r="B114" s="71" t="s">
        <v>246</v>
      </c>
      <c r="C114" s="71" t="s">
        <v>247</v>
      </c>
      <c r="D114" s="71" t="s">
        <v>432</v>
      </c>
      <c r="E114" s="71" t="s">
        <v>24</v>
      </c>
      <c r="F114" s="71" t="s">
        <v>447</v>
      </c>
      <c r="G114" s="71" t="s">
        <v>42</v>
      </c>
      <c r="H114" s="71" t="s">
        <v>24</v>
      </c>
      <c r="I114" s="71" t="s">
        <v>39</v>
      </c>
      <c r="J114" s="72">
        <v>-8800</v>
      </c>
      <c r="K114" s="73">
        <v>44320</v>
      </c>
      <c r="L114" s="73">
        <v>44320</v>
      </c>
      <c r="M114" s="73">
        <v>44330</v>
      </c>
      <c r="N114" s="71" t="s">
        <v>38</v>
      </c>
    </row>
    <row r="115" spans="1:14" ht="15">
      <c r="A115" s="71" t="s">
        <v>217</v>
      </c>
      <c r="B115" s="71" t="s">
        <v>246</v>
      </c>
      <c r="C115" s="71" t="s">
        <v>247</v>
      </c>
      <c r="D115" s="71" t="s">
        <v>432</v>
      </c>
      <c r="E115" s="71" t="s">
        <v>24</v>
      </c>
      <c r="F115" s="71" t="s">
        <v>447</v>
      </c>
      <c r="G115" s="71" t="s">
        <v>42</v>
      </c>
      <c r="H115" s="71" t="s">
        <v>24</v>
      </c>
      <c r="I115" s="71" t="s">
        <v>39</v>
      </c>
      <c r="J115" s="72">
        <v>-155190</v>
      </c>
      <c r="K115" s="73">
        <v>44581</v>
      </c>
      <c r="L115" s="73">
        <v>44581</v>
      </c>
      <c r="M115" s="73">
        <v>44581</v>
      </c>
      <c r="N115" s="71" t="s">
        <v>38</v>
      </c>
    </row>
    <row r="116" spans="1:14" ht="15">
      <c r="A116" s="71" t="s">
        <v>217</v>
      </c>
      <c r="B116" s="71" t="s">
        <v>259</v>
      </c>
      <c r="C116" s="71" t="s">
        <v>260</v>
      </c>
      <c r="D116" s="71" t="s">
        <v>555</v>
      </c>
      <c r="E116" s="71" t="s">
        <v>24</v>
      </c>
      <c r="F116" s="71" t="s">
        <v>579</v>
      </c>
      <c r="G116" s="71" t="s">
        <v>40</v>
      </c>
      <c r="H116" s="71" t="s">
        <v>24</v>
      </c>
      <c r="I116" s="71" t="s">
        <v>39</v>
      </c>
      <c r="J116" s="72">
        <v>-208285.13</v>
      </c>
      <c r="K116" s="73">
        <v>44581</v>
      </c>
      <c r="L116" s="73">
        <v>44581</v>
      </c>
      <c r="M116" s="73">
        <v>44581</v>
      </c>
      <c r="N116" s="71" t="s">
        <v>38</v>
      </c>
    </row>
    <row r="117" spans="1:14" ht="15">
      <c r="A117" s="71" t="s">
        <v>217</v>
      </c>
      <c r="B117" s="71" t="s">
        <v>137</v>
      </c>
      <c r="C117" s="71" t="s">
        <v>138</v>
      </c>
      <c r="D117" s="71" t="s">
        <v>448</v>
      </c>
      <c r="E117" s="71" t="s">
        <v>24</v>
      </c>
      <c r="F117" s="71" t="s">
        <v>449</v>
      </c>
      <c r="G117" s="71" t="s">
        <v>40</v>
      </c>
      <c r="H117" s="71" t="s">
        <v>24</v>
      </c>
      <c r="I117" s="71" t="s">
        <v>39</v>
      </c>
      <c r="J117" s="72">
        <v>-178122.75</v>
      </c>
      <c r="K117" s="73">
        <v>44302</v>
      </c>
      <c r="L117" s="73">
        <v>44302</v>
      </c>
      <c r="M117" s="73">
        <v>44314</v>
      </c>
      <c r="N117" s="71" t="s">
        <v>38</v>
      </c>
    </row>
    <row r="118" spans="1:14" ht="15">
      <c r="A118" s="71" t="s">
        <v>217</v>
      </c>
      <c r="B118" s="71" t="s">
        <v>137</v>
      </c>
      <c r="C118" s="71" t="s">
        <v>138</v>
      </c>
      <c r="D118" s="71" t="s">
        <v>448</v>
      </c>
      <c r="E118" s="71" t="s">
        <v>24</v>
      </c>
      <c r="F118" s="71" t="s">
        <v>449</v>
      </c>
      <c r="G118" s="71" t="s">
        <v>40</v>
      </c>
      <c r="H118" s="71" t="s">
        <v>24</v>
      </c>
      <c r="I118" s="71" t="s">
        <v>39</v>
      </c>
      <c r="J118" s="72">
        <v>-122881.7</v>
      </c>
      <c r="K118" s="73">
        <v>44391</v>
      </c>
      <c r="L118" s="73">
        <v>44391</v>
      </c>
      <c r="M118" s="73">
        <v>44407</v>
      </c>
      <c r="N118" s="71" t="s">
        <v>38</v>
      </c>
    </row>
    <row r="119" spans="1:14" ht="15">
      <c r="A119" s="71" t="s">
        <v>217</v>
      </c>
      <c r="B119" s="71" t="s">
        <v>137</v>
      </c>
      <c r="C119" s="71" t="s">
        <v>138</v>
      </c>
      <c r="D119" s="71" t="s">
        <v>448</v>
      </c>
      <c r="E119" s="71" t="s">
        <v>24</v>
      </c>
      <c r="F119" s="71" t="s">
        <v>449</v>
      </c>
      <c r="G119" s="71" t="s">
        <v>42</v>
      </c>
      <c r="H119" s="71" t="s">
        <v>24</v>
      </c>
      <c r="I119" s="71" t="s">
        <v>39</v>
      </c>
      <c r="J119" s="72">
        <v>-301611.36</v>
      </c>
      <c r="K119" s="73">
        <v>44391</v>
      </c>
      <c r="L119" s="73">
        <v>44391</v>
      </c>
      <c r="M119" s="73">
        <v>44407</v>
      </c>
      <c r="N119" s="71" t="s">
        <v>38</v>
      </c>
    </row>
    <row r="120" spans="1:14" ht="15">
      <c r="A120" s="71" t="s">
        <v>217</v>
      </c>
      <c r="B120" s="71" t="s">
        <v>137</v>
      </c>
      <c r="C120" s="71" t="s">
        <v>138</v>
      </c>
      <c r="D120" s="71" t="s">
        <v>448</v>
      </c>
      <c r="E120" s="71" t="s">
        <v>24</v>
      </c>
      <c r="F120" s="71" t="s">
        <v>449</v>
      </c>
      <c r="G120" s="71" t="s">
        <v>37</v>
      </c>
      <c r="H120" s="71" t="s">
        <v>24</v>
      </c>
      <c r="I120" s="71" t="s">
        <v>39</v>
      </c>
      <c r="J120" s="72">
        <v>-484026.13</v>
      </c>
      <c r="K120" s="73">
        <v>44603</v>
      </c>
      <c r="L120" s="73">
        <v>44603</v>
      </c>
      <c r="M120" s="73">
        <v>44620</v>
      </c>
      <c r="N120" s="71" t="s">
        <v>38</v>
      </c>
    </row>
    <row r="121" spans="1:14" ht="15">
      <c r="A121" s="71" t="s">
        <v>217</v>
      </c>
      <c r="B121" s="71" t="s">
        <v>166</v>
      </c>
      <c r="C121" s="71" t="s">
        <v>167</v>
      </c>
      <c r="D121" s="71" t="s">
        <v>555</v>
      </c>
      <c r="E121" s="71" t="s">
        <v>24</v>
      </c>
      <c r="F121" s="71" t="s">
        <v>580</v>
      </c>
      <c r="G121" s="71" t="s">
        <v>40</v>
      </c>
      <c r="H121" s="71" t="s">
        <v>24</v>
      </c>
      <c r="I121" s="71" t="s">
        <v>39</v>
      </c>
      <c r="J121" s="72">
        <v>-190000</v>
      </c>
      <c r="K121" s="73">
        <v>44581</v>
      </c>
      <c r="L121" s="73">
        <v>44581</v>
      </c>
      <c r="M121" s="73">
        <v>44581</v>
      </c>
      <c r="N121" s="71" t="s">
        <v>38</v>
      </c>
    </row>
    <row r="122" spans="1:14" ht="15">
      <c r="A122" s="71" t="s">
        <v>217</v>
      </c>
      <c r="B122" s="71" t="s">
        <v>281</v>
      </c>
      <c r="C122" s="71" t="s">
        <v>282</v>
      </c>
      <c r="D122" s="71" t="s">
        <v>555</v>
      </c>
      <c r="E122" s="71" t="s">
        <v>24</v>
      </c>
      <c r="F122" s="71" t="s">
        <v>581</v>
      </c>
      <c r="G122" s="71" t="s">
        <v>40</v>
      </c>
      <c r="H122" s="71" t="s">
        <v>24</v>
      </c>
      <c r="I122" s="71" t="s">
        <v>39</v>
      </c>
      <c r="J122" s="72">
        <v>-78750</v>
      </c>
      <c r="K122" s="73">
        <v>44581</v>
      </c>
      <c r="L122" s="73">
        <v>44581</v>
      </c>
      <c r="M122" s="73">
        <v>44581</v>
      </c>
      <c r="N122" s="71" t="s">
        <v>38</v>
      </c>
    </row>
    <row r="123" spans="1:14" ht="15">
      <c r="A123" s="71" t="s">
        <v>217</v>
      </c>
      <c r="B123" s="71" t="s">
        <v>281</v>
      </c>
      <c r="C123" s="71" t="s">
        <v>282</v>
      </c>
      <c r="D123" s="71" t="s">
        <v>555</v>
      </c>
      <c r="E123" s="71" t="s">
        <v>24</v>
      </c>
      <c r="F123" s="71" t="s">
        <v>581</v>
      </c>
      <c r="G123" s="71" t="s">
        <v>42</v>
      </c>
      <c r="H123" s="71" t="s">
        <v>24</v>
      </c>
      <c r="I123" s="71" t="s">
        <v>39</v>
      </c>
      <c r="J123" s="72">
        <v>-112474</v>
      </c>
      <c r="K123" s="73">
        <v>44608</v>
      </c>
      <c r="L123" s="73">
        <v>44608</v>
      </c>
      <c r="M123" s="73">
        <v>44620</v>
      </c>
      <c r="N123" s="71" t="s">
        <v>38</v>
      </c>
    </row>
    <row r="124" spans="1:14" ht="15">
      <c r="A124" s="71" t="s">
        <v>217</v>
      </c>
      <c r="B124" s="71" t="s">
        <v>270</v>
      </c>
      <c r="C124" s="71" t="s">
        <v>271</v>
      </c>
      <c r="D124" s="71" t="s">
        <v>582</v>
      </c>
      <c r="E124" s="71" t="s">
        <v>24</v>
      </c>
      <c r="F124" s="71" t="s">
        <v>583</v>
      </c>
      <c r="G124" s="71" t="s">
        <v>40</v>
      </c>
      <c r="H124" s="71" t="s">
        <v>24</v>
      </c>
      <c r="I124" s="71" t="s">
        <v>39</v>
      </c>
      <c r="J124" s="72">
        <v>-116078</v>
      </c>
      <c r="K124" s="73">
        <v>44588</v>
      </c>
      <c r="L124" s="73">
        <v>44588</v>
      </c>
      <c r="M124" s="73">
        <v>44592</v>
      </c>
      <c r="N124" s="71" t="s">
        <v>38</v>
      </c>
    </row>
    <row r="125" spans="1:14" ht="15">
      <c r="A125" s="71" t="s">
        <v>217</v>
      </c>
      <c r="B125" s="71" t="s">
        <v>270</v>
      </c>
      <c r="C125" s="71" t="s">
        <v>271</v>
      </c>
      <c r="D125" s="71" t="s">
        <v>582</v>
      </c>
      <c r="E125" s="71" t="s">
        <v>24</v>
      </c>
      <c r="F125" s="71" t="s">
        <v>583</v>
      </c>
      <c r="G125" s="71" t="s">
        <v>42</v>
      </c>
      <c r="H125" s="71" t="s">
        <v>24</v>
      </c>
      <c r="I125" s="71" t="s">
        <v>39</v>
      </c>
      <c r="J125" s="72">
        <v>-13653.9</v>
      </c>
      <c r="K125" s="73">
        <v>44588</v>
      </c>
      <c r="L125" s="73">
        <v>44588</v>
      </c>
      <c r="M125" s="73">
        <v>44592</v>
      </c>
      <c r="N125" s="71" t="s">
        <v>38</v>
      </c>
    </row>
    <row r="126" spans="1:14" ht="15">
      <c r="A126" s="71" t="s">
        <v>217</v>
      </c>
      <c r="B126" s="71" t="s">
        <v>270</v>
      </c>
      <c r="C126" s="71" t="s">
        <v>271</v>
      </c>
      <c r="D126" s="71" t="s">
        <v>582</v>
      </c>
      <c r="E126" s="71" t="s">
        <v>24</v>
      </c>
      <c r="F126" s="71" t="s">
        <v>583</v>
      </c>
      <c r="G126" s="71" t="s">
        <v>42</v>
      </c>
      <c r="H126" s="71" t="s">
        <v>24</v>
      </c>
      <c r="I126" s="71" t="s">
        <v>39</v>
      </c>
      <c r="J126" s="72">
        <v>-102424.1</v>
      </c>
      <c r="K126" s="73">
        <v>44603</v>
      </c>
      <c r="L126" s="73">
        <v>44603</v>
      </c>
      <c r="M126" s="73">
        <v>44620</v>
      </c>
      <c r="N126" s="71" t="s">
        <v>38</v>
      </c>
    </row>
    <row r="127" spans="1:14" ht="15">
      <c r="A127" s="71" t="s">
        <v>217</v>
      </c>
      <c r="B127" s="71" t="s">
        <v>270</v>
      </c>
      <c r="C127" s="71" t="s">
        <v>271</v>
      </c>
      <c r="D127" s="71" t="s">
        <v>582</v>
      </c>
      <c r="E127" s="71" t="s">
        <v>24</v>
      </c>
      <c r="F127" s="71" t="s">
        <v>583</v>
      </c>
      <c r="G127" s="71" t="s">
        <v>37</v>
      </c>
      <c r="H127" s="71" t="s">
        <v>24</v>
      </c>
      <c r="I127" s="71" t="s">
        <v>39</v>
      </c>
      <c r="J127" s="72">
        <v>-116077</v>
      </c>
      <c r="K127" s="73">
        <v>44603</v>
      </c>
      <c r="L127" s="73">
        <v>44603</v>
      </c>
      <c r="M127" s="73">
        <v>44620</v>
      </c>
      <c r="N127" s="71" t="s">
        <v>38</v>
      </c>
    </row>
    <row r="128" spans="1:14" ht="15">
      <c r="A128" s="71" t="s">
        <v>217</v>
      </c>
      <c r="B128" s="71" t="s">
        <v>124</v>
      </c>
      <c r="C128" s="71" t="s">
        <v>125</v>
      </c>
      <c r="D128" s="71" t="s">
        <v>570</v>
      </c>
      <c r="E128" s="71" t="s">
        <v>24</v>
      </c>
      <c r="F128" s="71" t="s">
        <v>584</v>
      </c>
      <c r="G128" s="71" t="s">
        <v>40</v>
      </c>
      <c r="H128" s="71" t="s">
        <v>24</v>
      </c>
      <c r="I128" s="71" t="s">
        <v>39</v>
      </c>
      <c r="J128" s="72">
        <v>-108615</v>
      </c>
      <c r="K128" s="73">
        <v>44603</v>
      </c>
      <c r="L128" s="73">
        <v>44603</v>
      </c>
      <c r="M128" s="73">
        <v>44620</v>
      </c>
      <c r="N128" s="71" t="s">
        <v>38</v>
      </c>
    </row>
    <row r="129" spans="1:14" ht="15">
      <c r="A129" s="71" t="s">
        <v>217</v>
      </c>
      <c r="B129" s="71" t="s">
        <v>124</v>
      </c>
      <c r="C129" s="71" t="s">
        <v>125</v>
      </c>
      <c r="D129" s="71" t="s">
        <v>557</v>
      </c>
      <c r="E129" s="71" t="s">
        <v>24</v>
      </c>
      <c r="F129" s="71" t="s">
        <v>585</v>
      </c>
      <c r="G129" s="71" t="s">
        <v>40</v>
      </c>
      <c r="H129" s="71" t="s">
        <v>24</v>
      </c>
      <c r="I129" s="71" t="s">
        <v>39</v>
      </c>
      <c r="J129" s="72">
        <v>-106385</v>
      </c>
      <c r="K129" s="73">
        <v>44603</v>
      </c>
      <c r="L129" s="73">
        <v>44603</v>
      </c>
      <c r="M129" s="73">
        <v>44620</v>
      </c>
      <c r="N129" s="71" t="s">
        <v>38</v>
      </c>
    </row>
    <row r="130" spans="1:14" ht="15">
      <c r="A130" s="71" t="s">
        <v>217</v>
      </c>
      <c r="B130" s="71" t="s">
        <v>177</v>
      </c>
      <c r="C130" s="71" t="s">
        <v>178</v>
      </c>
      <c r="D130" s="71" t="s">
        <v>385</v>
      </c>
      <c r="E130" s="71" t="s">
        <v>24</v>
      </c>
      <c r="F130" s="71" t="s">
        <v>450</v>
      </c>
      <c r="G130" s="71" t="s">
        <v>40</v>
      </c>
      <c r="H130" s="71" t="s">
        <v>24</v>
      </c>
      <c r="I130" s="71" t="s">
        <v>39</v>
      </c>
      <c r="J130" s="72">
        <v>-252000</v>
      </c>
      <c r="K130" s="73">
        <v>44299</v>
      </c>
      <c r="L130" s="73">
        <v>44299</v>
      </c>
      <c r="M130" s="73">
        <v>44314</v>
      </c>
      <c r="N130" s="71" t="s">
        <v>38</v>
      </c>
    </row>
    <row r="131" spans="1:14" ht="15">
      <c r="A131" s="71" t="s">
        <v>217</v>
      </c>
      <c r="B131" s="71" t="s">
        <v>177</v>
      </c>
      <c r="C131" s="71" t="s">
        <v>178</v>
      </c>
      <c r="D131" s="71" t="s">
        <v>385</v>
      </c>
      <c r="E131" s="71" t="s">
        <v>24</v>
      </c>
      <c r="F131" s="71" t="s">
        <v>450</v>
      </c>
      <c r="G131" s="71" t="s">
        <v>42</v>
      </c>
      <c r="H131" s="71" t="s">
        <v>24</v>
      </c>
      <c r="I131" s="71" t="s">
        <v>39</v>
      </c>
      <c r="J131" s="72">
        <v>-252000</v>
      </c>
      <c r="K131" s="73">
        <v>44299</v>
      </c>
      <c r="L131" s="73">
        <v>44299</v>
      </c>
      <c r="M131" s="73">
        <v>44314</v>
      </c>
      <c r="N131" s="71" t="s">
        <v>38</v>
      </c>
    </row>
    <row r="132" spans="1:14" ht="15">
      <c r="A132" s="71" t="s">
        <v>217</v>
      </c>
      <c r="B132" s="71" t="s">
        <v>177</v>
      </c>
      <c r="C132" s="71" t="s">
        <v>178</v>
      </c>
      <c r="D132" s="71" t="s">
        <v>385</v>
      </c>
      <c r="E132" s="71" t="s">
        <v>24</v>
      </c>
      <c r="F132" s="71" t="s">
        <v>450</v>
      </c>
      <c r="G132" s="71" t="s">
        <v>37</v>
      </c>
      <c r="H132" s="71" t="s">
        <v>24</v>
      </c>
      <c r="I132" s="71" t="s">
        <v>39</v>
      </c>
      <c r="J132" s="72">
        <v>-68889.27</v>
      </c>
      <c r="K132" s="73">
        <v>44299</v>
      </c>
      <c r="L132" s="73">
        <v>44299</v>
      </c>
      <c r="M132" s="73">
        <v>44314</v>
      </c>
      <c r="N132" s="71" t="s">
        <v>38</v>
      </c>
    </row>
    <row r="133" spans="1:14" ht="15">
      <c r="A133" s="71" t="s">
        <v>217</v>
      </c>
      <c r="B133" s="71" t="s">
        <v>177</v>
      </c>
      <c r="C133" s="71" t="s">
        <v>178</v>
      </c>
      <c r="D133" s="71" t="s">
        <v>385</v>
      </c>
      <c r="E133" s="71" t="s">
        <v>24</v>
      </c>
      <c r="F133" s="71" t="s">
        <v>450</v>
      </c>
      <c r="G133" s="71" t="s">
        <v>37</v>
      </c>
      <c r="H133" s="71" t="s">
        <v>24</v>
      </c>
      <c r="I133" s="71" t="s">
        <v>39</v>
      </c>
      <c r="J133" s="72">
        <v>-182110.73</v>
      </c>
      <c r="K133" s="73">
        <v>44603</v>
      </c>
      <c r="L133" s="73">
        <v>44603</v>
      </c>
      <c r="M133" s="73">
        <v>44620</v>
      </c>
      <c r="N133" s="71" t="s">
        <v>38</v>
      </c>
    </row>
    <row r="134" spans="1:14" ht="15">
      <c r="A134" s="71" t="s">
        <v>217</v>
      </c>
      <c r="B134" s="71" t="s">
        <v>177</v>
      </c>
      <c r="C134" s="71" t="s">
        <v>178</v>
      </c>
      <c r="D134" s="71" t="s">
        <v>385</v>
      </c>
      <c r="E134" s="71" t="s">
        <v>24</v>
      </c>
      <c r="F134" s="71" t="s">
        <v>450</v>
      </c>
      <c r="G134" s="71" t="s">
        <v>47</v>
      </c>
      <c r="H134" s="71" t="s">
        <v>24</v>
      </c>
      <c r="I134" s="71" t="s">
        <v>39</v>
      </c>
      <c r="J134" s="72">
        <v>-251000</v>
      </c>
      <c r="K134" s="73">
        <v>44603</v>
      </c>
      <c r="L134" s="73">
        <v>44603</v>
      </c>
      <c r="M134" s="73">
        <v>44620</v>
      </c>
      <c r="N134" s="71" t="s">
        <v>38</v>
      </c>
    </row>
    <row r="135" spans="1:14" ht="15">
      <c r="A135" s="71" t="s">
        <v>217</v>
      </c>
      <c r="B135" s="71" t="s">
        <v>261</v>
      </c>
      <c r="C135" s="71" t="s">
        <v>218</v>
      </c>
      <c r="D135" s="71" t="s">
        <v>570</v>
      </c>
      <c r="E135" s="71" t="s">
        <v>24</v>
      </c>
      <c r="F135" s="71" t="s">
        <v>586</v>
      </c>
      <c r="G135" s="71" t="s">
        <v>40</v>
      </c>
      <c r="H135" s="71" t="s">
        <v>24</v>
      </c>
      <c r="I135" s="71" t="s">
        <v>39</v>
      </c>
      <c r="J135" s="72">
        <v>-20000</v>
      </c>
      <c r="K135" s="73">
        <v>44614</v>
      </c>
      <c r="L135" s="73">
        <v>44614</v>
      </c>
      <c r="M135" s="73">
        <v>44620</v>
      </c>
      <c r="N135" s="71" t="s">
        <v>38</v>
      </c>
    </row>
    <row r="136" spans="1:14" ht="15">
      <c r="A136" s="71" t="s">
        <v>217</v>
      </c>
      <c r="B136" s="71" t="s">
        <v>295</v>
      </c>
      <c r="C136" s="71" t="s">
        <v>296</v>
      </c>
      <c r="D136" s="71" t="s">
        <v>451</v>
      </c>
      <c r="E136" s="71" t="s">
        <v>24</v>
      </c>
      <c r="F136" s="71" t="s">
        <v>452</v>
      </c>
      <c r="G136" s="71" t="s">
        <v>40</v>
      </c>
      <c r="H136" s="71" t="s">
        <v>24</v>
      </c>
      <c r="I136" s="71" t="s">
        <v>39</v>
      </c>
      <c r="J136" s="72">
        <v>-350000</v>
      </c>
      <c r="K136" s="73">
        <v>44349</v>
      </c>
      <c r="L136" s="73">
        <v>44349</v>
      </c>
      <c r="M136" s="73">
        <v>44349</v>
      </c>
      <c r="N136" s="71" t="s">
        <v>38</v>
      </c>
    </row>
    <row r="137" spans="1:14" ht="15">
      <c r="A137" s="71" t="s">
        <v>217</v>
      </c>
      <c r="B137" s="71" t="s">
        <v>295</v>
      </c>
      <c r="C137" s="71" t="s">
        <v>296</v>
      </c>
      <c r="D137" s="71" t="s">
        <v>451</v>
      </c>
      <c r="E137" s="71" t="s">
        <v>24</v>
      </c>
      <c r="F137" s="71" t="s">
        <v>452</v>
      </c>
      <c r="G137" s="71" t="s">
        <v>42</v>
      </c>
      <c r="H137" s="71" t="s">
        <v>24</v>
      </c>
      <c r="I137" s="71" t="s">
        <v>39</v>
      </c>
      <c r="J137" s="72">
        <v>-16973</v>
      </c>
      <c r="K137" s="73">
        <v>44349</v>
      </c>
      <c r="L137" s="73">
        <v>44349</v>
      </c>
      <c r="M137" s="73">
        <v>44349</v>
      </c>
      <c r="N137" s="71" t="s">
        <v>38</v>
      </c>
    </row>
    <row r="138" spans="1:14" ht="15">
      <c r="A138" s="71" t="s">
        <v>217</v>
      </c>
      <c r="B138" s="71" t="s">
        <v>295</v>
      </c>
      <c r="C138" s="71" t="s">
        <v>296</v>
      </c>
      <c r="D138" s="71" t="s">
        <v>451</v>
      </c>
      <c r="E138" s="71" t="s">
        <v>24</v>
      </c>
      <c r="F138" s="71" t="s">
        <v>452</v>
      </c>
      <c r="G138" s="71" t="s">
        <v>42</v>
      </c>
      <c r="H138" s="71" t="s">
        <v>24</v>
      </c>
      <c r="I138" s="71" t="s">
        <v>39</v>
      </c>
      <c r="J138" s="72">
        <v>-333027</v>
      </c>
      <c r="K138" s="73">
        <v>44581</v>
      </c>
      <c r="L138" s="73">
        <v>44581</v>
      </c>
      <c r="M138" s="73">
        <v>44581</v>
      </c>
      <c r="N138" s="71" t="s">
        <v>38</v>
      </c>
    </row>
    <row r="139" spans="1:14" ht="15">
      <c r="A139" s="71" t="s">
        <v>217</v>
      </c>
      <c r="B139" s="71" t="s">
        <v>295</v>
      </c>
      <c r="C139" s="71" t="s">
        <v>296</v>
      </c>
      <c r="D139" s="71" t="s">
        <v>451</v>
      </c>
      <c r="E139" s="71" t="s">
        <v>24</v>
      </c>
      <c r="F139" s="71" t="s">
        <v>452</v>
      </c>
      <c r="G139" s="71" t="s">
        <v>37</v>
      </c>
      <c r="H139" s="71" t="s">
        <v>24</v>
      </c>
      <c r="I139" s="71" t="s">
        <v>39</v>
      </c>
      <c r="J139" s="72">
        <v>-10283</v>
      </c>
      <c r="K139" s="73">
        <v>44608</v>
      </c>
      <c r="L139" s="73">
        <v>44608</v>
      </c>
      <c r="M139" s="73">
        <v>44620</v>
      </c>
      <c r="N139" s="71" t="s">
        <v>38</v>
      </c>
    </row>
    <row r="140" spans="1:14" ht="15">
      <c r="A140" s="71" t="s">
        <v>217</v>
      </c>
      <c r="B140" s="71" t="s">
        <v>295</v>
      </c>
      <c r="C140" s="71" t="s">
        <v>296</v>
      </c>
      <c r="D140" s="71" t="s">
        <v>451</v>
      </c>
      <c r="E140" s="71" t="s">
        <v>24</v>
      </c>
      <c r="F140" s="71" t="s">
        <v>453</v>
      </c>
      <c r="G140" s="71" t="s">
        <v>40</v>
      </c>
      <c r="H140" s="71" t="s">
        <v>24</v>
      </c>
      <c r="I140" s="71" t="s">
        <v>39</v>
      </c>
      <c r="J140" s="72">
        <v>-72651</v>
      </c>
      <c r="K140" s="73">
        <v>44349</v>
      </c>
      <c r="L140" s="73">
        <v>44349</v>
      </c>
      <c r="M140" s="73">
        <v>44349</v>
      </c>
      <c r="N140" s="71" t="s">
        <v>38</v>
      </c>
    </row>
    <row r="141" spans="1:14" ht="15">
      <c r="A141" s="71" t="s">
        <v>217</v>
      </c>
      <c r="B141" s="71" t="s">
        <v>295</v>
      </c>
      <c r="C141" s="71" t="s">
        <v>296</v>
      </c>
      <c r="D141" s="71" t="s">
        <v>451</v>
      </c>
      <c r="E141" s="71" t="s">
        <v>24</v>
      </c>
      <c r="F141" s="71" t="s">
        <v>453</v>
      </c>
      <c r="G141" s="71" t="s">
        <v>40</v>
      </c>
      <c r="H141" s="71" t="s">
        <v>24</v>
      </c>
      <c r="I141" s="71" t="s">
        <v>39</v>
      </c>
      <c r="J141" s="72">
        <v>-14849</v>
      </c>
      <c r="K141" s="73">
        <v>44581</v>
      </c>
      <c r="L141" s="73">
        <v>44581</v>
      </c>
      <c r="M141" s="73">
        <v>44581</v>
      </c>
      <c r="N141" s="71" t="s">
        <v>38</v>
      </c>
    </row>
    <row r="142" spans="1:14" ht="15">
      <c r="A142" s="71" t="s">
        <v>217</v>
      </c>
      <c r="B142" s="71" t="s">
        <v>295</v>
      </c>
      <c r="C142" s="71" t="s">
        <v>296</v>
      </c>
      <c r="D142" s="71" t="s">
        <v>451</v>
      </c>
      <c r="E142" s="71" t="s">
        <v>24</v>
      </c>
      <c r="F142" s="71" t="s">
        <v>453</v>
      </c>
      <c r="G142" s="71" t="s">
        <v>42</v>
      </c>
      <c r="H142" s="71" t="s">
        <v>24</v>
      </c>
      <c r="I142" s="71" t="s">
        <v>39</v>
      </c>
      <c r="J142" s="72">
        <v>-79111</v>
      </c>
      <c r="K142" s="73">
        <v>44581</v>
      </c>
      <c r="L142" s="73">
        <v>44581</v>
      </c>
      <c r="M142" s="73">
        <v>44581</v>
      </c>
      <c r="N142" s="71" t="s">
        <v>38</v>
      </c>
    </row>
    <row r="143" spans="1:14" ht="15">
      <c r="A143" s="71" t="s">
        <v>217</v>
      </c>
      <c r="B143" s="71" t="s">
        <v>128</v>
      </c>
      <c r="C143" s="71" t="s">
        <v>129</v>
      </c>
      <c r="D143" s="71" t="s">
        <v>387</v>
      </c>
      <c r="E143" s="71" t="s">
        <v>24</v>
      </c>
      <c r="F143" s="71" t="s">
        <v>454</v>
      </c>
      <c r="G143" s="71" t="s">
        <v>42</v>
      </c>
      <c r="H143" s="71" t="s">
        <v>24</v>
      </c>
      <c r="I143" s="71" t="s">
        <v>39</v>
      </c>
      <c r="J143" s="72">
        <v>-41225.25</v>
      </c>
      <c r="K143" s="73">
        <v>44288</v>
      </c>
      <c r="L143" s="73">
        <v>44288</v>
      </c>
      <c r="M143" s="73">
        <v>44298</v>
      </c>
      <c r="N143" s="71" t="s">
        <v>38</v>
      </c>
    </row>
    <row r="144" spans="1:14" ht="15">
      <c r="A144" s="71" t="s">
        <v>217</v>
      </c>
      <c r="B144" s="71" t="s">
        <v>128</v>
      </c>
      <c r="C144" s="71" t="s">
        <v>129</v>
      </c>
      <c r="D144" s="71" t="s">
        <v>387</v>
      </c>
      <c r="E144" s="71" t="s">
        <v>24</v>
      </c>
      <c r="F144" s="71" t="s">
        <v>454</v>
      </c>
      <c r="G144" s="71" t="s">
        <v>37</v>
      </c>
      <c r="H144" s="71" t="s">
        <v>24</v>
      </c>
      <c r="I144" s="71" t="s">
        <v>39</v>
      </c>
      <c r="J144" s="72">
        <v>-1909.47</v>
      </c>
      <c r="K144" s="73">
        <v>44288</v>
      </c>
      <c r="L144" s="73">
        <v>44288</v>
      </c>
      <c r="M144" s="73">
        <v>44298</v>
      </c>
      <c r="N144" s="71" t="s">
        <v>38</v>
      </c>
    </row>
    <row r="145" spans="1:14" ht="15">
      <c r="A145" s="71" t="s">
        <v>217</v>
      </c>
      <c r="B145" s="71" t="s">
        <v>128</v>
      </c>
      <c r="C145" s="71" t="s">
        <v>129</v>
      </c>
      <c r="D145" s="71" t="s">
        <v>387</v>
      </c>
      <c r="E145" s="71" t="s">
        <v>24</v>
      </c>
      <c r="F145" s="71" t="s">
        <v>454</v>
      </c>
      <c r="G145" s="71" t="s">
        <v>47</v>
      </c>
      <c r="H145" s="71" t="s">
        <v>24</v>
      </c>
      <c r="I145" s="71" t="s">
        <v>39</v>
      </c>
      <c r="J145" s="72">
        <v>-360</v>
      </c>
      <c r="K145" s="73">
        <v>44320</v>
      </c>
      <c r="L145" s="73">
        <v>44320</v>
      </c>
      <c r="M145" s="73">
        <v>44330</v>
      </c>
      <c r="N145" s="71" t="s">
        <v>38</v>
      </c>
    </row>
    <row r="146" spans="1:14" ht="15">
      <c r="A146" s="71" t="s">
        <v>217</v>
      </c>
      <c r="B146" s="71" t="s">
        <v>128</v>
      </c>
      <c r="C146" s="71" t="s">
        <v>129</v>
      </c>
      <c r="D146" s="71" t="s">
        <v>387</v>
      </c>
      <c r="E146" s="71" t="s">
        <v>24</v>
      </c>
      <c r="F146" s="71" t="s">
        <v>454</v>
      </c>
      <c r="G146" s="71" t="s">
        <v>26</v>
      </c>
      <c r="H146" s="71" t="s">
        <v>24</v>
      </c>
      <c r="I146" s="71" t="s">
        <v>39</v>
      </c>
      <c r="J146" s="72">
        <v>-189626.05</v>
      </c>
      <c r="K146" s="73">
        <v>44608</v>
      </c>
      <c r="L146" s="73">
        <v>44608</v>
      </c>
      <c r="M146" s="73">
        <v>44620</v>
      </c>
      <c r="N146" s="71" t="s">
        <v>38</v>
      </c>
    </row>
    <row r="147" spans="1:14" ht="15">
      <c r="A147" s="71" t="s">
        <v>217</v>
      </c>
      <c r="B147" s="71" t="s">
        <v>145</v>
      </c>
      <c r="C147" s="71" t="s">
        <v>237</v>
      </c>
      <c r="D147" s="71" t="s">
        <v>548</v>
      </c>
      <c r="E147" s="71" t="s">
        <v>24</v>
      </c>
      <c r="F147" s="71" t="s">
        <v>587</v>
      </c>
      <c r="G147" s="71" t="s">
        <v>40</v>
      </c>
      <c r="H147" s="71" t="s">
        <v>24</v>
      </c>
      <c r="I147" s="71" t="s">
        <v>39</v>
      </c>
      <c r="J147" s="72">
        <v>-45000</v>
      </c>
      <c r="K147" s="73">
        <v>44614</v>
      </c>
      <c r="L147" s="73">
        <v>44614</v>
      </c>
      <c r="M147" s="73">
        <v>44620</v>
      </c>
      <c r="N147" s="71" t="s">
        <v>38</v>
      </c>
    </row>
    <row r="148" spans="1:14" ht="15">
      <c r="A148" s="71" t="s">
        <v>217</v>
      </c>
      <c r="B148" s="71" t="s">
        <v>175</v>
      </c>
      <c r="C148" s="71" t="s">
        <v>176</v>
      </c>
      <c r="D148" s="71" t="s">
        <v>588</v>
      </c>
      <c r="E148" s="71" t="s">
        <v>24</v>
      </c>
      <c r="F148" s="71" t="s">
        <v>589</v>
      </c>
      <c r="G148" s="71" t="s">
        <v>40</v>
      </c>
      <c r="H148" s="71" t="s">
        <v>24</v>
      </c>
      <c r="I148" s="71" t="s">
        <v>39</v>
      </c>
      <c r="J148" s="72">
        <v>-77914</v>
      </c>
      <c r="K148" s="73">
        <v>44581</v>
      </c>
      <c r="L148" s="73">
        <v>44581</v>
      </c>
      <c r="M148" s="73">
        <v>44581</v>
      </c>
      <c r="N148" s="71" t="s">
        <v>38</v>
      </c>
    </row>
    <row r="149" spans="1:14" ht="15">
      <c r="A149" s="71" t="s">
        <v>217</v>
      </c>
      <c r="B149" s="71" t="s">
        <v>183</v>
      </c>
      <c r="C149" s="71" t="s">
        <v>184</v>
      </c>
      <c r="D149" s="71" t="s">
        <v>455</v>
      </c>
      <c r="E149" s="71" t="s">
        <v>24</v>
      </c>
      <c r="F149" s="71" t="s">
        <v>456</v>
      </c>
      <c r="G149" s="71" t="s">
        <v>40</v>
      </c>
      <c r="H149" s="71" t="s">
        <v>24</v>
      </c>
      <c r="I149" s="71" t="s">
        <v>39</v>
      </c>
      <c r="J149" s="72">
        <v>-48765.5</v>
      </c>
      <c r="K149" s="73">
        <v>44315</v>
      </c>
      <c r="L149" s="73">
        <v>44315</v>
      </c>
      <c r="M149" s="73">
        <v>44315</v>
      </c>
      <c r="N149" s="71" t="s">
        <v>38</v>
      </c>
    </row>
    <row r="150" spans="1:14" ht="15">
      <c r="A150" s="71" t="s">
        <v>217</v>
      </c>
      <c r="B150" s="71" t="s">
        <v>183</v>
      </c>
      <c r="C150" s="71" t="s">
        <v>184</v>
      </c>
      <c r="D150" s="71" t="s">
        <v>455</v>
      </c>
      <c r="E150" s="71" t="s">
        <v>24</v>
      </c>
      <c r="F150" s="71" t="s">
        <v>456</v>
      </c>
      <c r="G150" s="71" t="s">
        <v>42</v>
      </c>
      <c r="H150" s="71" t="s">
        <v>24</v>
      </c>
      <c r="I150" s="71" t="s">
        <v>39</v>
      </c>
      <c r="J150" s="72">
        <v>-2034.41</v>
      </c>
      <c r="K150" s="73">
        <v>44315</v>
      </c>
      <c r="L150" s="73">
        <v>44315</v>
      </c>
      <c r="M150" s="73">
        <v>44315</v>
      </c>
      <c r="N150" s="71" t="s">
        <v>38</v>
      </c>
    </row>
    <row r="151" spans="1:14" ht="15">
      <c r="A151" s="71" t="s">
        <v>217</v>
      </c>
      <c r="B151" s="71" t="s">
        <v>209</v>
      </c>
      <c r="C151" s="71" t="s">
        <v>374</v>
      </c>
      <c r="D151" s="71" t="s">
        <v>387</v>
      </c>
      <c r="E151" s="71" t="s">
        <v>24</v>
      </c>
      <c r="F151" s="71" t="s">
        <v>457</v>
      </c>
      <c r="G151" s="71" t="s">
        <v>40</v>
      </c>
      <c r="H151" s="71" t="s">
        <v>24</v>
      </c>
      <c r="I151" s="71" t="s">
        <v>39</v>
      </c>
      <c r="J151" s="72">
        <v>-93663.3</v>
      </c>
      <c r="K151" s="73">
        <v>44315</v>
      </c>
      <c r="L151" s="73">
        <v>44315</v>
      </c>
      <c r="M151" s="73">
        <v>44315</v>
      </c>
      <c r="N151" s="71" t="s">
        <v>38</v>
      </c>
    </row>
    <row r="152" spans="1:14" ht="15">
      <c r="A152" s="71" t="s">
        <v>217</v>
      </c>
      <c r="B152" s="71" t="s">
        <v>209</v>
      </c>
      <c r="C152" s="71" t="s">
        <v>374</v>
      </c>
      <c r="D152" s="71" t="s">
        <v>387</v>
      </c>
      <c r="E152" s="71" t="s">
        <v>24</v>
      </c>
      <c r="F152" s="71" t="s">
        <v>457</v>
      </c>
      <c r="G152" s="71" t="s">
        <v>42</v>
      </c>
      <c r="H152" s="71" t="s">
        <v>24</v>
      </c>
      <c r="I152" s="71" t="s">
        <v>39</v>
      </c>
      <c r="J152" s="72">
        <v>-12399.29</v>
      </c>
      <c r="K152" s="73">
        <v>44315</v>
      </c>
      <c r="L152" s="73">
        <v>44315</v>
      </c>
      <c r="M152" s="73">
        <v>44315</v>
      </c>
      <c r="N152" s="71" t="s">
        <v>38</v>
      </c>
    </row>
    <row r="153" spans="1:14" ht="15">
      <c r="A153" s="71" t="s">
        <v>217</v>
      </c>
      <c r="B153" s="71" t="s">
        <v>209</v>
      </c>
      <c r="C153" s="71" t="s">
        <v>374</v>
      </c>
      <c r="D153" s="71" t="s">
        <v>387</v>
      </c>
      <c r="E153" s="71" t="s">
        <v>24</v>
      </c>
      <c r="F153" s="71" t="s">
        <v>457</v>
      </c>
      <c r="G153" s="71" t="s">
        <v>42</v>
      </c>
      <c r="H153" s="71" t="s">
        <v>24</v>
      </c>
      <c r="I153" s="71" t="s">
        <v>39</v>
      </c>
      <c r="J153" s="72">
        <v>-100100.71</v>
      </c>
      <c r="K153" s="73">
        <v>44412</v>
      </c>
      <c r="L153" s="73">
        <v>44412</v>
      </c>
      <c r="M153" s="73">
        <v>44434</v>
      </c>
      <c r="N153" s="71" t="s">
        <v>38</v>
      </c>
    </row>
    <row r="154" spans="1:14" ht="15">
      <c r="A154" s="71" t="s">
        <v>217</v>
      </c>
      <c r="B154" s="71" t="s">
        <v>209</v>
      </c>
      <c r="C154" s="71" t="s">
        <v>374</v>
      </c>
      <c r="D154" s="71" t="s">
        <v>387</v>
      </c>
      <c r="E154" s="71" t="s">
        <v>24</v>
      </c>
      <c r="F154" s="71" t="s">
        <v>457</v>
      </c>
      <c r="G154" s="71" t="s">
        <v>37</v>
      </c>
      <c r="H154" s="71" t="s">
        <v>24</v>
      </c>
      <c r="I154" s="71" t="s">
        <v>39</v>
      </c>
      <c r="J154" s="72">
        <v>-32110.25</v>
      </c>
      <c r="K154" s="73">
        <v>44412</v>
      </c>
      <c r="L154" s="73">
        <v>44412</v>
      </c>
      <c r="M154" s="73">
        <v>44434</v>
      </c>
      <c r="N154" s="71" t="s">
        <v>38</v>
      </c>
    </row>
    <row r="155" spans="1:14" ht="15">
      <c r="A155" s="71" t="s">
        <v>217</v>
      </c>
      <c r="B155" s="71" t="s">
        <v>209</v>
      </c>
      <c r="C155" s="71" t="s">
        <v>374</v>
      </c>
      <c r="D155" s="71" t="s">
        <v>387</v>
      </c>
      <c r="E155" s="71" t="s">
        <v>24</v>
      </c>
      <c r="F155" s="71" t="s">
        <v>457</v>
      </c>
      <c r="G155" s="71" t="s">
        <v>37</v>
      </c>
      <c r="H155" s="71" t="s">
        <v>24</v>
      </c>
      <c r="I155" s="71" t="s">
        <v>39</v>
      </c>
      <c r="J155" s="72">
        <v>-80389.75</v>
      </c>
      <c r="K155" s="73">
        <v>44498</v>
      </c>
      <c r="L155" s="73">
        <v>44498</v>
      </c>
      <c r="M155" s="73">
        <v>44498</v>
      </c>
      <c r="N155" s="71" t="s">
        <v>38</v>
      </c>
    </row>
    <row r="156" spans="1:14" ht="15">
      <c r="A156" s="71" t="s">
        <v>217</v>
      </c>
      <c r="B156" s="71" t="s">
        <v>209</v>
      </c>
      <c r="C156" s="71" t="s">
        <v>374</v>
      </c>
      <c r="D156" s="71" t="s">
        <v>387</v>
      </c>
      <c r="E156" s="71" t="s">
        <v>24</v>
      </c>
      <c r="F156" s="71" t="s">
        <v>457</v>
      </c>
      <c r="G156" s="71" t="s">
        <v>47</v>
      </c>
      <c r="H156" s="71" t="s">
        <v>24</v>
      </c>
      <c r="I156" s="71" t="s">
        <v>39</v>
      </c>
      <c r="J156" s="72">
        <v>-77701.83</v>
      </c>
      <c r="K156" s="73">
        <v>44498</v>
      </c>
      <c r="L156" s="73">
        <v>44498</v>
      </c>
      <c r="M156" s="73">
        <v>44498</v>
      </c>
      <c r="N156" s="71" t="s">
        <v>38</v>
      </c>
    </row>
    <row r="157" spans="1:14" ht="15">
      <c r="A157" s="71" t="s">
        <v>217</v>
      </c>
      <c r="B157" s="71" t="s">
        <v>156</v>
      </c>
      <c r="C157" s="71" t="s">
        <v>157</v>
      </c>
      <c r="D157" s="71" t="s">
        <v>455</v>
      </c>
      <c r="E157" s="71" t="s">
        <v>24</v>
      </c>
      <c r="F157" s="71" t="s">
        <v>458</v>
      </c>
      <c r="G157" s="71" t="s">
        <v>40</v>
      </c>
      <c r="H157" s="71" t="s">
        <v>24</v>
      </c>
      <c r="I157" s="71" t="s">
        <v>39</v>
      </c>
      <c r="J157" s="72">
        <v>-32534.3</v>
      </c>
      <c r="K157" s="73">
        <v>44302</v>
      </c>
      <c r="L157" s="73">
        <v>44302</v>
      </c>
      <c r="M157" s="73">
        <v>44314</v>
      </c>
      <c r="N157" s="71" t="s">
        <v>38</v>
      </c>
    </row>
    <row r="158" spans="1:14" ht="15">
      <c r="A158" s="71" t="s">
        <v>217</v>
      </c>
      <c r="B158" s="71" t="s">
        <v>156</v>
      </c>
      <c r="C158" s="71" t="s">
        <v>157</v>
      </c>
      <c r="D158" s="71" t="s">
        <v>455</v>
      </c>
      <c r="E158" s="71" t="s">
        <v>24</v>
      </c>
      <c r="F158" s="71" t="s">
        <v>458</v>
      </c>
      <c r="G158" s="71" t="s">
        <v>40</v>
      </c>
      <c r="H158" s="71" t="s">
        <v>24</v>
      </c>
      <c r="I158" s="71" t="s">
        <v>39</v>
      </c>
      <c r="J158" s="72">
        <v>-8135.7</v>
      </c>
      <c r="K158" s="73">
        <v>44550</v>
      </c>
      <c r="L158" s="73">
        <v>44550</v>
      </c>
      <c r="M158" s="73">
        <v>44550</v>
      </c>
      <c r="N158" s="71" t="s">
        <v>38</v>
      </c>
    </row>
    <row r="159" spans="1:14" ht="15">
      <c r="A159" s="71" t="s">
        <v>217</v>
      </c>
      <c r="B159" s="71" t="s">
        <v>156</v>
      </c>
      <c r="C159" s="71" t="s">
        <v>157</v>
      </c>
      <c r="D159" s="71" t="s">
        <v>455</v>
      </c>
      <c r="E159" s="71" t="s">
        <v>24</v>
      </c>
      <c r="F159" s="71" t="s">
        <v>458</v>
      </c>
      <c r="G159" s="71" t="s">
        <v>42</v>
      </c>
      <c r="H159" s="71" t="s">
        <v>24</v>
      </c>
      <c r="I159" s="71" t="s">
        <v>39</v>
      </c>
      <c r="J159" s="72">
        <v>-29012.16</v>
      </c>
      <c r="K159" s="73">
        <v>44550</v>
      </c>
      <c r="L159" s="73">
        <v>44550</v>
      </c>
      <c r="M159" s="73">
        <v>44550</v>
      </c>
      <c r="N159" s="71" t="s">
        <v>38</v>
      </c>
    </row>
    <row r="160" spans="1:14" ht="15">
      <c r="A160" s="71" t="s">
        <v>217</v>
      </c>
      <c r="B160" s="71" t="s">
        <v>102</v>
      </c>
      <c r="C160" s="71" t="s">
        <v>103</v>
      </c>
      <c r="D160" s="71" t="s">
        <v>426</v>
      </c>
      <c r="E160" s="71" t="s">
        <v>24</v>
      </c>
      <c r="F160" s="71" t="s">
        <v>491</v>
      </c>
      <c r="G160" s="71" t="s">
        <v>40</v>
      </c>
      <c r="H160" s="71" t="s">
        <v>24</v>
      </c>
      <c r="I160" s="71" t="s">
        <v>39</v>
      </c>
      <c r="J160" s="72">
        <v>-16250</v>
      </c>
      <c r="K160" s="73">
        <v>44392</v>
      </c>
      <c r="L160" s="73">
        <v>44392</v>
      </c>
      <c r="M160" s="73">
        <v>44407</v>
      </c>
      <c r="N160" s="71" t="s">
        <v>38</v>
      </c>
    </row>
    <row r="161" spans="1:14" ht="15">
      <c r="A161" s="71" t="s">
        <v>217</v>
      </c>
      <c r="B161" s="71" t="s">
        <v>102</v>
      </c>
      <c r="C161" s="71" t="s">
        <v>103</v>
      </c>
      <c r="D161" s="71" t="s">
        <v>426</v>
      </c>
      <c r="E161" s="71" t="s">
        <v>24</v>
      </c>
      <c r="F161" s="71" t="s">
        <v>491</v>
      </c>
      <c r="G161" s="71" t="s">
        <v>42</v>
      </c>
      <c r="H161" s="71" t="s">
        <v>24</v>
      </c>
      <c r="I161" s="71" t="s">
        <v>39</v>
      </c>
      <c r="J161" s="72">
        <v>-3839.6</v>
      </c>
      <c r="K161" s="73">
        <v>44392</v>
      </c>
      <c r="L161" s="73">
        <v>44392</v>
      </c>
      <c r="M161" s="73">
        <v>44407</v>
      </c>
      <c r="N161" s="71" t="s">
        <v>38</v>
      </c>
    </row>
    <row r="162" spans="1:14" ht="15">
      <c r="A162" s="71" t="s">
        <v>217</v>
      </c>
      <c r="B162" s="71" t="s">
        <v>102</v>
      </c>
      <c r="C162" s="71" t="s">
        <v>103</v>
      </c>
      <c r="D162" s="71" t="s">
        <v>426</v>
      </c>
      <c r="E162" s="71" t="s">
        <v>24</v>
      </c>
      <c r="F162" s="71" t="s">
        <v>491</v>
      </c>
      <c r="G162" s="71" t="s">
        <v>42</v>
      </c>
      <c r="H162" s="71" t="s">
        <v>24</v>
      </c>
      <c r="I162" s="71" t="s">
        <v>39</v>
      </c>
      <c r="J162" s="72">
        <v>-12410.4</v>
      </c>
      <c r="K162" s="73">
        <v>44557</v>
      </c>
      <c r="L162" s="73">
        <v>44557</v>
      </c>
      <c r="M162" s="73">
        <v>44557</v>
      </c>
      <c r="N162" s="71" t="s">
        <v>38</v>
      </c>
    </row>
    <row r="163" spans="1:14" ht="15">
      <c r="A163" s="71" t="s">
        <v>217</v>
      </c>
      <c r="B163" s="71" t="s">
        <v>102</v>
      </c>
      <c r="C163" s="71" t="s">
        <v>103</v>
      </c>
      <c r="D163" s="71" t="s">
        <v>426</v>
      </c>
      <c r="E163" s="71" t="s">
        <v>24</v>
      </c>
      <c r="F163" s="71" t="s">
        <v>491</v>
      </c>
      <c r="G163" s="71" t="s">
        <v>37</v>
      </c>
      <c r="H163" s="71" t="s">
        <v>24</v>
      </c>
      <c r="I163" s="71" t="s">
        <v>39</v>
      </c>
      <c r="J163" s="72">
        <v>-16250</v>
      </c>
      <c r="K163" s="73">
        <v>44557</v>
      </c>
      <c r="L163" s="73">
        <v>44557</v>
      </c>
      <c r="M163" s="73">
        <v>44557</v>
      </c>
      <c r="N163" s="71" t="s">
        <v>38</v>
      </c>
    </row>
    <row r="164" spans="1:14" ht="15">
      <c r="A164" s="71" t="s">
        <v>217</v>
      </c>
      <c r="B164" s="71" t="s">
        <v>102</v>
      </c>
      <c r="C164" s="71" t="s">
        <v>103</v>
      </c>
      <c r="D164" s="71" t="s">
        <v>426</v>
      </c>
      <c r="E164" s="71" t="s">
        <v>24</v>
      </c>
      <c r="F164" s="71" t="s">
        <v>491</v>
      </c>
      <c r="G164" s="71" t="s">
        <v>47</v>
      </c>
      <c r="H164" s="71" t="s">
        <v>24</v>
      </c>
      <c r="I164" s="71" t="s">
        <v>39</v>
      </c>
      <c r="J164" s="72">
        <v>-10250</v>
      </c>
      <c r="K164" s="73">
        <v>44557</v>
      </c>
      <c r="L164" s="73">
        <v>44557</v>
      </c>
      <c r="M164" s="73">
        <v>44557</v>
      </c>
      <c r="N164" s="71" t="s">
        <v>38</v>
      </c>
    </row>
    <row r="165" spans="1:14" ht="15">
      <c r="A165" s="71" t="s">
        <v>217</v>
      </c>
      <c r="B165" s="71" t="s">
        <v>99</v>
      </c>
      <c r="C165" s="71" t="s">
        <v>100</v>
      </c>
      <c r="D165" s="71" t="s">
        <v>548</v>
      </c>
      <c r="E165" s="71" t="s">
        <v>24</v>
      </c>
      <c r="F165" s="71" t="s">
        <v>549</v>
      </c>
      <c r="G165" s="71" t="s">
        <v>40</v>
      </c>
      <c r="H165" s="71" t="s">
        <v>24</v>
      </c>
      <c r="I165" s="71" t="s">
        <v>39</v>
      </c>
      <c r="J165" s="72">
        <v>-130882</v>
      </c>
      <c r="K165" s="73">
        <v>44484</v>
      </c>
      <c r="L165" s="73">
        <v>44484</v>
      </c>
      <c r="M165" s="73">
        <v>44494</v>
      </c>
      <c r="N165" s="71" t="s">
        <v>38</v>
      </c>
    </row>
    <row r="166" spans="1:14" ht="15">
      <c r="A166" s="71" t="s">
        <v>217</v>
      </c>
      <c r="B166" s="71" t="s">
        <v>199</v>
      </c>
      <c r="C166" s="71" t="s">
        <v>200</v>
      </c>
      <c r="D166" s="71" t="s">
        <v>387</v>
      </c>
      <c r="E166" s="71" t="s">
        <v>24</v>
      </c>
      <c r="F166" s="71" t="s">
        <v>388</v>
      </c>
      <c r="G166" s="71" t="s">
        <v>40</v>
      </c>
      <c r="H166" s="71" t="s">
        <v>24</v>
      </c>
      <c r="I166" s="71" t="s">
        <v>39</v>
      </c>
      <c r="J166" s="72">
        <v>-250000</v>
      </c>
      <c r="K166" s="73">
        <v>44270</v>
      </c>
      <c r="L166" s="73">
        <v>44270</v>
      </c>
      <c r="M166" s="73">
        <v>44284</v>
      </c>
      <c r="N166" s="71" t="s">
        <v>38</v>
      </c>
    </row>
    <row r="167" spans="1:14" ht="15">
      <c r="A167" s="71" t="s">
        <v>217</v>
      </c>
      <c r="B167" s="71" t="s">
        <v>199</v>
      </c>
      <c r="C167" s="71" t="s">
        <v>200</v>
      </c>
      <c r="D167" s="71" t="s">
        <v>387</v>
      </c>
      <c r="E167" s="71" t="s">
        <v>24</v>
      </c>
      <c r="F167" s="71" t="s">
        <v>388</v>
      </c>
      <c r="G167" s="71" t="s">
        <v>42</v>
      </c>
      <c r="H167" s="71" t="s">
        <v>24</v>
      </c>
      <c r="I167" s="71" t="s">
        <v>39</v>
      </c>
      <c r="J167" s="72">
        <v>-250000</v>
      </c>
      <c r="K167" s="73">
        <v>44270</v>
      </c>
      <c r="L167" s="73">
        <v>44270</v>
      </c>
      <c r="M167" s="73">
        <v>44284</v>
      </c>
      <c r="N167" s="71" t="s">
        <v>38</v>
      </c>
    </row>
    <row r="168" spans="1:14" ht="15">
      <c r="A168" s="71" t="s">
        <v>217</v>
      </c>
      <c r="B168" s="71" t="s">
        <v>199</v>
      </c>
      <c r="C168" s="71" t="s">
        <v>200</v>
      </c>
      <c r="D168" s="71" t="s">
        <v>387</v>
      </c>
      <c r="E168" s="71" t="s">
        <v>24</v>
      </c>
      <c r="F168" s="71" t="s">
        <v>388</v>
      </c>
      <c r="G168" s="71" t="s">
        <v>37</v>
      </c>
      <c r="H168" s="71" t="s">
        <v>24</v>
      </c>
      <c r="I168" s="71" t="s">
        <v>39</v>
      </c>
      <c r="J168" s="72">
        <v>-250000</v>
      </c>
      <c r="K168" s="73">
        <v>44270</v>
      </c>
      <c r="L168" s="73">
        <v>44270</v>
      </c>
      <c r="M168" s="73">
        <v>44284</v>
      </c>
      <c r="N168" s="71" t="s">
        <v>38</v>
      </c>
    </row>
    <row r="169" spans="1:14" ht="15">
      <c r="A169" s="71" t="s">
        <v>217</v>
      </c>
      <c r="B169" s="71" t="s">
        <v>199</v>
      </c>
      <c r="C169" s="71" t="s">
        <v>200</v>
      </c>
      <c r="D169" s="71" t="s">
        <v>387</v>
      </c>
      <c r="E169" s="71" t="s">
        <v>24</v>
      </c>
      <c r="F169" s="71" t="s">
        <v>388</v>
      </c>
      <c r="G169" s="71" t="s">
        <v>47</v>
      </c>
      <c r="H169" s="71" t="s">
        <v>24</v>
      </c>
      <c r="I169" s="71" t="s">
        <v>39</v>
      </c>
      <c r="J169" s="72">
        <v>-250000</v>
      </c>
      <c r="K169" s="73">
        <v>44270</v>
      </c>
      <c r="L169" s="73">
        <v>44270</v>
      </c>
      <c r="M169" s="73">
        <v>44284</v>
      </c>
      <c r="N169" s="71" t="s">
        <v>38</v>
      </c>
    </row>
    <row r="170" spans="1:14" ht="15">
      <c r="A170" s="71" t="s">
        <v>217</v>
      </c>
      <c r="B170" s="71" t="s">
        <v>199</v>
      </c>
      <c r="C170" s="71" t="s">
        <v>200</v>
      </c>
      <c r="D170" s="71" t="s">
        <v>387</v>
      </c>
      <c r="E170" s="71" t="s">
        <v>24</v>
      </c>
      <c r="F170" s="71" t="s">
        <v>388</v>
      </c>
      <c r="G170" s="71" t="s">
        <v>26</v>
      </c>
      <c r="H170" s="71" t="s">
        <v>24</v>
      </c>
      <c r="I170" s="71" t="s">
        <v>39</v>
      </c>
      <c r="J170" s="72">
        <v>-373605</v>
      </c>
      <c r="K170" s="73">
        <v>44496</v>
      </c>
      <c r="L170" s="73">
        <v>44496</v>
      </c>
      <c r="M170" s="73">
        <v>44498</v>
      </c>
      <c r="N170" s="71" t="s">
        <v>38</v>
      </c>
    </row>
    <row r="171" spans="1:14" ht="15">
      <c r="A171" s="71" t="s">
        <v>217</v>
      </c>
      <c r="B171" s="71" t="s">
        <v>48</v>
      </c>
      <c r="C171" s="71" t="s">
        <v>49</v>
      </c>
      <c r="D171" s="71" t="s">
        <v>455</v>
      </c>
      <c r="E171" s="71" t="s">
        <v>24</v>
      </c>
      <c r="F171" s="71" t="s">
        <v>459</v>
      </c>
      <c r="G171" s="71" t="s">
        <v>40</v>
      </c>
      <c r="H171" s="71" t="s">
        <v>24</v>
      </c>
      <c r="I171" s="71" t="s">
        <v>39</v>
      </c>
      <c r="J171" s="72">
        <v>-491357.37</v>
      </c>
      <c r="K171" s="73">
        <v>44315</v>
      </c>
      <c r="L171" s="73">
        <v>44315</v>
      </c>
      <c r="M171" s="73">
        <v>44315</v>
      </c>
      <c r="N171" s="71" t="s">
        <v>38</v>
      </c>
    </row>
    <row r="172" spans="1:14" ht="15">
      <c r="A172" s="71" t="s">
        <v>217</v>
      </c>
      <c r="B172" s="71" t="s">
        <v>67</v>
      </c>
      <c r="C172" s="71" t="s">
        <v>68</v>
      </c>
      <c r="D172" s="71" t="s">
        <v>588</v>
      </c>
      <c r="E172" s="71" t="s">
        <v>24</v>
      </c>
      <c r="F172" s="71" t="s">
        <v>590</v>
      </c>
      <c r="G172" s="71" t="s">
        <v>40</v>
      </c>
      <c r="H172" s="71" t="s">
        <v>24</v>
      </c>
      <c r="I172" s="71" t="s">
        <v>39</v>
      </c>
      <c r="J172" s="72">
        <v>-100000</v>
      </c>
      <c r="K172" s="73">
        <v>44581</v>
      </c>
      <c r="L172" s="73">
        <v>44581</v>
      </c>
      <c r="M172" s="73">
        <v>44581</v>
      </c>
      <c r="N172" s="71" t="s">
        <v>38</v>
      </c>
    </row>
    <row r="173" spans="1:14" ht="15">
      <c r="A173" s="71" t="s">
        <v>217</v>
      </c>
      <c r="B173" s="71" t="s">
        <v>126</v>
      </c>
      <c r="C173" s="71" t="s">
        <v>127</v>
      </c>
      <c r="D173" s="71" t="s">
        <v>387</v>
      </c>
      <c r="E173" s="71" t="s">
        <v>24</v>
      </c>
      <c r="F173" s="71" t="s">
        <v>460</v>
      </c>
      <c r="G173" s="71" t="s">
        <v>40</v>
      </c>
      <c r="H173" s="71" t="s">
        <v>24</v>
      </c>
      <c r="I173" s="71" t="s">
        <v>39</v>
      </c>
      <c r="J173" s="72">
        <v>-87500</v>
      </c>
      <c r="K173" s="73">
        <v>44288</v>
      </c>
      <c r="L173" s="73">
        <v>44288</v>
      </c>
      <c r="M173" s="73">
        <v>44298</v>
      </c>
      <c r="N173" s="71" t="s">
        <v>38</v>
      </c>
    </row>
    <row r="174" spans="1:14" ht="15">
      <c r="A174" s="71" t="s">
        <v>217</v>
      </c>
      <c r="B174" s="71" t="s">
        <v>126</v>
      </c>
      <c r="C174" s="71" t="s">
        <v>127</v>
      </c>
      <c r="D174" s="71" t="s">
        <v>387</v>
      </c>
      <c r="E174" s="71" t="s">
        <v>24</v>
      </c>
      <c r="F174" s="71" t="s">
        <v>460</v>
      </c>
      <c r="G174" s="71" t="s">
        <v>42</v>
      </c>
      <c r="H174" s="71" t="s">
        <v>24</v>
      </c>
      <c r="I174" s="71" t="s">
        <v>39</v>
      </c>
      <c r="J174" s="72">
        <v>-31417.15</v>
      </c>
      <c r="K174" s="73">
        <v>44288</v>
      </c>
      <c r="L174" s="73">
        <v>44288</v>
      </c>
      <c r="M174" s="73">
        <v>44298</v>
      </c>
      <c r="N174" s="71" t="s">
        <v>38</v>
      </c>
    </row>
    <row r="175" spans="1:14" ht="15">
      <c r="A175" s="71" t="s">
        <v>217</v>
      </c>
      <c r="B175" s="71" t="s">
        <v>126</v>
      </c>
      <c r="C175" s="71" t="s">
        <v>127</v>
      </c>
      <c r="D175" s="71" t="s">
        <v>387</v>
      </c>
      <c r="E175" s="71" t="s">
        <v>24</v>
      </c>
      <c r="F175" s="71" t="s">
        <v>460</v>
      </c>
      <c r="G175" s="71" t="s">
        <v>42</v>
      </c>
      <c r="H175" s="71" t="s">
        <v>24</v>
      </c>
      <c r="I175" s="71" t="s">
        <v>39</v>
      </c>
      <c r="J175" s="72">
        <v>-56082.85</v>
      </c>
      <c r="K175" s="73">
        <v>44320</v>
      </c>
      <c r="L175" s="73">
        <v>44320</v>
      </c>
      <c r="M175" s="73">
        <v>44330</v>
      </c>
      <c r="N175" s="71" t="s">
        <v>38</v>
      </c>
    </row>
    <row r="176" spans="1:14" ht="15">
      <c r="A176" s="71" t="s">
        <v>217</v>
      </c>
      <c r="B176" s="71" t="s">
        <v>126</v>
      </c>
      <c r="C176" s="71" t="s">
        <v>127</v>
      </c>
      <c r="D176" s="71" t="s">
        <v>387</v>
      </c>
      <c r="E176" s="71" t="s">
        <v>24</v>
      </c>
      <c r="F176" s="71" t="s">
        <v>460</v>
      </c>
      <c r="G176" s="71" t="s">
        <v>37</v>
      </c>
      <c r="H176" s="71" t="s">
        <v>24</v>
      </c>
      <c r="I176" s="71" t="s">
        <v>39</v>
      </c>
      <c r="J176" s="72">
        <v>-63899.03</v>
      </c>
      <c r="K176" s="73">
        <v>44320</v>
      </c>
      <c r="L176" s="73">
        <v>44320</v>
      </c>
      <c r="M176" s="73">
        <v>44330</v>
      </c>
      <c r="N176" s="71" t="s">
        <v>38</v>
      </c>
    </row>
    <row r="177" spans="1:14" ht="15">
      <c r="A177" s="71" t="s">
        <v>217</v>
      </c>
      <c r="B177" s="71" t="s">
        <v>126</v>
      </c>
      <c r="C177" s="71" t="s">
        <v>127</v>
      </c>
      <c r="D177" s="71" t="s">
        <v>387</v>
      </c>
      <c r="E177" s="71" t="s">
        <v>24</v>
      </c>
      <c r="F177" s="71" t="s">
        <v>460</v>
      </c>
      <c r="G177" s="71" t="s">
        <v>37</v>
      </c>
      <c r="H177" s="71" t="s">
        <v>24</v>
      </c>
      <c r="I177" s="71" t="s">
        <v>39</v>
      </c>
      <c r="J177" s="72">
        <v>-23600.97</v>
      </c>
      <c r="K177" s="73">
        <v>44417</v>
      </c>
      <c r="L177" s="73">
        <v>44417</v>
      </c>
      <c r="M177" s="73">
        <v>44434</v>
      </c>
      <c r="N177" s="71" t="s">
        <v>38</v>
      </c>
    </row>
    <row r="178" spans="1:14" ht="15">
      <c r="A178" s="71" t="s">
        <v>217</v>
      </c>
      <c r="B178" s="71" t="s">
        <v>126</v>
      </c>
      <c r="C178" s="71" t="s">
        <v>127</v>
      </c>
      <c r="D178" s="71" t="s">
        <v>387</v>
      </c>
      <c r="E178" s="71" t="s">
        <v>24</v>
      </c>
      <c r="F178" s="71" t="s">
        <v>460</v>
      </c>
      <c r="G178" s="71" t="s">
        <v>47</v>
      </c>
      <c r="H178" s="71" t="s">
        <v>24</v>
      </c>
      <c r="I178" s="71" t="s">
        <v>39</v>
      </c>
      <c r="J178" s="72">
        <v>-87500</v>
      </c>
      <c r="K178" s="73">
        <v>44417</v>
      </c>
      <c r="L178" s="73">
        <v>44417</v>
      </c>
      <c r="M178" s="73">
        <v>44434</v>
      </c>
      <c r="N178" s="71" t="s">
        <v>38</v>
      </c>
    </row>
    <row r="179" spans="1:14" ht="15">
      <c r="A179" s="71" t="s">
        <v>217</v>
      </c>
      <c r="B179" s="71" t="s">
        <v>52</v>
      </c>
      <c r="C179" s="71" t="s">
        <v>53</v>
      </c>
      <c r="D179" s="71" t="s">
        <v>389</v>
      </c>
      <c r="E179" s="71" t="s">
        <v>24</v>
      </c>
      <c r="F179" s="71" t="s">
        <v>390</v>
      </c>
      <c r="G179" s="71" t="s">
        <v>40</v>
      </c>
      <c r="H179" s="71" t="s">
        <v>24</v>
      </c>
      <c r="I179" s="71" t="s">
        <v>39</v>
      </c>
      <c r="J179" s="72">
        <v>-51660</v>
      </c>
      <c r="K179" s="73">
        <v>44232</v>
      </c>
      <c r="L179" s="73">
        <v>44232</v>
      </c>
      <c r="M179" s="73">
        <v>44253</v>
      </c>
      <c r="N179" s="71" t="s">
        <v>38</v>
      </c>
    </row>
    <row r="180" spans="1:14" ht="15">
      <c r="A180" s="71" t="s">
        <v>217</v>
      </c>
      <c r="B180" s="71" t="s">
        <v>52</v>
      </c>
      <c r="C180" s="71" t="s">
        <v>53</v>
      </c>
      <c r="D180" s="71" t="s">
        <v>389</v>
      </c>
      <c r="E180" s="71" t="s">
        <v>24</v>
      </c>
      <c r="F180" s="71" t="s">
        <v>390</v>
      </c>
      <c r="G180" s="71" t="s">
        <v>42</v>
      </c>
      <c r="H180" s="71" t="s">
        <v>24</v>
      </c>
      <c r="I180" s="71" t="s">
        <v>39</v>
      </c>
      <c r="J180" s="72">
        <v>-51660</v>
      </c>
      <c r="K180" s="73">
        <v>44355</v>
      </c>
      <c r="L180" s="73">
        <v>44355</v>
      </c>
      <c r="M180" s="73">
        <v>44376</v>
      </c>
      <c r="N180" s="71" t="s">
        <v>38</v>
      </c>
    </row>
    <row r="181" spans="1:14" ht="15">
      <c r="A181" s="71" t="s">
        <v>217</v>
      </c>
      <c r="B181" s="71" t="s">
        <v>52</v>
      </c>
      <c r="C181" s="71" t="s">
        <v>53</v>
      </c>
      <c r="D181" s="71" t="s">
        <v>389</v>
      </c>
      <c r="E181" s="71" t="s">
        <v>24</v>
      </c>
      <c r="F181" s="71" t="s">
        <v>390</v>
      </c>
      <c r="G181" s="71" t="s">
        <v>37</v>
      </c>
      <c r="H181" s="71" t="s">
        <v>24</v>
      </c>
      <c r="I181" s="71" t="s">
        <v>39</v>
      </c>
      <c r="J181" s="72">
        <v>-17220</v>
      </c>
      <c r="K181" s="73">
        <v>44355</v>
      </c>
      <c r="L181" s="73">
        <v>44355</v>
      </c>
      <c r="M181" s="73">
        <v>44376</v>
      </c>
      <c r="N181" s="71" t="s">
        <v>38</v>
      </c>
    </row>
    <row r="182" spans="1:14" ht="15">
      <c r="A182" s="71" t="s">
        <v>217</v>
      </c>
      <c r="B182" s="71" t="s">
        <v>52</v>
      </c>
      <c r="C182" s="71" t="s">
        <v>53</v>
      </c>
      <c r="D182" s="71" t="s">
        <v>389</v>
      </c>
      <c r="E182" s="71" t="s">
        <v>24</v>
      </c>
      <c r="F182" s="71" t="s">
        <v>390</v>
      </c>
      <c r="G182" s="71" t="s">
        <v>37</v>
      </c>
      <c r="H182" s="71" t="s">
        <v>24</v>
      </c>
      <c r="I182" s="71" t="s">
        <v>39</v>
      </c>
      <c r="J182" s="72">
        <v>-34440</v>
      </c>
      <c r="K182" s="73">
        <v>44496</v>
      </c>
      <c r="L182" s="73">
        <v>44496</v>
      </c>
      <c r="M182" s="73">
        <v>44498</v>
      </c>
      <c r="N182" s="71" t="s">
        <v>38</v>
      </c>
    </row>
    <row r="183" spans="1:14" ht="15">
      <c r="A183" s="71" t="s">
        <v>217</v>
      </c>
      <c r="B183" s="71" t="s">
        <v>220</v>
      </c>
      <c r="C183" s="71" t="s">
        <v>221</v>
      </c>
      <c r="D183" s="71" t="s">
        <v>588</v>
      </c>
      <c r="E183" s="71" t="s">
        <v>24</v>
      </c>
      <c r="F183" s="71" t="s">
        <v>591</v>
      </c>
      <c r="G183" s="71" t="s">
        <v>40</v>
      </c>
      <c r="H183" s="71" t="s">
        <v>24</v>
      </c>
      <c r="I183" s="71" t="s">
        <v>39</v>
      </c>
      <c r="J183" s="72">
        <v>-141000</v>
      </c>
      <c r="K183" s="73">
        <v>44581</v>
      </c>
      <c r="L183" s="73">
        <v>44581</v>
      </c>
      <c r="M183" s="73">
        <v>44581</v>
      </c>
      <c r="N183" s="71" t="s">
        <v>38</v>
      </c>
    </row>
    <row r="184" spans="1:14" ht="15">
      <c r="A184" s="71" t="s">
        <v>217</v>
      </c>
      <c r="B184" s="71" t="s">
        <v>58</v>
      </c>
      <c r="C184" s="71" t="s">
        <v>59</v>
      </c>
      <c r="D184" s="71" t="s">
        <v>476</v>
      </c>
      <c r="E184" s="71" t="s">
        <v>24</v>
      </c>
      <c r="F184" s="71" t="s">
        <v>550</v>
      </c>
      <c r="G184" s="71" t="s">
        <v>40</v>
      </c>
      <c r="H184" s="71" t="s">
        <v>24</v>
      </c>
      <c r="I184" s="71" t="s">
        <v>39</v>
      </c>
      <c r="J184" s="72">
        <v>-12000</v>
      </c>
      <c r="K184" s="73">
        <v>44484</v>
      </c>
      <c r="L184" s="73">
        <v>44484</v>
      </c>
      <c r="M184" s="73">
        <v>44494</v>
      </c>
      <c r="N184" s="71" t="s">
        <v>38</v>
      </c>
    </row>
    <row r="185" spans="1:14" ht="15">
      <c r="A185" s="71" t="s">
        <v>217</v>
      </c>
      <c r="B185" s="71" t="s">
        <v>305</v>
      </c>
      <c r="C185" s="71" t="s">
        <v>306</v>
      </c>
      <c r="D185" s="71" t="s">
        <v>548</v>
      </c>
      <c r="E185" s="71" t="s">
        <v>24</v>
      </c>
      <c r="F185" s="71" t="s">
        <v>592</v>
      </c>
      <c r="G185" s="71" t="s">
        <v>40</v>
      </c>
      <c r="H185" s="71" t="s">
        <v>24</v>
      </c>
      <c r="I185" s="71" t="s">
        <v>39</v>
      </c>
      <c r="J185" s="72">
        <v>-40000</v>
      </c>
      <c r="K185" s="73">
        <v>44614</v>
      </c>
      <c r="L185" s="73">
        <v>44614</v>
      </c>
      <c r="M185" s="73">
        <v>44620</v>
      </c>
      <c r="N185" s="71" t="s">
        <v>38</v>
      </c>
    </row>
    <row r="186" spans="1:14" ht="15">
      <c r="A186" s="71" t="s">
        <v>217</v>
      </c>
      <c r="B186" s="71" t="s">
        <v>288</v>
      </c>
      <c r="C186" s="71" t="s">
        <v>240</v>
      </c>
      <c r="D186" s="71" t="s">
        <v>387</v>
      </c>
      <c r="E186" s="71" t="s">
        <v>24</v>
      </c>
      <c r="F186" s="71" t="s">
        <v>461</v>
      </c>
      <c r="G186" s="71" t="s">
        <v>40</v>
      </c>
      <c r="H186" s="71" t="s">
        <v>24</v>
      </c>
      <c r="I186" s="71" t="s">
        <v>39</v>
      </c>
      <c r="J186" s="72">
        <v>-250000</v>
      </c>
      <c r="K186" s="73">
        <v>44288</v>
      </c>
      <c r="L186" s="73">
        <v>44288</v>
      </c>
      <c r="M186" s="73">
        <v>44298</v>
      </c>
      <c r="N186" s="71" t="s">
        <v>38</v>
      </c>
    </row>
    <row r="187" spans="1:14" ht="15">
      <c r="A187" s="71" t="s">
        <v>217</v>
      </c>
      <c r="B187" s="71" t="s">
        <v>288</v>
      </c>
      <c r="C187" s="71" t="s">
        <v>240</v>
      </c>
      <c r="D187" s="71" t="s">
        <v>387</v>
      </c>
      <c r="E187" s="71" t="s">
        <v>24</v>
      </c>
      <c r="F187" s="71" t="s">
        <v>461</v>
      </c>
      <c r="G187" s="71" t="s">
        <v>42</v>
      </c>
      <c r="H187" s="71" t="s">
        <v>24</v>
      </c>
      <c r="I187" s="71" t="s">
        <v>39</v>
      </c>
      <c r="J187" s="72">
        <v>-52978.15</v>
      </c>
      <c r="K187" s="73">
        <v>44288</v>
      </c>
      <c r="L187" s="73">
        <v>44288</v>
      </c>
      <c r="M187" s="73">
        <v>44298</v>
      </c>
      <c r="N187" s="71" t="s">
        <v>38</v>
      </c>
    </row>
    <row r="188" spans="1:14" ht="15">
      <c r="A188" s="71" t="s">
        <v>217</v>
      </c>
      <c r="B188" s="71" t="s">
        <v>288</v>
      </c>
      <c r="C188" s="71" t="s">
        <v>240</v>
      </c>
      <c r="D188" s="71" t="s">
        <v>387</v>
      </c>
      <c r="E188" s="71" t="s">
        <v>24</v>
      </c>
      <c r="F188" s="71" t="s">
        <v>461</v>
      </c>
      <c r="G188" s="71" t="s">
        <v>42</v>
      </c>
      <c r="H188" s="71" t="s">
        <v>24</v>
      </c>
      <c r="I188" s="71" t="s">
        <v>39</v>
      </c>
      <c r="J188" s="72">
        <v>-197021.85</v>
      </c>
      <c r="K188" s="73">
        <v>44316</v>
      </c>
      <c r="L188" s="73">
        <v>44316</v>
      </c>
      <c r="M188" s="73">
        <v>44316</v>
      </c>
      <c r="N188" s="71" t="s">
        <v>38</v>
      </c>
    </row>
    <row r="189" spans="1:14" ht="15">
      <c r="A189" s="71" t="s">
        <v>217</v>
      </c>
      <c r="B189" s="71" t="s">
        <v>288</v>
      </c>
      <c r="C189" s="71" t="s">
        <v>240</v>
      </c>
      <c r="D189" s="71" t="s">
        <v>387</v>
      </c>
      <c r="E189" s="71" t="s">
        <v>24</v>
      </c>
      <c r="F189" s="71" t="s">
        <v>461</v>
      </c>
      <c r="G189" s="71" t="s">
        <v>37</v>
      </c>
      <c r="H189" s="71" t="s">
        <v>24</v>
      </c>
      <c r="I189" s="71" t="s">
        <v>39</v>
      </c>
      <c r="J189" s="72">
        <v>-20243.900000000001</v>
      </c>
      <c r="K189" s="73">
        <v>44316</v>
      </c>
      <c r="L189" s="73">
        <v>44316</v>
      </c>
      <c r="M189" s="73">
        <v>44316</v>
      </c>
      <c r="N189" s="71" t="s">
        <v>38</v>
      </c>
    </row>
    <row r="190" spans="1:14" ht="15">
      <c r="A190" s="71" t="s">
        <v>217</v>
      </c>
      <c r="B190" s="71" t="s">
        <v>288</v>
      </c>
      <c r="C190" s="71" t="s">
        <v>240</v>
      </c>
      <c r="D190" s="71" t="s">
        <v>387</v>
      </c>
      <c r="E190" s="71" t="s">
        <v>24</v>
      </c>
      <c r="F190" s="71" t="s">
        <v>461</v>
      </c>
      <c r="G190" s="71" t="s">
        <v>37</v>
      </c>
      <c r="H190" s="71" t="s">
        <v>24</v>
      </c>
      <c r="I190" s="71" t="s">
        <v>39</v>
      </c>
      <c r="J190" s="72">
        <v>-184216.53</v>
      </c>
      <c r="K190" s="73">
        <v>44417</v>
      </c>
      <c r="L190" s="73">
        <v>44417</v>
      </c>
      <c r="M190" s="73">
        <v>44434</v>
      </c>
      <c r="N190" s="71" t="s">
        <v>38</v>
      </c>
    </row>
    <row r="191" spans="1:14" ht="15">
      <c r="A191" s="71" t="s">
        <v>217</v>
      </c>
      <c r="B191" s="71" t="s">
        <v>288</v>
      </c>
      <c r="C191" s="71" t="s">
        <v>240</v>
      </c>
      <c r="D191" s="71" t="s">
        <v>387</v>
      </c>
      <c r="E191" s="71" t="s">
        <v>24</v>
      </c>
      <c r="F191" s="71" t="s">
        <v>461</v>
      </c>
      <c r="G191" s="71" t="s">
        <v>37</v>
      </c>
      <c r="H191" s="71" t="s">
        <v>24</v>
      </c>
      <c r="I191" s="71" t="s">
        <v>39</v>
      </c>
      <c r="J191" s="72">
        <v>-45539.57</v>
      </c>
      <c r="K191" s="73">
        <v>44581</v>
      </c>
      <c r="L191" s="73">
        <v>44581</v>
      </c>
      <c r="M191" s="73">
        <v>44581</v>
      </c>
      <c r="N191" s="71" t="s">
        <v>38</v>
      </c>
    </row>
    <row r="192" spans="1:14" ht="15">
      <c r="A192" s="71" t="s">
        <v>217</v>
      </c>
      <c r="B192" s="71" t="s">
        <v>288</v>
      </c>
      <c r="C192" s="71" t="s">
        <v>240</v>
      </c>
      <c r="D192" s="71" t="s">
        <v>387</v>
      </c>
      <c r="E192" s="71" t="s">
        <v>24</v>
      </c>
      <c r="F192" s="71" t="s">
        <v>461</v>
      </c>
      <c r="G192" s="71" t="s">
        <v>47</v>
      </c>
      <c r="H192" s="71" t="s">
        <v>24</v>
      </c>
      <c r="I192" s="71" t="s">
        <v>39</v>
      </c>
      <c r="J192" s="72">
        <v>-250000</v>
      </c>
      <c r="K192" s="73">
        <v>44581</v>
      </c>
      <c r="L192" s="73">
        <v>44581</v>
      </c>
      <c r="M192" s="73">
        <v>44581</v>
      </c>
      <c r="N192" s="71" t="s">
        <v>38</v>
      </c>
    </row>
    <row r="193" spans="1:14" ht="15">
      <c r="A193" s="71" t="s">
        <v>217</v>
      </c>
      <c r="B193" s="71" t="s">
        <v>79</v>
      </c>
      <c r="C193" s="71" t="s">
        <v>80</v>
      </c>
      <c r="D193" s="71" t="s">
        <v>451</v>
      </c>
      <c r="E193" s="71" t="s">
        <v>24</v>
      </c>
      <c r="F193" s="71" t="s">
        <v>462</v>
      </c>
      <c r="G193" s="71" t="s">
        <v>40</v>
      </c>
      <c r="H193" s="71" t="s">
        <v>24</v>
      </c>
      <c r="I193" s="71" t="s">
        <v>39</v>
      </c>
      <c r="J193" s="72">
        <v>-50000</v>
      </c>
      <c r="K193" s="73">
        <v>44315</v>
      </c>
      <c r="L193" s="73">
        <v>44315</v>
      </c>
      <c r="M193" s="73">
        <v>44315</v>
      </c>
      <c r="N193" s="71" t="s">
        <v>38</v>
      </c>
    </row>
    <row r="194" spans="1:14" ht="15">
      <c r="A194" s="71" t="s">
        <v>217</v>
      </c>
      <c r="B194" s="71" t="s">
        <v>79</v>
      </c>
      <c r="C194" s="71" t="s">
        <v>80</v>
      </c>
      <c r="D194" s="71" t="s">
        <v>451</v>
      </c>
      <c r="E194" s="71" t="s">
        <v>24</v>
      </c>
      <c r="F194" s="71" t="s">
        <v>462</v>
      </c>
      <c r="G194" s="71" t="s">
        <v>42</v>
      </c>
      <c r="H194" s="71" t="s">
        <v>24</v>
      </c>
      <c r="I194" s="71" t="s">
        <v>39</v>
      </c>
      <c r="J194" s="72">
        <v>-50000</v>
      </c>
      <c r="K194" s="73">
        <v>44557</v>
      </c>
      <c r="L194" s="73">
        <v>44557</v>
      </c>
      <c r="M194" s="73">
        <v>44557</v>
      </c>
      <c r="N194" s="71" t="s">
        <v>38</v>
      </c>
    </row>
    <row r="195" spans="1:14" ht="15">
      <c r="A195" s="71" t="s">
        <v>217</v>
      </c>
      <c r="B195" s="71" t="s">
        <v>79</v>
      </c>
      <c r="C195" s="71" t="s">
        <v>80</v>
      </c>
      <c r="D195" s="71" t="s">
        <v>451</v>
      </c>
      <c r="E195" s="71" t="s">
        <v>24</v>
      </c>
      <c r="F195" s="71" t="s">
        <v>462</v>
      </c>
      <c r="G195" s="71" t="s">
        <v>37</v>
      </c>
      <c r="H195" s="71" t="s">
        <v>24</v>
      </c>
      <c r="I195" s="71" t="s">
        <v>39</v>
      </c>
      <c r="J195" s="72">
        <v>-10000</v>
      </c>
      <c r="K195" s="73">
        <v>44608</v>
      </c>
      <c r="L195" s="73">
        <v>44608</v>
      </c>
      <c r="M195" s="73">
        <v>44620</v>
      </c>
      <c r="N195" s="71" t="s">
        <v>38</v>
      </c>
    </row>
    <row r="196" spans="1:14" ht="15">
      <c r="A196" s="71" t="s">
        <v>217</v>
      </c>
      <c r="B196" s="71" t="s">
        <v>194</v>
      </c>
      <c r="C196" s="71" t="s">
        <v>195</v>
      </c>
      <c r="D196" s="71" t="s">
        <v>593</v>
      </c>
      <c r="E196" s="71" t="s">
        <v>24</v>
      </c>
      <c r="F196" s="71" t="s">
        <v>594</v>
      </c>
      <c r="G196" s="71" t="s">
        <v>40</v>
      </c>
      <c r="H196" s="71" t="s">
        <v>24</v>
      </c>
      <c r="I196" s="71" t="s">
        <v>39</v>
      </c>
      <c r="J196" s="72">
        <v>-445000</v>
      </c>
      <c r="K196" s="73">
        <v>44603</v>
      </c>
      <c r="L196" s="73">
        <v>44603</v>
      </c>
      <c r="M196" s="73">
        <v>44620</v>
      </c>
      <c r="N196" s="71" t="s">
        <v>38</v>
      </c>
    </row>
    <row r="197" spans="1:14" ht="15">
      <c r="A197" s="71" t="s">
        <v>217</v>
      </c>
      <c r="B197" s="71" t="s">
        <v>95</v>
      </c>
      <c r="C197" s="71" t="s">
        <v>96</v>
      </c>
      <c r="D197" s="71" t="s">
        <v>476</v>
      </c>
      <c r="E197" s="71" t="s">
        <v>24</v>
      </c>
      <c r="F197" s="71" t="s">
        <v>478</v>
      </c>
      <c r="G197" s="71" t="s">
        <v>42</v>
      </c>
      <c r="H197" s="71" t="s">
        <v>24</v>
      </c>
      <c r="I197" s="71" t="s">
        <v>39</v>
      </c>
      <c r="J197" s="72">
        <v>-90000</v>
      </c>
      <c r="K197" s="73">
        <v>44614</v>
      </c>
      <c r="L197" s="73">
        <v>44614</v>
      </c>
      <c r="M197" s="73">
        <v>44620</v>
      </c>
      <c r="N197" s="71" t="s">
        <v>38</v>
      </c>
    </row>
    <row r="198" spans="1:14" ht="15">
      <c r="A198" s="71" t="s">
        <v>217</v>
      </c>
      <c r="B198" s="71" t="s">
        <v>83</v>
      </c>
      <c r="C198" s="71" t="s">
        <v>84</v>
      </c>
      <c r="D198" s="71" t="s">
        <v>389</v>
      </c>
      <c r="E198" s="71" t="s">
        <v>24</v>
      </c>
      <c r="F198" s="71" t="s">
        <v>391</v>
      </c>
      <c r="G198" s="71" t="s">
        <v>40</v>
      </c>
      <c r="H198" s="71" t="s">
        <v>24</v>
      </c>
      <c r="I198" s="71" t="s">
        <v>39</v>
      </c>
      <c r="J198" s="72">
        <v>-19334</v>
      </c>
      <c r="K198" s="73">
        <v>44237</v>
      </c>
      <c r="L198" s="73">
        <v>44237</v>
      </c>
      <c r="M198" s="73">
        <v>44253</v>
      </c>
      <c r="N198" s="71" t="s">
        <v>38</v>
      </c>
    </row>
    <row r="199" spans="1:14" ht="15">
      <c r="A199" s="71" t="s">
        <v>217</v>
      </c>
      <c r="B199" s="71" t="s">
        <v>83</v>
      </c>
      <c r="C199" s="71" t="s">
        <v>84</v>
      </c>
      <c r="D199" s="71" t="s">
        <v>389</v>
      </c>
      <c r="E199" s="71" t="s">
        <v>24</v>
      </c>
      <c r="F199" s="71" t="s">
        <v>391</v>
      </c>
      <c r="G199" s="71" t="s">
        <v>42</v>
      </c>
      <c r="H199" s="71" t="s">
        <v>24</v>
      </c>
      <c r="I199" s="71" t="s">
        <v>39</v>
      </c>
      <c r="J199" s="72">
        <v>-1819.4</v>
      </c>
      <c r="K199" s="73">
        <v>44237</v>
      </c>
      <c r="L199" s="73">
        <v>44237</v>
      </c>
      <c r="M199" s="73">
        <v>44253</v>
      </c>
      <c r="N199" s="71" t="s">
        <v>38</v>
      </c>
    </row>
    <row r="200" spans="1:14" ht="15">
      <c r="A200" s="71" t="s">
        <v>217</v>
      </c>
      <c r="B200" s="71" t="s">
        <v>83</v>
      </c>
      <c r="C200" s="71" t="s">
        <v>84</v>
      </c>
      <c r="D200" s="71" t="s">
        <v>389</v>
      </c>
      <c r="E200" s="71" t="s">
        <v>24</v>
      </c>
      <c r="F200" s="71" t="s">
        <v>391</v>
      </c>
      <c r="G200" s="71" t="s">
        <v>42</v>
      </c>
      <c r="H200" s="71" t="s">
        <v>24</v>
      </c>
      <c r="I200" s="71" t="s">
        <v>39</v>
      </c>
      <c r="J200" s="72">
        <v>-17513.599999999999</v>
      </c>
      <c r="K200" s="73">
        <v>44355</v>
      </c>
      <c r="L200" s="73">
        <v>44355</v>
      </c>
      <c r="M200" s="73">
        <v>44376</v>
      </c>
      <c r="N200" s="71" t="s">
        <v>38</v>
      </c>
    </row>
    <row r="201" spans="1:14" ht="15">
      <c r="A201" s="71" t="s">
        <v>217</v>
      </c>
      <c r="B201" s="71" t="s">
        <v>83</v>
      </c>
      <c r="C201" s="71" t="s">
        <v>84</v>
      </c>
      <c r="D201" s="71" t="s">
        <v>389</v>
      </c>
      <c r="E201" s="71" t="s">
        <v>24</v>
      </c>
      <c r="F201" s="71" t="s">
        <v>391</v>
      </c>
      <c r="G201" s="71" t="s">
        <v>37</v>
      </c>
      <c r="H201" s="71" t="s">
        <v>24</v>
      </c>
      <c r="I201" s="71" t="s">
        <v>39</v>
      </c>
      <c r="J201" s="72">
        <v>-5836.17</v>
      </c>
      <c r="K201" s="73">
        <v>44355</v>
      </c>
      <c r="L201" s="73">
        <v>44355</v>
      </c>
      <c r="M201" s="73">
        <v>44376</v>
      </c>
      <c r="N201" s="71" t="s">
        <v>38</v>
      </c>
    </row>
    <row r="202" spans="1:14" ht="15">
      <c r="A202" s="71" t="s">
        <v>217</v>
      </c>
      <c r="B202" s="71" t="s">
        <v>83</v>
      </c>
      <c r="C202" s="71" t="s">
        <v>84</v>
      </c>
      <c r="D202" s="71" t="s">
        <v>389</v>
      </c>
      <c r="E202" s="71" t="s">
        <v>24</v>
      </c>
      <c r="F202" s="71" t="s">
        <v>391</v>
      </c>
      <c r="G202" s="71" t="s">
        <v>37</v>
      </c>
      <c r="H202" s="71" t="s">
        <v>24</v>
      </c>
      <c r="I202" s="71" t="s">
        <v>39</v>
      </c>
      <c r="J202" s="72">
        <v>-13496.83</v>
      </c>
      <c r="K202" s="73">
        <v>44496</v>
      </c>
      <c r="L202" s="73">
        <v>44496</v>
      </c>
      <c r="M202" s="73">
        <v>44498</v>
      </c>
      <c r="N202" s="71" t="s">
        <v>38</v>
      </c>
    </row>
    <row r="203" spans="1:14" ht="15">
      <c r="A203" s="71" t="s">
        <v>217</v>
      </c>
      <c r="B203" s="71" t="s">
        <v>266</v>
      </c>
      <c r="C203" s="71" t="s">
        <v>267</v>
      </c>
      <c r="D203" s="71" t="s">
        <v>422</v>
      </c>
      <c r="E203" s="71" t="s">
        <v>24</v>
      </c>
      <c r="F203" s="71" t="s">
        <v>551</v>
      </c>
      <c r="G203" s="71" t="s">
        <v>40</v>
      </c>
      <c r="H203" s="71" t="s">
        <v>24</v>
      </c>
      <c r="I203" s="71" t="s">
        <v>39</v>
      </c>
      <c r="J203" s="72">
        <v>-281319.90999999997</v>
      </c>
      <c r="K203" s="73">
        <v>44550</v>
      </c>
      <c r="L203" s="73">
        <v>44550</v>
      </c>
      <c r="M203" s="73">
        <v>44557</v>
      </c>
      <c r="N203" s="71" t="s">
        <v>38</v>
      </c>
    </row>
    <row r="204" spans="1:14" ht="15">
      <c r="A204" s="71" t="s">
        <v>217</v>
      </c>
      <c r="B204" s="71" t="s">
        <v>241</v>
      </c>
      <c r="C204" s="71" t="s">
        <v>242</v>
      </c>
      <c r="D204" s="71" t="s">
        <v>588</v>
      </c>
      <c r="E204" s="71" t="s">
        <v>24</v>
      </c>
      <c r="F204" s="71" t="s">
        <v>595</v>
      </c>
      <c r="G204" s="71" t="s">
        <v>40</v>
      </c>
      <c r="H204" s="71" t="s">
        <v>24</v>
      </c>
      <c r="I204" s="71" t="s">
        <v>39</v>
      </c>
      <c r="J204" s="72">
        <v>-158000</v>
      </c>
      <c r="K204" s="73">
        <v>44581</v>
      </c>
      <c r="L204" s="73">
        <v>44581</v>
      </c>
      <c r="M204" s="73">
        <v>44581</v>
      </c>
      <c r="N204" s="71" t="s">
        <v>38</v>
      </c>
    </row>
    <row r="205" spans="1:14" ht="15">
      <c r="A205" s="71" t="s">
        <v>217</v>
      </c>
      <c r="B205" s="71" t="s">
        <v>85</v>
      </c>
      <c r="C205" s="71" t="s">
        <v>86</v>
      </c>
      <c r="D205" s="71" t="s">
        <v>422</v>
      </c>
      <c r="E205" s="71" t="s">
        <v>24</v>
      </c>
      <c r="F205" s="71" t="s">
        <v>463</v>
      </c>
      <c r="G205" s="71" t="s">
        <v>40</v>
      </c>
      <c r="H205" s="71" t="s">
        <v>24</v>
      </c>
      <c r="I205" s="71" t="s">
        <v>39</v>
      </c>
      <c r="J205" s="72">
        <v>-36000</v>
      </c>
      <c r="K205" s="73">
        <v>44288</v>
      </c>
      <c r="L205" s="73">
        <v>44288</v>
      </c>
      <c r="M205" s="73">
        <v>44298</v>
      </c>
      <c r="N205" s="71" t="s">
        <v>38</v>
      </c>
    </row>
    <row r="206" spans="1:14" ht="15">
      <c r="A206" s="71" t="s">
        <v>217</v>
      </c>
      <c r="B206" s="71" t="s">
        <v>85</v>
      </c>
      <c r="C206" s="71" t="s">
        <v>86</v>
      </c>
      <c r="D206" s="71" t="s">
        <v>422</v>
      </c>
      <c r="E206" s="71" t="s">
        <v>24</v>
      </c>
      <c r="F206" s="71" t="s">
        <v>463</v>
      </c>
      <c r="G206" s="71" t="s">
        <v>42</v>
      </c>
      <c r="H206" s="71" t="s">
        <v>24</v>
      </c>
      <c r="I206" s="71" t="s">
        <v>39</v>
      </c>
      <c r="J206" s="72">
        <v>-11220.22</v>
      </c>
      <c r="K206" s="73">
        <v>44288</v>
      </c>
      <c r="L206" s="73">
        <v>44288</v>
      </c>
      <c r="M206" s="73">
        <v>44298</v>
      </c>
      <c r="N206" s="71" t="s">
        <v>38</v>
      </c>
    </row>
    <row r="207" spans="1:14" ht="15">
      <c r="A207" s="71" t="s">
        <v>217</v>
      </c>
      <c r="B207" s="71" t="s">
        <v>85</v>
      </c>
      <c r="C207" s="71" t="s">
        <v>86</v>
      </c>
      <c r="D207" s="71" t="s">
        <v>422</v>
      </c>
      <c r="E207" s="71" t="s">
        <v>24</v>
      </c>
      <c r="F207" s="71" t="s">
        <v>463</v>
      </c>
      <c r="G207" s="71" t="s">
        <v>42</v>
      </c>
      <c r="H207" s="71" t="s">
        <v>24</v>
      </c>
      <c r="I207" s="71" t="s">
        <v>39</v>
      </c>
      <c r="J207" s="72">
        <v>-24779.78</v>
      </c>
      <c r="K207" s="73">
        <v>44363</v>
      </c>
      <c r="L207" s="73">
        <v>44363</v>
      </c>
      <c r="M207" s="73">
        <v>44376</v>
      </c>
      <c r="N207" s="71" t="s">
        <v>38</v>
      </c>
    </row>
    <row r="208" spans="1:14" ht="15">
      <c r="A208" s="71" t="s">
        <v>217</v>
      </c>
      <c r="B208" s="71" t="s">
        <v>85</v>
      </c>
      <c r="C208" s="71" t="s">
        <v>86</v>
      </c>
      <c r="D208" s="71" t="s">
        <v>422</v>
      </c>
      <c r="E208" s="71" t="s">
        <v>24</v>
      </c>
      <c r="F208" s="71" t="s">
        <v>463</v>
      </c>
      <c r="G208" s="71" t="s">
        <v>37</v>
      </c>
      <c r="H208" s="71" t="s">
        <v>24</v>
      </c>
      <c r="I208" s="71" t="s">
        <v>39</v>
      </c>
      <c r="J208" s="72">
        <v>-22158.84</v>
      </c>
      <c r="K208" s="73">
        <v>44363</v>
      </c>
      <c r="L208" s="73">
        <v>44363</v>
      </c>
      <c r="M208" s="73">
        <v>44376</v>
      </c>
      <c r="N208" s="71" t="s">
        <v>38</v>
      </c>
    </row>
    <row r="209" spans="1:14" ht="15">
      <c r="A209" s="71" t="s">
        <v>217</v>
      </c>
      <c r="B209" s="71" t="s">
        <v>85</v>
      </c>
      <c r="C209" s="71" t="s">
        <v>86</v>
      </c>
      <c r="D209" s="71" t="s">
        <v>422</v>
      </c>
      <c r="E209" s="71" t="s">
        <v>24</v>
      </c>
      <c r="F209" s="71" t="s">
        <v>463</v>
      </c>
      <c r="G209" s="71" t="s">
        <v>37</v>
      </c>
      <c r="H209" s="71" t="s">
        <v>24</v>
      </c>
      <c r="I209" s="71" t="s">
        <v>39</v>
      </c>
      <c r="J209" s="72">
        <v>-13841.16</v>
      </c>
      <c r="K209" s="73">
        <v>44496</v>
      </c>
      <c r="L209" s="73">
        <v>44496</v>
      </c>
      <c r="M209" s="73">
        <v>44498</v>
      </c>
      <c r="N209" s="71" t="s">
        <v>38</v>
      </c>
    </row>
    <row r="210" spans="1:14" ht="15">
      <c r="A210" s="71" t="s">
        <v>217</v>
      </c>
      <c r="B210" s="71" t="s">
        <v>85</v>
      </c>
      <c r="C210" s="71" t="s">
        <v>86</v>
      </c>
      <c r="D210" s="71" t="s">
        <v>389</v>
      </c>
      <c r="E210" s="71" t="s">
        <v>24</v>
      </c>
      <c r="F210" s="71" t="s">
        <v>464</v>
      </c>
      <c r="G210" s="71" t="s">
        <v>40</v>
      </c>
      <c r="H210" s="71" t="s">
        <v>24</v>
      </c>
      <c r="I210" s="71" t="s">
        <v>39</v>
      </c>
      <c r="J210" s="72">
        <v>-145382</v>
      </c>
      <c r="K210" s="73">
        <v>44288</v>
      </c>
      <c r="L210" s="73">
        <v>44288</v>
      </c>
      <c r="M210" s="73">
        <v>44298</v>
      </c>
      <c r="N210" s="71" t="s">
        <v>38</v>
      </c>
    </row>
    <row r="211" spans="1:14" ht="15">
      <c r="A211" s="71" t="s">
        <v>217</v>
      </c>
      <c r="B211" s="71" t="s">
        <v>85</v>
      </c>
      <c r="C211" s="71" t="s">
        <v>86</v>
      </c>
      <c r="D211" s="71" t="s">
        <v>389</v>
      </c>
      <c r="E211" s="71" t="s">
        <v>24</v>
      </c>
      <c r="F211" s="71" t="s">
        <v>464</v>
      </c>
      <c r="G211" s="71" t="s">
        <v>42</v>
      </c>
      <c r="H211" s="71" t="s">
        <v>24</v>
      </c>
      <c r="I211" s="71" t="s">
        <v>39</v>
      </c>
      <c r="J211" s="72">
        <v>-45342.5</v>
      </c>
      <c r="K211" s="73">
        <v>44288</v>
      </c>
      <c r="L211" s="73">
        <v>44288</v>
      </c>
      <c r="M211" s="73">
        <v>44298</v>
      </c>
      <c r="N211" s="71" t="s">
        <v>38</v>
      </c>
    </row>
    <row r="212" spans="1:14" ht="15">
      <c r="A212" s="71" t="s">
        <v>217</v>
      </c>
      <c r="B212" s="71" t="s">
        <v>85</v>
      </c>
      <c r="C212" s="71" t="s">
        <v>86</v>
      </c>
      <c r="D212" s="71" t="s">
        <v>389</v>
      </c>
      <c r="E212" s="71" t="s">
        <v>24</v>
      </c>
      <c r="F212" s="71" t="s">
        <v>464</v>
      </c>
      <c r="G212" s="71" t="s">
        <v>42</v>
      </c>
      <c r="H212" s="71" t="s">
        <v>24</v>
      </c>
      <c r="I212" s="71" t="s">
        <v>39</v>
      </c>
      <c r="J212" s="72">
        <v>-100039.5</v>
      </c>
      <c r="K212" s="73">
        <v>44363</v>
      </c>
      <c r="L212" s="73">
        <v>44363</v>
      </c>
      <c r="M212" s="73">
        <v>44376</v>
      </c>
      <c r="N212" s="71" t="s">
        <v>38</v>
      </c>
    </row>
    <row r="213" spans="1:14" ht="15">
      <c r="A213" s="71" t="s">
        <v>217</v>
      </c>
      <c r="B213" s="71" t="s">
        <v>85</v>
      </c>
      <c r="C213" s="71" t="s">
        <v>86</v>
      </c>
      <c r="D213" s="71" t="s">
        <v>389</v>
      </c>
      <c r="E213" s="71" t="s">
        <v>24</v>
      </c>
      <c r="F213" s="71" t="s">
        <v>464</v>
      </c>
      <c r="G213" s="71" t="s">
        <v>37</v>
      </c>
      <c r="H213" s="71" t="s">
        <v>24</v>
      </c>
      <c r="I213" s="71" t="s">
        <v>39</v>
      </c>
      <c r="J213" s="72">
        <v>-89547.6</v>
      </c>
      <c r="K213" s="73">
        <v>44363</v>
      </c>
      <c r="L213" s="73">
        <v>44363</v>
      </c>
      <c r="M213" s="73">
        <v>44376</v>
      </c>
      <c r="N213" s="71" t="s">
        <v>38</v>
      </c>
    </row>
    <row r="214" spans="1:14" ht="15">
      <c r="A214" s="71" t="s">
        <v>217</v>
      </c>
      <c r="B214" s="71" t="s">
        <v>85</v>
      </c>
      <c r="C214" s="71" t="s">
        <v>86</v>
      </c>
      <c r="D214" s="71" t="s">
        <v>389</v>
      </c>
      <c r="E214" s="71" t="s">
        <v>24</v>
      </c>
      <c r="F214" s="71" t="s">
        <v>464</v>
      </c>
      <c r="G214" s="71" t="s">
        <v>37</v>
      </c>
      <c r="H214" s="71" t="s">
        <v>24</v>
      </c>
      <c r="I214" s="71" t="s">
        <v>39</v>
      </c>
      <c r="J214" s="72">
        <v>-55834.400000000001</v>
      </c>
      <c r="K214" s="73">
        <v>44496</v>
      </c>
      <c r="L214" s="73">
        <v>44496</v>
      </c>
      <c r="M214" s="73">
        <v>44498</v>
      </c>
      <c r="N214" s="71" t="s">
        <v>38</v>
      </c>
    </row>
    <row r="215" spans="1:14" ht="15">
      <c r="A215" s="71" t="s">
        <v>217</v>
      </c>
      <c r="B215" s="71" t="s">
        <v>85</v>
      </c>
      <c r="C215" s="71" t="s">
        <v>86</v>
      </c>
      <c r="D215" s="71" t="s">
        <v>419</v>
      </c>
      <c r="E215" s="71" t="s">
        <v>24</v>
      </c>
      <c r="F215" s="71" t="s">
        <v>465</v>
      </c>
      <c r="G215" s="71" t="s">
        <v>40</v>
      </c>
      <c r="H215" s="71" t="s">
        <v>24</v>
      </c>
      <c r="I215" s="71" t="s">
        <v>39</v>
      </c>
      <c r="J215" s="72">
        <v>-45285</v>
      </c>
      <c r="K215" s="73">
        <v>44288</v>
      </c>
      <c r="L215" s="73">
        <v>44288</v>
      </c>
      <c r="M215" s="73">
        <v>44298</v>
      </c>
      <c r="N215" s="71" t="s">
        <v>38</v>
      </c>
    </row>
    <row r="216" spans="1:14" ht="15">
      <c r="A216" s="71" t="s">
        <v>217</v>
      </c>
      <c r="B216" s="71" t="s">
        <v>85</v>
      </c>
      <c r="C216" s="71" t="s">
        <v>86</v>
      </c>
      <c r="D216" s="71" t="s">
        <v>419</v>
      </c>
      <c r="E216" s="71" t="s">
        <v>24</v>
      </c>
      <c r="F216" s="71" t="s">
        <v>465</v>
      </c>
      <c r="G216" s="71" t="s">
        <v>42</v>
      </c>
      <c r="H216" s="71" t="s">
        <v>24</v>
      </c>
      <c r="I216" s="71" t="s">
        <v>39</v>
      </c>
      <c r="J216" s="72">
        <v>-14126.84</v>
      </c>
      <c r="K216" s="73">
        <v>44288</v>
      </c>
      <c r="L216" s="73">
        <v>44288</v>
      </c>
      <c r="M216" s="73">
        <v>44298</v>
      </c>
      <c r="N216" s="71" t="s">
        <v>38</v>
      </c>
    </row>
    <row r="217" spans="1:14" ht="15">
      <c r="A217" s="71" t="s">
        <v>217</v>
      </c>
      <c r="B217" s="71" t="s">
        <v>85</v>
      </c>
      <c r="C217" s="71" t="s">
        <v>86</v>
      </c>
      <c r="D217" s="71" t="s">
        <v>419</v>
      </c>
      <c r="E217" s="71" t="s">
        <v>24</v>
      </c>
      <c r="F217" s="71" t="s">
        <v>465</v>
      </c>
      <c r="G217" s="71" t="s">
        <v>42</v>
      </c>
      <c r="H217" s="71" t="s">
        <v>24</v>
      </c>
      <c r="I217" s="71" t="s">
        <v>39</v>
      </c>
      <c r="J217" s="72">
        <v>-31158.16</v>
      </c>
      <c r="K217" s="73">
        <v>44363</v>
      </c>
      <c r="L217" s="73">
        <v>44363</v>
      </c>
      <c r="M217" s="73">
        <v>44376</v>
      </c>
      <c r="N217" s="71" t="s">
        <v>38</v>
      </c>
    </row>
    <row r="218" spans="1:14" ht="15">
      <c r="A218" s="71" t="s">
        <v>217</v>
      </c>
      <c r="B218" s="71" t="s">
        <v>85</v>
      </c>
      <c r="C218" s="71" t="s">
        <v>86</v>
      </c>
      <c r="D218" s="71" t="s">
        <v>419</v>
      </c>
      <c r="E218" s="71" t="s">
        <v>24</v>
      </c>
      <c r="F218" s="71" t="s">
        <v>465</v>
      </c>
      <c r="G218" s="71" t="s">
        <v>37</v>
      </c>
      <c r="H218" s="71" t="s">
        <v>24</v>
      </c>
      <c r="I218" s="71" t="s">
        <v>39</v>
      </c>
      <c r="J218" s="72">
        <v>-27899.38</v>
      </c>
      <c r="K218" s="73">
        <v>44363</v>
      </c>
      <c r="L218" s="73">
        <v>44363</v>
      </c>
      <c r="M218" s="73">
        <v>44376</v>
      </c>
      <c r="N218" s="71" t="s">
        <v>38</v>
      </c>
    </row>
    <row r="219" spans="1:14" ht="15">
      <c r="A219" s="71" t="s">
        <v>217</v>
      </c>
      <c r="B219" s="71" t="s">
        <v>85</v>
      </c>
      <c r="C219" s="71" t="s">
        <v>86</v>
      </c>
      <c r="D219" s="71" t="s">
        <v>419</v>
      </c>
      <c r="E219" s="71" t="s">
        <v>24</v>
      </c>
      <c r="F219" s="71" t="s">
        <v>465</v>
      </c>
      <c r="G219" s="71" t="s">
        <v>37</v>
      </c>
      <c r="H219" s="71" t="s">
        <v>24</v>
      </c>
      <c r="I219" s="71" t="s">
        <v>39</v>
      </c>
      <c r="J219" s="72">
        <v>-17384.62</v>
      </c>
      <c r="K219" s="73">
        <v>44496</v>
      </c>
      <c r="L219" s="73">
        <v>44496</v>
      </c>
      <c r="M219" s="73">
        <v>44498</v>
      </c>
      <c r="N219" s="71" t="s">
        <v>38</v>
      </c>
    </row>
    <row r="220" spans="1:14" ht="15">
      <c r="A220" s="71" t="s">
        <v>217</v>
      </c>
      <c r="B220" s="71" t="s">
        <v>307</v>
      </c>
      <c r="C220" s="71" t="s">
        <v>308</v>
      </c>
      <c r="D220" s="71" t="s">
        <v>588</v>
      </c>
      <c r="E220" s="71" t="s">
        <v>24</v>
      </c>
      <c r="F220" s="71" t="s">
        <v>596</v>
      </c>
      <c r="G220" s="71" t="s">
        <v>40</v>
      </c>
      <c r="H220" s="71" t="s">
        <v>24</v>
      </c>
      <c r="I220" s="71" t="s">
        <v>39</v>
      </c>
      <c r="J220" s="72">
        <v>-165000</v>
      </c>
      <c r="K220" s="73">
        <v>44581</v>
      </c>
      <c r="L220" s="73">
        <v>44581</v>
      </c>
      <c r="M220" s="73">
        <v>44581</v>
      </c>
      <c r="N220" s="71" t="s">
        <v>38</v>
      </c>
    </row>
    <row r="221" spans="1:14" ht="15">
      <c r="A221" s="71" t="s">
        <v>217</v>
      </c>
      <c r="B221" s="71" t="s">
        <v>162</v>
      </c>
      <c r="C221" s="71" t="s">
        <v>163</v>
      </c>
      <c r="D221" s="71" t="s">
        <v>430</v>
      </c>
      <c r="E221" s="71" t="s">
        <v>24</v>
      </c>
      <c r="F221" s="71" t="s">
        <v>466</v>
      </c>
      <c r="G221" s="71" t="s">
        <v>40</v>
      </c>
      <c r="H221" s="71" t="s">
        <v>24</v>
      </c>
      <c r="I221" s="71" t="s">
        <v>39</v>
      </c>
      <c r="J221" s="72">
        <v>-92500</v>
      </c>
      <c r="K221" s="73">
        <v>44316</v>
      </c>
      <c r="L221" s="73">
        <v>44316</v>
      </c>
      <c r="M221" s="73">
        <v>44316</v>
      </c>
      <c r="N221" s="71" t="s">
        <v>38</v>
      </c>
    </row>
    <row r="222" spans="1:14" ht="15">
      <c r="A222" s="71" t="s">
        <v>217</v>
      </c>
      <c r="B222" s="71" t="s">
        <v>162</v>
      </c>
      <c r="C222" s="71" t="s">
        <v>163</v>
      </c>
      <c r="D222" s="71" t="s">
        <v>430</v>
      </c>
      <c r="E222" s="71" t="s">
        <v>24</v>
      </c>
      <c r="F222" s="71" t="s">
        <v>466</v>
      </c>
      <c r="G222" s="71" t="s">
        <v>42</v>
      </c>
      <c r="H222" s="71" t="s">
        <v>24</v>
      </c>
      <c r="I222" s="71" t="s">
        <v>39</v>
      </c>
      <c r="J222" s="72">
        <v>-92500</v>
      </c>
      <c r="K222" s="73">
        <v>44608</v>
      </c>
      <c r="L222" s="73">
        <v>44608</v>
      </c>
      <c r="M222" s="73">
        <v>44620</v>
      </c>
      <c r="N222" s="71" t="s">
        <v>38</v>
      </c>
    </row>
    <row r="223" spans="1:14" ht="15">
      <c r="A223" s="71" t="s">
        <v>217</v>
      </c>
      <c r="B223" s="71" t="s">
        <v>369</v>
      </c>
      <c r="C223" s="71" t="s">
        <v>370</v>
      </c>
      <c r="D223" s="71" t="s">
        <v>548</v>
      </c>
      <c r="E223" s="71" t="s">
        <v>24</v>
      </c>
      <c r="F223" s="71" t="s">
        <v>552</v>
      </c>
      <c r="G223" s="71" t="s">
        <v>40</v>
      </c>
      <c r="H223" s="71" t="s">
        <v>24</v>
      </c>
      <c r="I223" s="71" t="s">
        <v>39</v>
      </c>
      <c r="J223" s="72">
        <v>-66527</v>
      </c>
      <c r="K223" s="73">
        <v>44484</v>
      </c>
      <c r="L223" s="73">
        <v>44484</v>
      </c>
      <c r="M223" s="73">
        <v>44494</v>
      </c>
      <c r="N223" s="71" t="s">
        <v>38</v>
      </c>
    </row>
    <row r="224" spans="1:14" ht="15">
      <c r="A224" s="71" t="s">
        <v>216</v>
      </c>
      <c r="B224" s="71" t="s">
        <v>197</v>
      </c>
      <c r="C224" s="71" t="s">
        <v>198</v>
      </c>
      <c r="D224" s="71" t="s">
        <v>484</v>
      </c>
      <c r="E224" s="71" t="s">
        <v>24</v>
      </c>
      <c r="F224" s="71" t="s">
        <v>492</v>
      </c>
      <c r="G224" s="71" t="s">
        <v>40</v>
      </c>
      <c r="H224" s="71" t="s">
        <v>24</v>
      </c>
      <c r="I224" s="71" t="s">
        <v>39</v>
      </c>
      <c r="J224" s="72">
        <v>-100000</v>
      </c>
      <c r="K224" s="73">
        <v>44391</v>
      </c>
      <c r="L224" s="73">
        <v>44391</v>
      </c>
      <c r="M224" s="73">
        <v>44407</v>
      </c>
      <c r="N224" s="71" t="s">
        <v>38</v>
      </c>
    </row>
    <row r="225" spans="1:14" ht="15">
      <c r="A225" s="71" t="s">
        <v>216</v>
      </c>
      <c r="B225" s="71" t="s">
        <v>257</v>
      </c>
      <c r="C225" s="71" t="s">
        <v>258</v>
      </c>
      <c r="D225" s="71" t="s">
        <v>570</v>
      </c>
      <c r="E225" s="71" t="s">
        <v>24</v>
      </c>
      <c r="F225" s="71" t="s">
        <v>571</v>
      </c>
      <c r="G225" s="71" t="s">
        <v>283</v>
      </c>
      <c r="H225" s="71" t="s">
        <v>24</v>
      </c>
      <c r="I225" s="71" t="s">
        <v>39</v>
      </c>
      <c r="J225" s="72">
        <v>-60000</v>
      </c>
      <c r="K225" s="73">
        <v>44581</v>
      </c>
      <c r="L225" s="73">
        <v>44581</v>
      </c>
      <c r="M225" s="73">
        <v>44581</v>
      </c>
      <c r="N225" s="71" t="s">
        <v>38</v>
      </c>
    </row>
    <row r="226" spans="1:14" ht="15">
      <c r="A226" s="71" t="s">
        <v>216</v>
      </c>
      <c r="B226" s="71" t="s">
        <v>71</v>
      </c>
      <c r="C226" s="71" t="s">
        <v>72</v>
      </c>
      <c r="D226" s="71" t="s">
        <v>392</v>
      </c>
      <c r="E226" s="71" t="s">
        <v>24</v>
      </c>
      <c r="F226" s="71" t="s">
        <v>393</v>
      </c>
      <c r="G226" s="71" t="s">
        <v>40</v>
      </c>
      <c r="H226" s="71" t="s">
        <v>24</v>
      </c>
      <c r="I226" s="71" t="s">
        <v>39</v>
      </c>
      <c r="J226" s="72">
        <v>-195000</v>
      </c>
      <c r="K226" s="73">
        <v>44232</v>
      </c>
      <c r="L226" s="73">
        <v>44232</v>
      </c>
      <c r="M226" s="73">
        <v>44253</v>
      </c>
      <c r="N226" s="71" t="s">
        <v>38</v>
      </c>
    </row>
    <row r="227" spans="1:14" ht="15">
      <c r="A227" s="71" t="s">
        <v>216</v>
      </c>
      <c r="B227" s="71" t="s">
        <v>71</v>
      </c>
      <c r="C227" s="71" t="s">
        <v>72</v>
      </c>
      <c r="D227" s="71" t="s">
        <v>392</v>
      </c>
      <c r="E227" s="71" t="s">
        <v>24</v>
      </c>
      <c r="F227" s="71" t="s">
        <v>393</v>
      </c>
      <c r="G227" s="71" t="s">
        <v>42</v>
      </c>
      <c r="H227" s="71" t="s">
        <v>24</v>
      </c>
      <c r="I227" s="71" t="s">
        <v>39</v>
      </c>
      <c r="J227" s="72">
        <v>-1010.63</v>
      </c>
      <c r="K227" s="73">
        <v>44232</v>
      </c>
      <c r="L227" s="73">
        <v>44232</v>
      </c>
      <c r="M227" s="73">
        <v>44253</v>
      </c>
      <c r="N227" s="71" t="s">
        <v>38</v>
      </c>
    </row>
    <row r="228" spans="1:14" ht="15">
      <c r="A228" s="71" t="s">
        <v>216</v>
      </c>
      <c r="B228" s="71" t="s">
        <v>71</v>
      </c>
      <c r="C228" s="71" t="s">
        <v>72</v>
      </c>
      <c r="D228" s="71" t="s">
        <v>392</v>
      </c>
      <c r="E228" s="71" t="s">
        <v>24</v>
      </c>
      <c r="F228" s="71" t="s">
        <v>393</v>
      </c>
      <c r="G228" s="71" t="s">
        <v>42</v>
      </c>
      <c r="H228" s="71" t="s">
        <v>24</v>
      </c>
      <c r="I228" s="71" t="s">
        <v>39</v>
      </c>
      <c r="J228" s="72">
        <v>-193989.37</v>
      </c>
      <c r="K228" s="73">
        <v>44378</v>
      </c>
      <c r="L228" s="73">
        <v>44378</v>
      </c>
      <c r="M228" s="73">
        <v>44407</v>
      </c>
      <c r="N228" s="71" t="s">
        <v>38</v>
      </c>
    </row>
    <row r="229" spans="1:14" ht="15">
      <c r="A229" s="71" t="s">
        <v>216</v>
      </c>
      <c r="B229" s="71" t="s">
        <v>71</v>
      </c>
      <c r="C229" s="71" t="s">
        <v>72</v>
      </c>
      <c r="D229" s="71" t="s">
        <v>392</v>
      </c>
      <c r="E229" s="71" t="s">
        <v>24</v>
      </c>
      <c r="F229" s="71" t="s">
        <v>393</v>
      </c>
      <c r="G229" s="71" t="s">
        <v>37</v>
      </c>
      <c r="H229" s="71" t="s">
        <v>24</v>
      </c>
      <c r="I229" s="71" t="s">
        <v>39</v>
      </c>
      <c r="J229" s="72">
        <v>-2096.62</v>
      </c>
      <c r="K229" s="73">
        <v>44378</v>
      </c>
      <c r="L229" s="73">
        <v>44378</v>
      </c>
      <c r="M229" s="73">
        <v>44407</v>
      </c>
      <c r="N229" s="71" t="s">
        <v>38</v>
      </c>
    </row>
    <row r="230" spans="1:14" ht="15">
      <c r="A230" s="71" t="s">
        <v>216</v>
      </c>
      <c r="B230" s="71" t="s">
        <v>71</v>
      </c>
      <c r="C230" s="71" t="s">
        <v>72</v>
      </c>
      <c r="D230" s="71" t="s">
        <v>392</v>
      </c>
      <c r="E230" s="71" t="s">
        <v>24</v>
      </c>
      <c r="F230" s="71" t="s">
        <v>393</v>
      </c>
      <c r="G230" s="71" t="s">
        <v>37</v>
      </c>
      <c r="H230" s="71" t="s">
        <v>24</v>
      </c>
      <c r="I230" s="71" t="s">
        <v>39</v>
      </c>
      <c r="J230" s="72">
        <v>-192903.38</v>
      </c>
      <c r="K230" s="73">
        <v>44484</v>
      </c>
      <c r="L230" s="73">
        <v>44484</v>
      </c>
      <c r="M230" s="73">
        <v>44494</v>
      </c>
      <c r="N230" s="71" t="s">
        <v>38</v>
      </c>
    </row>
    <row r="231" spans="1:14" ht="15">
      <c r="A231" s="71" t="s">
        <v>216</v>
      </c>
      <c r="B231" s="71" t="s">
        <v>71</v>
      </c>
      <c r="C231" s="71" t="s">
        <v>72</v>
      </c>
      <c r="D231" s="71" t="s">
        <v>392</v>
      </c>
      <c r="E231" s="71" t="s">
        <v>24</v>
      </c>
      <c r="F231" s="71" t="s">
        <v>393</v>
      </c>
      <c r="G231" s="71" t="s">
        <v>47</v>
      </c>
      <c r="H231" s="71" t="s">
        <v>24</v>
      </c>
      <c r="I231" s="71" t="s">
        <v>39</v>
      </c>
      <c r="J231" s="72">
        <v>-3952.46</v>
      </c>
      <c r="K231" s="73">
        <v>44484</v>
      </c>
      <c r="L231" s="73">
        <v>44484</v>
      </c>
      <c r="M231" s="73">
        <v>44494</v>
      </c>
      <c r="N231" s="71" t="s">
        <v>38</v>
      </c>
    </row>
    <row r="232" spans="1:14" ht="15">
      <c r="A232" s="71" t="s">
        <v>216</v>
      </c>
      <c r="B232" s="71" t="s">
        <v>71</v>
      </c>
      <c r="C232" s="71" t="s">
        <v>72</v>
      </c>
      <c r="D232" s="71" t="s">
        <v>392</v>
      </c>
      <c r="E232" s="71" t="s">
        <v>24</v>
      </c>
      <c r="F232" s="71" t="s">
        <v>393</v>
      </c>
      <c r="G232" s="71" t="s">
        <v>47</v>
      </c>
      <c r="H232" s="71" t="s">
        <v>24</v>
      </c>
      <c r="I232" s="71" t="s">
        <v>39</v>
      </c>
      <c r="J232" s="72">
        <v>-111047.54</v>
      </c>
      <c r="K232" s="73">
        <v>44622</v>
      </c>
      <c r="L232" s="73">
        <v>44622</v>
      </c>
      <c r="M232" s="73">
        <v>44638</v>
      </c>
      <c r="N232" s="71" t="s">
        <v>38</v>
      </c>
    </row>
    <row r="233" spans="1:14" ht="15">
      <c r="A233" s="71" t="s">
        <v>216</v>
      </c>
      <c r="B233" s="71" t="s">
        <v>228</v>
      </c>
      <c r="C233" s="71" t="s">
        <v>229</v>
      </c>
      <c r="D233" s="71" t="s">
        <v>467</v>
      </c>
      <c r="E233" s="71" t="s">
        <v>24</v>
      </c>
      <c r="F233" s="71" t="s">
        <v>468</v>
      </c>
      <c r="G233" s="71" t="s">
        <v>40</v>
      </c>
      <c r="H233" s="71" t="s">
        <v>24</v>
      </c>
      <c r="I233" s="71" t="s">
        <v>39</v>
      </c>
      <c r="J233" s="72">
        <v>-113750</v>
      </c>
      <c r="K233" s="73">
        <v>44288</v>
      </c>
      <c r="L233" s="73">
        <v>44288</v>
      </c>
      <c r="M233" s="73">
        <v>44298</v>
      </c>
      <c r="N233" s="71" t="s">
        <v>38</v>
      </c>
    </row>
    <row r="234" spans="1:14" ht="15">
      <c r="A234" s="71" t="s">
        <v>216</v>
      </c>
      <c r="B234" s="71" t="s">
        <v>228</v>
      </c>
      <c r="C234" s="71" t="s">
        <v>229</v>
      </c>
      <c r="D234" s="71" t="s">
        <v>467</v>
      </c>
      <c r="E234" s="71" t="s">
        <v>24</v>
      </c>
      <c r="F234" s="71" t="s">
        <v>468</v>
      </c>
      <c r="G234" s="71" t="s">
        <v>42</v>
      </c>
      <c r="H234" s="71" t="s">
        <v>24</v>
      </c>
      <c r="I234" s="71" t="s">
        <v>39</v>
      </c>
      <c r="J234" s="72">
        <v>-93792.38</v>
      </c>
      <c r="K234" s="73">
        <v>44288</v>
      </c>
      <c r="L234" s="73">
        <v>44288</v>
      </c>
      <c r="M234" s="73">
        <v>44298</v>
      </c>
      <c r="N234" s="71" t="s">
        <v>38</v>
      </c>
    </row>
    <row r="235" spans="1:14" ht="15">
      <c r="A235" s="71" t="s">
        <v>216</v>
      </c>
      <c r="B235" s="71" t="s">
        <v>228</v>
      </c>
      <c r="C235" s="71" t="s">
        <v>229</v>
      </c>
      <c r="D235" s="71" t="s">
        <v>467</v>
      </c>
      <c r="E235" s="71" t="s">
        <v>24</v>
      </c>
      <c r="F235" s="71" t="s">
        <v>468</v>
      </c>
      <c r="G235" s="71" t="s">
        <v>42</v>
      </c>
      <c r="H235" s="71" t="s">
        <v>24</v>
      </c>
      <c r="I235" s="71" t="s">
        <v>39</v>
      </c>
      <c r="J235" s="72">
        <v>-19957.62</v>
      </c>
      <c r="K235" s="73">
        <v>44298</v>
      </c>
      <c r="L235" s="73">
        <v>44298</v>
      </c>
      <c r="M235" s="73">
        <v>44298</v>
      </c>
      <c r="N235" s="71" t="s">
        <v>38</v>
      </c>
    </row>
    <row r="236" spans="1:14" ht="15">
      <c r="A236" s="71" t="s">
        <v>216</v>
      </c>
      <c r="B236" s="71" t="s">
        <v>228</v>
      </c>
      <c r="C236" s="71" t="s">
        <v>229</v>
      </c>
      <c r="D236" s="71" t="s">
        <v>467</v>
      </c>
      <c r="E236" s="71" t="s">
        <v>24</v>
      </c>
      <c r="F236" s="71" t="s">
        <v>468</v>
      </c>
      <c r="G236" s="71" t="s">
        <v>37</v>
      </c>
      <c r="H236" s="71" t="s">
        <v>24</v>
      </c>
      <c r="I236" s="71" t="s">
        <v>39</v>
      </c>
      <c r="J236" s="72">
        <v>-113750</v>
      </c>
      <c r="K236" s="73">
        <v>44298</v>
      </c>
      <c r="L236" s="73">
        <v>44298</v>
      </c>
      <c r="M236" s="73">
        <v>44298</v>
      </c>
      <c r="N236" s="71" t="s">
        <v>38</v>
      </c>
    </row>
    <row r="237" spans="1:14" ht="15">
      <c r="A237" s="71" t="s">
        <v>216</v>
      </c>
      <c r="B237" s="71" t="s">
        <v>228</v>
      </c>
      <c r="C237" s="71" t="s">
        <v>229</v>
      </c>
      <c r="D237" s="71" t="s">
        <v>467</v>
      </c>
      <c r="E237" s="71" t="s">
        <v>24</v>
      </c>
      <c r="F237" s="71" t="s">
        <v>468</v>
      </c>
      <c r="G237" s="71" t="s">
        <v>47</v>
      </c>
      <c r="H237" s="71" t="s">
        <v>24</v>
      </c>
      <c r="I237" s="71" t="s">
        <v>39</v>
      </c>
      <c r="J237" s="72">
        <v>-64261.67</v>
      </c>
      <c r="K237" s="73">
        <v>44298</v>
      </c>
      <c r="L237" s="73">
        <v>44298</v>
      </c>
      <c r="M237" s="73">
        <v>44298</v>
      </c>
      <c r="N237" s="71" t="s">
        <v>38</v>
      </c>
    </row>
    <row r="238" spans="1:14" ht="15">
      <c r="A238" s="71" t="s">
        <v>216</v>
      </c>
      <c r="B238" s="71" t="s">
        <v>228</v>
      </c>
      <c r="C238" s="71" t="s">
        <v>229</v>
      </c>
      <c r="D238" s="71" t="s">
        <v>467</v>
      </c>
      <c r="E238" s="71" t="s">
        <v>24</v>
      </c>
      <c r="F238" s="71" t="s">
        <v>468</v>
      </c>
      <c r="G238" s="71" t="s">
        <v>47</v>
      </c>
      <c r="H238" s="71" t="s">
        <v>24</v>
      </c>
      <c r="I238" s="71" t="s">
        <v>39</v>
      </c>
      <c r="J238" s="72">
        <v>-49488.33</v>
      </c>
      <c r="K238" s="73">
        <v>44391</v>
      </c>
      <c r="L238" s="73">
        <v>44391</v>
      </c>
      <c r="M238" s="73">
        <v>44407</v>
      </c>
      <c r="N238" s="71" t="s">
        <v>38</v>
      </c>
    </row>
    <row r="239" spans="1:14" ht="15">
      <c r="A239" s="71" t="s">
        <v>216</v>
      </c>
      <c r="B239" s="71" t="s">
        <v>228</v>
      </c>
      <c r="C239" s="71" t="s">
        <v>229</v>
      </c>
      <c r="D239" s="71" t="s">
        <v>467</v>
      </c>
      <c r="E239" s="71" t="s">
        <v>24</v>
      </c>
      <c r="F239" s="71" t="s">
        <v>468</v>
      </c>
      <c r="G239" s="71" t="s">
        <v>26</v>
      </c>
      <c r="H239" s="71" t="s">
        <v>24</v>
      </c>
      <c r="I239" s="71" t="s">
        <v>39</v>
      </c>
      <c r="J239" s="72">
        <v>-298349.51</v>
      </c>
      <c r="K239" s="73">
        <v>44608</v>
      </c>
      <c r="L239" s="73">
        <v>44608</v>
      </c>
      <c r="M239" s="73">
        <v>44620</v>
      </c>
      <c r="N239" s="71" t="s">
        <v>38</v>
      </c>
    </row>
    <row r="240" spans="1:14" ht="15">
      <c r="A240" s="71" t="s">
        <v>216</v>
      </c>
      <c r="B240" s="71" t="s">
        <v>106</v>
      </c>
      <c r="C240" s="71" t="s">
        <v>107</v>
      </c>
      <c r="D240" s="71" t="s">
        <v>467</v>
      </c>
      <c r="E240" s="71" t="s">
        <v>24</v>
      </c>
      <c r="F240" s="71" t="s">
        <v>483</v>
      </c>
      <c r="G240" s="71" t="s">
        <v>40</v>
      </c>
      <c r="H240" s="71" t="s">
        <v>24</v>
      </c>
      <c r="I240" s="71" t="s">
        <v>39</v>
      </c>
      <c r="J240" s="72">
        <v>-100000</v>
      </c>
      <c r="K240" s="73">
        <v>44377</v>
      </c>
      <c r="L240" s="73">
        <v>44377</v>
      </c>
      <c r="M240" s="73">
        <v>44377</v>
      </c>
      <c r="N240" s="71" t="s">
        <v>38</v>
      </c>
    </row>
    <row r="241" spans="1:14" ht="15">
      <c r="A241" s="71" t="s">
        <v>216</v>
      </c>
      <c r="B241" s="71" t="s">
        <v>106</v>
      </c>
      <c r="C241" s="71" t="s">
        <v>107</v>
      </c>
      <c r="D241" s="71" t="s">
        <v>467</v>
      </c>
      <c r="E241" s="71" t="s">
        <v>24</v>
      </c>
      <c r="F241" s="71" t="s">
        <v>483</v>
      </c>
      <c r="G241" s="71" t="s">
        <v>42</v>
      </c>
      <c r="H241" s="71" t="s">
        <v>24</v>
      </c>
      <c r="I241" s="71" t="s">
        <v>39</v>
      </c>
      <c r="J241" s="72">
        <v>-39752.080000000002</v>
      </c>
      <c r="K241" s="73">
        <v>44377</v>
      </c>
      <c r="L241" s="73">
        <v>44377</v>
      </c>
      <c r="M241" s="73">
        <v>44377</v>
      </c>
      <c r="N241" s="71" t="s">
        <v>38</v>
      </c>
    </row>
    <row r="242" spans="1:14" ht="15">
      <c r="A242" s="71" t="s">
        <v>216</v>
      </c>
      <c r="B242" s="71" t="s">
        <v>106</v>
      </c>
      <c r="C242" s="71" t="s">
        <v>107</v>
      </c>
      <c r="D242" s="71" t="s">
        <v>467</v>
      </c>
      <c r="E242" s="71" t="s">
        <v>24</v>
      </c>
      <c r="F242" s="71" t="s">
        <v>483</v>
      </c>
      <c r="G242" s="71" t="s">
        <v>42</v>
      </c>
      <c r="H242" s="71" t="s">
        <v>24</v>
      </c>
      <c r="I242" s="71" t="s">
        <v>39</v>
      </c>
      <c r="J242" s="72">
        <v>-60247.92</v>
      </c>
      <c r="K242" s="73">
        <v>44378</v>
      </c>
      <c r="L242" s="73">
        <v>44378</v>
      </c>
      <c r="M242" s="73">
        <v>44378</v>
      </c>
      <c r="N242" s="71" t="s">
        <v>38</v>
      </c>
    </row>
    <row r="243" spans="1:14" ht="15">
      <c r="A243" s="71" t="s">
        <v>216</v>
      </c>
      <c r="B243" s="71" t="s">
        <v>106</v>
      </c>
      <c r="C243" s="71" t="s">
        <v>107</v>
      </c>
      <c r="D243" s="71" t="s">
        <v>467</v>
      </c>
      <c r="E243" s="71" t="s">
        <v>24</v>
      </c>
      <c r="F243" s="71" t="s">
        <v>483</v>
      </c>
      <c r="G243" s="71" t="s">
        <v>37</v>
      </c>
      <c r="H243" s="71" t="s">
        <v>24</v>
      </c>
      <c r="I243" s="71" t="s">
        <v>39</v>
      </c>
      <c r="J243" s="72">
        <v>-54182.05</v>
      </c>
      <c r="K243" s="73">
        <v>44378</v>
      </c>
      <c r="L243" s="73">
        <v>44378</v>
      </c>
      <c r="M243" s="73">
        <v>44378</v>
      </c>
      <c r="N243" s="71" t="s">
        <v>38</v>
      </c>
    </row>
    <row r="244" spans="1:14" ht="15">
      <c r="A244" s="71" t="s">
        <v>216</v>
      </c>
      <c r="B244" s="71" t="s">
        <v>106</v>
      </c>
      <c r="C244" s="71" t="s">
        <v>107</v>
      </c>
      <c r="D244" s="71" t="s">
        <v>467</v>
      </c>
      <c r="E244" s="71" t="s">
        <v>24</v>
      </c>
      <c r="F244" s="71" t="s">
        <v>483</v>
      </c>
      <c r="G244" s="71" t="s">
        <v>37</v>
      </c>
      <c r="H244" s="71" t="s">
        <v>24</v>
      </c>
      <c r="I244" s="71" t="s">
        <v>39</v>
      </c>
      <c r="J244" s="72">
        <v>-45817.95</v>
      </c>
      <c r="K244" s="73">
        <v>44386</v>
      </c>
      <c r="L244" s="73">
        <v>44386</v>
      </c>
      <c r="M244" s="73">
        <v>44407</v>
      </c>
      <c r="N244" s="71" t="s">
        <v>38</v>
      </c>
    </row>
    <row r="245" spans="1:14" ht="15">
      <c r="A245" s="71" t="s">
        <v>216</v>
      </c>
      <c r="B245" s="71" t="s">
        <v>106</v>
      </c>
      <c r="C245" s="71" t="s">
        <v>107</v>
      </c>
      <c r="D245" s="71" t="s">
        <v>467</v>
      </c>
      <c r="E245" s="71" t="s">
        <v>24</v>
      </c>
      <c r="F245" s="71" t="s">
        <v>483</v>
      </c>
      <c r="G245" s="71" t="s">
        <v>47</v>
      </c>
      <c r="H245" s="71" t="s">
        <v>24</v>
      </c>
      <c r="I245" s="71" t="s">
        <v>39</v>
      </c>
      <c r="J245" s="72">
        <v>-57192.58</v>
      </c>
      <c r="K245" s="73">
        <v>44386</v>
      </c>
      <c r="L245" s="73">
        <v>44386</v>
      </c>
      <c r="M245" s="73">
        <v>44407</v>
      </c>
      <c r="N245" s="71" t="s">
        <v>38</v>
      </c>
    </row>
    <row r="246" spans="1:14" ht="15">
      <c r="A246" s="71" t="s">
        <v>216</v>
      </c>
      <c r="B246" s="71" t="s">
        <v>106</v>
      </c>
      <c r="C246" s="71" t="s">
        <v>107</v>
      </c>
      <c r="D246" s="71" t="s">
        <v>467</v>
      </c>
      <c r="E246" s="71" t="s">
        <v>24</v>
      </c>
      <c r="F246" s="71" t="s">
        <v>483</v>
      </c>
      <c r="G246" s="71" t="s">
        <v>47</v>
      </c>
      <c r="H246" s="71" t="s">
        <v>24</v>
      </c>
      <c r="I246" s="71" t="s">
        <v>39</v>
      </c>
      <c r="J246" s="72">
        <v>-42807.42</v>
      </c>
      <c r="K246" s="73">
        <v>44557</v>
      </c>
      <c r="L246" s="73">
        <v>44557</v>
      </c>
      <c r="M246" s="73">
        <v>44557</v>
      </c>
      <c r="N246" s="71" t="s">
        <v>38</v>
      </c>
    </row>
    <row r="247" spans="1:14" ht="15">
      <c r="A247" s="71" t="s">
        <v>216</v>
      </c>
      <c r="B247" s="71" t="s">
        <v>106</v>
      </c>
      <c r="C247" s="71" t="s">
        <v>107</v>
      </c>
      <c r="D247" s="71" t="s">
        <v>467</v>
      </c>
      <c r="E247" s="71" t="s">
        <v>24</v>
      </c>
      <c r="F247" s="71" t="s">
        <v>483</v>
      </c>
      <c r="G247" s="71" t="s">
        <v>26</v>
      </c>
      <c r="H247" s="71" t="s">
        <v>24</v>
      </c>
      <c r="I247" s="71" t="s">
        <v>39</v>
      </c>
      <c r="J247" s="72">
        <v>-19804.79</v>
      </c>
      <c r="K247" s="73">
        <v>44608</v>
      </c>
      <c r="L247" s="73">
        <v>44608</v>
      </c>
      <c r="M247" s="73">
        <v>44620</v>
      </c>
      <c r="N247" s="71" t="s">
        <v>38</v>
      </c>
    </row>
    <row r="248" spans="1:14" ht="15">
      <c r="A248" s="71" t="s">
        <v>216</v>
      </c>
      <c r="B248" s="71" t="s">
        <v>43</v>
      </c>
      <c r="C248" s="71" t="s">
        <v>44</v>
      </c>
      <c r="D248" s="71" t="s">
        <v>392</v>
      </c>
      <c r="E248" s="71" t="s">
        <v>24</v>
      </c>
      <c r="F248" s="71" t="s">
        <v>493</v>
      </c>
      <c r="G248" s="71" t="s">
        <v>40</v>
      </c>
      <c r="H248" s="71" t="s">
        <v>24</v>
      </c>
      <c r="I248" s="71" t="s">
        <v>39</v>
      </c>
      <c r="J248" s="72">
        <v>-75000</v>
      </c>
      <c r="K248" s="73">
        <v>44378</v>
      </c>
      <c r="L248" s="73">
        <v>44378</v>
      </c>
      <c r="M248" s="73">
        <v>44407</v>
      </c>
      <c r="N248" s="71" t="s">
        <v>38</v>
      </c>
    </row>
    <row r="249" spans="1:14" ht="15">
      <c r="A249" s="71" t="s">
        <v>216</v>
      </c>
      <c r="B249" s="71" t="s">
        <v>43</v>
      </c>
      <c r="C249" s="71" t="s">
        <v>44</v>
      </c>
      <c r="D249" s="71" t="s">
        <v>392</v>
      </c>
      <c r="E249" s="71" t="s">
        <v>24</v>
      </c>
      <c r="F249" s="71" t="s">
        <v>493</v>
      </c>
      <c r="G249" s="71" t="s">
        <v>42</v>
      </c>
      <c r="H249" s="71" t="s">
        <v>24</v>
      </c>
      <c r="I249" s="71" t="s">
        <v>39</v>
      </c>
      <c r="J249" s="72">
        <v>-23080.83</v>
      </c>
      <c r="K249" s="73">
        <v>44378</v>
      </c>
      <c r="L249" s="73">
        <v>44378</v>
      </c>
      <c r="M249" s="73">
        <v>44407</v>
      </c>
      <c r="N249" s="71" t="s">
        <v>38</v>
      </c>
    </row>
    <row r="250" spans="1:14" ht="15">
      <c r="A250" s="71" t="s">
        <v>216</v>
      </c>
      <c r="B250" s="71" t="s">
        <v>43</v>
      </c>
      <c r="C250" s="71" t="s">
        <v>44</v>
      </c>
      <c r="D250" s="71" t="s">
        <v>392</v>
      </c>
      <c r="E250" s="71" t="s">
        <v>24</v>
      </c>
      <c r="F250" s="71" t="s">
        <v>493</v>
      </c>
      <c r="G250" s="71" t="s">
        <v>42</v>
      </c>
      <c r="H250" s="71" t="s">
        <v>24</v>
      </c>
      <c r="I250" s="71" t="s">
        <v>39</v>
      </c>
      <c r="J250" s="72">
        <v>-51919.17</v>
      </c>
      <c r="K250" s="73">
        <v>44391</v>
      </c>
      <c r="L250" s="73">
        <v>44391</v>
      </c>
      <c r="M250" s="73">
        <v>44407</v>
      </c>
      <c r="N250" s="71" t="s">
        <v>38</v>
      </c>
    </row>
    <row r="251" spans="1:14" ht="15">
      <c r="A251" s="71" t="s">
        <v>216</v>
      </c>
      <c r="B251" s="71" t="s">
        <v>43</v>
      </c>
      <c r="C251" s="71" t="s">
        <v>44</v>
      </c>
      <c r="D251" s="71" t="s">
        <v>392</v>
      </c>
      <c r="E251" s="71" t="s">
        <v>24</v>
      </c>
      <c r="F251" s="71" t="s">
        <v>493</v>
      </c>
      <c r="G251" s="71" t="s">
        <v>37</v>
      </c>
      <c r="H251" s="71" t="s">
        <v>24</v>
      </c>
      <c r="I251" s="71" t="s">
        <v>39</v>
      </c>
      <c r="J251" s="72">
        <v>-52157.33</v>
      </c>
      <c r="K251" s="73">
        <v>44391</v>
      </c>
      <c r="L251" s="73">
        <v>44391</v>
      </c>
      <c r="M251" s="73">
        <v>44407</v>
      </c>
      <c r="N251" s="71" t="s">
        <v>38</v>
      </c>
    </row>
    <row r="252" spans="1:14" ht="15">
      <c r="A252" s="71" t="s">
        <v>216</v>
      </c>
      <c r="B252" s="71" t="s">
        <v>43</v>
      </c>
      <c r="C252" s="71" t="s">
        <v>44</v>
      </c>
      <c r="D252" s="71" t="s">
        <v>392</v>
      </c>
      <c r="E252" s="71" t="s">
        <v>24</v>
      </c>
      <c r="F252" s="71" t="s">
        <v>493</v>
      </c>
      <c r="G252" s="71" t="s">
        <v>37</v>
      </c>
      <c r="H252" s="71" t="s">
        <v>24</v>
      </c>
      <c r="I252" s="71" t="s">
        <v>39</v>
      </c>
      <c r="J252" s="72">
        <v>-22842.67</v>
      </c>
      <c r="K252" s="73">
        <v>44480</v>
      </c>
      <c r="L252" s="73">
        <v>44480</v>
      </c>
      <c r="M252" s="73">
        <v>44494</v>
      </c>
      <c r="N252" s="71" t="s">
        <v>38</v>
      </c>
    </row>
    <row r="253" spans="1:14" ht="15">
      <c r="A253" s="71" t="s">
        <v>216</v>
      </c>
      <c r="B253" s="71" t="s">
        <v>43</v>
      </c>
      <c r="C253" s="71" t="s">
        <v>44</v>
      </c>
      <c r="D253" s="71" t="s">
        <v>392</v>
      </c>
      <c r="E253" s="71" t="s">
        <v>24</v>
      </c>
      <c r="F253" s="71" t="s">
        <v>493</v>
      </c>
      <c r="G253" s="71" t="s">
        <v>47</v>
      </c>
      <c r="H253" s="71" t="s">
        <v>24</v>
      </c>
      <c r="I253" s="71" t="s">
        <v>39</v>
      </c>
      <c r="J253" s="72">
        <v>-57934.93</v>
      </c>
      <c r="K253" s="73">
        <v>44480</v>
      </c>
      <c r="L253" s="73">
        <v>44480</v>
      </c>
      <c r="M253" s="73">
        <v>44494</v>
      </c>
      <c r="N253" s="71" t="s">
        <v>38</v>
      </c>
    </row>
    <row r="254" spans="1:14" ht="15">
      <c r="A254" s="71" t="s">
        <v>216</v>
      </c>
      <c r="B254" s="71" t="s">
        <v>43</v>
      </c>
      <c r="C254" s="71" t="s">
        <v>44</v>
      </c>
      <c r="D254" s="71" t="s">
        <v>392</v>
      </c>
      <c r="E254" s="71" t="s">
        <v>24</v>
      </c>
      <c r="F254" s="71" t="s">
        <v>493</v>
      </c>
      <c r="G254" s="71" t="s">
        <v>47</v>
      </c>
      <c r="H254" s="71" t="s">
        <v>24</v>
      </c>
      <c r="I254" s="71" t="s">
        <v>39</v>
      </c>
      <c r="J254" s="72">
        <v>-17065.07</v>
      </c>
      <c r="K254" s="73">
        <v>44623</v>
      </c>
      <c r="L254" s="73">
        <v>44623</v>
      </c>
      <c r="M254" s="73">
        <v>44638</v>
      </c>
      <c r="N254" s="71" t="s">
        <v>38</v>
      </c>
    </row>
    <row r="255" spans="1:14" ht="15">
      <c r="A255" s="71" t="s">
        <v>216</v>
      </c>
      <c r="B255" s="71" t="s">
        <v>289</v>
      </c>
      <c r="C255" s="71" t="s">
        <v>290</v>
      </c>
      <c r="D255" s="71" t="s">
        <v>494</v>
      </c>
      <c r="E255" s="71" t="s">
        <v>24</v>
      </c>
      <c r="F255" s="71" t="s">
        <v>495</v>
      </c>
      <c r="G255" s="71" t="s">
        <v>40</v>
      </c>
      <c r="H255" s="71" t="s">
        <v>24</v>
      </c>
      <c r="I255" s="71" t="s">
        <v>39</v>
      </c>
      <c r="J255" s="72">
        <v>-100040.75</v>
      </c>
      <c r="K255" s="73">
        <v>44411</v>
      </c>
      <c r="L255" s="73">
        <v>44411</v>
      </c>
      <c r="M255" s="73">
        <v>44434</v>
      </c>
      <c r="N255" s="71" t="s">
        <v>38</v>
      </c>
    </row>
    <row r="256" spans="1:14" ht="15">
      <c r="A256" s="71" t="s">
        <v>216</v>
      </c>
      <c r="B256" s="71" t="s">
        <v>289</v>
      </c>
      <c r="C256" s="71" t="s">
        <v>290</v>
      </c>
      <c r="D256" s="71" t="s">
        <v>494</v>
      </c>
      <c r="E256" s="71" t="s">
        <v>24</v>
      </c>
      <c r="F256" s="71" t="s">
        <v>495</v>
      </c>
      <c r="G256" s="71" t="s">
        <v>42</v>
      </c>
      <c r="H256" s="71" t="s">
        <v>24</v>
      </c>
      <c r="I256" s="71" t="s">
        <v>39</v>
      </c>
      <c r="J256" s="72">
        <v>-100040.75</v>
      </c>
      <c r="K256" s="73">
        <v>44426</v>
      </c>
      <c r="L256" s="73">
        <v>44426</v>
      </c>
      <c r="M256" s="73">
        <v>44434</v>
      </c>
      <c r="N256" s="71" t="s">
        <v>38</v>
      </c>
    </row>
    <row r="257" spans="1:14" ht="15">
      <c r="A257" s="71" t="s">
        <v>216</v>
      </c>
      <c r="B257" s="71" t="s">
        <v>289</v>
      </c>
      <c r="C257" s="71" t="s">
        <v>290</v>
      </c>
      <c r="D257" s="71" t="s">
        <v>494</v>
      </c>
      <c r="E257" s="71" t="s">
        <v>24</v>
      </c>
      <c r="F257" s="71" t="s">
        <v>495</v>
      </c>
      <c r="G257" s="71" t="s">
        <v>37</v>
      </c>
      <c r="H257" s="71" t="s">
        <v>24</v>
      </c>
      <c r="I257" s="71" t="s">
        <v>39</v>
      </c>
      <c r="J257" s="72">
        <v>-100040.75</v>
      </c>
      <c r="K257" s="73">
        <v>44426</v>
      </c>
      <c r="L257" s="73">
        <v>44426</v>
      </c>
      <c r="M257" s="73">
        <v>44434</v>
      </c>
      <c r="N257" s="71" t="s">
        <v>38</v>
      </c>
    </row>
    <row r="258" spans="1:14" ht="15">
      <c r="A258" s="71" t="s">
        <v>216</v>
      </c>
      <c r="B258" s="71" t="s">
        <v>289</v>
      </c>
      <c r="C258" s="71" t="s">
        <v>290</v>
      </c>
      <c r="D258" s="71" t="s">
        <v>494</v>
      </c>
      <c r="E258" s="71" t="s">
        <v>24</v>
      </c>
      <c r="F258" s="71" t="s">
        <v>495</v>
      </c>
      <c r="G258" s="71" t="s">
        <v>47</v>
      </c>
      <c r="H258" s="71" t="s">
        <v>24</v>
      </c>
      <c r="I258" s="71" t="s">
        <v>39</v>
      </c>
      <c r="J258" s="72">
        <v>-100040.75</v>
      </c>
      <c r="K258" s="73">
        <v>44581</v>
      </c>
      <c r="L258" s="73">
        <v>44581</v>
      </c>
      <c r="M258" s="73">
        <v>44581</v>
      </c>
      <c r="N258" s="71" t="s">
        <v>38</v>
      </c>
    </row>
    <row r="259" spans="1:14" ht="15">
      <c r="A259" s="71" t="s">
        <v>216</v>
      </c>
      <c r="B259" s="71" t="s">
        <v>286</v>
      </c>
      <c r="C259" s="71" t="s">
        <v>287</v>
      </c>
      <c r="D259" s="71" t="s">
        <v>484</v>
      </c>
      <c r="E259" s="71" t="s">
        <v>24</v>
      </c>
      <c r="F259" s="71" t="s">
        <v>496</v>
      </c>
      <c r="G259" s="71" t="s">
        <v>40</v>
      </c>
      <c r="H259" s="71" t="s">
        <v>24</v>
      </c>
      <c r="I259" s="71" t="s">
        <v>39</v>
      </c>
      <c r="J259" s="72">
        <v>-500000</v>
      </c>
      <c r="K259" s="73">
        <v>44420</v>
      </c>
      <c r="L259" s="73">
        <v>44420</v>
      </c>
      <c r="M259" s="73">
        <v>44434</v>
      </c>
      <c r="N259" s="71" t="s">
        <v>38</v>
      </c>
    </row>
    <row r="260" spans="1:14" ht="15">
      <c r="A260" s="71" t="s">
        <v>216</v>
      </c>
      <c r="B260" s="71" t="s">
        <v>81</v>
      </c>
      <c r="C260" s="71" t="s">
        <v>82</v>
      </c>
      <c r="D260" s="71" t="s">
        <v>392</v>
      </c>
      <c r="E260" s="71" t="s">
        <v>24</v>
      </c>
      <c r="F260" s="71" t="s">
        <v>394</v>
      </c>
      <c r="G260" s="71" t="s">
        <v>40</v>
      </c>
      <c r="H260" s="71" t="s">
        <v>24</v>
      </c>
      <c r="I260" s="71" t="s">
        <v>39</v>
      </c>
      <c r="J260" s="72">
        <v>-33000</v>
      </c>
      <c r="K260" s="73">
        <v>44232</v>
      </c>
      <c r="L260" s="73">
        <v>44232</v>
      </c>
      <c r="M260" s="73">
        <v>44253</v>
      </c>
      <c r="N260" s="71" t="s">
        <v>38</v>
      </c>
    </row>
    <row r="261" spans="1:14" ht="15">
      <c r="A261" s="71" t="s">
        <v>216</v>
      </c>
      <c r="B261" s="71" t="s">
        <v>81</v>
      </c>
      <c r="C261" s="71" t="s">
        <v>82</v>
      </c>
      <c r="D261" s="71" t="s">
        <v>392</v>
      </c>
      <c r="E261" s="71" t="s">
        <v>24</v>
      </c>
      <c r="F261" s="71" t="s">
        <v>394</v>
      </c>
      <c r="G261" s="71" t="s">
        <v>42</v>
      </c>
      <c r="H261" s="71" t="s">
        <v>24</v>
      </c>
      <c r="I261" s="71" t="s">
        <v>39</v>
      </c>
      <c r="J261" s="72">
        <v>-3623.28</v>
      </c>
      <c r="K261" s="73">
        <v>44232</v>
      </c>
      <c r="L261" s="73">
        <v>44232</v>
      </c>
      <c r="M261" s="73">
        <v>44253</v>
      </c>
      <c r="N261" s="71" t="s">
        <v>38</v>
      </c>
    </row>
    <row r="262" spans="1:14" ht="15">
      <c r="A262" s="71" t="s">
        <v>216</v>
      </c>
      <c r="B262" s="71" t="s">
        <v>81</v>
      </c>
      <c r="C262" s="71" t="s">
        <v>82</v>
      </c>
      <c r="D262" s="71" t="s">
        <v>392</v>
      </c>
      <c r="E262" s="71" t="s">
        <v>24</v>
      </c>
      <c r="F262" s="71" t="s">
        <v>394</v>
      </c>
      <c r="G262" s="71" t="s">
        <v>42</v>
      </c>
      <c r="H262" s="71" t="s">
        <v>24</v>
      </c>
      <c r="I262" s="71" t="s">
        <v>39</v>
      </c>
      <c r="J262" s="72">
        <v>-23293.8</v>
      </c>
      <c r="K262" s="73">
        <v>44378</v>
      </c>
      <c r="L262" s="73">
        <v>44378</v>
      </c>
      <c r="M262" s="73">
        <v>44407</v>
      </c>
      <c r="N262" s="71" t="s">
        <v>38</v>
      </c>
    </row>
    <row r="263" spans="1:14" ht="15">
      <c r="A263" s="71" t="s">
        <v>216</v>
      </c>
      <c r="B263" s="71" t="s">
        <v>81</v>
      </c>
      <c r="C263" s="71" t="s">
        <v>82</v>
      </c>
      <c r="D263" s="71" t="s">
        <v>392</v>
      </c>
      <c r="E263" s="71" t="s">
        <v>24</v>
      </c>
      <c r="F263" s="71" t="s">
        <v>394</v>
      </c>
      <c r="G263" s="71" t="s">
        <v>42</v>
      </c>
      <c r="H263" s="71" t="s">
        <v>24</v>
      </c>
      <c r="I263" s="71" t="s">
        <v>39</v>
      </c>
      <c r="J263" s="72">
        <v>-6082.92</v>
      </c>
      <c r="K263" s="73">
        <v>44622</v>
      </c>
      <c r="L263" s="73">
        <v>44622</v>
      </c>
      <c r="M263" s="73">
        <v>44623</v>
      </c>
      <c r="N263" s="71" t="s">
        <v>38</v>
      </c>
    </row>
    <row r="264" spans="1:14" ht="15">
      <c r="A264" s="71" t="s">
        <v>216</v>
      </c>
      <c r="B264" s="71" t="s">
        <v>81</v>
      </c>
      <c r="C264" s="71" t="s">
        <v>82</v>
      </c>
      <c r="D264" s="71" t="s">
        <v>392</v>
      </c>
      <c r="E264" s="71" t="s">
        <v>24</v>
      </c>
      <c r="F264" s="71" t="s">
        <v>394</v>
      </c>
      <c r="G264" s="71" t="s">
        <v>37</v>
      </c>
      <c r="H264" s="71" t="s">
        <v>24</v>
      </c>
      <c r="I264" s="71" t="s">
        <v>39</v>
      </c>
      <c r="J264" s="72">
        <v>-13935.35</v>
      </c>
      <c r="K264" s="73">
        <v>44622</v>
      </c>
      <c r="L264" s="73">
        <v>44622</v>
      </c>
      <c r="M264" s="73">
        <v>44623</v>
      </c>
      <c r="N264" s="71" t="s">
        <v>38</v>
      </c>
    </row>
    <row r="265" spans="1:14" ht="15">
      <c r="A265" s="71" t="s">
        <v>216</v>
      </c>
      <c r="B265" s="71" t="s">
        <v>81</v>
      </c>
      <c r="C265" s="71" t="s">
        <v>82</v>
      </c>
      <c r="D265" s="71" t="s">
        <v>392</v>
      </c>
      <c r="E265" s="71" t="s">
        <v>24</v>
      </c>
      <c r="F265" s="71" t="s">
        <v>394</v>
      </c>
      <c r="G265" s="71" t="s">
        <v>37</v>
      </c>
      <c r="H265" s="71" t="s">
        <v>24</v>
      </c>
      <c r="I265" s="71" t="s">
        <v>39</v>
      </c>
      <c r="J265" s="72">
        <v>-13064.65</v>
      </c>
      <c r="K265" s="73">
        <v>44623</v>
      </c>
      <c r="L265" s="73">
        <v>44623</v>
      </c>
      <c r="M265" s="73">
        <v>44638</v>
      </c>
      <c r="N265" s="71" t="s">
        <v>38</v>
      </c>
    </row>
    <row r="266" spans="1:14" ht="15">
      <c r="A266" s="71" t="s">
        <v>216</v>
      </c>
      <c r="B266" s="71" t="s">
        <v>110</v>
      </c>
      <c r="C266" s="71" t="s">
        <v>111</v>
      </c>
      <c r="D266" s="71" t="s">
        <v>467</v>
      </c>
      <c r="E266" s="71" t="s">
        <v>24</v>
      </c>
      <c r="F266" s="71" t="s">
        <v>489</v>
      </c>
      <c r="G266" s="71" t="s">
        <v>40</v>
      </c>
      <c r="H266" s="71" t="s">
        <v>24</v>
      </c>
      <c r="I266" s="71" t="s">
        <v>39</v>
      </c>
      <c r="J266" s="72">
        <v>-22500</v>
      </c>
      <c r="K266" s="73">
        <v>44383</v>
      </c>
      <c r="L266" s="73">
        <v>44383</v>
      </c>
      <c r="M266" s="73">
        <v>44386</v>
      </c>
      <c r="N266" s="71" t="s">
        <v>38</v>
      </c>
    </row>
    <row r="267" spans="1:14" ht="15">
      <c r="A267" s="71" t="s">
        <v>216</v>
      </c>
      <c r="B267" s="71" t="s">
        <v>110</v>
      </c>
      <c r="C267" s="71" t="s">
        <v>111</v>
      </c>
      <c r="D267" s="71" t="s">
        <v>467</v>
      </c>
      <c r="E267" s="71" t="s">
        <v>24</v>
      </c>
      <c r="F267" s="71" t="s">
        <v>489</v>
      </c>
      <c r="G267" s="71" t="s">
        <v>42</v>
      </c>
      <c r="H267" s="71" t="s">
        <v>24</v>
      </c>
      <c r="I267" s="71" t="s">
        <v>39</v>
      </c>
      <c r="J267" s="72">
        <v>-22500</v>
      </c>
      <c r="K267" s="73">
        <v>44383</v>
      </c>
      <c r="L267" s="73">
        <v>44383</v>
      </c>
      <c r="M267" s="73">
        <v>44386</v>
      </c>
      <c r="N267" s="71" t="s">
        <v>38</v>
      </c>
    </row>
    <row r="268" spans="1:14" ht="15">
      <c r="A268" s="71" t="s">
        <v>216</v>
      </c>
      <c r="B268" s="71" t="s">
        <v>110</v>
      </c>
      <c r="C268" s="71" t="s">
        <v>111</v>
      </c>
      <c r="D268" s="71" t="s">
        <v>467</v>
      </c>
      <c r="E268" s="71" t="s">
        <v>24</v>
      </c>
      <c r="F268" s="71" t="s">
        <v>489</v>
      </c>
      <c r="G268" s="71" t="s">
        <v>37</v>
      </c>
      <c r="H268" s="71" t="s">
        <v>24</v>
      </c>
      <c r="I268" s="71" t="s">
        <v>39</v>
      </c>
      <c r="J268" s="72">
        <v>-8146.18</v>
      </c>
      <c r="K268" s="73">
        <v>44383</v>
      </c>
      <c r="L268" s="73">
        <v>44383</v>
      </c>
      <c r="M268" s="73">
        <v>44386</v>
      </c>
      <c r="N268" s="71" t="s">
        <v>38</v>
      </c>
    </row>
    <row r="269" spans="1:14" ht="15">
      <c r="A269" s="71" t="s">
        <v>216</v>
      </c>
      <c r="B269" s="71" t="s">
        <v>110</v>
      </c>
      <c r="C269" s="71" t="s">
        <v>111</v>
      </c>
      <c r="D269" s="71" t="s">
        <v>467</v>
      </c>
      <c r="E269" s="71" t="s">
        <v>24</v>
      </c>
      <c r="F269" s="71" t="s">
        <v>489</v>
      </c>
      <c r="G269" s="71" t="s">
        <v>37</v>
      </c>
      <c r="H269" s="71" t="s">
        <v>24</v>
      </c>
      <c r="I269" s="71" t="s">
        <v>39</v>
      </c>
      <c r="J269" s="72">
        <v>-6310.77</v>
      </c>
      <c r="K269" s="73">
        <v>44386</v>
      </c>
      <c r="L269" s="73">
        <v>44386</v>
      </c>
      <c r="M269" s="73">
        <v>44407</v>
      </c>
      <c r="N269" s="71" t="s">
        <v>38</v>
      </c>
    </row>
    <row r="270" spans="1:14" ht="15">
      <c r="A270" s="71" t="s">
        <v>216</v>
      </c>
      <c r="B270" s="71" t="s">
        <v>110</v>
      </c>
      <c r="C270" s="71" t="s">
        <v>111</v>
      </c>
      <c r="D270" s="71" t="s">
        <v>467</v>
      </c>
      <c r="E270" s="71" t="s">
        <v>24</v>
      </c>
      <c r="F270" s="71" t="s">
        <v>489</v>
      </c>
      <c r="G270" s="71" t="s">
        <v>47</v>
      </c>
      <c r="H270" s="71" t="s">
        <v>24</v>
      </c>
      <c r="I270" s="71" t="s">
        <v>39</v>
      </c>
      <c r="J270" s="72">
        <v>-22500</v>
      </c>
      <c r="K270" s="73">
        <v>44386</v>
      </c>
      <c r="L270" s="73">
        <v>44386</v>
      </c>
      <c r="M270" s="73">
        <v>44407</v>
      </c>
      <c r="N270" s="71" t="s">
        <v>38</v>
      </c>
    </row>
    <row r="271" spans="1:14" ht="15">
      <c r="A271" s="71" t="s">
        <v>216</v>
      </c>
      <c r="B271" s="71" t="s">
        <v>190</v>
      </c>
      <c r="C271" s="71" t="s">
        <v>191</v>
      </c>
      <c r="D271" s="71" t="s">
        <v>494</v>
      </c>
      <c r="E271" s="71" t="s">
        <v>24</v>
      </c>
      <c r="F271" s="71" t="s">
        <v>553</v>
      </c>
      <c r="G271" s="71" t="s">
        <v>40</v>
      </c>
      <c r="H271" s="71" t="s">
        <v>24</v>
      </c>
      <c r="I271" s="71" t="s">
        <v>39</v>
      </c>
      <c r="J271" s="72">
        <v>-132337</v>
      </c>
      <c r="K271" s="73">
        <v>44496</v>
      </c>
      <c r="L271" s="73">
        <v>44496</v>
      </c>
      <c r="M271" s="73">
        <v>44498</v>
      </c>
      <c r="N271" s="71" t="s">
        <v>38</v>
      </c>
    </row>
    <row r="272" spans="1:14" ht="15">
      <c r="A272" s="71" t="s">
        <v>216</v>
      </c>
      <c r="B272" s="71" t="s">
        <v>190</v>
      </c>
      <c r="C272" s="71" t="s">
        <v>191</v>
      </c>
      <c r="D272" s="71" t="s">
        <v>494</v>
      </c>
      <c r="E272" s="71" t="s">
        <v>24</v>
      </c>
      <c r="F272" s="71" t="s">
        <v>553</v>
      </c>
      <c r="G272" s="71" t="s">
        <v>42</v>
      </c>
      <c r="H272" s="71" t="s">
        <v>24</v>
      </c>
      <c r="I272" s="71" t="s">
        <v>39</v>
      </c>
      <c r="J272" s="72">
        <v>-132337</v>
      </c>
      <c r="K272" s="73">
        <v>44496</v>
      </c>
      <c r="L272" s="73">
        <v>44496</v>
      </c>
      <c r="M272" s="73">
        <v>44498</v>
      </c>
      <c r="N272" s="71" t="s">
        <v>38</v>
      </c>
    </row>
    <row r="273" spans="1:14" ht="15">
      <c r="A273" s="71" t="s">
        <v>216</v>
      </c>
      <c r="B273" s="71" t="s">
        <v>185</v>
      </c>
      <c r="C273" s="71" t="s">
        <v>186</v>
      </c>
      <c r="D273" s="71" t="s">
        <v>494</v>
      </c>
      <c r="E273" s="71" t="s">
        <v>24</v>
      </c>
      <c r="F273" s="71" t="s">
        <v>497</v>
      </c>
      <c r="G273" s="71" t="s">
        <v>40</v>
      </c>
      <c r="H273" s="71" t="s">
        <v>24</v>
      </c>
      <c r="I273" s="71" t="s">
        <v>39</v>
      </c>
      <c r="J273" s="72">
        <v>-361811.85</v>
      </c>
      <c r="K273" s="73">
        <v>44379</v>
      </c>
      <c r="L273" s="73">
        <v>44379</v>
      </c>
      <c r="M273" s="73">
        <v>44379</v>
      </c>
      <c r="N273" s="71" t="s">
        <v>38</v>
      </c>
    </row>
    <row r="274" spans="1:14" ht="15">
      <c r="A274" s="71" t="s">
        <v>216</v>
      </c>
      <c r="B274" s="71" t="s">
        <v>185</v>
      </c>
      <c r="C274" s="71" t="s">
        <v>186</v>
      </c>
      <c r="D274" s="71" t="s">
        <v>494</v>
      </c>
      <c r="E274" s="71" t="s">
        <v>24</v>
      </c>
      <c r="F274" s="71" t="s">
        <v>497</v>
      </c>
      <c r="G274" s="71" t="s">
        <v>40</v>
      </c>
      <c r="H274" s="71" t="s">
        <v>24</v>
      </c>
      <c r="I274" s="71" t="s">
        <v>39</v>
      </c>
      <c r="J274" s="72">
        <v>-3763.15</v>
      </c>
      <c r="K274" s="73">
        <v>44379</v>
      </c>
      <c r="L274" s="73">
        <v>44379</v>
      </c>
      <c r="M274" s="73">
        <v>44405</v>
      </c>
      <c r="N274" s="71" t="s">
        <v>38</v>
      </c>
    </row>
    <row r="275" spans="1:14" ht="15">
      <c r="A275" s="71" t="s">
        <v>216</v>
      </c>
      <c r="B275" s="71" t="s">
        <v>185</v>
      </c>
      <c r="C275" s="71" t="s">
        <v>186</v>
      </c>
      <c r="D275" s="71" t="s">
        <v>494</v>
      </c>
      <c r="E275" s="71" t="s">
        <v>24</v>
      </c>
      <c r="F275" s="71" t="s">
        <v>497</v>
      </c>
      <c r="G275" s="71" t="s">
        <v>42</v>
      </c>
      <c r="H275" s="71" t="s">
        <v>24</v>
      </c>
      <c r="I275" s="71" t="s">
        <v>39</v>
      </c>
      <c r="J275" s="72">
        <v>-183708.35</v>
      </c>
      <c r="K275" s="73">
        <v>44379</v>
      </c>
      <c r="L275" s="73">
        <v>44379</v>
      </c>
      <c r="M275" s="73">
        <v>44405</v>
      </c>
      <c r="N275" s="71" t="s">
        <v>38</v>
      </c>
    </row>
    <row r="276" spans="1:14" ht="15">
      <c r="A276" s="71" t="s">
        <v>216</v>
      </c>
      <c r="B276" s="71" t="s">
        <v>185</v>
      </c>
      <c r="C276" s="71" t="s">
        <v>186</v>
      </c>
      <c r="D276" s="71" t="s">
        <v>494</v>
      </c>
      <c r="E276" s="71" t="s">
        <v>24</v>
      </c>
      <c r="F276" s="71" t="s">
        <v>497</v>
      </c>
      <c r="G276" s="71" t="s">
        <v>42</v>
      </c>
      <c r="H276" s="71" t="s">
        <v>24</v>
      </c>
      <c r="I276" s="71" t="s">
        <v>39</v>
      </c>
      <c r="J276" s="72">
        <v>-181866.65</v>
      </c>
      <c r="K276" s="73">
        <v>44405</v>
      </c>
      <c r="L276" s="73">
        <v>44405</v>
      </c>
      <c r="M276" s="73">
        <v>44407</v>
      </c>
      <c r="N276" s="71" t="s">
        <v>38</v>
      </c>
    </row>
    <row r="277" spans="1:14" ht="15">
      <c r="A277" s="71" t="s">
        <v>216</v>
      </c>
      <c r="B277" s="71" t="s">
        <v>185</v>
      </c>
      <c r="C277" s="71" t="s">
        <v>186</v>
      </c>
      <c r="D277" s="71" t="s">
        <v>494</v>
      </c>
      <c r="E277" s="71" t="s">
        <v>24</v>
      </c>
      <c r="F277" s="71" t="s">
        <v>497</v>
      </c>
      <c r="G277" s="71" t="s">
        <v>37</v>
      </c>
      <c r="H277" s="71" t="s">
        <v>24</v>
      </c>
      <c r="I277" s="71" t="s">
        <v>39</v>
      </c>
      <c r="J277" s="72">
        <v>-265195.84000000003</v>
      </c>
      <c r="K277" s="73">
        <v>44405</v>
      </c>
      <c r="L277" s="73">
        <v>44405</v>
      </c>
      <c r="M277" s="73">
        <v>44407</v>
      </c>
      <c r="N277" s="71" t="s">
        <v>38</v>
      </c>
    </row>
    <row r="278" spans="1:14" ht="15">
      <c r="A278" s="71" t="s">
        <v>216</v>
      </c>
      <c r="B278" s="71" t="s">
        <v>185</v>
      </c>
      <c r="C278" s="71" t="s">
        <v>186</v>
      </c>
      <c r="D278" s="71" t="s">
        <v>494</v>
      </c>
      <c r="E278" s="71" t="s">
        <v>24</v>
      </c>
      <c r="F278" s="71" t="s">
        <v>497</v>
      </c>
      <c r="G278" s="71" t="s">
        <v>37</v>
      </c>
      <c r="H278" s="71" t="s">
        <v>24</v>
      </c>
      <c r="I278" s="71" t="s">
        <v>39</v>
      </c>
      <c r="J278" s="72">
        <v>-100379.16</v>
      </c>
      <c r="K278" s="73">
        <v>44581</v>
      </c>
      <c r="L278" s="73">
        <v>44581</v>
      </c>
      <c r="M278" s="73">
        <v>44581</v>
      </c>
      <c r="N278" s="71" t="s">
        <v>38</v>
      </c>
    </row>
    <row r="279" spans="1:14" ht="15">
      <c r="A279" s="71" t="s">
        <v>216</v>
      </c>
      <c r="B279" s="71" t="s">
        <v>185</v>
      </c>
      <c r="C279" s="71" t="s">
        <v>186</v>
      </c>
      <c r="D279" s="71" t="s">
        <v>494</v>
      </c>
      <c r="E279" s="71" t="s">
        <v>24</v>
      </c>
      <c r="F279" s="71" t="s">
        <v>497</v>
      </c>
      <c r="G279" s="71" t="s">
        <v>47</v>
      </c>
      <c r="H279" s="71" t="s">
        <v>24</v>
      </c>
      <c r="I279" s="71" t="s">
        <v>39</v>
      </c>
      <c r="J279" s="72">
        <v>-248419.71</v>
      </c>
      <c r="K279" s="73">
        <v>44581</v>
      </c>
      <c r="L279" s="73">
        <v>44581</v>
      </c>
      <c r="M279" s="73">
        <v>44581</v>
      </c>
      <c r="N279" s="71" t="s">
        <v>38</v>
      </c>
    </row>
    <row r="280" spans="1:14" ht="15">
      <c r="A280" s="71" t="s">
        <v>216</v>
      </c>
      <c r="B280" s="71" t="s">
        <v>249</v>
      </c>
      <c r="C280" s="71" t="s">
        <v>250</v>
      </c>
      <c r="D280" s="71" t="s">
        <v>494</v>
      </c>
      <c r="E280" s="71" t="s">
        <v>24</v>
      </c>
      <c r="F280" s="71" t="s">
        <v>554</v>
      </c>
      <c r="G280" s="71" t="s">
        <v>40</v>
      </c>
      <c r="H280" s="71" t="s">
        <v>24</v>
      </c>
      <c r="I280" s="71" t="s">
        <v>39</v>
      </c>
      <c r="J280" s="72">
        <v>-122500</v>
      </c>
      <c r="K280" s="73">
        <v>44496</v>
      </c>
      <c r="L280" s="73">
        <v>44496</v>
      </c>
      <c r="M280" s="73">
        <v>44498</v>
      </c>
      <c r="N280" s="71" t="s">
        <v>38</v>
      </c>
    </row>
    <row r="281" spans="1:14" ht="15">
      <c r="A281" s="71" t="s">
        <v>216</v>
      </c>
      <c r="B281" s="71" t="s">
        <v>249</v>
      </c>
      <c r="C281" s="71" t="s">
        <v>250</v>
      </c>
      <c r="D281" s="71" t="s">
        <v>494</v>
      </c>
      <c r="E281" s="71" t="s">
        <v>24</v>
      </c>
      <c r="F281" s="71" t="s">
        <v>554</v>
      </c>
      <c r="G281" s="71" t="s">
        <v>42</v>
      </c>
      <c r="H281" s="71" t="s">
        <v>24</v>
      </c>
      <c r="I281" s="71" t="s">
        <v>39</v>
      </c>
      <c r="J281" s="72">
        <v>-122500</v>
      </c>
      <c r="K281" s="73">
        <v>44496</v>
      </c>
      <c r="L281" s="73">
        <v>44496</v>
      </c>
      <c r="M281" s="73">
        <v>44498</v>
      </c>
      <c r="N281" s="71" t="s">
        <v>38</v>
      </c>
    </row>
    <row r="282" spans="1:14" ht="15">
      <c r="A282" s="71" t="s">
        <v>216</v>
      </c>
      <c r="B282" s="71" t="s">
        <v>87</v>
      </c>
      <c r="C282" s="71" t="s">
        <v>88</v>
      </c>
      <c r="D282" s="71" t="s">
        <v>392</v>
      </c>
      <c r="E282" s="71" t="s">
        <v>24</v>
      </c>
      <c r="F282" s="71" t="s">
        <v>395</v>
      </c>
      <c r="G282" s="71" t="s">
        <v>40</v>
      </c>
      <c r="H282" s="71" t="s">
        <v>24</v>
      </c>
      <c r="I282" s="71" t="s">
        <v>39</v>
      </c>
      <c r="J282" s="72">
        <v>-25000</v>
      </c>
      <c r="K282" s="73">
        <v>44236</v>
      </c>
      <c r="L282" s="73">
        <v>44236</v>
      </c>
      <c r="M282" s="73">
        <v>44253</v>
      </c>
      <c r="N282" s="71" t="s">
        <v>38</v>
      </c>
    </row>
    <row r="283" spans="1:14" ht="15">
      <c r="A283" s="71" t="s">
        <v>216</v>
      </c>
      <c r="B283" s="71" t="s">
        <v>87</v>
      </c>
      <c r="C283" s="71" t="s">
        <v>88</v>
      </c>
      <c r="D283" s="71" t="s">
        <v>392</v>
      </c>
      <c r="E283" s="71" t="s">
        <v>24</v>
      </c>
      <c r="F283" s="71" t="s">
        <v>395</v>
      </c>
      <c r="G283" s="71" t="s">
        <v>42</v>
      </c>
      <c r="H283" s="71" t="s">
        <v>24</v>
      </c>
      <c r="I283" s="71" t="s">
        <v>39</v>
      </c>
      <c r="J283" s="72">
        <v>-9224.2099999999991</v>
      </c>
      <c r="K283" s="73">
        <v>44236</v>
      </c>
      <c r="L283" s="73">
        <v>44236</v>
      </c>
      <c r="M283" s="73">
        <v>44253</v>
      </c>
      <c r="N283" s="71" t="s">
        <v>38</v>
      </c>
    </row>
    <row r="284" spans="1:14" ht="15">
      <c r="A284" s="71" t="s">
        <v>216</v>
      </c>
      <c r="B284" s="71" t="s">
        <v>87</v>
      </c>
      <c r="C284" s="71" t="s">
        <v>88</v>
      </c>
      <c r="D284" s="71" t="s">
        <v>392</v>
      </c>
      <c r="E284" s="71" t="s">
        <v>24</v>
      </c>
      <c r="F284" s="71" t="s">
        <v>395</v>
      </c>
      <c r="G284" s="71" t="s">
        <v>42</v>
      </c>
      <c r="H284" s="71" t="s">
        <v>24</v>
      </c>
      <c r="I284" s="71" t="s">
        <v>39</v>
      </c>
      <c r="J284" s="72">
        <v>-15775.79</v>
      </c>
      <c r="K284" s="73">
        <v>44378</v>
      </c>
      <c r="L284" s="73">
        <v>44378</v>
      </c>
      <c r="M284" s="73">
        <v>44407</v>
      </c>
      <c r="N284" s="71" t="s">
        <v>38</v>
      </c>
    </row>
    <row r="285" spans="1:14" ht="15">
      <c r="A285" s="71" t="s">
        <v>216</v>
      </c>
      <c r="B285" s="71" t="s">
        <v>87</v>
      </c>
      <c r="C285" s="71" t="s">
        <v>88</v>
      </c>
      <c r="D285" s="71" t="s">
        <v>392</v>
      </c>
      <c r="E285" s="71" t="s">
        <v>24</v>
      </c>
      <c r="F285" s="71" t="s">
        <v>395</v>
      </c>
      <c r="G285" s="71" t="s">
        <v>37</v>
      </c>
      <c r="H285" s="71" t="s">
        <v>24</v>
      </c>
      <c r="I285" s="71" t="s">
        <v>39</v>
      </c>
      <c r="J285" s="72">
        <v>-14868.4</v>
      </c>
      <c r="K285" s="73">
        <v>44378</v>
      </c>
      <c r="L285" s="73">
        <v>44378</v>
      </c>
      <c r="M285" s="73">
        <v>44407</v>
      </c>
      <c r="N285" s="71" t="s">
        <v>38</v>
      </c>
    </row>
    <row r="286" spans="1:14" ht="15">
      <c r="A286" s="71" t="s">
        <v>216</v>
      </c>
      <c r="B286" s="71" t="s">
        <v>87</v>
      </c>
      <c r="C286" s="71" t="s">
        <v>88</v>
      </c>
      <c r="D286" s="71" t="s">
        <v>392</v>
      </c>
      <c r="E286" s="71" t="s">
        <v>24</v>
      </c>
      <c r="F286" s="71" t="s">
        <v>395</v>
      </c>
      <c r="G286" s="71" t="s">
        <v>37</v>
      </c>
      <c r="H286" s="71" t="s">
        <v>24</v>
      </c>
      <c r="I286" s="71" t="s">
        <v>39</v>
      </c>
      <c r="J286" s="72">
        <v>-10131.6</v>
      </c>
      <c r="K286" s="73">
        <v>44484</v>
      </c>
      <c r="L286" s="73">
        <v>44484</v>
      </c>
      <c r="M286" s="73">
        <v>44494</v>
      </c>
      <c r="N286" s="71" t="s">
        <v>38</v>
      </c>
    </row>
    <row r="287" spans="1:14" ht="15">
      <c r="A287" s="71" t="s">
        <v>216</v>
      </c>
      <c r="B287" s="71" t="s">
        <v>87</v>
      </c>
      <c r="C287" s="71" t="s">
        <v>88</v>
      </c>
      <c r="D287" s="71" t="s">
        <v>392</v>
      </c>
      <c r="E287" s="71" t="s">
        <v>24</v>
      </c>
      <c r="F287" s="71" t="s">
        <v>395</v>
      </c>
      <c r="G287" s="71" t="s">
        <v>47</v>
      </c>
      <c r="H287" s="71" t="s">
        <v>24</v>
      </c>
      <c r="I287" s="71" t="s">
        <v>39</v>
      </c>
      <c r="J287" s="72">
        <v>-15000</v>
      </c>
      <c r="K287" s="73">
        <v>44484</v>
      </c>
      <c r="L287" s="73">
        <v>44484</v>
      </c>
      <c r="M287" s="73">
        <v>44494</v>
      </c>
      <c r="N287" s="71" t="s">
        <v>38</v>
      </c>
    </row>
    <row r="288" spans="1:14" ht="15">
      <c r="A288" s="71" t="s">
        <v>216</v>
      </c>
      <c r="B288" s="71" t="s">
        <v>160</v>
      </c>
      <c r="C288" s="71" t="s">
        <v>161</v>
      </c>
      <c r="D288" s="71" t="s">
        <v>484</v>
      </c>
      <c r="E288" s="71" t="s">
        <v>24</v>
      </c>
      <c r="F288" s="71" t="s">
        <v>498</v>
      </c>
      <c r="G288" s="71" t="s">
        <v>40</v>
      </c>
      <c r="H288" s="71" t="s">
        <v>24</v>
      </c>
      <c r="I288" s="71" t="s">
        <v>39</v>
      </c>
      <c r="J288" s="72">
        <v>-30000</v>
      </c>
      <c r="K288" s="73">
        <v>44417</v>
      </c>
      <c r="L288" s="73">
        <v>44417</v>
      </c>
      <c r="M288" s="73">
        <v>44434</v>
      </c>
      <c r="N288" s="71" t="s">
        <v>38</v>
      </c>
    </row>
    <row r="289" spans="1:14" ht="15">
      <c r="A289" s="71" t="s">
        <v>216</v>
      </c>
      <c r="B289" s="71" t="s">
        <v>268</v>
      </c>
      <c r="C289" s="71" t="s">
        <v>269</v>
      </c>
      <c r="D289" s="71" t="s">
        <v>436</v>
      </c>
      <c r="E289" s="71" t="s">
        <v>24</v>
      </c>
      <c r="F289" s="71" t="s">
        <v>437</v>
      </c>
      <c r="G289" s="71" t="s">
        <v>37</v>
      </c>
      <c r="H289" s="71" t="s">
        <v>24</v>
      </c>
      <c r="I289" s="71" t="s">
        <v>39</v>
      </c>
      <c r="J289" s="72">
        <v>-255092</v>
      </c>
      <c r="K289" s="73">
        <v>44608</v>
      </c>
      <c r="L289" s="73">
        <v>44608</v>
      </c>
      <c r="M289" s="73">
        <v>44620</v>
      </c>
      <c r="N289" s="71" t="s">
        <v>38</v>
      </c>
    </row>
    <row r="290" spans="1:14" ht="15">
      <c r="A290" s="71" t="s">
        <v>216</v>
      </c>
      <c r="B290" s="71" t="s">
        <v>89</v>
      </c>
      <c r="C290" s="71" t="s">
        <v>90</v>
      </c>
      <c r="D290" s="71" t="s">
        <v>392</v>
      </c>
      <c r="E290" s="71" t="s">
        <v>24</v>
      </c>
      <c r="F290" s="71" t="s">
        <v>396</v>
      </c>
      <c r="G290" s="71" t="s">
        <v>40</v>
      </c>
      <c r="H290" s="71" t="s">
        <v>24</v>
      </c>
      <c r="I290" s="71" t="s">
        <v>39</v>
      </c>
      <c r="J290" s="72">
        <v>-85000</v>
      </c>
      <c r="K290" s="73">
        <v>44232</v>
      </c>
      <c r="L290" s="73">
        <v>44232</v>
      </c>
      <c r="M290" s="73">
        <v>44253</v>
      </c>
      <c r="N290" s="71" t="s">
        <v>38</v>
      </c>
    </row>
    <row r="291" spans="1:14" ht="15">
      <c r="A291" s="71" t="s">
        <v>216</v>
      </c>
      <c r="B291" s="71" t="s">
        <v>89</v>
      </c>
      <c r="C291" s="71" t="s">
        <v>90</v>
      </c>
      <c r="D291" s="71" t="s">
        <v>392</v>
      </c>
      <c r="E291" s="71" t="s">
        <v>24</v>
      </c>
      <c r="F291" s="71" t="s">
        <v>396</v>
      </c>
      <c r="G291" s="71" t="s">
        <v>42</v>
      </c>
      <c r="H291" s="71" t="s">
        <v>24</v>
      </c>
      <c r="I291" s="71" t="s">
        <v>39</v>
      </c>
      <c r="J291" s="72">
        <v>-22823.09</v>
      </c>
      <c r="K291" s="73">
        <v>44232</v>
      </c>
      <c r="L291" s="73">
        <v>44232</v>
      </c>
      <c r="M291" s="73">
        <v>44253</v>
      </c>
      <c r="N291" s="71" t="s">
        <v>38</v>
      </c>
    </row>
    <row r="292" spans="1:14" ht="15">
      <c r="A292" s="71" t="s">
        <v>216</v>
      </c>
      <c r="B292" s="71" t="s">
        <v>89</v>
      </c>
      <c r="C292" s="71" t="s">
        <v>90</v>
      </c>
      <c r="D292" s="71" t="s">
        <v>392</v>
      </c>
      <c r="E292" s="71" t="s">
        <v>24</v>
      </c>
      <c r="F292" s="71" t="s">
        <v>396</v>
      </c>
      <c r="G292" s="71" t="s">
        <v>42</v>
      </c>
      <c r="H292" s="71" t="s">
        <v>24</v>
      </c>
      <c r="I292" s="71" t="s">
        <v>39</v>
      </c>
      <c r="J292" s="72">
        <v>-62176.91</v>
      </c>
      <c r="K292" s="73">
        <v>44378</v>
      </c>
      <c r="L292" s="73">
        <v>44378</v>
      </c>
      <c r="M292" s="73">
        <v>44407</v>
      </c>
      <c r="N292" s="71" t="s">
        <v>38</v>
      </c>
    </row>
    <row r="293" spans="1:14" ht="15">
      <c r="A293" s="71" t="s">
        <v>216</v>
      </c>
      <c r="B293" s="71" t="s">
        <v>89</v>
      </c>
      <c r="C293" s="71" t="s">
        <v>90</v>
      </c>
      <c r="D293" s="71" t="s">
        <v>392</v>
      </c>
      <c r="E293" s="71" t="s">
        <v>24</v>
      </c>
      <c r="F293" s="71" t="s">
        <v>396</v>
      </c>
      <c r="G293" s="71" t="s">
        <v>37</v>
      </c>
      <c r="H293" s="71" t="s">
        <v>24</v>
      </c>
      <c r="I293" s="71" t="s">
        <v>39</v>
      </c>
      <c r="J293" s="72">
        <v>-40674.57</v>
      </c>
      <c r="K293" s="73">
        <v>44378</v>
      </c>
      <c r="L293" s="73">
        <v>44378</v>
      </c>
      <c r="M293" s="73">
        <v>44407</v>
      </c>
      <c r="N293" s="71" t="s">
        <v>38</v>
      </c>
    </row>
    <row r="294" spans="1:14" ht="15">
      <c r="A294" s="71" t="s">
        <v>216</v>
      </c>
      <c r="B294" s="71" t="s">
        <v>89</v>
      </c>
      <c r="C294" s="71" t="s">
        <v>90</v>
      </c>
      <c r="D294" s="71" t="s">
        <v>392</v>
      </c>
      <c r="E294" s="71" t="s">
        <v>24</v>
      </c>
      <c r="F294" s="71" t="s">
        <v>396</v>
      </c>
      <c r="G294" s="71" t="s">
        <v>37</v>
      </c>
      <c r="H294" s="71" t="s">
        <v>24</v>
      </c>
      <c r="I294" s="71" t="s">
        <v>39</v>
      </c>
      <c r="J294" s="72">
        <v>-39325.43</v>
      </c>
      <c r="K294" s="73">
        <v>44484</v>
      </c>
      <c r="L294" s="73">
        <v>44484</v>
      </c>
      <c r="M294" s="73">
        <v>44494</v>
      </c>
      <c r="N294" s="71" t="s">
        <v>38</v>
      </c>
    </row>
    <row r="295" spans="1:14" ht="15">
      <c r="A295" s="71" t="s">
        <v>216</v>
      </c>
      <c r="B295" s="71" t="s">
        <v>89</v>
      </c>
      <c r="C295" s="71" t="s">
        <v>90</v>
      </c>
      <c r="D295" s="71" t="s">
        <v>392</v>
      </c>
      <c r="E295" s="71" t="s">
        <v>24</v>
      </c>
      <c r="F295" s="71" t="s">
        <v>396</v>
      </c>
      <c r="G295" s="71" t="s">
        <v>47</v>
      </c>
      <c r="H295" s="71" t="s">
        <v>24</v>
      </c>
      <c r="I295" s="71" t="s">
        <v>39</v>
      </c>
      <c r="J295" s="72">
        <v>-64744.32</v>
      </c>
      <c r="K295" s="73">
        <v>44484</v>
      </c>
      <c r="L295" s="73">
        <v>44484</v>
      </c>
      <c r="M295" s="73">
        <v>44494</v>
      </c>
      <c r="N295" s="71" t="s">
        <v>38</v>
      </c>
    </row>
    <row r="296" spans="1:14" ht="15">
      <c r="A296" s="71" t="s">
        <v>216</v>
      </c>
      <c r="B296" s="71" t="s">
        <v>89</v>
      </c>
      <c r="C296" s="71" t="s">
        <v>90</v>
      </c>
      <c r="D296" s="71" t="s">
        <v>392</v>
      </c>
      <c r="E296" s="71" t="s">
        <v>24</v>
      </c>
      <c r="F296" s="71" t="s">
        <v>396</v>
      </c>
      <c r="G296" s="71" t="s">
        <v>47</v>
      </c>
      <c r="H296" s="71" t="s">
        <v>24</v>
      </c>
      <c r="I296" s="71" t="s">
        <v>39</v>
      </c>
      <c r="J296" s="72">
        <v>-15255.68</v>
      </c>
      <c r="K296" s="73">
        <v>44622</v>
      </c>
      <c r="L296" s="73">
        <v>44622</v>
      </c>
      <c r="M296" s="73">
        <v>44638</v>
      </c>
      <c r="N296" s="71" t="s">
        <v>38</v>
      </c>
    </row>
    <row r="297" spans="1:14" ht="15">
      <c r="A297" s="71" t="s">
        <v>216</v>
      </c>
      <c r="B297" s="71" t="s">
        <v>112</v>
      </c>
      <c r="C297" s="71" t="s">
        <v>113</v>
      </c>
      <c r="D297" s="71" t="s">
        <v>392</v>
      </c>
      <c r="E297" s="71" t="s">
        <v>24</v>
      </c>
      <c r="F297" s="71" t="s">
        <v>397</v>
      </c>
      <c r="G297" s="71" t="s">
        <v>40</v>
      </c>
      <c r="H297" s="71" t="s">
        <v>24</v>
      </c>
      <c r="I297" s="71" t="s">
        <v>39</v>
      </c>
      <c r="J297" s="72">
        <v>-15000</v>
      </c>
      <c r="K297" s="73">
        <v>44232</v>
      </c>
      <c r="L297" s="73">
        <v>44232</v>
      </c>
      <c r="M297" s="73">
        <v>44253</v>
      </c>
      <c r="N297" s="71" t="s">
        <v>38</v>
      </c>
    </row>
    <row r="298" spans="1:14" ht="15">
      <c r="A298" s="71" t="s">
        <v>216</v>
      </c>
      <c r="B298" s="71" t="s">
        <v>112</v>
      </c>
      <c r="C298" s="71" t="s">
        <v>113</v>
      </c>
      <c r="D298" s="71" t="s">
        <v>392</v>
      </c>
      <c r="E298" s="71" t="s">
        <v>24</v>
      </c>
      <c r="F298" s="71" t="s">
        <v>397</v>
      </c>
      <c r="G298" s="71" t="s">
        <v>42</v>
      </c>
      <c r="H298" s="71" t="s">
        <v>24</v>
      </c>
      <c r="I298" s="71" t="s">
        <v>39</v>
      </c>
      <c r="J298" s="72">
        <v>-4627.8900000000003</v>
      </c>
      <c r="K298" s="73">
        <v>44232</v>
      </c>
      <c r="L298" s="73">
        <v>44232</v>
      </c>
      <c r="M298" s="73">
        <v>44253</v>
      </c>
      <c r="N298" s="71" t="s">
        <v>38</v>
      </c>
    </row>
    <row r="299" spans="1:14" ht="15">
      <c r="A299" s="71" t="s">
        <v>216</v>
      </c>
      <c r="B299" s="71" t="s">
        <v>112</v>
      </c>
      <c r="C299" s="71" t="s">
        <v>113</v>
      </c>
      <c r="D299" s="71" t="s">
        <v>392</v>
      </c>
      <c r="E299" s="71" t="s">
        <v>24</v>
      </c>
      <c r="F299" s="71" t="s">
        <v>397</v>
      </c>
      <c r="G299" s="71" t="s">
        <v>42</v>
      </c>
      <c r="H299" s="71" t="s">
        <v>24</v>
      </c>
      <c r="I299" s="71" t="s">
        <v>39</v>
      </c>
      <c r="J299" s="72">
        <v>-10372.11</v>
      </c>
      <c r="K299" s="73">
        <v>44378</v>
      </c>
      <c r="L299" s="73">
        <v>44378</v>
      </c>
      <c r="M299" s="73">
        <v>44407</v>
      </c>
      <c r="N299" s="71" t="s">
        <v>38</v>
      </c>
    </row>
    <row r="300" spans="1:14" ht="15">
      <c r="A300" s="71" t="s">
        <v>216</v>
      </c>
      <c r="B300" s="71" t="s">
        <v>112</v>
      </c>
      <c r="C300" s="71" t="s">
        <v>113</v>
      </c>
      <c r="D300" s="71" t="s">
        <v>392</v>
      </c>
      <c r="E300" s="71" t="s">
        <v>24</v>
      </c>
      <c r="F300" s="71" t="s">
        <v>397</v>
      </c>
      <c r="G300" s="71" t="s">
        <v>37</v>
      </c>
      <c r="H300" s="71" t="s">
        <v>24</v>
      </c>
      <c r="I300" s="71" t="s">
        <v>39</v>
      </c>
      <c r="J300" s="72">
        <v>-9603.51</v>
      </c>
      <c r="K300" s="73">
        <v>44378</v>
      </c>
      <c r="L300" s="73">
        <v>44378</v>
      </c>
      <c r="M300" s="73">
        <v>44407</v>
      </c>
      <c r="N300" s="71" t="s">
        <v>38</v>
      </c>
    </row>
    <row r="301" spans="1:14" ht="15">
      <c r="A301" s="71" t="s">
        <v>216</v>
      </c>
      <c r="B301" s="71" t="s">
        <v>112</v>
      </c>
      <c r="C301" s="71" t="s">
        <v>113</v>
      </c>
      <c r="D301" s="71" t="s">
        <v>392</v>
      </c>
      <c r="E301" s="71" t="s">
        <v>24</v>
      </c>
      <c r="F301" s="71" t="s">
        <v>397</v>
      </c>
      <c r="G301" s="71" t="s">
        <v>37</v>
      </c>
      <c r="H301" s="71" t="s">
        <v>24</v>
      </c>
      <c r="I301" s="71" t="s">
        <v>39</v>
      </c>
      <c r="J301" s="72">
        <v>-5396.49</v>
      </c>
      <c r="K301" s="73">
        <v>44484</v>
      </c>
      <c r="L301" s="73">
        <v>44484</v>
      </c>
      <c r="M301" s="73">
        <v>44494</v>
      </c>
      <c r="N301" s="71" t="s">
        <v>38</v>
      </c>
    </row>
    <row r="302" spans="1:14" ht="15">
      <c r="A302" s="71" t="s">
        <v>216</v>
      </c>
      <c r="B302" s="71" t="s">
        <v>112</v>
      </c>
      <c r="C302" s="71" t="s">
        <v>113</v>
      </c>
      <c r="D302" s="71" t="s">
        <v>392</v>
      </c>
      <c r="E302" s="71" t="s">
        <v>24</v>
      </c>
      <c r="F302" s="71" t="s">
        <v>397</v>
      </c>
      <c r="G302" s="71" t="s">
        <v>47</v>
      </c>
      <c r="H302" s="71" t="s">
        <v>24</v>
      </c>
      <c r="I302" s="71" t="s">
        <v>39</v>
      </c>
      <c r="J302" s="72">
        <v>-13000</v>
      </c>
      <c r="K302" s="73">
        <v>44484</v>
      </c>
      <c r="L302" s="73">
        <v>44484</v>
      </c>
      <c r="M302" s="73">
        <v>44494</v>
      </c>
      <c r="N302" s="71" t="s">
        <v>38</v>
      </c>
    </row>
    <row r="303" spans="1:14" ht="15">
      <c r="A303" s="71" t="s">
        <v>216</v>
      </c>
      <c r="B303" s="71" t="s">
        <v>146</v>
      </c>
      <c r="C303" s="71" t="s">
        <v>147</v>
      </c>
      <c r="D303" s="71" t="s">
        <v>392</v>
      </c>
      <c r="E303" s="71" t="s">
        <v>24</v>
      </c>
      <c r="F303" s="71" t="s">
        <v>398</v>
      </c>
      <c r="G303" s="71" t="s">
        <v>40</v>
      </c>
      <c r="H303" s="71" t="s">
        <v>24</v>
      </c>
      <c r="I303" s="71" t="s">
        <v>39</v>
      </c>
      <c r="J303" s="72">
        <v>-5000</v>
      </c>
      <c r="K303" s="73">
        <v>44232</v>
      </c>
      <c r="L303" s="73">
        <v>44232</v>
      </c>
      <c r="M303" s="73">
        <v>44253</v>
      </c>
      <c r="N303" s="71" t="s">
        <v>38</v>
      </c>
    </row>
    <row r="304" spans="1:14" ht="15">
      <c r="A304" s="71" t="s">
        <v>216</v>
      </c>
      <c r="B304" s="71" t="s">
        <v>146</v>
      </c>
      <c r="C304" s="71" t="s">
        <v>147</v>
      </c>
      <c r="D304" s="71" t="s">
        <v>392</v>
      </c>
      <c r="E304" s="71" t="s">
        <v>24</v>
      </c>
      <c r="F304" s="71" t="s">
        <v>398</v>
      </c>
      <c r="G304" s="71" t="s">
        <v>42</v>
      </c>
      <c r="H304" s="71" t="s">
        <v>24</v>
      </c>
      <c r="I304" s="71" t="s">
        <v>39</v>
      </c>
      <c r="J304" s="72">
        <v>-5000</v>
      </c>
      <c r="K304" s="73">
        <v>44232</v>
      </c>
      <c r="L304" s="73">
        <v>44232</v>
      </c>
      <c r="M304" s="73">
        <v>44253</v>
      </c>
      <c r="N304" s="71" t="s">
        <v>38</v>
      </c>
    </row>
    <row r="305" spans="1:14" ht="15">
      <c r="A305" s="71" t="s">
        <v>216</v>
      </c>
      <c r="B305" s="71" t="s">
        <v>146</v>
      </c>
      <c r="C305" s="71" t="s">
        <v>147</v>
      </c>
      <c r="D305" s="71" t="s">
        <v>392</v>
      </c>
      <c r="E305" s="71" t="s">
        <v>24</v>
      </c>
      <c r="F305" s="71" t="s">
        <v>398</v>
      </c>
      <c r="G305" s="71" t="s">
        <v>37</v>
      </c>
      <c r="H305" s="71" t="s">
        <v>24</v>
      </c>
      <c r="I305" s="71" t="s">
        <v>39</v>
      </c>
      <c r="J305" s="72">
        <v>-3271.36</v>
      </c>
      <c r="K305" s="73">
        <v>44232</v>
      </c>
      <c r="L305" s="73">
        <v>44232</v>
      </c>
      <c r="M305" s="73">
        <v>44253</v>
      </c>
      <c r="N305" s="71" t="s">
        <v>38</v>
      </c>
    </row>
    <row r="306" spans="1:14" ht="15">
      <c r="A306" s="71" t="s">
        <v>216</v>
      </c>
      <c r="B306" s="71" t="s">
        <v>146</v>
      </c>
      <c r="C306" s="71" t="s">
        <v>147</v>
      </c>
      <c r="D306" s="71" t="s">
        <v>392</v>
      </c>
      <c r="E306" s="71" t="s">
        <v>24</v>
      </c>
      <c r="F306" s="71" t="s">
        <v>398</v>
      </c>
      <c r="G306" s="71" t="s">
        <v>37</v>
      </c>
      <c r="H306" s="71" t="s">
        <v>24</v>
      </c>
      <c r="I306" s="71" t="s">
        <v>39</v>
      </c>
      <c r="J306" s="72">
        <v>-1728.64</v>
      </c>
      <c r="K306" s="73">
        <v>44378</v>
      </c>
      <c r="L306" s="73">
        <v>44378</v>
      </c>
      <c r="M306" s="73">
        <v>44407</v>
      </c>
      <c r="N306" s="71" t="s">
        <v>38</v>
      </c>
    </row>
    <row r="307" spans="1:14" ht="15">
      <c r="A307" s="71" t="s">
        <v>216</v>
      </c>
      <c r="B307" s="71" t="s">
        <v>146</v>
      </c>
      <c r="C307" s="71" t="s">
        <v>147</v>
      </c>
      <c r="D307" s="71" t="s">
        <v>392</v>
      </c>
      <c r="E307" s="71" t="s">
        <v>24</v>
      </c>
      <c r="F307" s="71" t="s">
        <v>398</v>
      </c>
      <c r="G307" s="71" t="s">
        <v>47</v>
      </c>
      <c r="H307" s="71" t="s">
        <v>24</v>
      </c>
      <c r="I307" s="71" t="s">
        <v>39</v>
      </c>
      <c r="J307" s="72">
        <v>-5000</v>
      </c>
      <c r="K307" s="73">
        <v>44378</v>
      </c>
      <c r="L307" s="73">
        <v>44378</v>
      </c>
      <c r="M307" s="73">
        <v>44407</v>
      </c>
      <c r="N307" s="71" t="s">
        <v>38</v>
      </c>
    </row>
    <row r="308" spans="1:14" ht="15">
      <c r="A308" s="71" t="s">
        <v>216</v>
      </c>
      <c r="B308" s="71" t="s">
        <v>210</v>
      </c>
      <c r="C308" s="71" t="s">
        <v>211</v>
      </c>
      <c r="D308" s="71" t="s">
        <v>467</v>
      </c>
      <c r="E308" s="71" t="s">
        <v>24</v>
      </c>
      <c r="F308" s="71" t="s">
        <v>499</v>
      </c>
      <c r="G308" s="71" t="s">
        <v>40</v>
      </c>
      <c r="H308" s="71" t="s">
        <v>24</v>
      </c>
      <c r="I308" s="71" t="s">
        <v>39</v>
      </c>
      <c r="J308" s="72">
        <v>-51973</v>
      </c>
      <c r="K308" s="73">
        <v>44412</v>
      </c>
      <c r="L308" s="73">
        <v>44412</v>
      </c>
      <c r="M308" s="73">
        <v>44412</v>
      </c>
      <c r="N308" s="71" t="s">
        <v>38</v>
      </c>
    </row>
    <row r="309" spans="1:14" ht="15">
      <c r="A309" s="71" t="s">
        <v>216</v>
      </c>
      <c r="B309" s="71" t="s">
        <v>210</v>
      </c>
      <c r="C309" s="71" t="s">
        <v>211</v>
      </c>
      <c r="D309" s="71" t="s">
        <v>467</v>
      </c>
      <c r="E309" s="71" t="s">
        <v>24</v>
      </c>
      <c r="F309" s="71" t="s">
        <v>499</v>
      </c>
      <c r="G309" s="71" t="s">
        <v>42</v>
      </c>
      <c r="H309" s="71" t="s">
        <v>24</v>
      </c>
      <c r="I309" s="71" t="s">
        <v>39</v>
      </c>
      <c r="J309" s="72">
        <v>-36128.54</v>
      </c>
      <c r="K309" s="73">
        <v>44412</v>
      </c>
      <c r="L309" s="73">
        <v>44412</v>
      </c>
      <c r="M309" s="73">
        <v>44412</v>
      </c>
      <c r="N309" s="71" t="s">
        <v>38</v>
      </c>
    </row>
    <row r="310" spans="1:14" ht="15">
      <c r="A310" s="71" t="s">
        <v>216</v>
      </c>
      <c r="B310" s="71" t="s">
        <v>210</v>
      </c>
      <c r="C310" s="71" t="s">
        <v>211</v>
      </c>
      <c r="D310" s="71" t="s">
        <v>467</v>
      </c>
      <c r="E310" s="71" t="s">
        <v>24</v>
      </c>
      <c r="F310" s="71" t="s">
        <v>499</v>
      </c>
      <c r="G310" s="71" t="s">
        <v>42</v>
      </c>
      <c r="H310" s="71" t="s">
        <v>24</v>
      </c>
      <c r="I310" s="71" t="s">
        <v>39</v>
      </c>
      <c r="J310" s="72">
        <v>-15844.46</v>
      </c>
      <c r="K310" s="73">
        <v>44412</v>
      </c>
      <c r="L310" s="73">
        <v>44412</v>
      </c>
      <c r="M310" s="73">
        <v>44434</v>
      </c>
      <c r="N310" s="71" t="s">
        <v>38</v>
      </c>
    </row>
    <row r="311" spans="1:14" ht="15">
      <c r="A311" s="71" t="s">
        <v>216</v>
      </c>
      <c r="B311" s="71" t="s">
        <v>210</v>
      </c>
      <c r="C311" s="71" t="s">
        <v>211</v>
      </c>
      <c r="D311" s="71" t="s">
        <v>467</v>
      </c>
      <c r="E311" s="71" t="s">
        <v>24</v>
      </c>
      <c r="F311" s="71" t="s">
        <v>499</v>
      </c>
      <c r="G311" s="71" t="s">
        <v>37</v>
      </c>
      <c r="H311" s="71" t="s">
        <v>24</v>
      </c>
      <c r="I311" s="71" t="s">
        <v>39</v>
      </c>
      <c r="J311" s="72">
        <v>-51973</v>
      </c>
      <c r="K311" s="73">
        <v>44412</v>
      </c>
      <c r="L311" s="73">
        <v>44412</v>
      </c>
      <c r="M311" s="73">
        <v>44434</v>
      </c>
      <c r="N311" s="71" t="s">
        <v>38</v>
      </c>
    </row>
    <row r="312" spans="1:14" ht="15">
      <c r="A312" s="71" t="s">
        <v>216</v>
      </c>
      <c r="B312" s="71" t="s">
        <v>210</v>
      </c>
      <c r="C312" s="71" t="s">
        <v>211</v>
      </c>
      <c r="D312" s="71" t="s">
        <v>467</v>
      </c>
      <c r="E312" s="71" t="s">
        <v>24</v>
      </c>
      <c r="F312" s="71" t="s">
        <v>499</v>
      </c>
      <c r="G312" s="71" t="s">
        <v>47</v>
      </c>
      <c r="H312" s="71" t="s">
        <v>24</v>
      </c>
      <c r="I312" s="71" t="s">
        <v>39</v>
      </c>
      <c r="J312" s="72">
        <v>-25994.400000000001</v>
      </c>
      <c r="K312" s="73">
        <v>44412</v>
      </c>
      <c r="L312" s="73">
        <v>44412</v>
      </c>
      <c r="M312" s="73">
        <v>44434</v>
      </c>
      <c r="N312" s="71" t="s">
        <v>38</v>
      </c>
    </row>
    <row r="313" spans="1:14" ht="15">
      <c r="A313" s="71" t="s">
        <v>216</v>
      </c>
      <c r="B313" s="71" t="s">
        <v>210</v>
      </c>
      <c r="C313" s="71" t="s">
        <v>211</v>
      </c>
      <c r="D313" s="71" t="s">
        <v>467</v>
      </c>
      <c r="E313" s="71" t="s">
        <v>24</v>
      </c>
      <c r="F313" s="71" t="s">
        <v>499</v>
      </c>
      <c r="G313" s="71" t="s">
        <v>47</v>
      </c>
      <c r="H313" s="71" t="s">
        <v>24</v>
      </c>
      <c r="I313" s="71" t="s">
        <v>39</v>
      </c>
      <c r="J313" s="72">
        <v>-25978.6</v>
      </c>
      <c r="K313" s="73">
        <v>44636</v>
      </c>
      <c r="L313" s="73">
        <v>44636</v>
      </c>
      <c r="M313" s="73">
        <v>44638</v>
      </c>
      <c r="N313" s="71" t="s">
        <v>38</v>
      </c>
    </row>
    <row r="314" spans="1:14" ht="15">
      <c r="A314" s="71" t="s">
        <v>216</v>
      </c>
      <c r="B314" s="71" t="s">
        <v>210</v>
      </c>
      <c r="C314" s="71" t="s">
        <v>211</v>
      </c>
      <c r="D314" s="71" t="s">
        <v>467</v>
      </c>
      <c r="E314" s="71" t="s">
        <v>24</v>
      </c>
      <c r="F314" s="71" t="s">
        <v>499</v>
      </c>
      <c r="G314" s="71" t="s">
        <v>26</v>
      </c>
      <c r="H314" s="71" t="s">
        <v>24</v>
      </c>
      <c r="I314" s="71" t="s">
        <v>39</v>
      </c>
      <c r="J314" s="72">
        <v>-29265</v>
      </c>
      <c r="K314" s="73">
        <v>44636</v>
      </c>
      <c r="L314" s="73">
        <v>44636</v>
      </c>
      <c r="M314" s="73">
        <v>44638</v>
      </c>
      <c r="N314" s="71" t="s">
        <v>38</v>
      </c>
    </row>
    <row r="315" spans="1:14" ht="15">
      <c r="A315" s="71" t="s">
        <v>216</v>
      </c>
      <c r="B315" s="71" t="s">
        <v>148</v>
      </c>
      <c r="C315" s="71" t="s">
        <v>149</v>
      </c>
      <c r="D315" s="71" t="s">
        <v>392</v>
      </c>
      <c r="E315" s="71" t="s">
        <v>24</v>
      </c>
      <c r="F315" s="71" t="s">
        <v>399</v>
      </c>
      <c r="G315" s="71" t="s">
        <v>40</v>
      </c>
      <c r="H315" s="71" t="s">
        <v>24</v>
      </c>
      <c r="I315" s="71" t="s">
        <v>39</v>
      </c>
      <c r="J315" s="72">
        <v>-120000</v>
      </c>
      <c r="K315" s="73">
        <v>44232</v>
      </c>
      <c r="L315" s="73">
        <v>44232</v>
      </c>
      <c r="M315" s="73">
        <v>44253</v>
      </c>
      <c r="N315" s="71" t="s">
        <v>38</v>
      </c>
    </row>
    <row r="316" spans="1:14" ht="15">
      <c r="A316" s="71" t="s">
        <v>216</v>
      </c>
      <c r="B316" s="71" t="s">
        <v>148</v>
      </c>
      <c r="C316" s="71" t="s">
        <v>149</v>
      </c>
      <c r="D316" s="71" t="s">
        <v>392</v>
      </c>
      <c r="E316" s="71" t="s">
        <v>24</v>
      </c>
      <c r="F316" s="71" t="s">
        <v>399</v>
      </c>
      <c r="G316" s="71" t="s">
        <v>42</v>
      </c>
      <c r="H316" s="71" t="s">
        <v>24</v>
      </c>
      <c r="I316" s="71" t="s">
        <v>39</v>
      </c>
      <c r="J316" s="72">
        <v>-58484.18</v>
      </c>
      <c r="K316" s="73">
        <v>44232</v>
      </c>
      <c r="L316" s="73">
        <v>44232</v>
      </c>
      <c r="M316" s="73">
        <v>44253</v>
      </c>
      <c r="N316" s="71" t="s">
        <v>38</v>
      </c>
    </row>
    <row r="317" spans="1:14" ht="15">
      <c r="A317" s="71" t="s">
        <v>216</v>
      </c>
      <c r="B317" s="71" t="s">
        <v>148</v>
      </c>
      <c r="C317" s="71" t="s">
        <v>149</v>
      </c>
      <c r="D317" s="71" t="s">
        <v>392</v>
      </c>
      <c r="E317" s="71" t="s">
        <v>24</v>
      </c>
      <c r="F317" s="71" t="s">
        <v>399</v>
      </c>
      <c r="G317" s="71" t="s">
        <v>42</v>
      </c>
      <c r="H317" s="71" t="s">
        <v>24</v>
      </c>
      <c r="I317" s="71" t="s">
        <v>39</v>
      </c>
      <c r="J317" s="72">
        <v>-61515.82</v>
      </c>
      <c r="K317" s="73">
        <v>44378</v>
      </c>
      <c r="L317" s="73">
        <v>44378</v>
      </c>
      <c r="M317" s="73">
        <v>44407</v>
      </c>
      <c r="N317" s="71" t="s">
        <v>38</v>
      </c>
    </row>
    <row r="318" spans="1:14" ht="15">
      <c r="A318" s="71" t="s">
        <v>216</v>
      </c>
      <c r="B318" s="71" t="s">
        <v>148</v>
      </c>
      <c r="C318" s="71" t="s">
        <v>149</v>
      </c>
      <c r="D318" s="71" t="s">
        <v>392</v>
      </c>
      <c r="E318" s="71" t="s">
        <v>24</v>
      </c>
      <c r="F318" s="71" t="s">
        <v>399</v>
      </c>
      <c r="G318" s="71" t="s">
        <v>37</v>
      </c>
      <c r="H318" s="71" t="s">
        <v>24</v>
      </c>
      <c r="I318" s="71" t="s">
        <v>39</v>
      </c>
      <c r="J318" s="72">
        <v>-120000</v>
      </c>
      <c r="K318" s="73">
        <v>44378</v>
      </c>
      <c r="L318" s="73">
        <v>44378</v>
      </c>
      <c r="M318" s="73">
        <v>44407</v>
      </c>
      <c r="N318" s="71" t="s">
        <v>38</v>
      </c>
    </row>
    <row r="319" spans="1:14" ht="15">
      <c r="A319" s="71" t="s">
        <v>216</v>
      </c>
      <c r="B319" s="71" t="s">
        <v>148</v>
      </c>
      <c r="C319" s="71" t="s">
        <v>149</v>
      </c>
      <c r="D319" s="71" t="s">
        <v>392</v>
      </c>
      <c r="E319" s="71" t="s">
        <v>24</v>
      </c>
      <c r="F319" s="71" t="s">
        <v>399</v>
      </c>
      <c r="G319" s="71" t="s">
        <v>47</v>
      </c>
      <c r="H319" s="71" t="s">
        <v>24</v>
      </c>
      <c r="I319" s="71" t="s">
        <v>39</v>
      </c>
      <c r="J319" s="72">
        <v>-28449.43</v>
      </c>
      <c r="K319" s="73">
        <v>44378</v>
      </c>
      <c r="L319" s="73">
        <v>44378</v>
      </c>
      <c r="M319" s="73">
        <v>44407</v>
      </c>
      <c r="N319" s="71" t="s">
        <v>38</v>
      </c>
    </row>
    <row r="320" spans="1:14" ht="15">
      <c r="A320" s="71" t="s">
        <v>216</v>
      </c>
      <c r="B320" s="71" t="s">
        <v>148</v>
      </c>
      <c r="C320" s="71" t="s">
        <v>149</v>
      </c>
      <c r="D320" s="71" t="s">
        <v>392</v>
      </c>
      <c r="E320" s="71" t="s">
        <v>24</v>
      </c>
      <c r="F320" s="71" t="s">
        <v>399</v>
      </c>
      <c r="G320" s="71" t="s">
        <v>47</v>
      </c>
      <c r="H320" s="71" t="s">
        <v>24</v>
      </c>
      <c r="I320" s="71" t="s">
        <v>39</v>
      </c>
      <c r="J320" s="72">
        <v>-66550.570000000007</v>
      </c>
      <c r="K320" s="73">
        <v>44484</v>
      </c>
      <c r="L320" s="73">
        <v>44484</v>
      </c>
      <c r="M320" s="73">
        <v>44494</v>
      </c>
      <c r="N320" s="71" t="s">
        <v>38</v>
      </c>
    </row>
    <row r="321" spans="1:14" ht="15">
      <c r="A321" s="71" t="s">
        <v>216</v>
      </c>
      <c r="B321" s="71" t="s">
        <v>97</v>
      </c>
      <c r="C321" s="71" t="s">
        <v>98</v>
      </c>
      <c r="D321" s="71" t="s">
        <v>392</v>
      </c>
      <c r="E321" s="71" t="s">
        <v>24</v>
      </c>
      <c r="F321" s="71" t="s">
        <v>400</v>
      </c>
      <c r="G321" s="71" t="s">
        <v>40</v>
      </c>
      <c r="H321" s="71" t="s">
        <v>24</v>
      </c>
      <c r="I321" s="71" t="s">
        <v>39</v>
      </c>
      <c r="J321" s="72">
        <v>-17000</v>
      </c>
      <c r="K321" s="73">
        <v>44232</v>
      </c>
      <c r="L321" s="73">
        <v>44232</v>
      </c>
      <c r="M321" s="73">
        <v>44253</v>
      </c>
      <c r="N321" s="71" t="s">
        <v>38</v>
      </c>
    </row>
    <row r="322" spans="1:14" ht="15">
      <c r="A322" s="71" t="s">
        <v>216</v>
      </c>
      <c r="B322" s="71" t="s">
        <v>97</v>
      </c>
      <c r="C322" s="71" t="s">
        <v>98</v>
      </c>
      <c r="D322" s="71" t="s">
        <v>392</v>
      </c>
      <c r="E322" s="71" t="s">
        <v>24</v>
      </c>
      <c r="F322" s="71" t="s">
        <v>400</v>
      </c>
      <c r="G322" s="71" t="s">
        <v>42</v>
      </c>
      <c r="H322" s="71" t="s">
        <v>24</v>
      </c>
      <c r="I322" s="71" t="s">
        <v>39</v>
      </c>
      <c r="J322" s="72">
        <v>-8405.3700000000008</v>
      </c>
      <c r="K322" s="73">
        <v>44232</v>
      </c>
      <c r="L322" s="73">
        <v>44232</v>
      </c>
      <c r="M322" s="73">
        <v>44253</v>
      </c>
      <c r="N322" s="71" t="s">
        <v>38</v>
      </c>
    </row>
    <row r="323" spans="1:14" ht="15">
      <c r="A323" s="71" t="s">
        <v>216</v>
      </c>
      <c r="B323" s="71" t="s">
        <v>97</v>
      </c>
      <c r="C323" s="71" t="s">
        <v>98</v>
      </c>
      <c r="D323" s="71" t="s">
        <v>392</v>
      </c>
      <c r="E323" s="71" t="s">
        <v>24</v>
      </c>
      <c r="F323" s="71" t="s">
        <v>400</v>
      </c>
      <c r="G323" s="71" t="s">
        <v>42</v>
      </c>
      <c r="H323" s="71" t="s">
        <v>24</v>
      </c>
      <c r="I323" s="71" t="s">
        <v>39</v>
      </c>
      <c r="J323" s="72">
        <v>-8594.6299999999992</v>
      </c>
      <c r="K323" s="73">
        <v>44378</v>
      </c>
      <c r="L323" s="73">
        <v>44378</v>
      </c>
      <c r="M323" s="73">
        <v>44407</v>
      </c>
      <c r="N323" s="71" t="s">
        <v>38</v>
      </c>
    </row>
    <row r="324" spans="1:14" ht="15">
      <c r="A324" s="71" t="s">
        <v>216</v>
      </c>
      <c r="B324" s="71" t="s">
        <v>97</v>
      </c>
      <c r="C324" s="71" t="s">
        <v>98</v>
      </c>
      <c r="D324" s="71" t="s">
        <v>392</v>
      </c>
      <c r="E324" s="71" t="s">
        <v>24</v>
      </c>
      <c r="F324" s="71" t="s">
        <v>400</v>
      </c>
      <c r="G324" s="71" t="s">
        <v>37</v>
      </c>
      <c r="H324" s="71" t="s">
        <v>24</v>
      </c>
      <c r="I324" s="71" t="s">
        <v>39</v>
      </c>
      <c r="J324" s="72">
        <v>-12731.98</v>
      </c>
      <c r="K324" s="73">
        <v>44378</v>
      </c>
      <c r="L324" s="73">
        <v>44378</v>
      </c>
      <c r="M324" s="73">
        <v>44407</v>
      </c>
      <c r="N324" s="71" t="s">
        <v>38</v>
      </c>
    </row>
    <row r="325" spans="1:14" ht="15">
      <c r="A325" s="71" t="s">
        <v>216</v>
      </c>
      <c r="B325" s="71" t="s">
        <v>97</v>
      </c>
      <c r="C325" s="71" t="s">
        <v>98</v>
      </c>
      <c r="D325" s="71" t="s">
        <v>392</v>
      </c>
      <c r="E325" s="71" t="s">
        <v>24</v>
      </c>
      <c r="F325" s="71" t="s">
        <v>400</v>
      </c>
      <c r="G325" s="71" t="s">
        <v>37</v>
      </c>
      <c r="H325" s="71" t="s">
        <v>24</v>
      </c>
      <c r="I325" s="71" t="s">
        <v>39</v>
      </c>
      <c r="J325" s="72">
        <v>-4268.0200000000004</v>
      </c>
      <c r="K325" s="73">
        <v>44484</v>
      </c>
      <c r="L325" s="73">
        <v>44484</v>
      </c>
      <c r="M325" s="73">
        <v>44494</v>
      </c>
      <c r="N325" s="71" t="s">
        <v>38</v>
      </c>
    </row>
    <row r="326" spans="1:14" ht="15">
      <c r="A326" s="71" t="s">
        <v>216</v>
      </c>
      <c r="B326" s="71" t="s">
        <v>97</v>
      </c>
      <c r="C326" s="71" t="s">
        <v>98</v>
      </c>
      <c r="D326" s="71" t="s">
        <v>392</v>
      </c>
      <c r="E326" s="71" t="s">
        <v>24</v>
      </c>
      <c r="F326" s="71" t="s">
        <v>400</v>
      </c>
      <c r="G326" s="71" t="s">
        <v>47</v>
      </c>
      <c r="H326" s="71" t="s">
        <v>24</v>
      </c>
      <c r="I326" s="71" t="s">
        <v>39</v>
      </c>
      <c r="J326" s="72">
        <v>-14000</v>
      </c>
      <c r="K326" s="73">
        <v>44484</v>
      </c>
      <c r="L326" s="73">
        <v>44484</v>
      </c>
      <c r="M326" s="73">
        <v>44494</v>
      </c>
      <c r="N326" s="71" t="s">
        <v>38</v>
      </c>
    </row>
    <row r="327" spans="1:14" ht="15">
      <c r="A327" s="71" t="s">
        <v>216</v>
      </c>
      <c r="B327" s="71" t="s">
        <v>114</v>
      </c>
      <c r="C327" s="71" t="s">
        <v>115</v>
      </c>
      <c r="D327" s="71" t="s">
        <v>555</v>
      </c>
      <c r="E327" s="71" t="s">
        <v>24</v>
      </c>
      <c r="F327" s="71" t="s">
        <v>556</v>
      </c>
      <c r="G327" s="71" t="s">
        <v>40</v>
      </c>
      <c r="H327" s="71" t="s">
        <v>24</v>
      </c>
      <c r="I327" s="71" t="s">
        <v>39</v>
      </c>
      <c r="J327" s="72">
        <v>-445000</v>
      </c>
      <c r="K327" s="73">
        <v>44484</v>
      </c>
      <c r="L327" s="73">
        <v>44484</v>
      </c>
      <c r="M327" s="73">
        <v>44494</v>
      </c>
      <c r="N327" s="71" t="s">
        <v>38</v>
      </c>
    </row>
    <row r="328" spans="1:14" ht="15">
      <c r="A328" s="71" t="s">
        <v>216</v>
      </c>
      <c r="B328" s="71" t="s">
        <v>469</v>
      </c>
      <c r="C328" s="71" t="s">
        <v>470</v>
      </c>
      <c r="D328" s="71" t="s">
        <v>436</v>
      </c>
      <c r="E328" s="71" t="s">
        <v>24</v>
      </c>
      <c r="F328" s="71" t="s">
        <v>471</v>
      </c>
      <c r="G328" s="71" t="s">
        <v>40</v>
      </c>
      <c r="H328" s="71" t="s">
        <v>24</v>
      </c>
      <c r="I328" s="71" t="s">
        <v>39</v>
      </c>
      <c r="J328" s="72">
        <v>-70398.899999999994</v>
      </c>
      <c r="K328" s="73">
        <v>44322</v>
      </c>
      <c r="L328" s="73">
        <v>44322</v>
      </c>
      <c r="M328" s="73">
        <v>44330</v>
      </c>
      <c r="N328" s="71" t="s">
        <v>38</v>
      </c>
    </row>
    <row r="329" spans="1:14" ht="15">
      <c r="A329" s="71" t="s">
        <v>216</v>
      </c>
      <c r="B329" s="71" t="s">
        <v>469</v>
      </c>
      <c r="C329" s="71" t="s">
        <v>470</v>
      </c>
      <c r="D329" s="71" t="s">
        <v>436</v>
      </c>
      <c r="E329" s="71" t="s">
        <v>24</v>
      </c>
      <c r="F329" s="71" t="s">
        <v>471</v>
      </c>
      <c r="G329" s="71" t="s">
        <v>40</v>
      </c>
      <c r="H329" s="71" t="s">
        <v>24</v>
      </c>
      <c r="I329" s="71" t="s">
        <v>39</v>
      </c>
      <c r="J329" s="72">
        <v>-46020.1</v>
      </c>
      <c r="K329" s="73">
        <v>44405</v>
      </c>
      <c r="L329" s="73">
        <v>44405</v>
      </c>
      <c r="M329" s="73">
        <v>44407</v>
      </c>
      <c r="N329" s="71" t="s">
        <v>38</v>
      </c>
    </row>
    <row r="330" spans="1:14" ht="15">
      <c r="A330" s="71" t="s">
        <v>216</v>
      </c>
      <c r="B330" s="71" t="s">
        <v>469</v>
      </c>
      <c r="C330" s="71" t="s">
        <v>470</v>
      </c>
      <c r="D330" s="71" t="s">
        <v>436</v>
      </c>
      <c r="E330" s="71" t="s">
        <v>24</v>
      </c>
      <c r="F330" s="71" t="s">
        <v>471</v>
      </c>
      <c r="G330" s="71" t="s">
        <v>42</v>
      </c>
      <c r="H330" s="71" t="s">
        <v>24</v>
      </c>
      <c r="I330" s="71" t="s">
        <v>39</v>
      </c>
      <c r="J330" s="72">
        <v>-116419</v>
      </c>
      <c r="K330" s="73">
        <v>44405</v>
      </c>
      <c r="L330" s="73">
        <v>44405</v>
      </c>
      <c r="M330" s="73">
        <v>44407</v>
      </c>
      <c r="N330" s="71" t="s">
        <v>38</v>
      </c>
    </row>
    <row r="331" spans="1:14" ht="15">
      <c r="A331" s="71" t="s">
        <v>216</v>
      </c>
      <c r="B331" s="71" t="s">
        <v>469</v>
      </c>
      <c r="C331" s="71" t="s">
        <v>470</v>
      </c>
      <c r="D331" s="71" t="s">
        <v>436</v>
      </c>
      <c r="E331" s="71" t="s">
        <v>24</v>
      </c>
      <c r="F331" s="71" t="s">
        <v>471</v>
      </c>
      <c r="G331" s="71" t="s">
        <v>37</v>
      </c>
      <c r="H331" s="71" t="s">
        <v>24</v>
      </c>
      <c r="I331" s="71" t="s">
        <v>39</v>
      </c>
      <c r="J331" s="72">
        <v>-116419</v>
      </c>
      <c r="K331" s="73">
        <v>44405</v>
      </c>
      <c r="L331" s="73">
        <v>44405</v>
      </c>
      <c r="M331" s="73">
        <v>44407</v>
      </c>
      <c r="N331" s="71" t="s">
        <v>38</v>
      </c>
    </row>
    <row r="332" spans="1:14" ht="15">
      <c r="A332" s="71" t="s">
        <v>216</v>
      </c>
      <c r="B332" s="71" t="s">
        <v>469</v>
      </c>
      <c r="C332" s="71" t="s">
        <v>470</v>
      </c>
      <c r="D332" s="71" t="s">
        <v>436</v>
      </c>
      <c r="E332" s="71" t="s">
        <v>24</v>
      </c>
      <c r="F332" s="71" t="s">
        <v>471</v>
      </c>
      <c r="G332" s="71" t="s">
        <v>47</v>
      </c>
      <c r="H332" s="71" t="s">
        <v>24</v>
      </c>
      <c r="I332" s="71" t="s">
        <v>39</v>
      </c>
      <c r="J332" s="72">
        <v>-72929.08</v>
      </c>
      <c r="K332" s="73">
        <v>44405</v>
      </c>
      <c r="L332" s="73">
        <v>44405</v>
      </c>
      <c r="M332" s="73">
        <v>44407</v>
      </c>
      <c r="N332" s="71" t="s">
        <v>38</v>
      </c>
    </row>
    <row r="333" spans="1:14" ht="15">
      <c r="A333" s="71" t="s">
        <v>216</v>
      </c>
      <c r="B333" s="71" t="s">
        <v>469</v>
      </c>
      <c r="C333" s="71" t="s">
        <v>470</v>
      </c>
      <c r="D333" s="71" t="s">
        <v>436</v>
      </c>
      <c r="E333" s="71" t="s">
        <v>24</v>
      </c>
      <c r="F333" s="71" t="s">
        <v>471</v>
      </c>
      <c r="G333" s="71" t="s">
        <v>47</v>
      </c>
      <c r="H333" s="71" t="s">
        <v>24</v>
      </c>
      <c r="I333" s="71" t="s">
        <v>39</v>
      </c>
      <c r="J333" s="72">
        <v>-43489.919999999998</v>
      </c>
      <c r="K333" s="73">
        <v>44484</v>
      </c>
      <c r="L333" s="73">
        <v>44484</v>
      </c>
      <c r="M333" s="73">
        <v>44494</v>
      </c>
      <c r="N333" s="71" t="s">
        <v>38</v>
      </c>
    </row>
    <row r="334" spans="1:14" ht="15">
      <c r="A334" s="71" t="s">
        <v>216</v>
      </c>
      <c r="B334" s="71" t="s">
        <v>139</v>
      </c>
      <c r="C334" s="71" t="s">
        <v>140</v>
      </c>
      <c r="D334" s="71" t="s">
        <v>570</v>
      </c>
      <c r="E334" s="71" t="s">
        <v>24</v>
      </c>
      <c r="F334" s="71" t="s">
        <v>577</v>
      </c>
      <c r="G334" s="71" t="s">
        <v>40</v>
      </c>
      <c r="H334" s="71" t="s">
        <v>24</v>
      </c>
      <c r="I334" s="71" t="s">
        <v>39</v>
      </c>
      <c r="J334" s="72">
        <v>-20000</v>
      </c>
      <c r="K334" s="73">
        <v>44581</v>
      </c>
      <c r="L334" s="73">
        <v>44581</v>
      </c>
      <c r="M334" s="73">
        <v>44581</v>
      </c>
      <c r="N334" s="71" t="s">
        <v>38</v>
      </c>
    </row>
    <row r="335" spans="1:14" ht="15">
      <c r="A335" s="71" t="s">
        <v>216</v>
      </c>
      <c r="B335" s="71" t="s">
        <v>238</v>
      </c>
      <c r="C335" s="71" t="s">
        <v>239</v>
      </c>
      <c r="D335" s="71" t="s">
        <v>392</v>
      </c>
      <c r="E335" s="71" t="s">
        <v>24</v>
      </c>
      <c r="F335" s="71" t="s">
        <v>401</v>
      </c>
      <c r="G335" s="71" t="s">
        <v>40</v>
      </c>
      <c r="H335" s="71" t="s">
        <v>24</v>
      </c>
      <c r="I335" s="71" t="s">
        <v>39</v>
      </c>
      <c r="J335" s="72">
        <v>-90000</v>
      </c>
      <c r="K335" s="73">
        <v>44232</v>
      </c>
      <c r="L335" s="73">
        <v>44232</v>
      </c>
      <c r="M335" s="73">
        <v>44253</v>
      </c>
      <c r="N335" s="71" t="s">
        <v>38</v>
      </c>
    </row>
    <row r="336" spans="1:14" ht="15">
      <c r="A336" s="71" t="s">
        <v>216</v>
      </c>
      <c r="B336" s="71" t="s">
        <v>238</v>
      </c>
      <c r="C336" s="71" t="s">
        <v>239</v>
      </c>
      <c r="D336" s="71" t="s">
        <v>392</v>
      </c>
      <c r="E336" s="71" t="s">
        <v>24</v>
      </c>
      <c r="F336" s="71" t="s">
        <v>401</v>
      </c>
      <c r="G336" s="71" t="s">
        <v>42</v>
      </c>
      <c r="H336" s="71" t="s">
        <v>24</v>
      </c>
      <c r="I336" s="71" t="s">
        <v>39</v>
      </c>
      <c r="J336" s="72">
        <v>-22393.15</v>
      </c>
      <c r="K336" s="73">
        <v>44232</v>
      </c>
      <c r="L336" s="73">
        <v>44232</v>
      </c>
      <c r="M336" s="73">
        <v>44253</v>
      </c>
      <c r="N336" s="71" t="s">
        <v>38</v>
      </c>
    </row>
    <row r="337" spans="1:14" ht="15">
      <c r="A337" s="71" t="s">
        <v>216</v>
      </c>
      <c r="B337" s="71" t="s">
        <v>238</v>
      </c>
      <c r="C337" s="71" t="s">
        <v>239</v>
      </c>
      <c r="D337" s="71" t="s">
        <v>392</v>
      </c>
      <c r="E337" s="71" t="s">
        <v>24</v>
      </c>
      <c r="F337" s="71" t="s">
        <v>401</v>
      </c>
      <c r="G337" s="71" t="s">
        <v>42</v>
      </c>
      <c r="H337" s="71" t="s">
        <v>24</v>
      </c>
      <c r="I337" s="71" t="s">
        <v>39</v>
      </c>
      <c r="J337" s="72">
        <v>-62606.85</v>
      </c>
      <c r="K337" s="73">
        <v>44378</v>
      </c>
      <c r="L337" s="73">
        <v>44378</v>
      </c>
      <c r="M337" s="73">
        <v>44407</v>
      </c>
      <c r="N337" s="71" t="s">
        <v>38</v>
      </c>
    </row>
    <row r="338" spans="1:14" ht="15">
      <c r="A338" s="71" t="s">
        <v>216</v>
      </c>
      <c r="B338" s="71" t="s">
        <v>238</v>
      </c>
      <c r="C338" s="71" t="s">
        <v>239</v>
      </c>
      <c r="D338" s="71" t="s">
        <v>392</v>
      </c>
      <c r="E338" s="71" t="s">
        <v>24</v>
      </c>
      <c r="F338" s="71" t="s">
        <v>401</v>
      </c>
      <c r="G338" s="71" t="s">
        <v>37</v>
      </c>
      <c r="H338" s="71" t="s">
        <v>24</v>
      </c>
      <c r="I338" s="71" t="s">
        <v>39</v>
      </c>
      <c r="J338" s="72">
        <v>-35625.279999999999</v>
      </c>
      <c r="K338" s="73">
        <v>44378</v>
      </c>
      <c r="L338" s="73">
        <v>44378</v>
      </c>
      <c r="M338" s="73">
        <v>44407</v>
      </c>
      <c r="N338" s="71" t="s">
        <v>38</v>
      </c>
    </row>
    <row r="339" spans="1:14" ht="15">
      <c r="A339" s="71" t="s">
        <v>216</v>
      </c>
      <c r="B339" s="71" t="s">
        <v>238</v>
      </c>
      <c r="C339" s="71" t="s">
        <v>239</v>
      </c>
      <c r="D339" s="71" t="s">
        <v>392</v>
      </c>
      <c r="E339" s="71" t="s">
        <v>24</v>
      </c>
      <c r="F339" s="71" t="s">
        <v>401</v>
      </c>
      <c r="G339" s="71" t="s">
        <v>37</v>
      </c>
      <c r="H339" s="71" t="s">
        <v>24</v>
      </c>
      <c r="I339" s="71" t="s">
        <v>39</v>
      </c>
      <c r="J339" s="72">
        <v>-49374.720000000001</v>
      </c>
      <c r="K339" s="73">
        <v>44484</v>
      </c>
      <c r="L339" s="73">
        <v>44484</v>
      </c>
      <c r="M339" s="73">
        <v>44494</v>
      </c>
      <c r="N339" s="71" t="s">
        <v>38</v>
      </c>
    </row>
    <row r="340" spans="1:14" ht="15">
      <c r="A340" s="71" t="s">
        <v>216</v>
      </c>
      <c r="B340" s="71" t="s">
        <v>238</v>
      </c>
      <c r="C340" s="71" t="s">
        <v>239</v>
      </c>
      <c r="D340" s="71" t="s">
        <v>392</v>
      </c>
      <c r="E340" s="71" t="s">
        <v>24</v>
      </c>
      <c r="F340" s="71" t="s">
        <v>401</v>
      </c>
      <c r="G340" s="71" t="s">
        <v>47</v>
      </c>
      <c r="H340" s="71" t="s">
        <v>24</v>
      </c>
      <c r="I340" s="71" t="s">
        <v>39</v>
      </c>
      <c r="J340" s="72">
        <v>-45089.46</v>
      </c>
      <c r="K340" s="73">
        <v>44484</v>
      </c>
      <c r="L340" s="73">
        <v>44484</v>
      </c>
      <c r="M340" s="73">
        <v>44494</v>
      </c>
      <c r="N340" s="71" t="s">
        <v>38</v>
      </c>
    </row>
    <row r="341" spans="1:14" ht="15">
      <c r="A341" s="71" t="s">
        <v>216</v>
      </c>
      <c r="B341" s="71" t="s">
        <v>238</v>
      </c>
      <c r="C341" s="71" t="s">
        <v>239</v>
      </c>
      <c r="D341" s="71" t="s">
        <v>392</v>
      </c>
      <c r="E341" s="71" t="s">
        <v>24</v>
      </c>
      <c r="F341" s="71" t="s">
        <v>401</v>
      </c>
      <c r="G341" s="71" t="s">
        <v>47</v>
      </c>
      <c r="H341" s="71" t="s">
        <v>24</v>
      </c>
      <c r="I341" s="71" t="s">
        <v>39</v>
      </c>
      <c r="J341" s="72">
        <v>-14910.54</v>
      </c>
      <c r="K341" s="73">
        <v>44622</v>
      </c>
      <c r="L341" s="73">
        <v>44622</v>
      </c>
      <c r="M341" s="73">
        <v>44638</v>
      </c>
      <c r="N341" s="71" t="s">
        <v>38</v>
      </c>
    </row>
    <row r="342" spans="1:14" ht="15">
      <c r="A342" s="71" t="s">
        <v>216</v>
      </c>
      <c r="B342" s="71" t="s">
        <v>50</v>
      </c>
      <c r="C342" s="71" t="s">
        <v>51</v>
      </c>
      <c r="D342" s="71" t="s">
        <v>392</v>
      </c>
      <c r="E342" s="71" t="s">
        <v>24</v>
      </c>
      <c r="F342" s="71" t="s">
        <v>500</v>
      </c>
      <c r="G342" s="71" t="s">
        <v>40</v>
      </c>
      <c r="H342" s="71" t="s">
        <v>24</v>
      </c>
      <c r="I342" s="71" t="s">
        <v>39</v>
      </c>
      <c r="J342" s="72">
        <v>-75000</v>
      </c>
      <c r="K342" s="73">
        <v>44378</v>
      </c>
      <c r="L342" s="73">
        <v>44378</v>
      </c>
      <c r="M342" s="73">
        <v>44407</v>
      </c>
      <c r="N342" s="71" t="s">
        <v>38</v>
      </c>
    </row>
    <row r="343" spans="1:14" ht="15">
      <c r="A343" s="71" t="s">
        <v>216</v>
      </c>
      <c r="B343" s="71" t="s">
        <v>50</v>
      </c>
      <c r="C343" s="71" t="s">
        <v>51</v>
      </c>
      <c r="D343" s="71" t="s">
        <v>392</v>
      </c>
      <c r="E343" s="71" t="s">
        <v>24</v>
      </c>
      <c r="F343" s="71" t="s">
        <v>500</v>
      </c>
      <c r="G343" s="71" t="s">
        <v>42</v>
      </c>
      <c r="H343" s="71" t="s">
        <v>24</v>
      </c>
      <c r="I343" s="71" t="s">
        <v>39</v>
      </c>
      <c r="J343" s="72">
        <v>-7071.47</v>
      </c>
      <c r="K343" s="73">
        <v>44378</v>
      </c>
      <c r="L343" s="73">
        <v>44378</v>
      </c>
      <c r="M343" s="73">
        <v>44407</v>
      </c>
      <c r="N343" s="71" t="s">
        <v>38</v>
      </c>
    </row>
    <row r="344" spans="1:14" ht="15">
      <c r="A344" s="71" t="s">
        <v>216</v>
      </c>
      <c r="B344" s="71" t="s">
        <v>50</v>
      </c>
      <c r="C344" s="71" t="s">
        <v>51</v>
      </c>
      <c r="D344" s="71" t="s">
        <v>392</v>
      </c>
      <c r="E344" s="71" t="s">
        <v>24</v>
      </c>
      <c r="F344" s="71" t="s">
        <v>500</v>
      </c>
      <c r="G344" s="71" t="s">
        <v>42</v>
      </c>
      <c r="H344" s="71" t="s">
        <v>24</v>
      </c>
      <c r="I344" s="71" t="s">
        <v>39</v>
      </c>
      <c r="J344" s="72">
        <v>-50416.21</v>
      </c>
      <c r="K344" s="73">
        <v>44391</v>
      </c>
      <c r="L344" s="73">
        <v>44391</v>
      </c>
      <c r="M344" s="73">
        <v>44407</v>
      </c>
      <c r="N344" s="71" t="s">
        <v>38</v>
      </c>
    </row>
    <row r="345" spans="1:14" ht="15">
      <c r="A345" s="71" t="s">
        <v>216</v>
      </c>
      <c r="B345" s="71" t="s">
        <v>50</v>
      </c>
      <c r="C345" s="71" t="s">
        <v>51</v>
      </c>
      <c r="D345" s="71" t="s">
        <v>392</v>
      </c>
      <c r="E345" s="71" t="s">
        <v>24</v>
      </c>
      <c r="F345" s="71" t="s">
        <v>500</v>
      </c>
      <c r="G345" s="71" t="s">
        <v>42</v>
      </c>
      <c r="H345" s="71" t="s">
        <v>24</v>
      </c>
      <c r="I345" s="71" t="s">
        <v>39</v>
      </c>
      <c r="J345" s="72">
        <v>-17512.32</v>
      </c>
      <c r="K345" s="73">
        <v>44484</v>
      </c>
      <c r="L345" s="73">
        <v>44484</v>
      </c>
      <c r="M345" s="73">
        <v>44494</v>
      </c>
      <c r="N345" s="71" t="s">
        <v>38</v>
      </c>
    </row>
    <row r="346" spans="1:14" ht="15">
      <c r="A346" s="71" t="s">
        <v>216</v>
      </c>
      <c r="B346" s="71" t="s">
        <v>50</v>
      </c>
      <c r="C346" s="71" t="s">
        <v>51</v>
      </c>
      <c r="D346" s="71" t="s">
        <v>392</v>
      </c>
      <c r="E346" s="71" t="s">
        <v>24</v>
      </c>
      <c r="F346" s="71" t="s">
        <v>500</v>
      </c>
      <c r="G346" s="71" t="s">
        <v>37</v>
      </c>
      <c r="H346" s="71" t="s">
        <v>24</v>
      </c>
      <c r="I346" s="71" t="s">
        <v>39</v>
      </c>
      <c r="J346" s="72">
        <v>-32455.98</v>
      </c>
      <c r="K346" s="73">
        <v>44484</v>
      </c>
      <c r="L346" s="73">
        <v>44484</v>
      </c>
      <c r="M346" s="73">
        <v>44494</v>
      </c>
      <c r="N346" s="71" t="s">
        <v>38</v>
      </c>
    </row>
    <row r="347" spans="1:14" ht="15">
      <c r="A347" s="71" t="s">
        <v>216</v>
      </c>
      <c r="B347" s="71" t="s">
        <v>50</v>
      </c>
      <c r="C347" s="71" t="s">
        <v>51</v>
      </c>
      <c r="D347" s="71" t="s">
        <v>392</v>
      </c>
      <c r="E347" s="71" t="s">
        <v>24</v>
      </c>
      <c r="F347" s="71" t="s">
        <v>500</v>
      </c>
      <c r="G347" s="71" t="s">
        <v>47</v>
      </c>
      <c r="H347" s="71" t="s">
        <v>24</v>
      </c>
      <c r="I347" s="71" t="s">
        <v>39</v>
      </c>
      <c r="J347" s="72">
        <v>-27544.02</v>
      </c>
      <c r="K347" s="73">
        <v>44623</v>
      </c>
      <c r="L347" s="73">
        <v>44623</v>
      </c>
      <c r="M347" s="73">
        <v>44638</v>
      </c>
      <c r="N347" s="71" t="s">
        <v>38</v>
      </c>
    </row>
    <row r="348" spans="1:14" ht="15">
      <c r="A348" s="71" t="s">
        <v>216</v>
      </c>
      <c r="B348" s="71" t="s">
        <v>50</v>
      </c>
      <c r="C348" s="71" t="s">
        <v>51</v>
      </c>
      <c r="D348" s="71" t="s">
        <v>392</v>
      </c>
      <c r="E348" s="71" t="s">
        <v>24</v>
      </c>
      <c r="F348" s="71" t="s">
        <v>501</v>
      </c>
      <c r="G348" s="71" t="s">
        <v>40</v>
      </c>
      <c r="H348" s="71" t="s">
        <v>24</v>
      </c>
      <c r="I348" s="71" t="s">
        <v>39</v>
      </c>
      <c r="J348" s="72">
        <v>-70000</v>
      </c>
      <c r="K348" s="73">
        <v>44391</v>
      </c>
      <c r="L348" s="73">
        <v>44391</v>
      </c>
      <c r="M348" s="73">
        <v>44407</v>
      </c>
      <c r="N348" s="71" t="s">
        <v>38</v>
      </c>
    </row>
    <row r="349" spans="1:14" ht="15">
      <c r="A349" s="71" t="s">
        <v>216</v>
      </c>
      <c r="B349" s="71" t="s">
        <v>50</v>
      </c>
      <c r="C349" s="71" t="s">
        <v>51</v>
      </c>
      <c r="D349" s="71" t="s">
        <v>392</v>
      </c>
      <c r="E349" s="71" t="s">
        <v>24</v>
      </c>
      <c r="F349" s="71" t="s">
        <v>501</v>
      </c>
      <c r="G349" s="71" t="s">
        <v>42</v>
      </c>
      <c r="H349" s="71" t="s">
        <v>24</v>
      </c>
      <c r="I349" s="71" t="s">
        <v>39</v>
      </c>
      <c r="J349" s="72">
        <v>-421499.97</v>
      </c>
      <c r="K349" s="73">
        <v>44391</v>
      </c>
      <c r="L349" s="73">
        <v>44391</v>
      </c>
      <c r="M349" s="73">
        <v>44407</v>
      </c>
      <c r="N349" s="71" t="s">
        <v>38</v>
      </c>
    </row>
    <row r="350" spans="1:14" ht="15">
      <c r="A350" s="71" t="s">
        <v>216</v>
      </c>
      <c r="B350" s="71" t="s">
        <v>50</v>
      </c>
      <c r="C350" s="71" t="s">
        <v>51</v>
      </c>
      <c r="D350" s="71" t="s">
        <v>392</v>
      </c>
      <c r="E350" s="71" t="s">
        <v>24</v>
      </c>
      <c r="F350" s="71" t="s">
        <v>501</v>
      </c>
      <c r="G350" s="71" t="s">
        <v>42</v>
      </c>
      <c r="H350" s="71" t="s">
        <v>24</v>
      </c>
      <c r="I350" s="71" t="s">
        <v>39</v>
      </c>
      <c r="J350" s="72">
        <v>-258500.03</v>
      </c>
      <c r="K350" s="73">
        <v>44484</v>
      </c>
      <c r="L350" s="73">
        <v>44484</v>
      </c>
      <c r="M350" s="73">
        <v>44494</v>
      </c>
      <c r="N350" s="71" t="s">
        <v>38</v>
      </c>
    </row>
    <row r="351" spans="1:14" ht="15">
      <c r="A351" s="71" t="s">
        <v>216</v>
      </c>
      <c r="B351" s="71" t="s">
        <v>50</v>
      </c>
      <c r="C351" s="71" t="s">
        <v>51</v>
      </c>
      <c r="D351" s="71" t="s">
        <v>392</v>
      </c>
      <c r="E351" s="71" t="s">
        <v>24</v>
      </c>
      <c r="F351" s="71" t="s">
        <v>501</v>
      </c>
      <c r="G351" s="71" t="s">
        <v>37</v>
      </c>
      <c r="H351" s="71" t="s">
        <v>24</v>
      </c>
      <c r="I351" s="71" t="s">
        <v>39</v>
      </c>
      <c r="J351" s="72">
        <v>-228633.34</v>
      </c>
      <c r="K351" s="73">
        <v>44484</v>
      </c>
      <c r="L351" s="73">
        <v>44484</v>
      </c>
      <c r="M351" s="73">
        <v>44494</v>
      </c>
      <c r="N351" s="71" t="s">
        <v>38</v>
      </c>
    </row>
    <row r="352" spans="1:14" ht="15">
      <c r="A352" s="71" t="s">
        <v>216</v>
      </c>
      <c r="B352" s="71" t="s">
        <v>50</v>
      </c>
      <c r="C352" s="71" t="s">
        <v>51</v>
      </c>
      <c r="D352" s="71" t="s">
        <v>392</v>
      </c>
      <c r="E352" s="71" t="s">
        <v>24</v>
      </c>
      <c r="F352" s="71" t="s">
        <v>501</v>
      </c>
      <c r="G352" s="71" t="s">
        <v>37</v>
      </c>
      <c r="H352" s="71" t="s">
        <v>24</v>
      </c>
      <c r="I352" s="71" t="s">
        <v>39</v>
      </c>
      <c r="J352" s="72">
        <v>-21366.66</v>
      </c>
      <c r="K352" s="73">
        <v>44623</v>
      </c>
      <c r="L352" s="73">
        <v>44623</v>
      </c>
      <c r="M352" s="73">
        <v>44638</v>
      </c>
      <c r="N352" s="71" t="s">
        <v>38</v>
      </c>
    </row>
    <row r="353" spans="1:14" ht="15">
      <c r="A353" s="71" t="s">
        <v>216</v>
      </c>
      <c r="B353" s="71" t="s">
        <v>63</v>
      </c>
      <c r="C353" s="71" t="s">
        <v>64</v>
      </c>
      <c r="D353" s="71" t="s">
        <v>392</v>
      </c>
      <c r="E353" s="71" t="s">
        <v>24</v>
      </c>
      <c r="F353" s="71" t="s">
        <v>402</v>
      </c>
      <c r="G353" s="71" t="s">
        <v>40</v>
      </c>
      <c r="H353" s="71" t="s">
        <v>24</v>
      </c>
      <c r="I353" s="71" t="s">
        <v>39</v>
      </c>
      <c r="J353" s="72">
        <v>-118493.01</v>
      </c>
      <c r="K353" s="73">
        <v>44236</v>
      </c>
      <c r="L353" s="73">
        <v>44236</v>
      </c>
      <c r="M353" s="73">
        <v>44253</v>
      </c>
      <c r="N353" s="71" t="s">
        <v>38</v>
      </c>
    </row>
    <row r="354" spans="1:14" ht="15">
      <c r="A354" s="71" t="s">
        <v>216</v>
      </c>
      <c r="B354" s="71" t="s">
        <v>63</v>
      </c>
      <c r="C354" s="71" t="s">
        <v>64</v>
      </c>
      <c r="D354" s="71" t="s">
        <v>392</v>
      </c>
      <c r="E354" s="71" t="s">
        <v>24</v>
      </c>
      <c r="F354" s="71" t="s">
        <v>402</v>
      </c>
      <c r="G354" s="71" t="s">
        <v>40</v>
      </c>
      <c r="H354" s="71" t="s">
        <v>24</v>
      </c>
      <c r="I354" s="71" t="s">
        <v>39</v>
      </c>
      <c r="J354" s="72">
        <v>-81506.990000000005</v>
      </c>
      <c r="K354" s="73">
        <v>44379</v>
      </c>
      <c r="L354" s="73">
        <v>44379</v>
      </c>
      <c r="M354" s="73">
        <v>44407</v>
      </c>
      <c r="N354" s="71" t="s">
        <v>38</v>
      </c>
    </row>
    <row r="355" spans="1:14" ht="15">
      <c r="A355" s="71" t="s">
        <v>216</v>
      </c>
      <c r="B355" s="71" t="s">
        <v>63</v>
      </c>
      <c r="C355" s="71" t="s">
        <v>64</v>
      </c>
      <c r="D355" s="71" t="s">
        <v>392</v>
      </c>
      <c r="E355" s="71" t="s">
        <v>24</v>
      </c>
      <c r="F355" s="71" t="s">
        <v>402</v>
      </c>
      <c r="G355" s="71" t="s">
        <v>42</v>
      </c>
      <c r="H355" s="71" t="s">
        <v>24</v>
      </c>
      <c r="I355" s="71" t="s">
        <v>39</v>
      </c>
      <c r="J355" s="72">
        <v>-700000</v>
      </c>
      <c r="K355" s="73">
        <v>44379</v>
      </c>
      <c r="L355" s="73">
        <v>44379</v>
      </c>
      <c r="M355" s="73">
        <v>44407</v>
      </c>
      <c r="N355" s="71" t="s">
        <v>38</v>
      </c>
    </row>
    <row r="356" spans="1:14" ht="15">
      <c r="A356" s="71" t="s">
        <v>216</v>
      </c>
      <c r="B356" s="71" t="s">
        <v>63</v>
      </c>
      <c r="C356" s="71" t="s">
        <v>64</v>
      </c>
      <c r="D356" s="71" t="s">
        <v>392</v>
      </c>
      <c r="E356" s="71" t="s">
        <v>24</v>
      </c>
      <c r="F356" s="71" t="s">
        <v>402</v>
      </c>
      <c r="G356" s="71" t="s">
        <v>37</v>
      </c>
      <c r="H356" s="71" t="s">
        <v>24</v>
      </c>
      <c r="I356" s="71" t="s">
        <v>39</v>
      </c>
      <c r="J356" s="72">
        <v>-89804.32</v>
      </c>
      <c r="K356" s="73">
        <v>44379</v>
      </c>
      <c r="L356" s="73">
        <v>44379</v>
      </c>
      <c r="M356" s="73">
        <v>44407</v>
      </c>
      <c r="N356" s="71" t="s">
        <v>38</v>
      </c>
    </row>
    <row r="357" spans="1:14" ht="15">
      <c r="A357" s="71" t="s">
        <v>216</v>
      </c>
      <c r="B357" s="71" t="s">
        <v>63</v>
      </c>
      <c r="C357" s="71" t="s">
        <v>64</v>
      </c>
      <c r="D357" s="71" t="s">
        <v>392</v>
      </c>
      <c r="E357" s="71" t="s">
        <v>24</v>
      </c>
      <c r="F357" s="71" t="s">
        <v>402</v>
      </c>
      <c r="G357" s="71" t="s">
        <v>37</v>
      </c>
      <c r="H357" s="71" t="s">
        <v>24</v>
      </c>
      <c r="I357" s="71" t="s">
        <v>39</v>
      </c>
      <c r="J357" s="72">
        <v>-510195.68</v>
      </c>
      <c r="K357" s="73">
        <v>44622</v>
      </c>
      <c r="L357" s="73">
        <v>44622</v>
      </c>
      <c r="M357" s="73">
        <v>44638</v>
      </c>
      <c r="N357" s="71" t="s">
        <v>38</v>
      </c>
    </row>
    <row r="358" spans="1:14" ht="15">
      <c r="A358" s="71" t="s">
        <v>216</v>
      </c>
      <c r="B358" s="71" t="s">
        <v>61</v>
      </c>
      <c r="C358" s="71" t="s">
        <v>62</v>
      </c>
      <c r="D358" s="71" t="s">
        <v>392</v>
      </c>
      <c r="E358" s="71" t="s">
        <v>24</v>
      </c>
      <c r="F358" s="71" t="s">
        <v>403</v>
      </c>
      <c r="G358" s="71" t="s">
        <v>40</v>
      </c>
      <c r="H358" s="71" t="s">
        <v>24</v>
      </c>
      <c r="I358" s="71" t="s">
        <v>39</v>
      </c>
      <c r="J358" s="72">
        <v>-250000</v>
      </c>
      <c r="K358" s="73">
        <v>44236</v>
      </c>
      <c r="L358" s="73">
        <v>44236</v>
      </c>
      <c r="M358" s="73">
        <v>44253</v>
      </c>
      <c r="N358" s="71" t="s">
        <v>38</v>
      </c>
    </row>
    <row r="359" spans="1:14" ht="15">
      <c r="A359" s="71" t="s">
        <v>216</v>
      </c>
      <c r="B359" s="71" t="s">
        <v>61</v>
      </c>
      <c r="C359" s="71" t="s">
        <v>62</v>
      </c>
      <c r="D359" s="71" t="s">
        <v>392</v>
      </c>
      <c r="E359" s="71" t="s">
        <v>24</v>
      </c>
      <c r="F359" s="71" t="s">
        <v>403</v>
      </c>
      <c r="G359" s="71" t="s">
        <v>42</v>
      </c>
      <c r="H359" s="71" t="s">
        <v>24</v>
      </c>
      <c r="I359" s="71" t="s">
        <v>39</v>
      </c>
      <c r="J359" s="72">
        <v>-60413.96</v>
      </c>
      <c r="K359" s="73">
        <v>44236</v>
      </c>
      <c r="L359" s="73">
        <v>44236</v>
      </c>
      <c r="M359" s="73">
        <v>44253</v>
      </c>
      <c r="N359" s="71" t="s">
        <v>38</v>
      </c>
    </row>
    <row r="360" spans="1:14" ht="15">
      <c r="A360" s="71" t="s">
        <v>216</v>
      </c>
      <c r="B360" s="71" t="s">
        <v>61</v>
      </c>
      <c r="C360" s="71" t="s">
        <v>62</v>
      </c>
      <c r="D360" s="71" t="s">
        <v>392</v>
      </c>
      <c r="E360" s="71" t="s">
        <v>24</v>
      </c>
      <c r="F360" s="71" t="s">
        <v>403</v>
      </c>
      <c r="G360" s="71" t="s">
        <v>42</v>
      </c>
      <c r="H360" s="71" t="s">
        <v>24</v>
      </c>
      <c r="I360" s="71" t="s">
        <v>39</v>
      </c>
      <c r="J360" s="72">
        <v>-189586.04</v>
      </c>
      <c r="K360" s="73">
        <v>44378</v>
      </c>
      <c r="L360" s="73">
        <v>44378</v>
      </c>
      <c r="M360" s="73">
        <v>44407</v>
      </c>
      <c r="N360" s="71" t="s">
        <v>38</v>
      </c>
    </row>
    <row r="361" spans="1:14" ht="15">
      <c r="A361" s="71" t="s">
        <v>216</v>
      </c>
      <c r="B361" s="71" t="s">
        <v>61</v>
      </c>
      <c r="C361" s="71" t="s">
        <v>62</v>
      </c>
      <c r="D361" s="71" t="s">
        <v>392</v>
      </c>
      <c r="E361" s="71" t="s">
        <v>24</v>
      </c>
      <c r="F361" s="71" t="s">
        <v>403</v>
      </c>
      <c r="G361" s="71" t="s">
        <v>37</v>
      </c>
      <c r="H361" s="71" t="s">
        <v>24</v>
      </c>
      <c r="I361" s="71" t="s">
        <v>39</v>
      </c>
      <c r="J361" s="72">
        <v>-90417.03</v>
      </c>
      <c r="K361" s="73">
        <v>44378</v>
      </c>
      <c r="L361" s="73">
        <v>44378</v>
      </c>
      <c r="M361" s="73">
        <v>44407</v>
      </c>
      <c r="N361" s="71" t="s">
        <v>38</v>
      </c>
    </row>
    <row r="362" spans="1:14" ht="15">
      <c r="A362" s="71" t="s">
        <v>216</v>
      </c>
      <c r="B362" s="71" t="s">
        <v>61</v>
      </c>
      <c r="C362" s="71" t="s">
        <v>62</v>
      </c>
      <c r="D362" s="71" t="s">
        <v>392</v>
      </c>
      <c r="E362" s="71" t="s">
        <v>24</v>
      </c>
      <c r="F362" s="71" t="s">
        <v>403</v>
      </c>
      <c r="G362" s="71" t="s">
        <v>37</v>
      </c>
      <c r="H362" s="71" t="s">
        <v>24</v>
      </c>
      <c r="I362" s="71" t="s">
        <v>39</v>
      </c>
      <c r="J362" s="72">
        <v>-109582.97</v>
      </c>
      <c r="K362" s="73">
        <v>44480</v>
      </c>
      <c r="L362" s="73">
        <v>44480</v>
      </c>
      <c r="M362" s="73">
        <v>44494</v>
      </c>
      <c r="N362" s="71" t="s">
        <v>38</v>
      </c>
    </row>
    <row r="363" spans="1:14" ht="15">
      <c r="A363" s="71" t="s">
        <v>216</v>
      </c>
      <c r="B363" s="71" t="s">
        <v>61</v>
      </c>
      <c r="C363" s="71" t="s">
        <v>62</v>
      </c>
      <c r="D363" s="71" t="s">
        <v>392</v>
      </c>
      <c r="E363" s="71" t="s">
        <v>24</v>
      </c>
      <c r="F363" s="71" t="s">
        <v>403</v>
      </c>
      <c r="G363" s="71" t="s">
        <v>47</v>
      </c>
      <c r="H363" s="71" t="s">
        <v>24</v>
      </c>
      <c r="I363" s="71" t="s">
        <v>39</v>
      </c>
      <c r="J363" s="72">
        <v>-200000</v>
      </c>
      <c r="K363" s="73">
        <v>44480</v>
      </c>
      <c r="L363" s="73">
        <v>44480</v>
      </c>
      <c r="M363" s="73">
        <v>44494</v>
      </c>
      <c r="N363" s="71" t="s">
        <v>38</v>
      </c>
    </row>
    <row r="364" spans="1:14" ht="15">
      <c r="A364" s="71" t="s">
        <v>216</v>
      </c>
      <c r="B364" s="71" t="s">
        <v>244</v>
      </c>
      <c r="C364" s="71" t="s">
        <v>245</v>
      </c>
      <c r="D364" s="71" t="s">
        <v>392</v>
      </c>
      <c r="E364" s="71" t="s">
        <v>24</v>
      </c>
      <c r="F364" s="71" t="s">
        <v>404</v>
      </c>
      <c r="G364" s="71" t="s">
        <v>40</v>
      </c>
      <c r="H364" s="71" t="s">
        <v>24</v>
      </c>
      <c r="I364" s="71" t="s">
        <v>39</v>
      </c>
      <c r="J364" s="72">
        <v>-13000</v>
      </c>
      <c r="K364" s="73">
        <v>44236</v>
      </c>
      <c r="L364" s="73">
        <v>44236</v>
      </c>
      <c r="M364" s="73">
        <v>44253</v>
      </c>
      <c r="N364" s="71" t="s">
        <v>38</v>
      </c>
    </row>
    <row r="365" spans="1:14" ht="15">
      <c r="A365" s="71" t="s">
        <v>216</v>
      </c>
      <c r="B365" s="71" t="s">
        <v>244</v>
      </c>
      <c r="C365" s="71" t="s">
        <v>245</v>
      </c>
      <c r="D365" s="71" t="s">
        <v>392</v>
      </c>
      <c r="E365" s="71" t="s">
        <v>24</v>
      </c>
      <c r="F365" s="71" t="s">
        <v>404</v>
      </c>
      <c r="G365" s="71" t="s">
        <v>42</v>
      </c>
      <c r="H365" s="71" t="s">
        <v>24</v>
      </c>
      <c r="I365" s="71" t="s">
        <v>39</v>
      </c>
      <c r="J365" s="72">
        <v>-4079.04</v>
      </c>
      <c r="K365" s="73">
        <v>44236</v>
      </c>
      <c r="L365" s="73">
        <v>44236</v>
      </c>
      <c r="M365" s="73">
        <v>44253</v>
      </c>
      <c r="N365" s="71" t="s">
        <v>38</v>
      </c>
    </row>
    <row r="366" spans="1:14" ht="15">
      <c r="A366" s="71" t="s">
        <v>216</v>
      </c>
      <c r="B366" s="71" t="s">
        <v>244</v>
      </c>
      <c r="C366" s="71" t="s">
        <v>245</v>
      </c>
      <c r="D366" s="71" t="s">
        <v>392</v>
      </c>
      <c r="E366" s="71" t="s">
        <v>24</v>
      </c>
      <c r="F366" s="71" t="s">
        <v>404</v>
      </c>
      <c r="G366" s="71" t="s">
        <v>42</v>
      </c>
      <c r="H366" s="71" t="s">
        <v>24</v>
      </c>
      <c r="I366" s="71" t="s">
        <v>39</v>
      </c>
      <c r="J366" s="72">
        <v>-8920.9599999999991</v>
      </c>
      <c r="K366" s="73">
        <v>44379</v>
      </c>
      <c r="L366" s="73">
        <v>44379</v>
      </c>
      <c r="M366" s="73">
        <v>44407</v>
      </c>
      <c r="N366" s="71" t="s">
        <v>38</v>
      </c>
    </row>
    <row r="367" spans="1:14" ht="15">
      <c r="A367" s="71" t="s">
        <v>216</v>
      </c>
      <c r="B367" s="71" t="s">
        <v>244</v>
      </c>
      <c r="C367" s="71" t="s">
        <v>245</v>
      </c>
      <c r="D367" s="71" t="s">
        <v>392</v>
      </c>
      <c r="E367" s="71" t="s">
        <v>24</v>
      </c>
      <c r="F367" s="71" t="s">
        <v>404</v>
      </c>
      <c r="G367" s="71" t="s">
        <v>37</v>
      </c>
      <c r="H367" s="71" t="s">
        <v>24</v>
      </c>
      <c r="I367" s="71" t="s">
        <v>39</v>
      </c>
      <c r="J367" s="72">
        <v>-7158.08</v>
      </c>
      <c r="K367" s="73">
        <v>44379</v>
      </c>
      <c r="L367" s="73">
        <v>44379</v>
      </c>
      <c r="M367" s="73">
        <v>44407</v>
      </c>
      <c r="N367" s="71" t="s">
        <v>38</v>
      </c>
    </row>
    <row r="368" spans="1:14" ht="15">
      <c r="A368" s="71" t="s">
        <v>216</v>
      </c>
      <c r="B368" s="71" t="s">
        <v>244</v>
      </c>
      <c r="C368" s="71" t="s">
        <v>245</v>
      </c>
      <c r="D368" s="71" t="s">
        <v>392</v>
      </c>
      <c r="E368" s="71" t="s">
        <v>24</v>
      </c>
      <c r="F368" s="71" t="s">
        <v>404</v>
      </c>
      <c r="G368" s="71" t="s">
        <v>37</v>
      </c>
      <c r="H368" s="71" t="s">
        <v>24</v>
      </c>
      <c r="I368" s="71" t="s">
        <v>39</v>
      </c>
      <c r="J368" s="72">
        <v>-5841.92</v>
      </c>
      <c r="K368" s="73">
        <v>44480</v>
      </c>
      <c r="L368" s="73">
        <v>44480</v>
      </c>
      <c r="M368" s="73">
        <v>44494</v>
      </c>
      <c r="N368" s="71" t="s">
        <v>38</v>
      </c>
    </row>
    <row r="369" spans="1:14" ht="15">
      <c r="A369" s="71" t="s">
        <v>216</v>
      </c>
      <c r="B369" s="71" t="s">
        <v>244</v>
      </c>
      <c r="C369" s="71" t="s">
        <v>245</v>
      </c>
      <c r="D369" s="71" t="s">
        <v>392</v>
      </c>
      <c r="E369" s="71" t="s">
        <v>24</v>
      </c>
      <c r="F369" s="71" t="s">
        <v>404</v>
      </c>
      <c r="G369" s="71" t="s">
        <v>47</v>
      </c>
      <c r="H369" s="71" t="s">
        <v>24</v>
      </c>
      <c r="I369" s="71" t="s">
        <v>39</v>
      </c>
      <c r="J369" s="72">
        <v>-10387.120000000001</v>
      </c>
      <c r="K369" s="73">
        <v>44480</v>
      </c>
      <c r="L369" s="73">
        <v>44480</v>
      </c>
      <c r="M369" s="73">
        <v>44494</v>
      </c>
      <c r="N369" s="71" t="s">
        <v>38</v>
      </c>
    </row>
    <row r="370" spans="1:14" ht="15">
      <c r="A370" s="71" t="s">
        <v>216</v>
      </c>
      <c r="B370" s="71" t="s">
        <v>244</v>
      </c>
      <c r="C370" s="71" t="s">
        <v>245</v>
      </c>
      <c r="D370" s="71" t="s">
        <v>392</v>
      </c>
      <c r="E370" s="71" t="s">
        <v>24</v>
      </c>
      <c r="F370" s="71" t="s">
        <v>404</v>
      </c>
      <c r="G370" s="71" t="s">
        <v>47</v>
      </c>
      <c r="H370" s="71" t="s">
        <v>24</v>
      </c>
      <c r="I370" s="71" t="s">
        <v>39</v>
      </c>
      <c r="J370" s="72">
        <v>-2612.88</v>
      </c>
      <c r="K370" s="73">
        <v>44622</v>
      </c>
      <c r="L370" s="73">
        <v>44622</v>
      </c>
      <c r="M370" s="73">
        <v>44638</v>
      </c>
      <c r="N370" s="71" t="s">
        <v>38</v>
      </c>
    </row>
    <row r="371" spans="1:14" ht="15">
      <c r="A371" s="71" t="s">
        <v>216</v>
      </c>
      <c r="B371" s="71" t="s">
        <v>120</v>
      </c>
      <c r="C371" s="71" t="s">
        <v>121</v>
      </c>
      <c r="D371" s="71" t="s">
        <v>392</v>
      </c>
      <c r="E371" s="71" t="s">
        <v>24</v>
      </c>
      <c r="F371" s="71" t="s">
        <v>405</v>
      </c>
      <c r="G371" s="71" t="s">
        <v>40</v>
      </c>
      <c r="H371" s="71" t="s">
        <v>24</v>
      </c>
      <c r="I371" s="71" t="s">
        <v>39</v>
      </c>
      <c r="J371" s="72">
        <v>-40000</v>
      </c>
      <c r="K371" s="73">
        <v>44236</v>
      </c>
      <c r="L371" s="73">
        <v>44236</v>
      </c>
      <c r="M371" s="73">
        <v>44253</v>
      </c>
      <c r="N371" s="71" t="s">
        <v>38</v>
      </c>
    </row>
    <row r="372" spans="1:14" ht="15">
      <c r="A372" s="71" t="s">
        <v>216</v>
      </c>
      <c r="B372" s="71" t="s">
        <v>120</v>
      </c>
      <c r="C372" s="71" t="s">
        <v>121</v>
      </c>
      <c r="D372" s="71" t="s">
        <v>392</v>
      </c>
      <c r="E372" s="71" t="s">
        <v>24</v>
      </c>
      <c r="F372" s="71" t="s">
        <v>405</v>
      </c>
      <c r="G372" s="71" t="s">
        <v>42</v>
      </c>
      <c r="H372" s="71" t="s">
        <v>24</v>
      </c>
      <c r="I372" s="71" t="s">
        <v>39</v>
      </c>
      <c r="J372" s="72">
        <v>-853.05</v>
      </c>
      <c r="K372" s="73">
        <v>44236</v>
      </c>
      <c r="L372" s="73">
        <v>44236</v>
      </c>
      <c r="M372" s="73">
        <v>44253</v>
      </c>
      <c r="N372" s="71" t="s">
        <v>38</v>
      </c>
    </row>
    <row r="373" spans="1:14" ht="15">
      <c r="A373" s="71" t="s">
        <v>216</v>
      </c>
      <c r="B373" s="71" t="s">
        <v>120</v>
      </c>
      <c r="C373" s="71" t="s">
        <v>121</v>
      </c>
      <c r="D373" s="71" t="s">
        <v>392</v>
      </c>
      <c r="E373" s="71" t="s">
        <v>24</v>
      </c>
      <c r="F373" s="71" t="s">
        <v>405</v>
      </c>
      <c r="G373" s="71" t="s">
        <v>42</v>
      </c>
      <c r="H373" s="71" t="s">
        <v>24</v>
      </c>
      <c r="I373" s="71" t="s">
        <v>39</v>
      </c>
      <c r="J373" s="72">
        <v>-39042.22</v>
      </c>
      <c r="K373" s="73">
        <v>44379</v>
      </c>
      <c r="L373" s="73">
        <v>44379</v>
      </c>
      <c r="M373" s="73">
        <v>44407</v>
      </c>
      <c r="N373" s="71" t="s">
        <v>38</v>
      </c>
    </row>
    <row r="374" spans="1:14" ht="15">
      <c r="A374" s="71" t="s">
        <v>216</v>
      </c>
      <c r="B374" s="71" t="s">
        <v>120</v>
      </c>
      <c r="C374" s="71" t="s">
        <v>121</v>
      </c>
      <c r="D374" s="71" t="s">
        <v>392</v>
      </c>
      <c r="E374" s="71" t="s">
        <v>24</v>
      </c>
      <c r="F374" s="71" t="s">
        <v>405</v>
      </c>
      <c r="G374" s="71" t="s">
        <v>42</v>
      </c>
      <c r="H374" s="71" t="s">
        <v>24</v>
      </c>
      <c r="I374" s="71" t="s">
        <v>39</v>
      </c>
      <c r="J374" s="72">
        <v>-104.73</v>
      </c>
      <c r="K374" s="73">
        <v>44480</v>
      </c>
      <c r="L374" s="73">
        <v>44480</v>
      </c>
      <c r="M374" s="73">
        <v>44494</v>
      </c>
      <c r="N374" s="71" t="s">
        <v>38</v>
      </c>
    </row>
    <row r="375" spans="1:14" ht="15">
      <c r="A375" s="71" t="s">
        <v>216</v>
      </c>
      <c r="B375" s="71" t="s">
        <v>120</v>
      </c>
      <c r="C375" s="71" t="s">
        <v>121</v>
      </c>
      <c r="D375" s="71" t="s">
        <v>392</v>
      </c>
      <c r="E375" s="71" t="s">
        <v>24</v>
      </c>
      <c r="F375" s="71" t="s">
        <v>405</v>
      </c>
      <c r="G375" s="71" t="s">
        <v>37</v>
      </c>
      <c r="H375" s="71" t="s">
        <v>24</v>
      </c>
      <c r="I375" s="71" t="s">
        <v>39</v>
      </c>
      <c r="J375" s="72">
        <v>-39929.949999999997</v>
      </c>
      <c r="K375" s="73">
        <v>44480</v>
      </c>
      <c r="L375" s="73">
        <v>44480</v>
      </c>
      <c r="M375" s="73">
        <v>44494</v>
      </c>
      <c r="N375" s="71" t="s">
        <v>38</v>
      </c>
    </row>
    <row r="376" spans="1:14" ht="15">
      <c r="A376" s="71" t="s">
        <v>216</v>
      </c>
      <c r="B376" s="71" t="s">
        <v>120</v>
      </c>
      <c r="C376" s="71" t="s">
        <v>121</v>
      </c>
      <c r="D376" s="71" t="s">
        <v>392</v>
      </c>
      <c r="E376" s="71" t="s">
        <v>24</v>
      </c>
      <c r="F376" s="71" t="s">
        <v>405</v>
      </c>
      <c r="G376" s="71" t="s">
        <v>37</v>
      </c>
      <c r="H376" s="71" t="s">
        <v>24</v>
      </c>
      <c r="I376" s="71" t="s">
        <v>39</v>
      </c>
      <c r="J376" s="72">
        <v>-70.05</v>
      </c>
      <c r="K376" s="73">
        <v>44622</v>
      </c>
      <c r="L376" s="73">
        <v>44622</v>
      </c>
      <c r="M376" s="73">
        <v>44638</v>
      </c>
      <c r="N376" s="71" t="s">
        <v>38</v>
      </c>
    </row>
    <row r="377" spans="1:14" ht="15">
      <c r="A377" s="71" t="s">
        <v>216</v>
      </c>
      <c r="B377" s="71" t="s">
        <v>120</v>
      </c>
      <c r="C377" s="71" t="s">
        <v>121</v>
      </c>
      <c r="D377" s="71" t="s">
        <v>392</v>
      </c>
      <c r="E377" s="71" t="s">
        <v>24</v>
      </c>
      <c r="F377" s="71" t="s">
        <v>405</v>
      </c>
      <c r="G377" s="71" t="s">
        <v>47</v>
      </c>
      <c r="H377" s="71" t="s">
        <v>24</v>
      </c>
      <c r="I377" s="71" t="s">
        <v>39</v>
      </c>
      <c r="J377" s="72">
        <v>-20000</v>
      </c>
      <c r="K377" s="73">
        <v>44622</v>
      </c>
      <c r="L377" s="73">
        <v>44622</v>
      </c>
      <c r="M377" s="73">
        <v>44638</v>
      </c>
      <c r="N377" s="71" t="s">
        <v>38</v>
      </c>
    </row>
    <row r="378" spans="1:14" ht="15">
      <c r="A378" s="71" t="s">
        <v>216</v>
      </c>
      <c r="B378" s="71" t="s">
        <v>77</v>
      </c>
      <c r="C378" s="71" t="s">
        <v>78</v>
      </c>
      <c r="D378" s="71" t="s">
        <v>392</v>
      </c>
      <c r="E378" s="71" t="s">
        <v>24</v>
      </c>
      <c r="F378" s="71" t="s">
        <v>406</v>
      </c>
      <c r="G378" s="71" t="s">
        <v>40</v>
      </c>
      <c r="H378" s="71" t="s">
        <v>24</v>
      </c>
      <c r="I378" s="71" t="s">
        <v>39</v>
      </c>
      <c r="J378" s="72">
        <v>-46000</v>
      </c>
      <c r="K378" s="73">
        <v>44236</v>
      </c>
      <c r="L378" s="73">
        <v>44236</v>
      </c>
      <c r="M378" s="73">
        <v>44253</v>
      </c>
      <c r="N378" s="71" t="s">
        <v>38</v>
      </c>
    </row>
    <row r="379" spans="1:14" ht="15">
      <c r="A379" s="71" t="s">
        <v>216</v>
      </c>
      <c r="B379" s="71" t="s">
        <v>77</v>
      </c>
      <c r="C379" s="71" t="s">
        <v>78</v>
      </c>
      <c r="D379" s="71" t="s">
        <v>392</v>
      </c>
      <c r="E379" s="71" t="s">
        <v>24</v>
      </c>
      <c r="F379" s="71" t="s">
        <v>406</v>
      </c>
      <c r="G379" s="71" t="s">
        <v>42</v>
      </c>
      <c r="H379" s="71" t="s">
        <v>24</v>
      </c>
      <c r="I379" s="71" t="s">
        <v>39</v>
      </c>
      <c r="J379" s="72">
        <v>-19802.64</v>
      </c>
      <c r="K379" s="73">
        <v>44236</v>
      </c>
      <c r="L379" s="73">
        <v>44236</v>
      </c>
      <c r="M379" s="73">
        <v>44253</v>
      </c>
      <c r="N379" s="71" t="s">
        <v>38</v>
      </c>
    </row>
    <row r="380" spans="1:14" ht="15">
      <c r="A380" s="71" t="s">
        <v>216</v>
      </c>
      <c r="B380" s="71" t="s">
        <v>77</v>
      </c>
      <c r="C380" s="71" t="s">
        <v>78</v>
      </c>
      <c r="D380" s="71" t="s">
        <v>392</v>
      </c>
      <c r="E380" s="71" t="s">
        <v>24</v>
      </c>
      <c r="F380" s="71" t="s">
        <v>406</v>
      </c>
      <c r="G380" s="71" t="s">
        <v>42</v>
      </c>
      <c r="H380" s="71" t="s">
        <v>24</v>
      </c>
      <c r="I380" s="71" t="s">
        <v>39</v>
      </c>
      <c r="J380" s="72">
        <v>-25197.360000000001</v>
      </c>
      <c r="K380" s="73">
        <v>44379</v>
      </c>
      <c r="L380" s="73">
        <v>44379</v>
      </c>
      <c r="M380" s="73">
        <v>44407</v>
      </c>
      <c r="N380" s="71" t="s">
        <v>38</v>
      </c>
    </row>
    <row r="381" spans="1:14" ht="15">
      <c r="A381" s="71" t="s">
        <v>216</v>
      </c>
      <c r="B381" s="71" t="s">
        <v>77</v>
      </c>
      <c r="C381" s="71" t="s">
        <v>78</v>
      </c>
      <c r="D381" s="71" t="s">
        <v>392</v>
      </c>
      <c r="E381" s="71" t="s">
        <v>24</v>
      </c>
      <c r="F381" s="71" t="s">
        <v>406</v>
      </c>
      <c r="G381" s="71" t="s">
        <v>37</v>
      </c>
      <c r="H381" s="71" t="s">
        <v>24</v>
      </c>
      <c r="I381" s="71" t="s">
        <v>39</v>
      </c>
      <c r="J381" s="72">
        <v>-32282.34</v>
      </c>
      <c r="K381" s="73">
        <v>44379</v>
      </c>
      <c r="L381" s="73">
        <v>44379</v>
      </c>
      <c r="M381" s="73">
        <v>44407</v>
      </c>
      <c r="N381" s="71" t="s">
        <v>38</v>
      </c>
    </row>
    <row r="382" spans="1:14" ht="15">
      <c r="A382" s="71" t="s">
        <v>216</v>
      </c>
      <c r="B382" s="71" t="s">
        <v>77</v>
      </c>
      <c r="C382" s="71" t="s">
        <v>78</v>
      </c>
      <c r="D382" s="71" t="s">
        <v>392</v>
      </c>
      <c r="E382" s="71" t="s">
        <v>24</v>
      </c>
      <c r="F382" s="71" t="s">
        <v>406</v>
      </c>
      <c r="G382" s="71" t="s">
        <v>37</v>
      </c>
      <c r="H382" s="71" t="s">
        <v>24</v>
      </c>
      <c r="I382" s="71" t="s">
        <v>39</v>
      </c>
      <c r="J382" s="72">
        <v>-12717.66</v>
      </c>
      <c r="K382" s="73">
        <v>44477</v>
      </c>
      <c r="L382" s="73">
        <v>44477</v>
      </c>
      <c r="M382" s="73">
        <v>44494</v>
      </c>
      <c r="N382" s="71" t="s">
        <v>38</v>
      </c>
    </row>
    <row r="383" spans="1:14" ht="15">
      <c r="A383" s="71" t="s">
        <v>216</v>
      </c>
      <c r="B383" s="71" t="s">
        <v>77</v>
      </c>
      <c r="C383" s="71" t="s">
        <v>78</v>
      </c>
      <c r="D383" s="71" t="s">
        <v>392</v>
      </c>
      <c r="E383" s="71" t="s">
        <v>24</v>
      </c>
      <c r="F383" s="71" t="s">
        <v>406</v>
      </c>
      <c r="G383" s="71" t="s">
        <v>47</v>
      </c>
      <c r="H383" s="71" t="s">
        <v>24</v>
      </c>
      <c r="I383" s="71" t="s">
        <v>39</v>
      </c>
      <c r="J383" s="72">
        <v>-44762.04</v>
      </c>
      <c r="K383" s="73">
        <v>44477</v>
      </c>
      <c r="L383" s="73">
        <v>44477</v>
      </c>
      <c r="M383" s="73">
        <v>44494</v>
      </c>
      <c r="N383" s="71" t="s">
        <v>38</v>
      </c>
    </row>
    <row r="384" spans="1:14" ht="15">
      <c r="A384" s="71" t="s">
        <v>216</v>
      </c>
      <c r="B384" s="71" t="s">
        <v>77</v>
      </c>
      <c r="C384" s="71" t="s">
        <v>78</v>
      </c>
      <c r="D384" s="71" t="s">
        <v>392</v>
      </c>
      <c r="E384" s="71" t="s">
        <v>24</v>
      </c>
      <c r="F384" s="71" t="s">
        <v>406</v>
      </c>
      <c r="G384" s="71" t="s">
        <v>47</v>
      </c>
      <c r="H384" s="71" t="s">
        <v>24</v>
      </c>
      <c r="I384" s="71" t="s">
        <v>39</v>
      </c>
      <c r="J384" s="72">
        <v>-237.96</v>
      </c>
      <c r="K384" s="73">
        <v>44622</v>
      </c>
      <c r="L384" s="73">
        <v>44622</v>
      </c>
      <c r="M384" s="73">
        <v>44638</v>
      </c>
      <c r="N384" s="71" t="s">
        <v>38</v>
      </c>
    </row>
    <row r="385" spans="1:14" ht="15">
      <c r="A385" s="71" t="s">
        <v>216</v>
      </c>
      <c r="B385" s="71" t="s">
        <v>41</v>
      </c>
      <c r="C385" s="71" t="s">
        <v>251</v>
      </c>
      <c r="D385" s="71" t="s">
        <v>392</v>
      </c>
      <c r="E385" s="71" t="s">
        <v>24</v>
      </c>
      <c r="F385" s="71" t="s">
        <v>407</v>
      </c>
      <c r="G385" s="71" t="s">
        <v>40</v>
      </c>
      <c r="H385" s="71" t="s">
        <v>24</v>
      </c>
      <c r="I385" s="71" t="s">
        <v>39</v>
      </c>
      <c r="J385" s="72">
        <v>-40000</v>
      </c>
      <c r="K385" s="73">
        <v>44236</v>
      </c>
      <c r="L385" s="73">
        <v>44236</v>
      </c>
      <c r="M385" s="73">
        <v>44253</v>
      </c>
      <c r="N385" s="71" t="s">
        <v>38</v>
      </c>
    </row>
    <row r="386" spans="1:14" ht="15">
      <c r="A386" s="71" t="s">
        <v>216</v>
      </c>
      <c r="B386" s="71" t="s">
        <v>41</v>
      </c>
      <c r="C386" s="71" t="s">
        <v>251</v>
      </c>
      <c r="D386" s="71" t="s">
        <v>392</v>
      </c>
      <c r="E386" s="71" t="s">
        <v>24</v>
      </c>
      <c r="F386" s="71" t="s">
        <v>407</v>
      </c>
      <c r="G386" s="71" t="s">
        <v>42</v>
      </c>
      <c r="H386" s="71" t="s">
        <v>24</v>
      </c>
      <c r="I386" s="71" t="s">
        <v>39</v>
      </c>
      <c r="J386" s="72">
        <v>-16357.25</v>
      </c>
      <c r="K386" s="73">
        <v>44236</v>
      </c>
      <c r="L386" s="73">
        <v>44236</v>
      </c>
      <c r="M386" s="73">
        <v>44253</v>
      </c>
      <c r="N386" s="71" t="s">
        <v>38</v>
      </c>
    </row>
    <row r="387" spans="1:14" ht="15">
      <c r="A387" s="71" t="s">
        <v>216</v>
      </c>
      <c r="B387" s="71" t="s">
        <v>41</v>
      </c>
      <c r="C387" s="71" t="s">
        <v>251</v>
      </c>
      <c r="D387" s="71" t="s">
        <v>392</v>
      </c>
      <c r="E387" s="71" t="s">
        <v>24</v>
      </c>
      <c r="F387" s="71" t="s">
        <v>407</v>
      </c>
      <c r="G387" s="71" t="s">
        <v>42</v>
      </c>
      <c r="H387" s="71" t="s">
        <v>24</v>
      </c>
      <c r="I387" s="71" t="s">
        <v>39</v>
      </c>
      <c r="J387" s="72">
        <v>-23642.75</v>
      </c>
      <c r="K387" s="73">
        <v>44379</v>
      </c>
      <c r="L387" s="73">
        <v>44379</v>
      </c>
      <c r="M387" s="73">
        <v>44407</v>
      </c>
      <c r="N387" s="71" t="s">
        <v>38</v>
      </c>
    </row>
    <row r="388" spans="1:14" ht="15">
      <c r="A388" s="71" t="s">
        <v>216</v>
      </c>
      <c r="B388" s="71" t="s">
        <v>41</v>
      </c>
      <c r="C388" s="71" t="s">
        <v>251</v>
      </c>
      <c r="D388" s="71" t="s">
        <v>392</v>
      </c>
      <c r="E388" s="71" t="s">
        <v>24</v>
      </c>
      <c r="F388" s="71" t="s">
        <v>407</v>
      </c>
      <c r="G388" s="71" t="s">
        <v>37</v>
      </c>
      <c r="H388" s="71" t="s">
        <v>24</v>
      </c>
      <c r="I388" s="71" t="s">
        <v>39</v>
      </c>
      <c r="J388" s="72">
        <v>-32714.5</v>
      </c>
      <c r="K388" s="73">
        <v>44379</v>
      </c>
      <c r="L388" s="73">
        <v>44379</v>
      </c>
      <c r="M388" s="73">
        <v>44407</v>
      </c>
      <c r="N388" s="71" t="s">
        <v>38</v>
      </c>
    </row>
    <row r="389" spans="1:14" ht="15">
      <c r="A389" s="71" t="s">
        <v>216</v>
      </c>
      <c r="B389" s="71" t="s">
        <v>41</v>
      </c>
      <c r="C389" s="71" t="s">
        <v>251</v>
      </c>
      <c r="D389" s="71" t="s">
        <v>392</v>
      </c>
      <c r="E389" s="71" t="s">
        <v>24</v>
      </c>
      <c r="F389" s="71" t="s">
        <v>407</v>
      </c>
      <c r="G389" s="71" t="s">
        <v>37</v>
      </c>
      <c r="H389" s="71" t="s">
        <v>24</v>
      </c>
      <c r="I389" s="71" t="s">
        <v>39</v>
      </c>
      <c r="J389" s="72">
        <v>-7285.5</v>
      </c>
      <c r="K389" s="73">
        <v>44477</v>
      </c>
      <c r="L389" s="73">
        <v>44477</v>
      </c>
      <c r="M389" s="73">
        <v>44494</v>
      </c>
      <c r="N389" s="71" t="s">
        <v>38</v>
      </c>
    </row>
    <row r="390" spans="1:14" ht="15">
      <c r="A390" s="71" t="s">
        <v>216</v>
      </c>
      <c r="B390" s="71" t="s">
        <v>41</v>
      </c>
      <c r="C390" s="71" t="s">
        <v>251</v>
      </c>
      <c r="D390" s="71" t="s">
        <v>392</v>
      </c>
      <c r="E390" s="71" t="s">
        <v>24</v>
      </c>
      <c r="F390" s="71" t="s">
        <v>407</v>
      </c>
      <c r="G390" s="71" t="s">
        <v>47</v>
      </c>
      <c r="H390" s="71" t="s">
        <v>24</v>
      </c>
      <c r="I390" s="71" t="s">
        <v>39</v>
      </c>
      <c r="J390" s="72">
        <v>-19000</v>
      </c>
      <c r="K390" s="73">
        <v>44477</v>
      </c>
      <c r="L390" s="73">
        <v>44477</v>
      </c>
      <c r="M390" s="73">
        <v>44494</v>
      </c>
      <c r="N390" s="71" t="s">
        <v>38</v>
      </c>
    </row>
    <row r="391" spans="1:14" ht="15">
      <c r="A391" s="71" t="s">
        <v>216</v>
      </c>
      <c r="B391" s="71" t="s">
        <v>41</v>
      </c>
      <c r="C391" s="71" t="s">
        <v>251</v>
      </c>
      <c r="D391" s="71" t="s">
        <v>392</v>
      </c>
      <c r="E391" s="71" t="s">
        <v>24</v>
      </c>
      <c r="F391" s="71" t="s">
        <v>408</v>
      </c>
      <c r="G391" s="71" t="s">
        <v>40</v>
      </c>
      <c r="H391" s="71" t="s">
        <v>24</v>
      </c>
      <c r="I391" s="71" t="s">
        <v>39</v>
      </c>
      <c r="J391" s="72">
        <v>-43200.31</v>
      </c>
      <c r="K391" s="73">
        <v>44236</v>
      </c>
      <c r="L391" s="73">
        <v>44236</v>
      </c>
      <c r="M391" s="73">
        <v>44253</v>
      </c>
      <c r="N391" s="71" t="s">
        <v>38</v>
      </c>
    </row>
    <row r="392" spans="1:14" ht="15">
      <c r="A392" s="71" t="s">
        <v>216</v>
      </c>
      <c r="B392" s="71" t="s">
        <v>41</v>
      </c>
      <c r="C392" s="71" t="s">
        <v>251</v>
      </c>
      <c r="D392" s="71" t="s">
        <v>392</v>
      </c>
      <c r="E392" s="71" t="s">
        <v>24</v>
      </c>
      <c r="F392" s="71" t="s">
        <v>408</v>
      </c>
      <c r="G392" s="71" t="s">
        <v>40</v>
      </c>
      <c r="H392" s="71" t="s">
        <v>24</v>
      </c>
      <c r="I392" s="71" t="s">
        <v>39</v>
      </c>
      <c r="J392" s="72">
        <v>-1799.69</v>
      </c>
      <c r="K392" s="73">
        <v>44379</v>
      </c>
      <c r="L392" s="73">
        <v>44379</v>
      </c>
      <c r="M392" s="73">
        <v>44407</v>
      </c>
      <c r="N392" s="71" t="s">
        <v>38</v>
      </c>
    </row>
    <row r="393" spans="1:14" ht="15">
      <c r="A393" s="71" t="s">
        <v>216</v>
      </c>
      <c r="B393" s="71" t="s">
        <v>41</v>
      </c>
      <c r="C393" s="71" t="s">
        <v>251</v>
      </c>
      <c r="D393" s="71" t="s">
        <v>392</v>
      </c>
      <c r="E393" s="71" t="s">
        <v>24</v>
      </c>
      <c r="F393" s="71" t="s">
        <v>408</v>
      </c>
      <c r="G393" s="71" t="s">
        <v>42</v>
      </c>
      <c r="H393" s="71" t="s">
        <v>24</v>
      </c>
      <c r="I393" s="71" t="s">
        <v>39</v>
      </c>
      <c r="J393" s="72">
        <v>-45000</v>
      </c>
      <c r="K393" s="73">
        <v>44379</v>
      </c>
      <c r="L393" s="73">
        <v>44379</v>
      </c>
      <c r="M393" s="73">
        <v>44407</v>
      </c>
      <c r="N393" s="71" t="s">
        <v>38</v>
      </c>
    </row>
    <row r="394" spans="1:14" ht="15">
      <c r="A394" s="71" t="s">
        <v>216</v>
      </c>
      <c r="B394" s="71" t="s">
        <v>41</v>
      </c>
      <c r="C394" s="71" t="s">
        <v>251</v>
      </c>
      <c r="D394" s="71" t="s">
        <v>392</v>
      </c>
      <c r="E394" s="71" t="s">
        <v>24</v>
      </c>
      <c r="F394" s="71" t="s">
        <v>408</v>
      </c>
      <c r="G394" s="71" t="s">
        <v>37</v>
      </c>
      <c r="H394" s="71" t="s">
        <v>24</v>
      </c>
      <c r="I394" s="71" t="s">
        <v>39</v>
      </c>
      <c r="J394" s="72">
        <v>-26609.31</v>
      </c>
      <c r="K394" s="73">
        <v>44379</v>
      </c>
      <c r="L394" s="73">
        <v>44379</v>
      </c>
      <c r="M394" s="73">
        <v>44407</v>
      </c>
      <c r="N394" s="71" t="s">
        <v>38</v>
      </c>
    </row>
    <row r="395" spans="1:14" ht="15">
      <c r="A395" s="71" t="s">
        <v>216</v>
      </c>
      <c r="B395" s="71" t="s">
        <v>41</v>
      </c>
      <c r="C395" s="71" t="s">
        <v>251</v>
      </c>
      <c r="D395" s="71" t="s">
        <v>392</v>
      </c>
      <c r="E395" s="71" t="s">
        <v>24</v>
      </c>
      <c r="F395" s="71" t="s">
        <v>408</v>
      </c>
      <c r="G395" s="71" t="s">
        <v>37</v>
      </c>
      <c r="H395" s="71" t="s">
        <v>24</v>
      </c>
      <c r="I395" s="71" t="s">
        <v>39</v>
      </c>
      <c r="J395" s="72">
        <v>-18390.689999999999</v>
      </c>
      <c r="K395" s="73">
        <v>44477</v>
      </c>
      <c r="L395" s="73">
        <v>44477</v>
      </c>
      <c r="M395" s="73">
        <v>44494</v>
      </c>
      <c r="N395" s="71" t="s">
        <v>38</v>
      </c>
    </row>
    <row r="396" spans="1:14" ht="15">
      <c r="A396" s="71" t="s">
        <v>216</v>
      </c>
      <c r="B396" s="71" t="s">
        <v>41</v>
      </c>
      <c r="C396" s="71" t="s">
        <v>251</v>
      </c>
      <c r="D396" s="71" t="s">
        <v>392</v>
      </c>
      <c r="E396" s="71" t="s">
        <v>24</v>
      </c>
      <c r="F396" s="71" t="s">
        <v>408</v>
      </c>
      <c r="G396" s="71" t="s">
        <v>47</v>
      </c>
      <c r="H396" s="71" t="s">
        <v>24</v>
      </c>
      <c r="I396" s="71" t="s">
        <v>39</v>
      </c>
      <c r="J396" s="72">
        <v>-45000</v>
      </c>
      <c r="K396" s="73">
        <v>44477</v>
      </c>
      <c r="L396" s="73">
        <v>44477</v>
      </c>
      <c r="M396" s="73">
        <v>44494</v>
      </c>
      <c r="N396" s="71" t="s">
        <v>38</v>
      </c>
    </row>
    <row r="397" spans="1:14" ht="15">
      <c r="A397" s="71" t="s">
        <v>216</v>
      </c>
      <c r="B397" s="71" t="s">
        <v>291</v>
      </c>
      <c r="C397" s="71" t="s">
        <v>292</v>
      </c>
      <c r="D397" s="71" t="s">
        <v>392</v>
      </c>
      <c r="E397" s="71" t="s">
        <v>24</v>
      </c>
      <c r="F397" s="71" t="s">
        <v>409</v>
      </c>
      <c r="G397" s="71" t="s">
        <v>40</v>
      </c>
      <c r="H397" s="71" t="s">
        <v>24</v>
      </c>
      <c r="I397" s="71" t="s">
        <v>39</v>
      </c>
      <c r="J397" s="72">
        <v>-80000</v>
      </c>
      <c r="K397" s="73">
        <v>44236</v>
      </c>
      <c r="L397" s="73">
        <v>44236</v>
      </c>
      <c r="M397" s="73">
        <v>44253</v>
      </c>
      <c r="N397" s="71" t="s">
        <v>38</v>
      </c>
    </row>
    <row r="398" spans="1:14" ht="15">
      <c r="A398" s="71" t="s">
        <v>216</v>
      </c>
      <c r="B398" s="71" t="s">
        <v>291</v>
      </c>
      <c r="C398" s="71" t="s">
        <v>292</v>
      </c>
      <c r="D398" s="71" t="s">
        <v>392</v>
      </c>
      <c r="E398" s="71" t="s">
        <v>24</v>
      </c>
      <c r="F398" s="71" t="s">
        <v>409</v>
      </c>
      <c r="G398" s="71" t="s">
        <v>42</v>
      </c>
      <c r="H398" s="71" t="s">
        <v>24</v>
      </c>
      <c r="I398" s="71" t="s">
        <v>39</v>
      </c>
      <c r="J398" s="72">
        <v>-24978.62</v>
      </c>
      <c r="K398" s="73">
        <v>44236</v>
      </c>
      <c r="L398" s="73">
        <v>44236</v>
      </c>
      <c r="M398" s="73">
        <v>44253</v>
      </c>
      <c r="N398" s="71" t="s">
        <v>38</v>
      </c>
    </row>
    <row r="399" spans="1:14" ht="15">
      <c r="A399" s="71" t="s">
        <v>216</v>
      </c>
      <c r="B399" s="71" t="s">
        <v>291</v>
      </c>
      <c r="C399" s="71" t="s">
        <v>292</v>
      </c>
      <c r="D399" s="71" t="s">
        <v>392</v>
      </c>
      <c r="E399" s="71" t="s">
        <v>24</v>
      </c>
      <c r="F399" s="71" t="s">
        <v>409</v>
      </c>
      <c r="G399" s="71" t="s">
        <v>42</v>
      </c>
      <c r="H399" s="71" t="s">
        <v>24</v>
      </c>
      <c r="I399" s="71" t="s">
        <v>39</v>
      </c>
      <c r="J399" s="72">
        <v>-45021.38</v>
      </c>
      <c r="K399" s="73">
        <v>44379</v>
      </c>
      <c r="L399" s="73">
        <v>44379</v>
      </c>
      <c r="M399" s="73">
        <v>44407</v>
      </c>
      <c r="N399" s="71" t="s">
        <v>38</v>
      </c>
    </row>
    <row r="400" spans="1:14" ht="15">
      <c r="A400" s="71" t="s">
        <v>216</v>
      </c>
      <c r="B400" s="71" t="s">
        <v>291</v>
      </c>
      <c r="C400" s="71" t="s">
        <v>292</v>
      </c>
      <c r="D400" s="71" t="s">
        <v>392</v>
      </c>
      <c r="E400" s="71" t="s">
        <v>24</v>
      </c>
      <c r="F400" s="71" t="s">
        <v>409</v>
      </c>
      <c r="G400" s="71" t="s">
        <v>37</v>
      </c>
      <c r="H400" s="71" t="s">
        <v>24</v>
      </c>
      <c r="I400" s="71" t="s">
        <v>39</v>
      </c>
      <c r="J400" s="72">
        <v>-69164.88</v>
      </c>
      <c r="K400" s="73">
        <v>44379</v>
      </c>
      <c r="L400" s="73">
        <v>44379</v>
      </c>
      <c r="M400" s="73">
        <v>44407</v>
      </c>
      <c r="N400" s="71" t="s">
        <v>38</v>
      </c>
    </row>
    <row r="401" spans="1:14" ht="15">
      <c r="A401" s="71" t="s">
        <v>216</v>
      </c>
      <c r="B401" s="71" t="s">
        <v>291</v>
      </c>
      <c r="C401" s="71" t="s">
        <v>292</v>
      </c>
      <c r="D401" s="71" t="s">
        <v>392</v>
      </c>
      <c r="E401" s="71" t="s">
        <v>24</v>
      </c>
      <c r="F401" s="71" t="s">
        <v>409</v>
      </c>
      <c r="G401" s="71" t="s">
        <v>37</v>
      </c>
      <c r="H401" s="71" t="s">
        <v>24</v>
      </c>
      <c r="I401" s="71" t="s">
        <v>39</v>
      </c>
      <c r="J401" s="72">
        <v>-835.12</v>
      </c>
      <c r="K401" s="73">
        <v>44480</v>
      </c>
      <c r="L401" s="73">
        <v>44480</v>
      </c>
      <c r="M401" s="73">
        <v>44494</v>
      </c>
      <c r="N401" s="71" t="s">
        <v>38</v>
      </c>
    </row>
    <row r="402" spans="1:14" ht="15">
      <c r="A402" s="71" t="s">
        <v>216</v>
      </c>
      <c r="B402" s="71" t="s">
        <v>291</v>
      </c>
      <c r="C402" s="71" t="s">
        <v>292</v>
      </c>
      <c r="D402" s="71" t="s">
        <v>392</v>
      </c>
      <c r="E402" s="71" t="s">
        <v>24</v>
      </c>
      <c r="F402" s="71" t="s">
        <v>409</v>
      </c>
      <c r="G402" s="71" t="s">
        <v>47</v>
      </c>
      <c r="H402" s="71" t="s">
        <v>24</v>
      </c>
      <c r="I402" s="71" t="s">
        <v>39</v>
      </c>
      <c r="J402" s="72">
        <v>-10000</v>
      </c>
      <c r="K402" s="73">
        <v>44480</v>
      </c>
      <c r="L402" s="73">
        <v>44480</v>
      </c>
      <c r="M402" s="73">
        <v>44494</v>
      </c>
      <c r="N402" s="71" t="s">
        <v>38</v>
      </c>
    </row>
    <row r="403" spans="1:14" ht="15">
      <c r="A403" s="71" t="s">
        <v>216</v>
      </c>
      <c r="B403" s="71" t="s">
        <v>222</v>
      </c>
      <c r="C403" s="71" t="s">
        <v>223</v>
      </c>
      <c r="D403" s="71" t="s">
        <v>392</v>
      </c>
      <c r="E403" s="71" t="s">
        <v>24</v>
      </c>
      <c r="F403" s="71" t="s">
        <v>410</v>
      </c>
      <c r="G403" s="71" t="s">
        <v>40</v>
      </c>
      <c r="H403" s="71" t="s">
        <v>24</v>
      </c>
      <c r="I403" s="71" t="s">
        <v>39</v>
      </c>
      <c r="J403" s="72">
        <v>-43000</v>
      </c>
      <c r="K403" s="73">
        <v>44236</v>
      </c>
      <c r="L403" s="73">
        <v>44236</v>
      </c>
      <c r="M403" s="73">
        <v>44253</v>
      </c>
      <c r="N403" s="71" t="s">
        <v>38</v>
      </c>
    </row>
    <row r="404" spans="1:14" ht="15">
      <c r="A404" s="71" t="s">
        <v>216</v>
      </c>
      <c r="B404" s="71" t="s">
        <v>222</v>
      </c>
      <c r="C404" s="71" t="s">
        <v>223</v>
      </c>
      <c r="D404" s="71" t="s">
        <v>392</v>
      </c>
      <c r="E404" s="71" t="s">
        <v>24</v>
      </c>
      <c r="F404" s="71" t="s">
        <v>410</v>
      </c>
      <c r="G404" s="71" t="s">
        <v>42</v>
      </c>
      <c r="H404" s="71" t="s">
        <v>24</v>
      </c>
      <c r="I404" s="71" t="s">
        <v>39</v>
      </c>
      <c r="J404" s="72">
        <v>-8742.67</v>
      </c>
      <c r="K404" s="73">
        <v>44236</v>
      </c>
      <c r="L404" s="73">
        <v>44236</v>
      </c>
      <c r="M404" s="73">
        <v>44253</v>
      </c>
      <c r="N404" s="71" t="s">
        <v>38</v>
      </c>
    </row>
    <row r="405" spans="1:14" ht="15">
      <c r="A405" s="71" t="s">
        <v>216</v>
      </c>
      <c r="B405" s="71" t="s">
        <v>222</v>
      </c>
      <c r="C405" s="71" t="s">
        <v>223</v>
      </c>
      <c r="D405" s="71" t="s">
        <v>392</v>
      </c>
      <c r="E405" s="71" t="s">
        <v>24</v>
      </c>
      <c r="F405" s="71" t="s">
        <v>410</v>
      </c>
      <c r="G405" s="71" t="s">
        <v>42</v>
      </c>
      <c r="H405" s="71" t="s">
        <v>24</v>
      </c>
      <c r="I405" s="71" t="s">
        <v>39</v>
      </c>
      <c r="J405" s="72">
        <v>-34257.33</v>
      </c>
      <c r="K405" s="73">
        <v>44378</v>
      </c>
      <c r="L405" s="73">
        <v>44378</v>
      </c>
      <c r="M405" s="73">
        <v>44407</v>
      </c>
      <c r="N405" s="71" t="s">
        <v>38</v>
      </c>
    </row>
    <row r="406" spans="1:14" ht="15">
      <c r="A406" s="71" t="s">
        <v>216</v>
      </c>
      <c r="B406" s="71" t="s">
        <v>222</v>
      </c>
      <c r="C406" s="71" t="s">
        <v>223</v>
      </c>
      <c r="D406" s="71" t="s">
        <v>392</v>
      </c>
      <c r="E406" s="71" t="s">
        <v>24</v>
      </c>
      <c r="F406" s="71" t="s">
        <v>410</v>
      </c>
      <c r="G406" s="71" t="s">
        <v>37</v>
      </c>
      <c r="H406" s="71" t="s">
        <v>24</v>
      </c>
      <c r="I406" s="71" t="s">
        <v>39</v>
      </c>
      <c r="J406" s="72">
        <v>-15451.41</v>
      </c>
      <c r="K406" s="73">
        <v>44378</v>
      </c>
      <c r="L406" s="73">
        <v>44378</v>
      </c>
      <c r="M406" s="73">
        <v>44407</v>
      </c>
      <c r="N406" s="71" t="s">
        <v>38</v>
      </c>
    </row>
    <row r="407" spans="1:14" ht="15">
      <c r="A407" s="71" t="s">
        <v>216</v>
      </c>
      <c r="B407" s="71" t="s">
        <v>222</v>
      </c>
      <c r="C407" s="71" t="s">
        <v>223</v>
      </c>
      <c r="D407" s="71" t="s">
        <v>392</v>
      </c>
      <c r="E407" s="71" t="s">
        <v>24</v>
      </c>
      <c r="F407" s="71" t="s">
        <v>410</v>
      </c>
      <c r="G407" s="71" t="s">
        <v>37</v>
      </c>
      <c r="H407" s="71" t="s">
        <v>24</v>
      </c>
      <c r="I407" s="71" t="s">
        <v>39</v>
      </c>
      <c r="J407" s="72">
        <v>-27548.59</v>
      </c>
      <c r="K407" s="73">
        <v>44480</v>
      </c>
      <c r="L407" s="73">
        <v>44480</v>
      </c>
      <c r="M407" s="73">
        <v>44494</v>
      </c>
      <c r="N407" s="71" t="s">
        <v>38</v>
      </c>
    </row>
    <row r="408" spans="1:14" ht="15">
      <c r="A408" s="71" t="s">
        <v>216</v>
      </c>
      <c r="B408" s="71" t="s">
        <v>222</v>
      </c>
      <c r="C408" s="71" t="s">
        <v>223</v>
      </c>
      <c r="D408" s="71" t="s">
        <v>392</v>
      </c>
      <c r="E408" s="71" t="s">
        <v>24</v>
      </c>
      <c r="F408" s="71" t="s">
        <v>410</v>
      </c>
      <c r="G408" s="71" t="s">
        <v>47</v>
      </c>
      <c r="H408" s="71" t="s">
        <v>24</v>
      </c>
      <c r="I408" s="71" t="s">
        <v>39</v>
      </c>
      <c r="J408" s="72">
        <v>-25021.7</v>
      </c>
      <c r="K408" s="73">
        <v>44480</v>
      </c>
      <c r="L408" s="73">
        <v>44480</v>
      </c>
      <c r="M408" s="73">
        <v>44494</v>
      </c>
      <c r="N408" s="71" t="s">
        <v>38</v>
      </c>
    </row>
    <row r="409" spans="1:14" ht="15">
      <c r="A409" s="71" t="s">
        <v>216</v>
      </c>
      <c r="B409" s="71" t="s">
        <v>222</v>
      </c>
      <c r="C409" s="71" t="s">
        <v>223</v>
      </c>
      <c r="D409" s="71" t="s">
        <v>392</v>
      </c>
      <c r="E409" s="71" t="s">
        <v>24</v>
      </c>
      <c r="F409" s="71" t="s">
        <v>410</v>
      </c>
      <c r="G409" s="71" t="s">
        <v>47</v>
      </c>
      <c r="H409" s="71" t="s">
        <v>24</v>
      </c>
      <c r="I409" s="71" t="s">
        <v>39</v>
      </c>
      <c r="J409" s="72">
        <v>-5978.3</v>
      </c>
      <c r="K409" s="73">
        <v>44622</v>
      </c>
      <c r="L409" s="73">
        <v>44622</v>
      </c>
      <c r="M409" s="73">
        <v>44638</v>
      </c>
      <c r="N409" s="71" t="s">
        <v>38</v>
      </c>
    </row>
    <row r="410" spans="1:14" ht="15">
      <c r="A410" s="71" t="s">
        <v>216</v>
      </c>
      <c r="B410" s="71" t="s">
        <v>164</v>
      </c>
      <c r="C410" s="71" t="s">
        <v>165</v>
      </c>
      <c r="D410" s="71" t="s">
        <v>502</v>
      </c>
      <c r="E410" s="71" t="s">
        <v>24</v>
      </c>
      <c r="F410" s="71" t="s">
        <v>503</v>
      </c>
      <c r="G410" s="71" t="s">
        <v>40</v>
      </c>
      <c r="H410" s="71" t="s">
        <v>24</v>
      </c>
      <c r="I410" s="71" t="s">
        <v>39</v>
      </c>
      <c r="J410" s="72">
        <v>-150000</v>
      </c>
      <c r="K410" s="73">
        <v>44391</v>
      </c>
      <c r="L410" s="73">
        <v>44391</v>
      </c>
      <c r="M410" s="73">
        <v>44407</v>
      </c>
      <c r="N410" s="71" t="s">
        <v>38</v>
      </c>
    </row>
    <row r="411" spans="1:14" ht="15">
      <c r="A411" s="71" t="s">
        <v>216</v>
      </c>
      <c r="B411" s="71" t="s">
        <v>164</v>
      </c>
      <c r="C411" s="71" t="s">
        <v>165</v>
      </c>
      <c r="D411" s="71" t="s">
        <v>502</v>
      </c>
      <c r="E411" s="71" t="s">
        <v>24</v>
      </c>
      <c r="F411" s="71" t="s">
        <v>503</v>
      </c>
      <c r="G411" s="71" t="s">
        <v>42</v>
      </c>
      <c r="H411" s="71" t="s">
        <v>24</v>
      </c>
      <c r="I411" s="71" t="s">
        <v>39</v>
      </c>
      <c r="J411" s="72">
        <v>-150000</v>
      </c>
      <c r="K411" s="73">
        <v>44391</v>
      </c>
      <c r="L411" s="73">
        <v>44391</v>
      </c>
      <c r="M411" s="73">
        <v>44407</v>
      </c>
      <c r="N411" s="71" t="s">
        <v>38</v>
      </c>
    </row>
    <row r="412" spans="1:14" ht="15">
      <c r="A412" s="71" t="s">
        <v>216</v>
      </c>
      <c r="B412" s="71" t="s">
        <v>164</v>
      </c>
      <c r="C412" s="71" t="s">
        <v>165</v>
      </c>
      <c r="D412" s="71" t="s">
        <v>502</v>
      </c>
      <c r="E412" s="71" t="s">
        <v>24</v>
      </c>
      <c r="F412" s="71" t="s">
        <v>503</v>
      </c>
      <c r="G412" s="71" t="s">
        <v>37</v>
      </c>
      <c r="H412" s="71" t="s">
        <v>24</v>
      </c>
      <c r="I412" s="71" t="s">
        <v>39</v>
      </c>
      <c r="J412" s="72">
        <v>-50000</v>
      </c>
      <c r="K412" s="73">
        <v>44391</v>
      </c>
      <c r="L412" s="73">
        <v>44391</v>
      </c>
      <c r="M412" s="73">
        <v>44407</v>
      </c>
      <c r="N412" s="71" t="s">
        <v>38</v>
      </c>
    </row>
    <row r="413" spans="1:14" ht="15">
      <c r="A413" s="71" t="s">
        <v>216</v>
      </c>
      <c r="B413" s="71" t="s">
        <v>224</v>
      </c>
      <c r="C413" s="71" t="s">
        <v>225</v>
      </c>
      <c r="D413" s="71" t="s">
        <v>392</v>
      </c>
      <c r="E413" s="71" t="s">
        <v>24</v>
      </c>
      <c r="F413" s="71" t="s">
        <v>411</v>
      </c>
      <c r="G413" s="71" t="s">
        <v>40</v>
      </c>
      <c r="H413" s="71" t="s">
        <v>24</v>
      </c>
      <c r="I413" s="71" t="s">
        <v>39</v>
      </c>
      <c r="J413" s="72">
        <v>-22000</v>
      </c>
      <c r="K413" s="73">
        <v>44232</v>
      </c>
      <c r="L413" s="73">
        <v>44232</v>
      </c>
      <c r="M413" s="73">
        <v>44253</v>
      </c>
      <c r="N413" s="71" t="s">
        <v>38</v>
      </c>
    </row>
    <row r="414" spans="1:14" ht="15">
      <c r="A414" s="71" t="s">
        <v>216</v>
      </c>
      <c r="B414" s="71" t="s">
        <v>224</v>
      </c>
      <c r="C414" s="71" t="s">
        <v>225</v>
      </c>
      <c r="D414" s="71" t="s">
        <v>392</v>
      </c>
      <c r="E414" s="71" t="s">
        <v>24</v>
      </c>
      <c r="F414" s="71" t="s">
        <v>411</v>
      </c>
      <c r="G414" s="71" t="s">
        <v>42</v>
      </c>
      <c r="H414" s="71" t="s">
        <v>24</v>
      </c>
      <c r="I414" s="71" t="s">
        <v>39</v>
      </c>
      <c r="J414" s="72">
        <v>-9377.42</v>
      </c>
      <c r="K414" s="73">
        <v>44232</v>
      </c>
      <c r="L414" s="73">
        <v>44232</v>
      </c>
      <c r="M414" s="73">
        <v>44253</v>
      </c>
      <c r="N414" s="71" t="s">
        <v>38</v>
      </c>
    </row>
    <row r="415" spans="1:14" ht="15">
      <c r="A415" s="71" t="s">
        <v>216</v>
      </c>
      <c r="B415" s="71" t="s">
        <v>224</v>
      </c>
      <c r="C415" s="71" t="s">
        <v>225</v>
      </c>
      <c r="D415" s="71" t="s">
        <v>392</v>
      </c>
      <c r="E415" s="71" t="s">
        <v>24</v>
      </c>
      <c r="F415" s="71" t="s">
        <v>411</v>
      </c>
      <c r="G415" s="71" t="s">
        <v>42</v>
      </c>
      <c r="H415" s="71" t="s">
        <v>24</v>
      </c>
      <c r="I415" s="71" t="s">
        <v>39</v>
      </c>
      <c r="J415" s="72">
        <v>-12622.58</v>
      </c>
      <c r="K415" s="73">
        <v>44391</v>
      </c>
      <c r="L415" s="73">
        <v>44391</v>
      </c>
      <c r="M415" s="73">
        <v>44407</v>
      </c>
      <c r="N415" s="71" t="s">
        <v>38</v>
      </c>
    </row>
    <row r="416" spans="1:14" ht="15">
      <c r="A416" s="71" t="s">
        <v>216</v>
      </c>
      <c r="B416" s="71" t="s">
        <v>224</v>
      </c>
      <c r="C416" s="71" t="s">
        <v>225</v>
      </c>
      <c r="D416" s="71" t="s">
        <v>392</v>
      </c>
      <c r="E416" s="71" t="s">
        <v>24</v>
      </c>
      <c r="F416" s="71" t="s">
        <v>411</v>
      </c>
      <c r="G416" s="71" t="s">
        <v>37</v>
      </c>
      <c r="H416" s="71" t="s">
        <v>24</v>
      </c>
      <c r="I416" s="71" t="s">
        <v>39</v>
      </c>
      <c r="J416" s="72">
        <v>-13794.84</v>
      </c>
      <c r="K416" s="73">
        <v>44391</v>
      </c>
      <c r="L416" s="73">
        <v>44391</v>
      </c>
      <c r="M416" s="73">
        <v>44407</v>
      </c>
      <c r="N416" s="71" t="s">
        <v>38</v>
      </c>
    </row>
    <row r="417" spans="1:14" ht="15">
      <c r="A417" s="71" t="s">
        <v>216</v>
      </c>
      <c r="B417" s="71" t="s">
        <v>224</v>
      </c>
      <c r="C417" s="71" t="s">
        <v>225</v>
      </c>
      <c r="D417" s="71" t="s">
        <v>392</v>
      </c>
      <c r="E417" s="71" t="s">
        <v>24</v>
      </c>
      <c r="F417" s="71" t="s">
        <v>411</v>
      </c>
      <c r="G417" s="71" t="s">
        <v>37</v>
      </c>
      <c r="H417" s="71" t="s">
        <v>24</v>
      </c>
      <c r="I417" s="71" t="s">
        <v>39</v>
      </c>
      <c r="J417" s="72">
        <v>-6205.16</v>
      </c>
      <c r="K417" s="73">
        <v>44484</v>
      </c>
      <c r="L417" s="73">
        <v>44484</v>
      </c>
      <c r="M417" s="73">
        <v>44494</v>
      </c>
      <c r="N417" s="71" t="s">
        <v>38</v>
      </c>
    </row>
    <row r="418" spans="1:14" ht="15">
      <c r="A418" s="71" t="s">
        <v>216</v>
      </c>
      <c r="B418" s="71" t="s">
        <v>224</v>
      </c>
      <c r="C418" s="71" t="s">
        <v>225</v>
      </c>
      <c r="D418" s="71" t="s">
        <v>392</v>
      </c>
      <c r="E418" s="71" t="s">
        <v>24</v>
      </c>
      <c r="F418" s="71" t="s">
        <v>411</v>
      </c>
      <c r="G418" s="71" t="s">
        <v>47</v>
      </c>
      <c r="H418" s="71" t="s">
        <v>24</v>
      </c>
      <c r="I418" s="71" t="s">
        <v>39</v>
      </c>
      <c r="J418" s="72">
        <v>-16000</v>
      </c>
      <c r="K418" s="73">
        <v>44484</v>
      </c>
      <c r="L418" s="73">
        <v>44484</v>
      </c>
      <c r="M418" s="73">
        <v>44494</v>
      </c>
      <c r="N418" s="71" t="s">
        <v>38</v>
      </c>
    </row>
    <row r="419" spans="1:14" ht="15">
      <c r="A419" s="71" t="s">
        <v>216</v>
      </c>
      <c r="B419" s="71" t="s">
        <v>118</v>
      </c>
      <c r="C419" s="71" t="s">
        <v>119</v>
      </c>
      <c r="D419" s="71" t="s">
        <v>484</v>
      </c>
      <c r="E419" s="71" t="s">
        <v>24</v>
      </c>
      <c r="F419" s="71" t="s">
        <v>504</v>
      </c>
      <c r="G419" s="71" t="s">
        <v>40</v>
      </c>
      <c r="H419" s="71" t="s">
        <v>24</v>
      </c>
      <c r="I419" s="71" t="s">
        <v>39</v>
      </c>
      <c r="J419" s="72">
        <v>-40000</v>
      </c>
      <c r="K419" s="73">
        <v>44412</v>
      </c>
      <c r="L419" s="73">
        <v>44412</v>
      </c>
      <c r="M419" s="73">
        <v>44434</v>
      </c>
      <c r="N419" s="71" t="s">
        <v>38</v>
      </c>
    </row>
    <row r="420" spans="1:14" ht="15">
      <c r="A420" s="71" t="s">
        <v>216</v>
      </c>
      <c r="B420" s="71" t="s">
        <v>154</v>
      </c>
      <c r="C420" s="71" t="s">
        <v>155</v>
      </c>
      <c r="D420" s="71" t="s">
        <v>392</v>
      </c>
      <c r="E420" s="71" t="s">
        <v>24</v>
      </c>
      <c r="F420" s="71" t="s">
        <v>412</v>
      </c>
      <c r="G420" s="71" t="s">
        <v>40</v>
      </c>
      <c r="H420" s="71" t="s">
        <v>24</v>
      </c>
      <c r="I420" s="71" t="s">
        <v>39</v>
      </c>
      <c r="J420" s="72">
        <v>-15000</v>
      </c>
      <c r="K420" s="73">
        <v>44236</v>
      </c>
      <c r="L420" s="73">
        <v>44236</v>
      </c>
      <c r="M420" s="73">
        <v>44253</v>
      </c>
      <c r="N420" s="71" t="s">
        <v>38</v>
      </c>
    </row>
    <row r="421" spans="1:14" ht="15">
      <c r="A421" s="71" t="s">
        <v>216</v>
      </c>
      <c r="B421" s="71" t="s">
        <v>154</v>
      </c>
      <c r="C421" s="71" t="s">
        <v>155</v>
      </c>
      <c r="D421" s="71" t="s">
        <v>392</v>
      </c>
      <c r="E421" s="71" t="s">
        <v>24</v>
      </c>
      <c r="F421" s="71" t="s">
        <v>412</v>
      </c>
      <c r="G421" s="71" t="s">
        <v>42</v>
      </c>
      <c r="H421" s="71" t="s">
        <v>24</v>
      </c>
      <c r="I421" s="71" t="s">
        <v>39</v>
      </c>
      <c r="J421" s="72">
        <v>-1337.52</v>
      </c>
      <c r="K421" s="73">
        <v>44236</v>
      </c>
      <c r="L421" s="73">
        <v>44236</v>
      </c>
      <c r="M421" s="73">
        <v>44253</v>
      </c>
      <c r="N421" s="71" t="s">
        <v>38</v>
      </c>
    </row>
    <row r="422" spans="1:14" ht="15">
      <c r="A422" s="71" t="s">
        <v>216</v>
      </c>
      <c r="B422" s="71" t="s">
        <v>154</v>
      </c>
      <c r="C422" s="71" t="s">
        <v>155</v>
      </c>
      <c r="D422" s="71" t="s">
        <v>392</v>
      </c>
      <c r="E422" s="71" t="s">
        <v>24</v>
      </c>
      <c r="F422" s="71" t="s">
        <v>412</v>
      </c>
      <c r="G422" s="71" t="s">
        <v>42</v>
      </c>
      <c r="H422" s="71" t="s">
        <v>24</v>
      </c>
      <c r="I422" s="71" t="s">
        <v>39</v>
      </c>
      <c r="J422" s="72">
        <v>-13662.48</v>
      </c>
      <c r="K422" s="73">
        <v>44379</v>
      </c>
      <c r="L422" s="73">
        <v>44379</v>
      </c>
      <c r="M422" s="73">
        <v>44407</v>
      </c>
      <c r="N422" s="71" t="s">
        <v>38</v>
      </c>
    </row>
    <row r="423" spans="1:14" ht="15">
      <c r="A423" s="71" t="s">
        <v>216</v>
      </c>
      <c r="B423" s="71" t="s">
        <v>154</v>
      </c>
      <c r="C423" s="71" t="s">
        <v>155</v>
      </c>
      <c r="D423" s="71" t="s">
        <v>392</v>
      </c>
      <c r="E423" s="71" t="s">
        <v>24</v>
      </c>
      <c r="F423" s="71" t="s">
        <v>412</v>
      </c>
      <c r="G423" s="71" t="s">
        <v>37</v>
      </c>
      <c r="H423" s="71" t="s">
        <v>24</v>
      </c>
      <c r="I423" s="71" t="s">
        <v>39</v>
      </c>
      <c r="J423" s="72">
        <v>-2675.04</v>
      </c>
      <c r="K423" s="73">
        <v>44379</v>
      </c>
      <c r="L423" s="73">
        <v>44379</v>
      </c>
      <c r="M423" s="73">
        <v>44407</v>
      </c>
      <c r="N423" s="71" t="s">
        <v>38</v>
      </c>
    </row>
    <row r="424" spans="1:14" ht="15">
      <c r="A424" s="71" t="s">
        <v>216</v>
      </c>
      <c r="B424" s="71" t="s">
        <v>154</v>
      </c>
      <c r="C424" s="71" t="s">
        <v>155</v>
      </c>
      <c r="D424" s="71" t="s">
        <v>392</v>
      </c>
      <c r="E424" s="71" t="s">
        <v>24</v>
      </c>
      <c r="F424" s="71" t="s">
        <v>412</v>
      </c>
      <c r="G424" s="71" t="s">
        <v>37</v>
      </c>
      <c r="H424" s="71" t="s">
        <v>24</v>
      </c>
      <c r="I424" s="71" t="s">
        <v>39</v>
      </c>
      <c r="J424" s="72">
        <v>-12324.96</v>
      </c>
      <c r="K424" s="73">
        <v>44480</v>
      </c>
      <c r="L424" s="73">
        <v>44480</v>
      </c>
      <c r="M424" s="73">
        <v>44494</v>
      </c>
      <c r="N424" s="71" t="s">
        <v>38</v>
      </c>
    </row>
    <row r="425" spans="1:14" ht="15">
      <c r="A425" s="71" t="s">
        <v>216</v>
      </c>
      <c r="B425" s="71" t="s">
        <v>154</v>
      </c>
      <c r="C425" s="71" t="s">
        <v>155</v>
      </c>
      <c r="D425" s="71" t="s">
        <v>392</v>
      </c>
      <c r="E425" s="71" t="s">
        <v>24</v>
      </c>
      <c r="F425" s="71" t="s">
        <v>412</v>
      </c>
      <c r="G425" s="71" t="s">
        <v>47</v>
      </c>
      <c r="H425" s="71" t="s">
        <v>24</v>
      </c>
      <c r="I425" s="71" t="s">
        <v>39</v>
      </c>
      <c r="J425" s="72">
        <v>-4012.56</v>
      </c>
      <c r="K425" s="73">
        <v>44480</v>
      </c>
      <c r="L425" s="73">
        <v>44480</v>
      </c>
      <c r="M425" s="73">
        <v>44494</v>
      </c>
      <c r="N425" s="71" t="s">
        <v>38</v>
      </c>
    </row>
    <row r="426" spans="1:14" ht="15">
      <c r="A426" s="71" t="s">
        <v>216</v>
      </c>
      <c r="B426" s="71" t="s">
        <v>154</v>
      </c>
      <c r="C426" s="71" t="s">
        <v>155</v>
      </c>
      <c r="D426" s="71" t="s">
        <v>392</v>
      </c>
      <c r="E426" s="71" t="s">
        <v>24</v>
      </c>
      <c r="F426" s="71" t="s">
        <v>412</v>
      </c>
      <c r="G426" s="71" t="s">
        <v>47</v>
      </c>
      <c r="H426" s="71" t="s">
        <v>24</v>
      </c>
      <c r="I426" s="71" t="s">
        <v>39</v>
      </c>
      <c r="J426" s="72">
        <v>-5987.44</v>
      </c>
      <c r="K426" s="73">
        <v>44622</v>
      </c>
      <c r="L426" s="73">
        <v>44622</v>
      </c>
      <c r="M426" s="73">
        <v>44638</v>
      </c>
      <c r="N426" s="71" t="s">
        <v>38</v>
      </c>
    </row>
    <row r="427" spans="1:14" ht="15">
      <c r="A427" s="71" t="s">
        <v>216</v>
      </c>
      <c r="B427" s="71" t="s">
        <v>137</v>
      </c>
      <c r="C427" s="71" t="s">
        <v>138</v>
      </c>
      <c r="D427" s="71" t="s">
        <v>448</v>
      </c>
      <c r="E427" s="71" t="s">
        <v>24</v>
      </c>
      <c r="F427" s="71" t="s">
        <v>449</v>
      </c>
      <c r="G427" s="71" t="s">
        <v>40</v>
      </c>
      <c r="H427" s="71" t="s">
        <v>24</v>
      </c>
      <c r="I427" s="71" t="s">
        <v>39</v>
      </c>
      <c r="J427" s="72">
        <v>-48995.55</v>
      </c>
      <c r="K427" s="73">
        <v>44302</v>
      </c>
      <c r="L427" s="73">
        <v>44302</v>
      </c>
      <c r="M427" s="73">
        <v>44314</v>
      </c>
      <c r="N427" s="71" t="s">
        <v>38</v>
      </c>
    </row>
    <row r="428" spans="1:14" ht="15">
      <c r="A428" s="71" t="s">
        <v>216</v>
      </c>
      <c r="B428" s="71" t="s">
        <v>137</v>
      </c>
      <c r="C428" s="71" t="s">
        <v>138</v>
      </c>
      <c r="D428" s="71" t="s">
        <v>448</v>
      </c>
      <c r="E428" s="71" t="s">
        <v>24</v>
      </c>
      <c r="F428" s="71" t="s">
        <v>449</v>
      </c>
      <c r="G428" s="71" t="s">
        <v>42</v>
      </c>
      <c r="H428" s="71" t="s">
        <v>24</v>
      </c>
      <c r="I428" s="71" t="s">
        <v>39</v>
      </c>
      <c r="J428" s="72">
        <v>-448388.64</v>
      </c>
      <c r="K428" s="73">
        <v>44391</v>
      </c>
      <c r="L428" s="73">
        <v>44391</v>
      </c>
      <c r="M428" s="73">
        <v>44407</v>
      </c>
      <c r="N428" s="71" t="s">
        <v>38</v>
      </c>
    </row>
    <row r="429" spans="1:14" ht="15">
      <c r="A429" s="71" t="s">
        <v>216</v>
      </c>
      <c r="B429" s="71" t="s">
        <v>137</v>
      </c>
      <c r="C429" s="71" t="s">
        <v>138</v>
      </c>
      <c r="D429" s="71" t="s">
        <v>448</v>
      </c>
      <c r="E429" s="71" t="s">
        <v>24</v>
      </c>
      <c r="F429" s="71" t="s">
        <v>449</v>
      </c>
      <c r="G429" s="71" t="s">
        <v>37</v>
      </c>
      <c r="H429" s="71" t="s">
        <v>24</v>
      </c>
      <c r="I429" s="71" t="s">
        <v>39</v>
      </c>
      <c r="J429" s="72">
        <v>-475775.45</v>
      </c>
      <c r="K429" s="73">
        <v>44391</v>
      </c>
      <c r="L429" s="73">
        <v>44391</v>
      </c>
      <c r="M429" s="73">
        <v>44407</v>
      </c>
      <c r="N429" s="71" t="s">
        <v>38</v>
      </c>
    </row>
    <row r="430" spans="1:14" ht="15">
      <c r="A430" s="71" t="s">
        <v>216</v>
      </c>
      <c r="B430" s="71" t="s">
        <v>137</v>
      </c>
      <c r="C430" s="71" t="s">
        <v>138</v>
      </c>
      <c r="D430" s="71" t="s">
        <v>448</v>
      </c>
      <c r="E430" s="71" t="s">
        <v>24</v>
      </c>
      <c r="F430" s="71" t="s">
        <v>449</v>
      </c>
      <c r="G430" s="71" t="s">
        <v>37</v>
      </c>
      <c r="H430" s="71" t="s">
        <v>24</v>
      </c>
      <c r="I430" s="71" t="s">
        <v>39</v>
      </c>
      <c r="J430" s="72">
        <v>-40198.42</v>
      </c>
      <c r="K430" s="73">
        <v>44603</v>
      </c>
      <c r="L430" s="73">
        <v>44603</v>
      </c>
      <c r="M430" s="73">
        <v>44620</v>
      </c>
      <c r="N430" s="71" t="s">
        <v>38</v>
      </c>
    </row>
    <row r="431" spans="1:14" ht="15">
      <c r="A431" s="71" t="s">
        <v>216</v>
      </c>
      <c r="B431" s="71" t="s">
        <v>137</v>
      </c>
      <c r="C431" s="71" t="s">
        <v>138</v>
      </c>
      <c r="D431" s="71" t="s">
        <v>448</v>
      </c>
      <c r="E431" s="71" t="s">
        <v>24</v>
      </c>
      <c r="F431" s="71" t="s">
        <v>449</v>
      </c>
      <c r="G431" s="71" t="s">
        <v>47</v>
      </c>
      <c r="H431" s="71" t="s">
        <v>24</v>
      </c>
      <c r="I431" s="71" t="s">
        <v>39</v>
      </c>
      <c r="J431" s="72">
        <v>-1522287</v>
      </c>
      <c r="K431" s="73">
        <v>44603</v>
      </c>
      <c r="L431" s="73">
        <v>44603</v>
      </c>
      <c r="M431" s="73">
        <v>44620</v>
      </c>
      <c r="N431" s="71" t="s">
        <v>38</v>
      </c>
    </row>
    <row r="432" spans="1:14" ht="15">
      <c r="A432" s="71" t="s">
        <v>216</v>
      </c>
      <c r="B432" s="71" t="s">
        <v>293</v>
      </c>
      <c r="C432" s="71" t="s">
        <v>294</v>
      </c>
      <c r="D432" s="71" t="s">
        <v>392</v>
      </c>
      <c r="E432" s="71" t="s">
        <v>24</v>
      </c>
      <c r="F432" s="71" t="s">
        <v>413</v>
      </c>
      <c r="G432" s="71" t="s">
        <v>40</v>
      </c>
      <c r="H432" s="71" t="s">
        <v>24</v>
      </c>
      <c r="I432" s="71" t="s">
        <v>39</v>
      </c>
      <c r="J432" s="72">
        <v>-75649.320000000007</v>
      </c>
      <c r="K432" s="73">
        <v>44236</v>
      </c>
      <c r="L432" s="73">
        <v>44236</v>
      </c>
      <c r="M432" s="73">
        <v>44253</v>
      </c>
      <c r="N432" s="71" t="s">
        <v>38</v>
      </c>
    </row>
    <row r="433" spans="1:14" ht="15">
      <c r="A433" s="71" t="s">
        <v>216</v>
      </c>
      <c r="B433" s="71" t="s">
        <v>293</v>
      </c>
      <c r="C433" s="71" t="s">
        <v>294</v>
      </c>
      <c r="D433" s="71" t="s">
        <v>392</v>
      </c>
      <c r="E433" s="71" t="s">
        <v>24</v>
      </c>
      <c r="F433" s="71" t="s">
        <v>413</v>
      </c>
      <c r="G433" s="71" t="s">
        <v>40</v>
      </c>
      <c r="H433" s="71" t="s">
        <v>24</v>
      </c>
      <c r="I433" s="71" t="s">
        <v>39</v>
      </c>
      <c r="J433" s="72">
        <v>-4350.68</v>
      </c>
      <c r="K433" s="73">
        <v>44379</v>
      </c>
      <c r="L433" s="73">
        <v>44379</v>
      </c>
      <c r="M433" s="73">
        <v>44407</v>
      </c>
      <c r="N433" s="71" t="s">
        <v>38</v>
      </c>
    </row>
    <row r="434" spans="1:14" ht="15">
      <c r="A434" s="71" t="s">
        <v>216</v>
      </c>
      <c r="B434" s="71" t="s">
        <v>293</v>
      </c>
      <c r="C434" s="71" t="s">
        <v>294</v>
      </c>
      <c r="D434" s="71" t="s">
        <v>392</v>
      </c>
      <c r="E434" s="71" t="s">
        <v>24</v>
      </c>
      <c r="F434" s="71" t="s">
        <v>413</v>
      </c>
      <c r="G434" s="71" t="s">
        <v>42</v>
      </c>
      <c r="H434" s="71" t="s">
        <v>24</v>
      </c>
      <c r="I434" s="71" t="s">
        <v>39</v>
      </c>
      <c r="J434" s="72">
        <v>-67954.75</v>
      </c>
      <c r="K434" s="73">
        <v>44379</v>
      </c>
      <c r="L434" s="73">
        <v>44379</v>
      </c>
      <c r="M434" s="73">
        <v>44407</v>
      </c>
      <c r="N434" s="71" t="s">
        <v>38</v>
      </c>
    </row>
    <row r="435" spans="1:14" ht="15">
      <c r="A435" s="71" t="s">
        <v>216</v>
      </c>
      <c r="B435" s="71" t="s">
        <v>293</v>
      </c>
      <c r="C435" s="71" t="s">
        <v>294</v>
      </c>
      <c r="D435" s="71" t="s">
        <v>392</v>
      </c>
      <c r="E435" s="71" t="s">
        <v>24</v>
      </c>
      <c r="F435" s="71" t="s">
        <v>413</v>
      </c>
      <c r="G435" s="71" t="s">
        <v>42</v>
      </c>
      <c r="H435" s="71" t="s">
        <v>24</v>
      </c>
      <c r="I435" s="71" t="s">
        <v>39</v>
      </c>
      <c r="J435" s="72">
        <v>-7045.25</v>
      </c>
      <c r="K435" s="73">
        <v>44480</v>
      </c>
      <c r="L435" s="73">
        <v>44480</v>
      </c>
      <c r="M435" s="73">
        <v>44494</v>
      </c>
      <c r="N435" s="71" t="s">
        <v>38</v>
      </c>
    </row>
    <row r="436" spans="1:14" ht="15">
      <c r="A436" s="71" t="s">
        <v>216</v>
      </c>
      <c r="B436" s="71" t="s">
        <v>293</v>
      </c>
      <c r="C436" s="71" t="s">
        <v>294</v>
      </c>
      <c r="D436" s="71" t="s">
        <v>392</v>
      </c>
      <c r="E436" s="71" t="s">
        <v>24</v>
      </c>
      <c r="F436" s="71" t="s">
        <v>413</v>
      </c>
      <c r="G436" s="71" t="s">
        <v>37</v>
      </c>
      <c r="H436" s="71" t="s">
        <v>24</v>
      </c>
      <c r="I436" s="71" t="s">
        <v>39</v>
      </c>
      <c r="J436" s="72">
        <v>-70441.710000000006</v>
      </c>
      <c r="K436" s="73">
        <v>44480</v>
      </c>
      <c r="L436" s="73">
        <v>44480</v>
      </c>
      <c r="M436" s="73">
        <v>44494</v>
      </c>
      <c r="N436" s="71" t="s">
        <v>38</v>
      </c>
    </row>
    <row r="437" spans="1:14" ht="15">
      <c r="A437" s="71" t="s">
        <v>216</v>
      </c>
      <c r="B437" s="71" t="s">
        <v>293</v>
      </c>
      <c r="C437" s="71" t="s">
        <v>294</v>
      </c>
      <c r="D437" s="71" t="s">
        <v>392</v>
      </c>
      <c r="E437" s="71" t="s">
        <v>24</v>
      </c>
      <c r="F437" s="71" t="s">
        <v>413</v>
      </c>
      <c r="G437" s="71" t="s">
        <v>37</v>
      </c>
      <c r="H437" s="71" t="s">
        <v>24</v>
      </c>
      <c r="I437" s="71" t="s">
        <v>39</v>
      </c>
      <c r="J437" s="72">
        <v>-4558.29</v>
      </c>
      <c r="K437" s="73">
        <v>44622</v>
      </c>
      <c r="L437" s="73">
        <v>44622</v>
      </c>
      <c r="M437" s="73">
        <v>44638</v>
      </c>
      <c r="N437" s="71" t="s">
        <v>38</v>
      </c>
    </row>
    <row r="438" spans="1:14" ht="15">
      <c r="A438" s="71" t="s">
        <v>216</v>
      </c>
      <c r="B438" s="71" t="s">
        <v>293</v>
      </c>
      <c r="C438" s="71" t="s">
        <v>294</v>
      </c>
      <c r="D438" s="71" t="s">
        <v>392</v>
      </c>
      <c r="E438" s="71" t="s">
        <v>24</v>
      </c>
      <c r="F438" s="71" t="s">
        <v>413</v>
      </c>
      <c r="G438" s="71" t="s">
        <v>47</v>
      </c>
      <c r="H438" s="71" t="s">
        <v>24</v>
      </c>
      <c r="I438" s="71" t="s">
        <v>39</v>
      </c>
      <c r="J438" s="72">
        <v>-70000</v>
      </c>
      <c r="K438" s="73">
        <v>44622</v>
      </c>
      <c r="L438" s="73">
        <v>44622</v>
      </c>
      <c r="M438" s="73">
        <v>44638</v>
      </c>
      <c r="N438" s="71" t="s">
        <v>38</v>
      </c>
    </row>
    <row r="439" spans="1:14" ht="15">
      <c r="A439" s="71" t="s">
        <v>216</v>
      </c>
      <c r="B439" s="71" t="s">
        <v>226</v>
      </c>
      <c r="C439" s="71" t="s">
        <v>227</v>
      </c>
      <c r="D439" s="71" t="s">
        <v>392</v>
      </c>
      <c r="E439" s="71" t="s">
        <v>24</v>
      </c>
      <c r="F439" s="71" t="s">
        <v>414</v>
      </c>
      <c r="G439" s="71" t="s">
        <v>40</v>
      </c>
      <c r="H439" s="71" t="s">
        <v>24</v>
      </c>
      <c r="I439" s="71" t="s">
        <v>39</v>
      </c>
      <c r="J439" s="72">
        <v>-75000</v>
      </c>
      <c r="K439" s="73">
        <v>44236</v>
      </c>
      <c r="L439" s="73">
        <v>44236</v>
      </c>
      <c r="M439" s="73">
        <v>44253</v>
      </c>
      <c r="N439" s="71" t="s">
        <v>38</v>
      </c>
    </row>
    <row r="440" spans="1:14" ht="15">
      <c r="A440" s="71" t="s">
        <v>216</v>
      </c>
      <c r="B440" s="71" t="s">
        <v>226</v>
      </c>
      <c r="C440" s="71" t="s">
        <v>227</v>
      </c>
      <c r="D440" s="71" t="s">
        <v>392</v>
      </c>
      <c r="E440" s="71" t="s">
        <v>24</v>
      </c>
      <c r="F440" s="71" t="s">
        <v>414</v>
      </c>
      <c r="G440" s="71" t="s">
        <v>42</v>
      </c>
      <c r="H440" s="71" t="s">
        <v>24</v>
      </c>
      <c r="I440" s="71" t="s">
        <v>39</v>
      </c>
      <c r="J440" s="72">
        <v>-58573.919999999998</v>
      </c>
      <c r="K440" s="73">
        <v>44236</v>
      </c>
      <c r="L440" s="73">
        <v>44236</v>
      </c>
      <c r="M440" s="73">
        <v>44253</v>
      </c>
      <c r="N440" s="71" t="s">
        <v>38</v>
      </c>
    </row>
    <row r="441" spans="1:14" ht="15">
      <c r="A441" s="71" t="s">
        <v>216</v>
      </c>
      <c r="B441" s="71" t="s">
        <v>226</v>
      </c>
      <c r="C441" s="71" t="s">
        <v>227</v>
      </c>
      <c r="D441" s="71" t="s">
        <v>392</v>
      </c>
      <c r="E441" s="71" t="s">
        <v>24</v>
      </c>
      <c r="F441" s="71" t="s">
        <v>414</v>
      </c>
      <c r="G441" s="71" t="s">
        <v>42</v>
      </c>
      <c r="H441" s="71" t="s">
        <v>24</v>
      </c>
      <c r="I441" s="71" t="s">
        <v>39</v>
      </c>
      <c r="J441" s="72">
        <v>-16426.080000000002</v>
      </c>
      <c r="K441" s="73">
        <v>44378</v>
      </c>
      <c r="L441" s="73">
        <v>44378</v>
      </c>
      <c r="M441" s="73">
        <v>44407</v>
      </c>
      <c r="N441" s="71" t="s">
        <v>38</v>
      </c>
    </row>
    <row r="442" spans="1:14" ht="15">
      <c r="A442" s="71" t="s">
        <v>216</v>
      </c>
      <c r="B442" s="71" t="s">
        <v>226</v>
      </c>
      <c r="C442" s="71" t="s">
        <v>227</v>
      </c>
      <c r="D442" s="71" t="s">
        <v>392</v>
      </c>
      <c r="E442" s="71" t="s">
        <v>24</v>
      </c>
      <c r="F442" s="71" t="s">
        <v>414</v>
      </c>
      <c r="G442" s="71" t="s">
        <v>37</v>
      </c>
      <c r="H442" s="71" t="s">
        <v>24</v>
      </c>
      <c r="I442" s="71" t="s">
        <v>39</v>
      </c>
      <c r="J442" s="72">
        <v>-75000</v>
      </c>
      <c r="K442" s="73">
        <v>44378</v>
      </c>
      <c r="L442" s="73">
        <v>44378</v>
      </c>
      <c r="M442" s="73">
        <v>44407</v>
      </c>
      <c r="N442" s="71" t="s">
        <v>38</v>
      </c>
    </row>
    <row r="443" spans="1:14" ht="15">
      <c r="A443" s="71" t="s">
        <v>216</v>
      </c>
      <c r="B443" s="71" t="s">
        <v>226</v>
      </c>
      <c r="C443" s="71" t="s">
        <v>227</v>
      </c>
      <c r="D443" s="71" t="s">
        <v>392</v>
      </c>
      <c r="E443" s="71" t="s">
        <v>24</v>
      </c>
      <c r="F443" s="71" t="s">
        <v>414</v>
      </c>
      <c r="G443" s="71" t="s">
        <v>47</v>
      </c>
      <c r="H443" s="71" t="s">
        <v>24</v>
      </c>
      <c r="I443" s="71" t="s">
        <v>39</v>
      </c>
      <c r="J443" s="72">
        <v>-26400.12</v>
      </c>
      <c r="K443" s="73">
        <v>44378</v>
      </c>
      <c r="L443" s="73">
        <v>44378</v>
      </c>
      <c r="M443" s="73">
        <v>44407</v>
      </c>
      <c r="N443" s="71" t="s">
        <v>38</v>
      </c>
    </row>
    <row r="444" spans="1:14" ht="15">
      <c r="A444" s="71" t="s">
        <v>216</v>
      </c>
      <c r="B444" s="71" t="s">
        <v>226</v>
      </c>
      <c r="C444" s="71" t="s">
        <v>227</v>
      </c>
      <c r="D444" s="71" t="s">
        <v>392</v>
      </c>
      <c r="E444" s="71" t="s">
        <v>24</v>
      </c>
      <c r="F444" s="71" t="s">
        <v>414</v>
      </c>
      <c r="G444" s="71" t="s">
        <v>47</v>
      </c>
      <c r="H444" s="71" t="s">
        <v>24</v>
      </c>
      <c r="I444" s="71" t="s">
        <v>39</v>
      </c>
      <c r="J444" s="72">
        <v>-48599.88</v>
      </c>
      <c r="K444" s="73">
        <v>44480</v>
      </c>
      <c r="L444" s="73">
        <v>44480</v>
      </c>
      <c r="M444" s="73">
        <v>44494</v>
      </c>
      <c r="N444" s="71" t="s">
        <v>38</v>
      </c>
    </row>
    <row r="445" spans="1:14" ht="15">
      <c r="A445" s="71" t="s">
        <v>216</v>
      </c>
      <c r="B445" s="71" t="s">
        <v>150</v>
      </c>
      <c r="C445" s="71" t="s">
        <v>151</v>
      </c>
      <c r="D445" s="71" t="s">
        <v>392</v>
      </c>
      <c r="E445" s="71" t="s">
        <v>24</v>
      </c>
      <c r="F445" s="71" t="s">
        <v>415</v>
      </c>
      <c r="G445" s="71" t="s">
        <v>40</v>
      </c>
      <c r="H445" s="71" t="s">
        <v>24</v>
      </c>
      <c r="I445" s="71" t="s">
        <v>39</v>
      </c>
      <c r="J445" s="72">
        <v>-65000</v>
      </c>
      <c r="K445" s="73">
        <v>44236</v>
      </c>
      <c r="L445" s="73">
        <v>44236</v>
      </c>
      <c r="M445" s="73">
        <v>44253</v>
      </c>
      <c r="N445" s="71" t="s">
        <v>38</v>
      </c>
    </row>
    <row r="446" spans="1:14" ht="15">
      <c r="A446" s="71" t="s">
        <v>216</v>
      </c>
      <c r="B446" s="71" t="s">
        <v>150</v>
      </c>
      <c r="C446" s="71" t="s">
        <v>151</v>
      </c>
      <c r="D446" s="71" t="s">
        <v>392</v>
      </c>
      <c r="E446" s="71" t="s">
        <v>24</v>
      </c>
      <c r="F446" s="71" t="s">
        <v>415</v>
      </c>
      <c r="G446" s="71" t="s">
        <v>42</v>
      </c>
      <c r="H446" s="71" t="s">
        <v>24</v>
      </c>
      <c r="I446" s="71" t="s">
        <v>39</v>
      </c>
      <c r="J446" s="72">
        <v>-2293.29</v>
      </c>
      <c r="K446" s="73">
        <v>44236</v>
      </c>
      <c r="L446" s="73">
        <v>44236</v>
      </c>
      <c r="M446" s="73">
        <v>44253</v>
      </c>
      <c r="N446" s="71" t="s">
        <v>38</v>
      </c>
    </row>
    <row r="447" spans="1:14" ht="15">
      <c r="A447" s="71" t="s">
        <v>216</v>
      </c>
      <c r="B447" s="71" t="s">
        <v>150</v>
      </c>
      <c r="C447" s="71" t="s">
        <v>151</v>
      </c>
      <c r="D447" s="71" t="s">
        <v>392</v>
      </c>
      <c r="E447" s="71" t="s">
        <v>24</v>
      </c>
      <c r="F447" s="71" t="s">
        <v>415</v>
      </c>
      <c r="G447" s="71" t="s">
        <v>42</v>
      </c>
      <c r="H447" s="71" t="s">
        <v>24</v>
      </c>
      <c r="I447" s="71" t="s">
        <v>39</v>
      </c>
      <c r="J447" s="72">
        <v>-67706.710000000006</v>
      </c>
      <c r="K447" s="73">
        <v>44379</v>
      </c>
      <c r="L447" s="73">
        <v>44379</v>
      </c>
      <c r="M447" s="73">
        <v>44407</v>
      </c>
      <c r="N447" s="71" t="s">
        <v>38</v>
      </c>
    </row>
    <row r="448" spans="1:14" ht="15">
      <c r="A448" s="71" t="s">
        <v>216</v>
      </c>
      <c r="B448" s="71" t="s">
        <v>150</v>
      </c>
      <c r="C448" s="71" t="s">
        <v>151</v>
      </c>
      <c r="D448" s="71" t="s">
        <v>392</v>
      </c>
      <c r="E448" s="71" t="s">
        <v>24</v>
      </c>
      <c r="F448" s="71" t="s">
        <v>415</v>
      </c>
      <c r="G448" s="71" t="s">
        <v>37</v>
      </c>
      <c r="H448" s="71" t="s">
        <v>24</v>
      </c>
      <c r="I448" s="71" t="s">
        <v>39</v>
      </c>
      <c r="J448" s="72">
        <v>-1215.1600000000001</v>
      </c>
      <c r="K448" s="73">
        <v>44379</v>
      </c>
      <c r="L448" s="73">
        <v>44379</v>
      </c>
      <c r="M448" s="73">
        <v>44407</v>
      </c>
      <c r="N448" s="71" t="s">
        <v>38</v>
      </c>
    </row>
    <row r="449" spans="1:14" ht="15">
      <c r="A449" s="71" t="s">
        <v>216</v>
      </c>
      <c r="B449" s="71" t="s">
        <v>150</v>
      </c>
      <c r="C449" s="71" t="s">
        <v>151</v>
      </c>
      <c r="D449" s="71" t="s">
        <v>392</v>
      </c>
      <c r="E449" s="71" t="s">
        <v>24</v>
      </c>
      <c r="F449" s="71" t="s">
        <v>415</v>
      </c>
      <c r="G449" s="71" t="s">
        <v>37</v>
      </c>
      <c r="H449" s="71" t="s">
        <v>24</v>
      </c>
      <c r="I449" s="71" t="s">
        <v>39</v>
      </c>
      <c r="J449" s="72">
        <v>-63784.84</v>
      </c>
      <c r="K449" s="73">
        <v>44480</v>
      </c>
      <c r="L449" s="73">
        <v>44480</v>
      </c>
      <c r="M449" s="73">
        <v>44494</v>
      </c>
      <c r="N449" s="71" t="s">
        <v>38</v>
      </c>
    </row>
    <row r="450" spans="1:14" ht="15">
      <c r="A450" s="71" t="s">
        <v>216</v>
      </c>
      <c r="B450" s="71" t="s">
        <v>150</v>
      </c>
      <c r="C450" s="71" t="s">
        <v>151</v>
      </c>
      <c r="D450" s="71" t="s">
        <v>392</v>
      </c>
      <c r="E450" s="71" t="s">
        <v>24</v>
      </c>
      <c r="F450" s="71" t="s">
        <v>415</v>
      </c>
      <c r="G450" s="71" t="s">
        <v>47</v>
      </c>
      <c r="H450" s="71" t="s">
        <v>24</v>
      </c>
      <c r="I450" s="71" t="s">
        <v>39</v>
      </c>
      <c r="J450" s="72">
        <v>-10615.57</v>
      </c>
      <c r="K450" s="73">
        <v>44480</v>
      </c>
      <c r="L450" s="73">
        <v>44480</v>
      </c>
      <c r="M450" s="73">
        <v>44494</v>
      </c>
      <c r="N450" s="71" t="s">
        <v>38</v>
      </c>
    </row>
    <row r="451" spans="1:14" ht="15">
      <c r="A451" s="71" t="s">
        <v>216</v>
      </c>
      <c r="B451" s="71" t="s">
        <v>150</v>
      </c>
      <c r="C451" s="71" t="s">
        <v>151</v>
      </c>
      <c r="D451" s="71" t="s">
        <v>392</v>
      </c>
      <c r="E451" s="71" t="s">
        <v>24</v>
      </c>
      <c r="F451" s="71" t="s">
        <v>415</v>
      </c>
      <c r="G451" s="71" t="s">
        <v>47</v>
      </c>
      <c r="H451" s="71" t="s">
        <v>24</v>
      </c>
      <c r="I451" s="71" t="s">
        <v>39</v>
      </c>
      <c r="J451" s="72">
        <v>-39384.43</v>
      </c>
      <c r="K451" s="73">
        <v>44623</v>
      </c>
      <c r="L451" s="73">
        <v>44623</v>
      </c>
      <c r="M451" s="73">
        <v>44638</v>
      </c>
      <c r="N451" s="71" t="s">
        <v>38</v>
      </c>
    </row>
    <row r="452" spans="1:14" ht="15">
      <c r="A452" s="71" t="s">
        <v>216</v>
      </c>
      <c r="B452" s="71" t="s">
        <v>201</v>
      </c>
      <c r="C452" s="71" t="s">
        <v>202</v>
      </c>
      <c r="D452" s="71" t="s">
        <v>484</v>
      </c>
      <c r="E452" s="71" t="s">
        <v>24</v>
      </c>
      <c r="F452" s="71" t="s">
        <v>485</v>
      </c>
      <c r="G452" s="71" t="s">
        <v>40</v>
      </c>
      <c r="H452" s="71" t="s">
        <v>24</v>
      </c>
      <c r="I452" s="71" t="s">
        <v>39</v>
      </c>
      <c r="J452" s="72">
        <v>-40000</v>
      </c>
      <c r="K452" s="73">
        <v>44356</v>
      </c>
      <c r="L452" s="73">
        <v>44356</v>
      </c>
      <c r="M452" s="73">
        <v>44376</v>
      </c>
      <c r="N452" s="71" t="s">
        <v>38</v>
      </c>
    </row>
    <row r="453" spans="1:14" ht="15">
      <c r="A453" s="71" t="s">
        <v>216</v>
      </c>
      <c r="B453" s="71" t="s">
        <v>187</v>
      </c>
      <c r="C453" s="71" t="s">
        <v>188</v>
      </c>
      <c r="D453" s="71" t="s">
        <v>570</v>
      </c>
      <c r="E453" s="71" t="s">
        <v>24</v>
      </c>
      <c r="F453" s="71" t="s">
        <v>597</v>
      </c>
      <c r="G453" s="71" t="s">
        <v>40</v>
      </c>
      <c r="H453" s="71" t="s">
        <v>24</v>
      </c>
      <c r="I453" s="71" t="s">
        <v>39</v>
      </c>
      <c r="J453" s="72">
        <v>-265000</v>
      </c>
      <c r="K453" s="73">
        <v>44581</v>
      </c>
      <c r="L453" s="73">
        <v>44581</v>
      </c>
      <c r="M453" s="73">
        <v>44581</v>
      </c>
      <c r="N453" s="71" t="s">
        <v>38</v>
      </c>
    </row>
    <row r="454" spans="1:14" ht="15">
      <c r="A454" s="71" t="s">
        <v>216</v>
      </c>
      <c r="B454" s="71" t="s">
        <v>234</v>
      </c>
      <c r="C454" s="71" t="s">
        <v>235</v>
      </c>
      <c r="D454" s="71" t="s">
        <v>392</v>
      </c>
      <c r="E454" s="71" t="s">
        <v>24</v>
      </c>
      <c r="F454" s="71" t="s">
        <v>416</v>
      </c>
      <c r="G454" s="71" t="s">
        <v>40</v>
      </c>
      <c r="H454" s="71" t="s">
        <v>24</v>
      </c>
      <c r="I454" s="71" t="s">
        <v>39</v>
      </c>
      <c r="J454" s="72">
        <v>-28000</v>
      </c>
      <c r="K454" s="73">
        <v>44236</v>
      </c>
      <c r="L454" s="73">
        <v>44236</v>
      </c>
      <c r="M454" s="73">
        <v>44253</v>
      </c>
      <c r="N454" s="71" t="s">
        <v>38</v>
      </c>
    </row>
    <row r="455" spans="1:14" ht="15">
      <c r="A455" s="71" t="s">
        <v>216</v>
      </c>
      <c r="B455" s="71" t="s">
        <v>234</v>
      </c>
      <c r="C455" s="71" t="s">
        <v>235</v>
      </c>
      <c r="D455" s="71" t="s">
        <v>392</v>
      </c>
      <c r="E455" s="71" t="s">
        <v>24</v>
      </c>
      <c r="F455" s="71" t="s">
        <v>416</v>
      </c>
      <c r="G455" s="71" t="s">
        <v>42</v>
      </c>
      <c r="H455" s="71" t="s">
        <v>24</v>
      </c>
      <c r="I455" s="71" t="s">
        <v>39</v>
      </c>
      <c r="J455" s="72">
        <v>-6885.96</v>
      </c>
      <c r="K455" s="73">
        <v>44236</v>
      </c>
      <c r="L455" s="73">
        <v>44236</v>
      </c>
      <c r="M455" s="73">
        <v>44253</v>
      </c>
      <c r="N455" s="71" t="s">
        <v>38</v>
      </c>
    </row>
    <row r="456" spans="1:14" ht="15">
      <c r="A456" s="71" t="s">
        <v>216</v>
      </c>
      <c r="B456" s="71" t="s">
        <v>234</v>
      </c>
      <c r="C456" s="71" t="s">
        <v>235</v>
      </c>
      <c r="D456" s="71" t="s">
        <v>392</v>
      </c>
      <c r="E456" s="71" t="s">
        <v>24</v>
      </c>
      <c r="F456" s="71" t="s">
        <v>416</v>
      </c>
      <c r="G456" s="71" t="s">
        <v>42</v>
      </c>
      <c r="H456" s="71" t="s">
        <v>24</v>
      </c>
      <c r="I456" s="71" t="s">
        <v>39</v>
      </c>
      <c r="J456" s="72">
        <v>-21114.04</v>
      </c>
      <c r="K456" s="73">
        <v>44379</v>
      </c>
      <c r="L456" s="73">
        <v>44379</v>
      </c>
      <c r="M456" s="73">
        <v>44407</v>
      </c>
      <c r="N456" s="71" t="s">
        <v>38</v>
      </c>
    </row>
    <row r="457" spans="1:14" ht="15">
      <c r="A457" s="71" t="s">
        <v>216</v>
      </c>
      <c r="B457" s="71" t="s">
        <v>234</v>
      </c>
      <c r="C457" s="71" t="s">
        <v>235</v>
      </c>
      <c r="D457" s="71" t="s">
        <v>392</v>
      </c>
      <c r="E457" s="71" t="s">
        <v>24</v>
      </c>
      <c r="F457" s="71" t="s">
        <v>416</v>
      </c>
      <c r="G457" s="71" t="s">
        <v>37</v>
      </c>
      <c r="H457" s="71" t="s">
        <v>24</v>
      </c>
      <c r="I457" s="71" t="s">
        <v>39</v>
      </c>
      <c r="J457" s="72">
        <v>-9660.0400000000009</v>
      </c>
      <c r="K457" s="73">
        <v>44379</v>
      </c>
      <c r="L457" s="73">
        <v>44379</v>
      </c>
      <c r="M457" s="73">
        <v>44407</v>
      </c>
      <c r="N457" s="71" t="s">
        <v>38</v>
      </c>
    </row>
    <row r="458" spans="1:14" ht="15">
      <c r="A458" s="71" t="s">
        <v>216</v>
      </c>
      <c r="B458" s="71" t="s">
        <v>234</v>
      </c>
      <c r="C458" s="71" t="s">
        <v>235</v>
      </c>
      <c r="D458" s="71" t="s">
        <v>392</v>
      </c>
      <c r="E458" s="71" t="s">
        <v>24</v>
      </c>
      <c r="F458" s="71" t="s">
        <v>416</v>
      </c>
      <c r="G458" s="71" t="s">
        <v>37</v>
      </c>
      <c r="H458" s="71" t="s">
        <v>24</v>
      </c>
      <c r="I458" s="71" t="s">
        <v>39</v>
      </c>
      <c r="J458" s="72">
        <v>-18339.96</v>
      </c>
      <c r="K458" s="73">
        <v>44477</v>
      </c>
      <c r="L458" s="73">
        <v>44477</v>
      </c>
      <c r="M458" s="73">
        <v>44494</v>
      </c>
      <c r="N458" s="71" t="s">
        <v>38</v>
      </c>
    </row>
    <row r="459" spans="1:14" ht="15">
      <c r="A459" s="71" t="s">
        <v>216</v>
      </c>
      <c r="B459" s="71" t="s">
        <v>234</v>
      </c>
      <c r="C459" s="71" t="s">
        <v>235</v>
      </c>
      <c r="D459" s="71" t="s">
        <v>392</v>
      </c>
      <c r="E459" s="71" t="s">
        <v>24</v>
      </c>
      <c r="F459" s="71" t="s">
        <v>416</v>
      </c>
      <c r="G459" s="71" t="s">
        <v>47</v>
      </c>
      <c r="H459" s="71" t="s">
        <v>24</v>
      </c>
      <c r="I459" s="71" t="s">
        <v>39</v>
      </c>
      <c r="J459" s="72">
        <v>-12724.95</v>
      </c>
      <c r="K459" s="73">
        <v>44477</v>
      </c>
      <c r="L459" s="73">
        <v>44477</v>
      </c>
      <c r="M459" s="73">
        <v>44494</v>
      </c>
      <c r="N459" s="71" t="s">
        <v>38</v>
      </c>
    </row>
    <row r="460" spans="1:14" ht="15">
      <c r="A460" s="71" t="s">
        <v>216</v>
      </c>
      <c r="B460" s="71" t="s">
        <v>234</v>
      </c>
      <c r="C460" s="71" t="s">
        <v>235</v>
      </c>
      <c r="D460" s="71" t="s">
        <v>392</v>
      </c>
      <c r="E460" s="71" t="s">
        <v>24</v>
      </c>
      <c r="F460" s="71" t="s">
        <v>416</v>
      </c>
      <c r="G460" s="71" t="s">
        <v>47</v>
      </c>
      <c r="H460" s="71" t="s">
        <v>24</v>
      </c>
      <c r="I460" s="71" t="s">
        <v>39</v>
      </c>
      <c r="J460" s="72">
        <v>-15275.05</v>
      </c>
      <c r="K460" s="73">
        <v>44622</v>
      </c>
      <c r="L460" s="73">
        <v>44622</v>
      </c>
      <c r="M460" s="73">
        <v>44638</v>
      </c>
      <c r="N460" s="71" t="s">
        <v>38</v>
      </c>
    </row>
    <row r="461" spans="1:14" ht="15">
      <c r="A461" s="71" t="s">
        <v>216</v>
      </c>
      <c r="B461" s="71" t="s">
        <v>264</v>
      </c>
      <c r="C461" s="71" t="s">
        <v>265</v>
      </c>
      <c r="D461" s="71" t="s">
        <v>484</v>
      </c>
      <c r="E461" s="71" t="s">
        <v>24</v>
      </c>
      <c r="F461" s="71" t="s">
        <v>505</v>
      </c>
      <c r="G461" s="71" t="s">
        <v>40</v>
      </c>
      <c r="H461" s="71" t="s">
        <v>24</v>
      </c>
      <c r="I461" s="71" t="s">
        <v>39</v>
      </c>
      <c r="J461" s="72">
        <v>-40000</v>
      </c>
      <c r="K461" s="73">
        <v>44427</v>
      </c>
      <c r="L461" s="73">
        <v>44427</v>
      </c>
      <c r="M461" s="73">
        <v>44434</v>
      </c>
      <c r="N461" s="71" t="s">
        <v>38</v>
      </c>
    </row>
    <row r="462" spans="1:14" ht="15">
      <c r="A462" s="71" t="s">
        <v>216</v>
      </c>
      <c r="B462" s="71" t="s">
        <v>69</v>
      </c>
      <c r="C462" s="71" t="s">
        <v>70</v>
      </c>
      <c r="D462" s="71" t="s">
        <v>392</v>
      </c>
      <c r="E462" s="71" t="s">
        <v>24</v>
      </c>
      <c r="F462" s="71" t="s">
        <v>506</v>
      </c>
      <c r="G462" s="71" t="s">
        <v>40</v>
      </c>
      <c r="H462" s="71" t="s">
        <v>24</v>
      </c>
      <c r="I462" s="71" t="s">
        <v>39</v>
      </c>
      <c r="J462" s="72">
        <v>-62740.5</v>
      </c>
      <c r="K462" s="73">
        <v>44378</v>
      </c>
      <c r="L462" s="73">
        <v>44378</v>
      </c>
      <c r="M462" s="73">
        <v>44407</v>
      </c>
      <c r="N462" s="71" t="s">
        <v>38</v>
      </c>
    </row>
    <row r="463" spans="1:14" ht="15">
      <c r="A463" s="71" t="s">
        <v>216</v>
      </c>
      <c r="B463" s="71" t="s">
        <v>69</v>
      </c>
      <c r="C463" s="71" t="s">
        <v>70</v>
      </c>
      <c r="D463" s="71" t="s">
        <v>392</v>
      </c>
      <c r="E463" s="71" t="s">
        <v>24</v>
      </c>
      <c r="F463" s="71" t="s">
        <v>506</v>
      </c>
      <c r="G463" s="71" t="s">
        <v>40</v>
      </c>
      <c r="H463" s="71" t="s">
        <v>24</v>
      </c>
      <c r="I463" s="71" t="s">
        <v>39</v>
      </c>
      <c r="J463" s="72">
        <v>-2259.5</v>
      </c>
      <c r="K463" s="73">
        <v>44391</v>
      </c>
      <c r="L463" s="73">
        <v>44391</v>
      </c>
      <c r="M463" s="73">
        <v>44407</v>
      </c>
      <c r="N463" s="71" t="s">
        <v>38</v>
      </c>
    </row>
    <row r="464" spans="1:14" ht="15">
      <c r="A464" s="71" t="s">
        <v>216</v>
      </c>
      <c r="B464" s="71" t="s">
        <v>69</v>
      </c>
      <c r="C464" s="71" t="s">
        <v>70</v>
      </c>
      <c r="D464" s="71" t="s">
        <v>392</v>
      </c>
      <c r="E464" s="71" t="s">
        <v>24</v>
      </c>
      <c r="F464" s="71" t="s">
        <v>506</v>
      </c>
      <c r="G464" s="71" t="s">
        <v>42</v>
      </c>
      <c r="H464" s="71" t="s">
        <v>24</v>
      </c>
      <c r="I464" s="71" t="s">
        <v>39</v>
      </c>
      <c r="J464" s="72">
        <v>-62281.38</v>
      </c>
      <c r="K464" s="73">
        <v>44391</v>
      </c>
      <c r="L464" s="73">
        <v>44391</v>
      </c>
      <c r="M464" s="73">
        <v>44407</v>
      </c>
      <c r="N464" s="71" t="s">
        <v>38</v>
      </c>
    </row>
    <row r="465" spans="1:14" ht="15">
      <c r="A465" s="71" t="s">
        <v>216</v>
      </c>
      <c r="B465" s="71" t="s">
        <v>69</v>
      </c>
      <c r="C465" s="71" t="s">
        <v>70</v>
      </c>
      <c r="D465" s="71" t="s">
        <v>392</v>
      </c>
      <c r="E465" s="71" t="s">
        <v>24</v>
      </c>
      <c r="F465" s="71" t="s">
        <v>506</v>
      </c>
      <c r="G465" s="71" t="s">
        <v>42</v>
      </c>
      <c r="H465" s="71" t="s">
        <v>24</v>
      </c>
      <c r="I465" s="71" t="s">
        <v>39</v>
      </c>
      <c r="J465" s="72">
        <v>-2718.62</v>
      </c>
      <c r="K465" s="73">
        <v>44484</v>
      </c>
      <c r="L465" s="73">
        <v>44484</v>
      </c>
      <c r="M465" s="73">
        <v>44494</v>
      </c>
      <c r="N465" s="71" t="s">
        <v>38</v>
      </c>
    </row>
    <row r="466" spans="1:14" ht="15">
      <c r="A466" s="71" t="s">
        <v>216</v>
      </c>
      <c r="B466" s="71" t="s">
        <v>69</v>
      </c>
      <c r="C466" s="71" t="s">
        <v>70</v>
      </c>
      <c r="D466" s="71" t="s">
        <v>392</v>
      </c>
      <c r="E466" s="71" t="s">
        <v>24</v>
      </c>
      <c r="F466" s="71" t="s">
        <v>506</v>
      </c>
      <c r="G466" s="71" t="s">
        <v>37</v>
      </c>
      <c r="H466" s="71" t="s">
        <v>24</v>
      </c>
      <c r="I466" s="71" t="s">
        <v>39</v>
      </c>
      <c r="J466" s="72">
        <v>-58336.79</v>
      </c>
      <c r="K466" s="73">
        <v>44484</v>
      </c>
      <c r="L466" s="73">
        <v>44484</v>
      </c>
      <c r="M466" s="73">
        <v>44494</v>
      </c>
      <c r="N466" s="71" t="s">
        <v>38</v>
      </c>
    </row>
    <row r="467" spans="1:14" ht="15">
      <c r="A467" s="71" t="s">
        <v>216</v>
      </c>
      <c r="B467" s="71" t="s">
        <v>69</v>
      </c>
      <c r="C467" s="71" t="s">
        <v>70</v>
      </c>
      <c r="D467" s="71" t="s">
        <v>392</v>
      </c>
      <c r="E467" s="71" t="s">
        <v>24</v>
      </c>
      <c r="F467" s="71" t="s">
        <v>506</v>
      </c>
      <c r="G467" s="71" t="s">
        <v>37</v>
      </c>
      <c r="H467" s="71" t="s">
        <v>24</v>
      </c>
      <c r="I467" s="71" t="s">
        <v>39</v>
      </c>
      <c r="J467" s="72">
        <v>-6663.21</v>
      </c>
      <c r="K467" s="73">
        <v>44623</v>
      </c>
      <c r="L467" s="73">
        <v>44623</v>
      </c>
      <c r="M467" s="73">
        <v>44638</v>
      </c>
      <c r="N467" s="71" t="s">
        <v>38</v>
      </c>
    </row>
    <row r="468" spans="1:14" ht="15">
      <c r="A468" s="71" t="s">
        <v>216</v>
      </c>
      <c r="B468" s="71" t="s">
        <v>69</v>
      </c>
      <c r="C468" s="71" t="s">
        <v>70</v>
      </c>
      <c r="D468" s="71" t="s">
        <v>392</v>
      </c>
      <c r="E468" s="71" t="s">
        <v>24</v>
      </c>
      <c r="F468" s="71" t="s">
        <v>506</v>
      </c>
      <c r="G468" s="71" t="s">
        <v>47</v>
      </c>
      <c r="H468" s="71" t="s">
        <v>24</v>
      </c>
      <c r="I468" s="71" t="s">
        <v>39</v>
      </c>
      <c r="J468" s="72">
        <v>-50000</v>
      </c>
      <c r="K468" s="73">
        <v>44623</v>
      </c>
      <c r="L468" s="73">
        <v>44623</v>
      </c>
      <c r="M468" s="73">
        <v>44638</v>
      </c>
      <c r="N468" s="71" t="s">
        <v>38</v>
      </c>
    </row>
    <row r="469" spans="1:14" ht="15">
      <c r="A469" s="71" t="s">
        <v>216</v>
      </c>
      <c r="B469" s="71" t="s">
        <v>252</v>
      </c>
      <c r="C469" s="71" t="s">
        <v>253</v>
      </c>
      <c r="D469" s="71" t="s">
        <v>392</v>
      </c>
      <c r="E469" s="71" t="s">
        <v>24</v>
      </c>
      <c r="F469" s="71" t="s">
        <v>417</v>
      </c>
      <c r="G469" s="71" t="s">
        <v>40</v>
      </c>
      <c r="H469" s="71" t="s">
        <v>24</v>
      </c>
      <c r="I469" s="71" t="s">
        <v>39</v>
      </c>
      <c r="J469" s="72">
        <v>-17000</v>
      </c>
      <c r="K469" s="73">
        <v>44236</v>
      </c>
      <c r="L469" s="73">
        <v>44236</v>
      </c>
      <c r="M469" s="73">
        <v>44253</v>
      </c>
      <c r="N469" s="71" t="s">
        <v>38</v>
      </c>
    </row>
    <row r="470" spans="1:14" ht="15">
      <c r="A470" s="71" t="s">
        <v>216</v>
      </c>
      <c r="B470" s="71" t="s">
        <v>252</v>
      </c>
      <c r="C470" s="71" t="s">
        <v>253</v>
      </c>
      <c r="D470" s="71" t="s">
        <v>392</v>
      </c>
      <c r="E470" s="71" t="s">
        <v>24</v>
      </c>
      <c r="F470" s="71" t="s">
        <v>417</v>
      </c>
      <c r="G470" s="71" t="s">
        <v>42</v>
      </c>
      <c r="H470" s="71" t="s">
        <v>24</v>
      </c>
      <c r="I470" s="71" t="s">
        <v>39</v>
      </c>
      <c r="J470" s="72">
        <v>-11780.02</v>
      </c>
      <c r="K470" s="73">
        <v>44236</v>
      </c>
      <c r="L470" s="73">
        <v>44236</v>
      </c>
      <c r="M470" s="73">
        <v>44253</v>
      </c>
      <c r="N470" s="71" t="s">
        <v>38</v>
      </c>
    </row>
    <row r="471" spans="1:14" ht="15">
      <c r="A471" s="71" t="s">
        <v>216</v>
      </c>
      <c r="B471" s="71" t="s">
        <v>252</v>
      </c>
      <c r="C471" s="71" t="s">
        <v>253</v>
      </c>
      <c r="D471" s="71" t="s">
        <v>392</v>
      </c>
      <c r="E471" s="71" t="s">
        <v>24</v>
      </c>
      <c r="F471" s="71" t="s">
        <v>417</v>
      </c>
      <c r="G471" s="71" t="s">
        <v>42</v>
      </c>
      <c r="H471" s="71" t="s">
        <v>24</v>
      </c>
      <c r="I471" s="71" t="s">
        <v>39</v>
      </c>
      <c r="J471" s="72">
        <v>-5219.9799999999996</v>
      </c>
      <c r="K471" s="73">
        <v>44379</v>
      </c>
      <c r="L471" s="73">
        <v>44379</v>
      </c>
      <c r="M471" s="73">
        <v>44407</v>
      </c>
      <c r="N471" s="71" t="s">
        <v>38</v>
      </c>
    </row>
    <row r="472" spans="1:14" ht="15">
      <c r="A472" s="71" t="s">
        <v>216</v>
      </c>
      <c r="B472" s="71" t="s">
        <v>252</v>
      </c>
      <c r="C472" s="71" t="s">
        <v>253</v>
      </c>
      <c r="D472" s="71" t="s">
        <v>392</v>
      </c>
      <c r="E472" s="71" t="s">
        <v>24</v>
      </c>
      <c r="F472" s="71" t="s">
        <v>417</v>
      </c>
      <c r="G472" s="71" t="s">
        <v>37</v>
      </c>
      <c r="H472" s="71" t="s">
        <v>24</v>
      </c>
      <c r="I472" s="71" t="s">
        <v>39</v>
      </c>
      <c r="J472" s="72">
        <v>-15000</v>
      </c>
      <c r="K472" s="73">
        <v>44379</v>
      </c>
      <c r="L472" s="73">
        <v>44379</v>
      </c>
      <c r="M472" s="73">
        <v>44407</v>
      </c>
      <c r="N472" s="71" t="s">
        <v>38</v>
      </c>
    </row>
    <row r="473" spans="1:14" ht="15">
      <c r="A473" s="71" t="s">
        <v>216</v>
      </c>
      <c r="B473" s="71" t="s">
        <v>252</v>
      </c>
      <c r="C473" s="71" t="s">
        <v>253</v>
      </c>
      <c r="D473" s="71" t="s">
        <v>392</v>
      </c>
      <c r="E473" s="71" t="s">
        <v>24</v>
      </c>
      <c r="F473" s="71" t="s">
        <v>417</v>
      </c>
      <c r="G473" s="71" t="s">
        <v>47</v>
      </c>
      <c r="H473" s="71" t="s">
        <v>24</v>
      </c>
      <c r="I473" s="71" t="s">
        <v>39</v>
      </c>
      <c r="J473" s="72">
        <v>-168.76</v>
      </c>
      <c r="K473" s="73">
        <v>44379</v>
      </c>
      <c r="L473" s="73">
        <v>44379</v>
      </c>
      <c r="M473" s="73">
        <v>44407</v>
      </c>
      <c r="N473" s="71" t="s">
        <v>38</v>
      </c>
    </row>
    <row r="474" spans="1:14" ht="15">
      <c r="A474" s="71" t="s">
        <v>216</v>
      </c>
      <c r="B474" s="71" t="s">
        <v>252</v>
      </c>
      <c r="C474" s="71" t="s">
        <v>253</v>
      </c>
      <c r="D474" s="71" t="s">
        <v>392</v>
      </c>
      <c r="E474" s="71" t="s">
        <v>24</v>
      </c>
      <c r="F474" s="71" t="s">
        <v>417</v>
      </c>
      <c r="G474" s="71" t="s">
        <v>47</v>
      </c>
      <c r="H474" s="71" t="s">
        <v>24</v>
      </c>
      <c r="I474" s="71" t="s">
        <v>39</v>
      </c>
      <c r="J474" s="72">
        <v>-15831.24</v>
      </c>
      <c r="K474" s="73">
        <v>44480</v>
      </c>
      <c r="L474" s="73">
        <v>44480</v>
      </c>
      <c r="M474" s="73">
        <v>44494</v>
      </c>
      <c r="N474" s="71" t="s">
        <v>38</v>
      </c>
    </row>
    <row r="475" spans="1:14" ht="15">
      <c r="A475" s="71" t="s">
        <v>216</v>
      </c>
      <c r="B475" s="71" t="s">
        <v>130</v>
      </c>
      <c r="C475" s="71" t="s">
        <v>131</v>
      </c>
      <c r="D475" s="71" t="s">
        <v>392</v>
      </c>
      <c r="E475" s="71" t="s">
        <v>24</v>
      </c>
      <c r="F475" s="71" t="s">
        <v>418</v>
      </c>
      <c r="G475" s="71" t="s">
        <v>40</v>
      </c>
      <c r="H475" s="71" t="s">
        <v>24</v>
      </c>
      <c r="I475" s="71" t="s">
        <v>39</v>
      </c>
      <c r="J475" s="72">
        <v>-400000</v>
      </c>
      <c r="K475" s="73">
        <v>44236</v>
      </c>
      <c r="L475" s="73">
        <v>44236</v>
      </c>
      <c r="M475" s="73">
        <v>44253</v>
      </c>
      <c r="N475" s="71" t="s">
        <v>38</v>
      </c>
    </row>
    <row r="476" spans="1:14" ht="15">
      <c r="A476" s="71" t="s">
        <v>216</v>
      </c>
      <c r="B476" s="71" t="s">
        <v>130</v>
      </c>
      <c r="C476" s="71" t="s">
        <v>131</v>
      </c>
      <c r="D476" s="71" t="s">
        <v>392</v>
      </c>
      <c r="E476" s="71" t="s">
        <v>24</v>
      </c>
      <c r="F476" s="71" t="s">
        <v>418</v>
      </c>
      <c r="G476" s="71" t="s">
        <v>42</v>
      </c>
      <c r="H476" s="71" t="s">
        <v>24</v>
      </c>
      <c r="I476" s="71" t="s">
        <v>39</v>
      </c>
      <c r="J476" s="72">
        <v>-30458.37</v>
      </c>
      <c r="K476" s="73">
        <v>44236</v>
      </c>
      <c r="L476" s="73">
        <v>44236</v>
      </c>
      <c r="M476" s="73">
        <v>44253</v>
      </c>
      <c r="N476" s="71" t="s">
        <v>38</v>
      </c>
    </row>
    <row r="477" spans="1:14" ht="15">
      <c r="A477" s="71" t="s">
        <v>216</v>
      </c>
      <c r="B477" s="71" t="s">
        <v>130</v>
      </c>
      <c r="C477" s="71" t="s">
        <v>131</v>
      </c>
      <c r="D477" s="71" t="s">
        <v>392</v>
      </c>
      <c r="E477" s="71" t="s">
        <v>24</v>
      </c>
      <c r="F477" s="71" t="s">
        <v>418</v>
      </c>
      <c r="G477" s="71" t="s">
        <v>42</v>
      </c>
      <c r="H477" s="71" t="s">
        <v>24</v>
      </c>
      <c r="I477" s="71" t="s">
        <v>39</v>
      </c>
      <c r="J477" s="72">
        <v>-269541.63</v>
      </c>
      <c r="K477" s="73">
        <v>44379</v>
      </c>
      <c r="L477" s="73">
        <v>44379</v>
      </c>
      <c r="M477" s="73">
        <v>44407</v>
      </c>
      <c r="N477" s="71" t="s">
        <v>38</v>
      </c>
    </row>
    <row r="478" spans="1:14" ht="15">
      <c r="A478" s="71" t="s">
        <v>216</v>
      </c>
      <c r="B478" s="71" t="s">
        <v>130</v>
      </c>
      <c r="C478" s="71" t="s">
        <v>131</v>
      </c>
      <c r="D478" s="71" t="s">
        <v>392</v>
      </c>
      <c r="E478" s="71" t="s">
        <v>24</v>
      </c>
      <c r="F478" s="71" t="s">
        <v>418</v>
      </c>
      <c r="G478" s="71" t="s">
        <v>37</v>
      </c>
      <c r="H478" s="71" t="s">
        <v>24</v>
      </c>
      <c r="I478" s="71" t="s">
        <v>39</v>
      </c>
      <c r="J478" s="72">
        <v>-132249.79</v>
      </c>
      <c r="K478" s="73">
        <v>44379</v>
      </c>
      <c r="L478" s="73">
        <v>44379</v>
      </c>
      <c r="M478" s="73">
        <v>44407</v>
      </c>
      <c r="N478" s="71" t="s">
        <v>38</v>
      </c>
    </row>
    <row r="479" spans="1:14" ht="15">
      <c r="A479" s="71" t="s">
        <v>216</v>
      </c>
      <c r="B479" s="71" t="s">
        <v>130</v>
      </c>
      <c r="C479" s="71" t="s">
        <v>131</v>
      </c>
      <c r="D479" s="71" t="s">
        <v>392</v>
      </c>
      <c r="E479" s="71" t="s">
        <v>24</v>
      </c>
      <c r="F479" s="71" t="s">
        <v>418</v>
      </c>
      <c r="G479" s="71" t="s">
        <v>37</v>
      </c>
      <c r="H479" s="71" t="s">
        <v>24</v>
      </c>
      <c r="I479" s="71" t="s">
        <v>39</v>
      </c>
      <c r="J479" s="72">
        <v>-167750.21</v>
      </c>
      <c r="K479" s="73">
        <v>44480</v>
      </c>
      <c r="L479" s="73">
        <v>44480</v>
      </c>
      <c r="M479" s="73">
        <v>44489</v>
      </c>
      <c r="N479" s="71" t="s">
        <v>38</v>
      </c>
    </row>
    <row r="480" spans="1:14" ht="15">
      <c r="A480" s="71" t="s">
        <v>216</v>
      </c>
      <c r="B480" s="71" t="s">
        <v>130</v>
      </c>
      <c r="C480" s="71" t="s">
        <v>131</v>
      </c>
      <c r="D480" s="71" t="s">
        <v>392</v>
      </c>
      <c r="E480" s="71" t="s">
        <v>24</v>
      </c>
      <c r="F480" s="71" t="s">
        <v>418</v>
      </c>
      <c r="G480" s="71" t="s">
        <v>47</v>
      </c>
      <c r="H480" s="71" t="s">
        <v>24</v>
      </c>
      <c r="I480" s="71" t="s">
        <v>39</v>
      </c>
      <c r="J480" s="72">
        <v>-256776.19</v>
      </c>
      <c r="K480" s="73">
        <v>44480</v>
      </c>
      <c r="L480" s="73">
        <v>44480</v>
      </c>
      <c r="M480" s="73">
        <v>44489</v>
      </c>
      <c r="N480" s="71" t="s">
        <v>38</v>
      </c>
    </row>
    <row r="481" spans="1:14" ht="15">
      <c r="A481" s="71" t="s">
        <v>216</v>
      </c>
      <c r="B481" s="71" t="s">
        <v>130</v>
      </c>
      <c r="C481" s="71" t="s">
        <v>131</v>
      </c>
      <c r="D481" s="71" t="s">
        <v>392</v>
      </c>
      <c r="E481" s="71" t="s">
        <v>24</v>
      </c>
      <c r="F481" s="71" t="s">
        <v>418</v>
      </c>
      <c r="G481" s="71" t="s">
        <v>47</v>
      </c>
      <c r="H481" s="71" t="s">
        <v>24</v>
      </c>
      <c r="I481" s="71" t="s">
        <v>39</v>
      </c>
      <c r="J481" s="72">
        <v>-106674.81</v>
      </c>
      <c r="K481" s="73">
        <v>44622</v>
      </c>
      <c r="L481" s="73">
        <v>44622</v>
      </c>
      <c r="M481" s="73">
        <v>44638</v>
      </c>
      <c r="N481" s="71" t="s">
        <v>38</v>
      </c>
    </row>
    <row r="482" spans="1:14" ht="15">
      <c r="A482" s="71" t="s">
        <v>216</v>
      </c>
      <c r="B482" s="71" t="s">
        <v>130</v>
      </c>
      <c r="C482" s="71" t="s">
        <v>131</v>
      </c>
      <c r="D482" s="71" t="s">
        <v>392</v>
      </c>
      <c r="E482" s="71" t="s">
        <v>24</v>
      </c>
      <c r="F482" s="71" t="s">
        <v>418</v>
      </c>
      <c r="G482" s="71" t="s">
        <v>26</v>
      </c>
      <c r="H482" s="71" t="s">
        <v>24</v>
      </c>
      <c r="I482" s="71" t="s">
        <v>39</v>
      </c>
      <c r="J482" s="72">
        <v>-37000</v>
      </c>
      <c r="K482" s="73">
        <v>44622</v>
      </c>
      <c r="L482" s="73">
        <v>44622</v>
      </c>
      <c r="M482" s="73">
        <v>44638</v>
      </c>
      <c r="N482" s="71" t="s">
        <v>38</v>
      </c>
    </row>
    <row r="483" spans="1:14" ht="15">
      <c r="A483" s="71" t="s">
        <v>216</v>
      </c>
      <c r="B483" s="71" t="s">
        <v>130</v>
      </c>
      <c r="C483" s="71" t="s">
        <v>131</v>
      </c>
      <c r="D483" s="71" t="s">
        <v>392</v>
      </c>
      <c r="E483" s="71" t="s">
        <v>24</v>
      </c>
      <c r="F483" s="71" t="s">
        <v>418</v>
      </c>
      <c r="G483" s="71" t="s">
        <v>132</v>
      </c>
      <c r="H483" s="71" t="s">
        <v>24</v>
      </c>
      <c r="I483" s="71" t="s">
        <v>39</v>
      </c>
      <c r="J483" s="72">
        <v>-90000</v>
      </c>
      <c r="K483" s="73">
        <v>44622</v>
      </c>
      <c r="L483" s="73">
        <v>44622</v>
      </c>
      <c r="M483" s="73">
        <v>44638</v>
      </c>
      <c r="N483" s="71" t="s">
        <v>38</v>
      </c>
    </row>
    <row r="484" spans="1:14" ht="15">
      <c r="A484" s="71" t="s">
        <v>216</v>
      </c>
      <c r="B484" s="71" t="s">
        <v>203</v>
      </c>
      <c r="C484" s="71" t="s">
        <v>204</v>
      </c>
      <c r="D484" s="71" t="s">
        <v>502</v>
      </c>
      <c r="E484" s="71" t="s">
        <v>24</v>
      </c>
      <c r="F484" s="71" t="s">
        <v>598</v>
      </c>
      <c r="G484" s="71" t="s">
        <v>40</v>
      </c>
      <c r="H484" s="71" t="s">
        <v>24</v>
      </c>
      <c r="I484" s="71" t="s">
        <v>39</v>
      </c>
      <c r="J484" s="72">
        <v>-75472</v>
      </c>
      <c r="K484" s="73">
        <v>44616</v>
      </c>
      <c r="L484" s="73">
        <v>44616</v>
      </c>
      <c r="M484" s="73">
        <v>44620</v>
      </c>
      <c r="N484" s="71" t="s">
        <v>38</v>
      </c>
    </row>
    <row r="485" spans="1:14" ht="15">
      <c r="A485" s="71" t="s">
        <v>216</v>
      </c>
      <c r="B485" s="71" t="s">
        <v>203</v>
      </c>
      <c r="C485" s="71" t="s">
        <v>204</v>
      </c>
      <c r="D485" s="71" t="s">
        <v>502</v>
      </c>
      <c r="E485" s="71" t="s">
        <v>24</v>
      </c>
      <c r="F485" s="71" t="s">
        <v>598</v>
      </c>
      <c r="G485" s="71" t="s">
        <v>42</v>
      </c>
      <c r="H485" s="71" t="s">
        <v>24</v>
      </c>
      <c r="I485" s="71" t="s">
        <v>39</v>
      </c>
      <c r="J485" s="72">
        <v>-75472</v>
      </c>
      <c r="K485" s="73">
        <v>44616</v>
      </c>
      <c r="L485" s="73">
        <v>44616</v>
      </c>
      <c r="M485" s="73">
        <v>44620</v>
      </c>
      <c r="N485" s="71" t="s">
        <v>38</v>
      </c>
    </row>
    <row r="486" spans="1:14" ht="15">
      <c r="A486" s="71" t="s">
        <v>216</v>
      </c>
      <c r="B486" s="71" t="s">
        <v>309</v>
      </c>
      <c r="C486" s="71" t="s">
        <v>310</v>
      </c>
      <c r="D486" s="71" t="s">
        <v>557</v>
      </c>
      <c r="E486" s="71" t="s">
        <v>24</v>
      </c>
      <c r="F486" s="71" t="s">
        <v>558</v>
      </c>
      <c r="G486" s="71" t="s">
        <v>40</v>
      </c>
      <c r="H486" s="71" t="s">
        <v>24</v>
      </c>
      <c r="I486" s="71" t="s">
        <v>39</v>
      </c>
      <c r="J486" s="72">
        <v>-23899</v>
      </c>
      <c r="K486" s="73">
        <v>44484</v>
      </c>
      <c r="L486" s="73">
        <v>44484</v>
      </c>
      <c r="M486" s="73">
        <v>44494</v>
      </c>
      <c r="N486" s="71" t="s">
        <v>38</v>
      </c>
    </row>
    <row r="487" spans="1:14" ht="15">
      <c r="A487" s="71" t="s">
        <v>216</v>
      </c>
      <c r="B487" s="71" t="s">
        <v>104</v>
      </c>
      <c r="C487" s="71" t="s">
        <v>105</v>
      </c>
      <c r="D487" s="71" t="s">
        <v>419</v>
      </c>
      <c r="E487" s="71" t="s">
        <v>24</v>
      </c>
      <c r="F487" s="71" t="s">
        <v>420</v>
      </c>
      <c r="G487" s="71" t="s">
        <v>40</v>
      </c>
      <c r="H487" s="71" t="s">
        <v>24</v>
      </c>
      <c r="I487" s="71" t="s">
        <v>39</v>
      </c>
      <c r="J487" s="72">
        <v>-15000</v>
      </c>
      <c r="K487" s="73">
        <v>44270</v>
      </c>
      <c r="L487" s="73">
        <v>44270</v>
      </c>
      <c r="M487" s="73">
        <v>44284</v>
      </c>
      <c r="N487" s="71" t="s">
        <v>38</v>
      </c>
    </row>
    <row r="488" spans="1:14" ht="15">
      <c r="A488" s="71" t="s">
        <v>216</v>
      </c>
      <c r="B488" s="71" t="s">
        <v>104</v>
      </c>
      <c r="C488" s="71" t="s">
        <v>105</v>
      </c>
      <c r="D488" s="71" t="s">
        <v>419</v>
      </c>
      <c r="E488" s="71" t="s">
        <v>24</v>
      </c>
      <c r="F488" s="71" t="s">
        <v>420</v>
      </c>
      <c r="G488" s="71" t="s">
        <v>42</v>
      </c>
      <c r="H488" s="71" t="s">
        <v>24</v>
      </c>
      <c r="I488" s="71" t="s">
        <v>39</v>
      </c>
      <c r="J488" s="72">
        <v>-9620.9699999999993</v>
      </c>
      <c r="K488" s="73">
        <v>44270</v>
      </c>
      <c r="L488" s="73">
        <v>44270</v>
      </c>
      <c r="M488" s="73">
        <v>44284</v>
      </c>
      <c r="N488" s="71" t="s">
        <v>38</v>
      </c>
    </row>
    <row r="489" spans="1:14" ht="15">
      <c r="A489" s="71" t="s">
        <v>216</v>
      </c>
      <c r="B489" s="71" t="s">
        <v>104</v>
      </c>
      <c r="C489" s="71" t="s">
        <v>105</v>
      </c>
      <c r="D489" s="71" t="s">
        <v>419</v>
      </c>
      <c r="E489" s="71" t="s">
        <v>24</v>
      </c>
      <c r="F489" s="71" t="s">
        <v>420</v>
      </c>
      <c r="G489" s="71" t="s">
        <v>42</v>
      </c>
      <c r="H489" s="71" t="s">
        <v>24</v>
      </c>
      <c r="I489" s="71" t="s">
        <v>39</v>
      </c>
      <c r="J489" s="72">
        <v>-5379.03</v>
      </c>
      <c r="K489" s="73">
        <v>44378</v>
      </c>
      <c r="L489" s="73">
        <v>44378</v>
      </c>
      <c r="M489" s="73">
        <v>44378</v>
      </c>
      <c r="N489" s="71" t="s">
        <v>38</v>
      </c>
    </row>
    <row r="490" spans="1:14" ht="15">
      <c r="A490" s="71" t="s">
        <v>216</v>
      </c>
      <c r="B490" s="71" t="s">
        <v>104</v>
      </c>
      <c r="C490" s="71" t="s">
        <v>105</v>
      </c>
      <c r="D490" s="71" t="s">
        <v>419</v>
      </c>
      <c r="E490" s="71" t="s">
        <v>24</v>
      </c>
      <c r="F490" s="71" t="s">
        <v>420</v>
      </c>
      <c r="G490" s="71" t="s">
        <v>37</v>
      </c>
      <c r="H490" s="71" t="s">
        <v>24</v>
      </c>
      <c r="I490" s="71" t="s">
        <v>39</v>
      </c>
      <c r="J490" s="72">
        <v>-19245.14</v>
      </c>
      <c r="K490" s="73">
        <v>44378</v>
      </c>
      <c r="L490" s="73">
        <v>44378</v>
      </c>
      <c r="M490" s="73">
        <v>44378</v>
      </c>
      <c r="N490" s="71" t="s">
        <v>38</v>
      </c>
    </row>
    <row r="491" spans="1:14" ht="15">
      <c r="A491" s="71" t="s">
        <v>216</v>
      </c>
      <c r="B491" s="71" t="s">
        <v>104</v>
      </c>
      <c r="C491" s="71" t="s">
        <v>105</v>
      </c>
      <c r="D491" s="71" t="s">
        <v>419</v>
      </c>
      <c r="E491" s="71" t="s">
        <v>24</v>
      </c>
      <c r="F491" s="71" t="s">
        <v>420</v>
      </c>
      <c r="G491" s="71" t="s">
        <v>37</v>
      </c>
      <c r="H491" s="71" t="s">
        <v>24</v>
      </c>
      <c r="I491" s="71" t="s">
        <v>39</v>
      </c>
      <c r="J491" s="72">
        <v>-8286.86</v>
      </c>
      <c r="K491" s="73">
        <v>44608</v>
      </c>
      <c r="L491" s="73">
        <v>44608</v>
      </c>
      <c r="M491" s="73">
        <v>44620</v>
      </c>
      <c r="N491" s="71" t="s">
        <v>38</v>
      </c>
    </row>
    <row r="492" spans="1:14" ht="15">
      <c r="A492" s="71" t="s">
        <v>216</v>
      </c>
      <c r="B492" s="71" t="s">
        <v>104</v>
      </c>
      <c r="C492" s="71" t="s">
        <v>105</v>
      </c>
      <c r="D492" s="71" t="s">
        <v>419</v>
      </c>
      <c r="E492" s="71" t="s">
        <v>24</v>
      </c>
      <c r="F492" s="71" t="s">
        <v>420</v>
      </c>
      <c r="G492" s="71" t="s">
        <v>47</v>
      </c>
      <c r="H492" s="71" t="s">
        <v>24</v>
      </c>
      <c r="I492" s="71" t="s">
        <v>39</v>
      </c>
      <c r="J492" s="72">
        <v>-7903.43</v>
      </c>
      <c r="K492" s="73">
        <v>44608</v>
      </c>
      <c r="L492" s="73">
        <v>44608</v>
      </c>
      <c r="M492" s="73">
        <v>44620</v>
      </c>
      <c r="N492" s="71" t="s">
        <v>38</v>
      </c>
    </row>
    <row r="493" spans="1:14" ht="15">
      <c r="A493" s="71" t="s">
        <v>216</v>
      </c>
      <c r="B493" s="71" t="s">
        <v>272</v>
      </c>
      <c r="C493" s="71" t="s">
        <v>273</v>
      </c>
      <c r="D493" s="71" t="s">
        <v>557</v>
      </c>
      <c r="E493" s="71" t="s">
        <v>24</v>
      </c>
      <c r="F493" s="71" t="s">
        <v>505</v>
      </c>
      <c r="G493" s="71" t="s">
        <v>40</v>
      </c>
      <c r="H493" s="71" t="s">
        <v>24</v>
      </c>
      <c r="I493" s="71" t="s">
        <v>39</v>
      </c>
      <c r="J493" s="72">
        <v>-138000</v>
      </c>
      <c r="K493" s="73">
        <v>44496</v>
      </c>
      <c r="L493" s="73">
        <v>44496</v>
      </c>
      <c r="M493" s="73">
        <v>44498</v>
      </c>
      <c r="N493" s="71" t="s">
        <v>38</v>
      </c>
    </row>
    <row r="494" spans="1:14" ht="15">
      <c r="A494" s="71" t="s">
        <v>216</v>
      </c>
      <c r="B494" s="71" t="s">
        <v>128</v>
      </c>
      <c r="C494" s="71" t="s">
        <v>129</v>
      </c>
      <c r="D494" s="71" t="s">
        <v>387</v>
      </c>
      <c r="E494" s="71" t="s">
        <v>24</v>
      </c>
      <c r="F494" s="71" t="s">
        <v>454</v>
      </c>
      <c r="G494" s="71" t="s">
        <v>40</v>
      </c>
      <c r="H494" s="71" t="s">
        <v>24</v>
      </c>
      <c r="I494" s="71" t="s">
        <v>39</v>
      </c>
      <c r="J494" s="72">
        <v>-175000</v>
      </c>
      <c r="K494" s="73">
        <v>44288</v>
      </c>
      <c r="L494" s="73">
        <v>44288</v>
      </c>
      <c r="M494" s="73">
        <v>44298</v>
      </c>
      <c r="N494" s="71" t="s">
        <v>38</v>
      </c>
    </row>
    <row r="495" spans="1:14" ht="15">
      <c r="A495" s="71" t="s">
        <v>216</v>
      </c>
      <c r="B495" s="71" t="s">
        <v>128</v>
      </c>
      <c r="C495" s="71" t="s">
        <v>129</v>
      </c>
      <c r="D495" s="71" t="s">
        <v>387</v>
      </c>
      <c r="E495" s="71" t="s">
        <v>24</v>
      </c>
      <c r="F495" s="71" t="s">
        <v>454</v>
      </c>
      <c r="G495" s="71" t="s">
        <v>42</v>
      </c>
      <c r="H495" s="71" t="s">
        <v>24</v>
      </c>
      <c r="I495" s="71" t="s">
        <v>39</v>
      </c>
      <c r="J495" s="72">
        <v>-133774.75</v>
      </c>
      <c r="K495" s="73">
        <v>44288</v>
      </c>
      <c r="L495" s="73">
        <v>44288</v>
      </c>
      <c r="M495" s="73">
        <v>44298</v>
      </c>
      <c r="N495" s="71" t="s">
        <v>38</v>
      </c>
    </row>
    <row r="496" spans="1:14" ht="15">
      <c r="A496" s="71" t="s">
        <v>216</v>
      </c>
      <c r="B496" s="71" t="s">
        <v>128</v>
      </c>
      <c r="C496" s="71" t="s">
        <v>129</v>
      </c>
      <c r="D496" s="71" t="s">
        <v>387</v>
      </c>
      <c r="E496" s="71" t="s">
        <v>24</v>
      </c>
      <c r="F496" s="71" t="s">
        <v>454</v>
      </c>
      <c r="G496" s="71" t="s">
        <v>37</v>
      </c>
      <c r="H496" s="71" t="s">
        <v>24</v>
      </c>
      <c r="I496" s="71" t="s">
        <v>39</v>
      </c>
      <c r="J496" s="72">
        <v>-173090.53</v>
      </c>
      <c r="K496" s="73">
        <v>44320</v>
      </c>
      <c r="L496" s="73">
        <v>44320</v>
      </c>
      <c r="M496" s="73">
        <v>44330</v>
      </c>
      <c r="N496" s="71" t="s">
        <v>38</v>
      </c>
    </row>
    <row r="497" spans="1:14" ht="15">
      <c r="A497" s="71" t="s">
        <v>216</v>
      </c>
      <c r="B497" s="71" t="s">
        <v>128</v>
      </c>
      <c r="C497" s="71" t="s">
        <v>129</v>
      </c>
      <c r="D497" s="71" t="s">
        <v>387</v>
      </c>
      <c r="E497" s="71" t="s">
        <v>24</v>
      </c>
      <c r="F497" s="71" t="s">
        <v>454</v>
      </c>
      <c r="G497" s="71" t="s">
        <v>47</v>
      </c>
      <c r="H497" s="71" t="s">
        <v>24</v>
      </c>
      <c r="I497" s="71" t="s">
        <v>39</v>
      </c>
      <c r="J497" s="72">
        <v>-44588.66</v>
      </c>
      <c r="K497" s="73">
        <v>44320</v>
      </c>
      <c r="L497" s="73">
        <v>44320</v>
      </c>
      <c r="M497" s="73">
        <v>44330</v>
      </c>
      <c r="N497" s="71" t="s">
        <v>38</v>
      </c>
    </row>
    <row r="498" spans="1:14" ht="15">
      <c r="A498" s="71" t="s">
        <v>216</v>
      </c>
      <c r="B498" s="71" t="s">
        <v>128</v>
      </c>
      <c r="C498" s="71" t="s">
        <v>129</v>
      </c>
      <c r="D498" s="71" t="s">
        <v>387</v>
      </c>
      <c r="E498" s="71" t="s">
        <v>24</v>
      </c>
      <c r="F498" s="71" t="s">
        <v>454</v>
      </c>
      <c r="G498" s="71" t="s">
        <v>47</v>
      </c>
      <c r="H498" s="71" t="s">
        <v>24</v>
      </c>
      <c r="I498" s="71" t="s">
        <v>39</v>
      </c>
      <c r="J498" s="72">
        <v>-130051.34</v>
      </c>
      <c r="K498" s="73">
        <v>44426</v>
      </c>
      <c r="L498" s="73">
        <v>44426</v>
      </c>
      <c r="M498" s="73">
        <v>44434</v>
      </c>
      <c r="N498" s="71" t="s">
        <v>38</v>
      </c>
    </row>
    <row r="499" spans="1:14" ht="15">
      <c r="A499" s="71" t="s">
        <v>216</v>
      </c>
      <c r="B499" s="71" t="s">
        <v>128</v>
      </c>
      <c r="C499" s="71" t="s">
        <v>129</v>
      </c>
      <c r="D499" s="71" t="s">
        <v>387</v>
      </c>
      <c r="E499" s="71" t="s">
        <v>24</v>
      </c>
      <c r="F499" s="71" t="s">
        <v>454</v>
      </c>
      <c r="G499" s="71" t="s">
        <v>26</v>
      </c>
      <c r="H499" s="71" t="s">
        <v>24</v>
      </c>
      <c r="I499" s="71" t="s">
        <v>39</v>
      </c>
      <c r="J499" s="72">
        <v>-60373.95</v>
      </c>
      <c r="K499" s="73">
        <v>44608</v>
      </c>
      <c r="L499" s="73">
        <v>44608</v>
      </c>
      <c r="M499" s="73">
        <v>44620</v>
      </c>
      <c r="N499" s="71" t="s">
        <v>38</v>
      </c>
    </row>
    <row r="500" spans="1:14" ht="15">
      <c r="A500" s="71" t="s">
        <v>216</v>
      </c>
      <c r="B500" s="71" t="s">
        <v>274</v>
      </c>
      <c r="C500" s="71" t="s">
        <v>275</v>
      </c>
      <c r="D500" s="71" t="s">
        <v>560</v>
      </c>
      <c r="E500" s="71" t="s">
        <v>24</v>
      </c>
      <c r="F500" s="71" t="s">
        <v>599</v>
      </c>
      <c r="G500" s="71" t="s">
        <v>40</v>
      </c>
      <c r="H500" s="71" t="s">
        <v>24</v>
      </c>
      <c r="I500" s="71" t="s">
        <v>39</v>
      </c>
      <c r="J500" s="72">
        <v>-500000</v>
      </c>
      <c r="K500" s="73">
        <v>44565</v>
      </c>
      <c r="L500" s="73">
        <v>44565</v>
      </c>
      <c r="M500" s="73">
        <v>44581</v>
      </c>
      <c r="N500" s="71" t="s">
        <v>38</v>
      </c>
    </row>
    <row r="501" spans="1:14" ht="15">
      <c r="A501" s="71" t="s">
        <v>216</v>
      </c>
      <c r="B501" s="71" t="s">
        <v>91</v>
      </c>
      <c r="C501" s="71" t="s">
        <v>92</v>
      </c>
      <c r="D501" s="71" t="s">
        <v>593</v>
      </c>
      <c r="E501" s="71" t="s">
        <v>24</v>
      </c>
      <c r="F501" s="71" t="s">
        <v>600</v>
      </c>
      <c r="G501" s="71" t="s">
        <v>40</v>
      </c>
      <c r="H501" s="71" t="s">
        <v>24</v>
      </c>
      <c r="I501" s="71" t="s">
        <v>39</v>
      </c>
      <c r="J501" s="72">
        <v>-132310</v>
      </c>
      <c r="K501" s="73">
        <v>44608</v>
      </c>
      <c r="L501" s="73">
        <v>44608</v>
      </c>
      <c r="M501" s="73">
        <v>44620</v>
      </c>
      <c r="N501" s="71" t="s">
        <v>38</v>
      </c>
    </row>
    <row r="502" spans="1:14" ht="15">
      <c r="A502" s="71" t="s">
        <v>216</v>
      </c>
      <c r="B502" s="71" t="s">
        <v>91</v>
      </c>
      <c r="C502" s="71" t="s">
        <v>92</v>
      </c>
      <c r="D502" s="71" t="s">
        <v>593</v>
      </c>
      <c r="E502" s="71" t="s">
        <v>24</v>
      </c>
      <c r="F502" s="71" t="s">
        <v>600</v>
      </c>
      <c r="G502" s="71" t="s">
        <v>42</v>
      </c>
      <c r="H502" s="71" t="s">
        <v>24</v>
      </c>
      <c r="I502" s="71" t="s">
        <v>39</v>
      </c>
      <c r="J502" s="72">
        <v>-33178</v>
      </c>
      <c r="K502" s="73">
        <v>44608</v>
      </c>
      <c r="L502" s="73">
        <v>44608</v>
      </c>
      <c r="M502" s="73">
        <v>44620</v>
      </c>
      <c r="N502" s="71" t="s">
        <v>38</v>
      </c>
    </row>
    <row r="503" spans="1:14" ht="15">
      <c r="A503" s="71" t="s">
        <v>216</v>
      </c>
      <c r="B503" s="71" t="s">
        <v>73</v>
      </c>
      <c r="C503" s="71" t="s">
        <v>74</v>
      </c>
      <c r="D503" s="71" t="s">
        <v>419</v>
      </c>
      <c r="E503" s="71" t="s">
        <v>24</v>
      </c>
      <c r="F503" s="71" t="s">
        <v>421</v>
      </c>
      <c r="G503" s="71" t="s">
        <v>40</v>
      </c>
      <c r="H503" s="71" t="s">
        <v>24</v>
      </c>
      <c r="I503" s="71" t="s">
        <v>39</v>
      </c>
      <c r="J503" s="72">
        <v>-15000</v>
      </c>
      <c r="K503" s="73">
        <v>44270</v>
      </c>
      <c r="L503" s="73">
        <v>44270</v>
      </c>
      <c r="M503" s="73">
        <v>44284</v>
      </c>
      <c r="N503" s="71" t="s">
        <v>38</v>
      </c>
    </row>
    <row r="504" spans="1:14" ht="15">
      <c r="A504" s="71" t="s">
        <v>216</v>
      </c>
      <c r="B504" s="71" t="s">
        <v>73</v>
      </c>
      <c r="C504" s="71" t="s">
        <v>74</v>
      </c>
      <c r="D504" s="71" t="s">
        <v>419</v>
      </c>
      <c r="E504" s="71" t="s">
        <v>24</v>
      </c>
      <c r="F504" s="71" t="s">
        <v>421</v>
      </c>
      <c r="G504" s="71" t="s">
        <v>42</v>
      </c>
      <c r="H504" s="71" t="s">
        <v>24</v>
      </c>
      <c r="I504" s="71" t="s">
        <v>39</v>
      </c>
      <c r="J504" s="72">
        <v>-13135.7</v>
      </c>
      <c r="K504" s="73">
        <v>44270</v>
      </c>
      <c r="L504" s="73">
        <v>44270</v>
      </c>
      <c r="M504" s="73">
        <v>44284</v>
      </c>
      <c r="N504" s="71" t="s">
        <v>38</v>
      </c>
    </row>
    <row r="505" spans="1:14" ht="15">
      <c r="A505" s="71" t="s">
        <v>216</v>
      </c>
      <c r="B505" s="71" t="s">
        <v>73</v>
      </c>
      <c r="C505" s="71" t="s">
        <v>74</v>
      </c>
      <c r="D505" s="71" t="s">
        <v>419</v>
      </c>
      <c r="E505" s="71" t="s">
        <v>24</v>
      </c>
      <c r="F505" s="71" t="s">
        <v>421</v>
      </c>
      <c r="G505" s="71" t="s">
        <v>42</v>
      </c>
      <c r="H505" s="71" t="s">
        <v>24</v>
      </c>
      <c r="I505" s="71" t="s">
        <v>39</v>
      </c>
      <c r="J505" s="72">
        <v>-1864.3</v>
      </c>
      <c r="K505" s="73">
        <v>44378</v>
      </c>
      <c r="L505" s="73">
        <v>44378</v>
      </c>
      <c r="M505" s="73">
        <v>44378</v>
      </c>
      <c r="N505" s="71" t="s">
        <v>38</v>
      </c>
    </row>
    <row r="506" spans="1:14" ht="15">
      <c r="A506" s="71" t="s">
        <v>216</v>
      </c>
      <c r="B506" s="71" t="s">
        <v>73</v>
      </c>
      <c r="C506" s="71" t="s">
        <v>74</v>
      </c>
      <c r="D506" s="71" t="s">
        <v>419</v>
      </c>
      <c r="E506" s="71" t="s">
        <v>24</v>
      </c>
      <c r="F506" s="71" t="s">
        <v>421</v>
      </c>
      <c r="G506" s="71" t="s">
        <v>37</v>
      </c>
      <c r="H506" s="71" t="s">
        <v>24</v>
      </c>
      <c r="I506" s="71" t="s">
        <v>39</v>
      </c>
      <c r="J506" s="72">
        <v>-26750.98</v>
      </c>
      <c r="K506" s="73">
        <v>44378</v>
      </c>
      <c r="L506" s="73">
        <v>44378</v>
      </c>
      <c r="M506" s="73">
        <v>44378</v>
      </c>
      <c r="N506" s="71" t="s">
        <v>38</v>
      </c>
    </row>
    <row r="507" spans="1:14" ht="15">
      <c r="A507" s="71" t="s">
        <v>216</v>
      </c>
      <c r="B507" s="71" t="s">
        <v>73</v>
      </c>
      <c r="C507" s="71" t="s">
        <v>74</v>
      </c>
      <c r="D507" s="71" t="s">
        <v>419</v>
      </c>
      <c r="E507" s="71" t="s">
        <v>24</v>
      </c>
      <c r="F507" s="71" t="s">
        <v>421</v>
      </c>
      <c r="G507" s="71" t="s">
        <v>37</v>
      </c>
      <c r="H507" s="71" t="s">
        <v>24</v>
      </c>
      <c r="I507" s="71" t="s">
        <v>39</v>
      </c>
      <c r="J507" s="72">
        <v>-9808.3799999999992</v>
      </c>
      <c r="K507" s="73">
        <v>44606</v>
      </c>
      <c r="L507" s="73">
        <v>44606</v>
      </c>
      <c r="M507" s="73">
        <v>44620</v>
      </c>
      <c r="N507" s="71" t="s">
        <v>38</v>
      </c>
    </row>
    <row r="508" spans="1:14" ht="15">
      <c r="A508" s="71" t="s">
        <v>216</v>
      </c>
      <c r="B508" s="71" t="s">
        <v>183</v>
      </c>
      <c r="C508" s="71" t="s">
        <v>184</v>
      </c>
      <c r="D508" s="71" t="s">
        <v>455</v>
      </c>
      <c r="E508" s="71" t="s">
        <v>24</v>
      </c>
      <c r="F508" s="71" t="s">
        <v>456</v>
      </c>
      <c r="G508" s="71" t="s">
        <v>42</v>
      </c>
      <c r="H508" s="71" t="s">
        <v>24</v>
      </c>
      <c r="I508" s="71" t="s">
        <v>39</v>
      </c>
      <c r="J508" s="72">
        <v>-46731.09</v>
      </c>
      <c r="K508" s="73">
        <v>44550</v>
      </c>
      <c r="L508" s="73">
        <v>44550</v>
      </c>
      <c r="M508" s="73">
        <v>44550</v>
      </c>
      <c r="N508" s="71" t="s">
        <v>38</v>
      </c>
    </row>
    <row r="509" spans="1:14" ht="15">
      <c r="A509" s="71" t="s">
        <v>216</v>
      </c>
      <c r="B509" s="71" t="s">
        <v>311</v>
      </c>
      <c r="C509" s="71" t="s">
        <v>312</v>
      </c>
      <c r="D509" s="71" t="s">
        <v>476</v>
      </c>
      <c r="E509" s="71" t="s">
        <v>24</v>
      </c>
      <c r="F509" s="71" t="s">
        <v>559</v>
      </c>
      <c r="G509" s="71" t="s">
        <v>40</v>
      </c>
      <c r="H509" s="71" t="s">
        <v>24</v>
      </c>
      <c r="I509" s="71" t="s">
        <v>39</v>
      </c>
      <c r="J509" s="72">
        <v>-5000</v>
      </c>
      <c r="K509" s="73">
        <v>44484</v>
      </c>
      <c r="L509" s="73">
        <v>44484</v>
      </c>
      <c r="M509" s="73">
        <v>44494</v>
      </c>
      <c r="N509" s="71" t="s">
        <v>38</v>
      </c>
    </row>
    <row r="510" spans="1:14" ht="15">
      <c r="A510" s="71" t="s">
        <v>216</v>
      </c>
      <c r="B510" s="71" t="s">
        <v>65</v>
      </c>
      <c r="C510" s="71" t="s">
        <v>66</v>
      </c>
      <c r="D510" s="71" t="s">
        <v>455</v>
      </c>
      <c r="E510" s="71" t="s">
        <v>24</v>
      </c>
      <c r="F510" s="71" t="s">
        <v>472</v>
      </c>
      <c r="G510" s="71" t="s">
        <v>40</v>
      </c>
      <c r="H510" s="71" t="s">
        <v>24</v>
      </c>
      <c r="I510" s="71" t="s">
        <v>39</v>
      </c>
      <c r="J510" s="72">
        <v>-398587</v>
      </c>
      <c r="K510" s="73">
        <v>44302</v>
      </c>
      <c r="L510" s="73">
        <v>44302</v>
      </c>
      <c r="M510" s="73">
        <v>44314</v>
      </c>
      <c r="N510" s="71" t="s">
        <v>38</v>
      </c>
    </row>
    <row r="511" spans="1:14" ht="15">
      <c r="A511" s="71" t="s">
        <v>216</v>
      </c>
      <c r="B511" s="71" t="s">
        <v>65</v>
      </c>
      <c r="C511" s="71" t="s">
        <v>66</v>
      </c>
      <c r="D511" s="71" t="s">
        <v>455</v>
      </c>
      <c r="E511" s="71" t="s">
        <v>24</v>
      </c>
      <c r="F511" s="71" t="s">
        <v>472</v>
      </c>
      <c r="G511" s="71" t="s">
        <v>40</v>
      </c>
      <c r="H511" s="71" t="s">
        <v>24</v>
      </c>
      <c r="I511" s="71" t="s">
        <v>39</v>
      </c>
      <c r="J511" s="72">
        <v>-72667.5</v>
      </c>
      <c r="K511" s="73">
        <v>44550</v>
      </c>
      <c r="L511" s="73">
        <v>44550</v>
      </c>
      <c r="M511" s="73">
        <v>44550</v>
      </c>
      <c r="N511" s="71" t="s">
        <v>38</v>
      </c>
    </row>
    <row r="512" spans="1:14" ht="15">
      <c r="A512" s="71" t="s">
        <v>216</v>
      </c>
      <c r="B512" s="71" t="s">
        <v>65</v>
      </c>
      <c r="C512" s="71" t="s">
        <v>66</v>
      </c>
      <c r="D512" s="71" t="s">
        <v>455</v>
      </c>
      <c r="E512" s="71" t="s">
        <v>24</v>
      </c>
      <c r="F512" s="71" t="s">
        <v>472</v>
      </c>
      <c r="G512" s="71" t="s">
        <v>42</v>
      </c>
      <c r="H512" s="71" t="s">
        <v>24</v>
      </c>
      <c r="I512" s="71" t="s">
        <v>39</v>
      </c>
      <c r="J512" s="72">
        <v>-416474.5</v>
      </c>
      <c r="K512" s="73">
        <v>44550</v>
      </c>
      <c r="L512" s="73">
        <v>44550</v>
      </c>
      <c r="M512" s="73">
        <v>44550</v>
      </c>
      <c r="N512" s="71" t="s">
        <v>38</v>
      </c>
    </row>
    <row r="513" spans="1:14" ht="15">
      <c r="A513" s="71" t="s">
        <v>216</v>
      </c>
      <c r="B513" s="71" t="s">
        <v>158</v>
      </c>
      <c r="C513" s="71" t="s">
        <v>159</v>
      </c>
      <c r="D513" s="71" t="s">
        <v>467</v>
      </c>
      <c r="E513" s="71" t="s">
        <v>24</v>
      </c>
      <c r="F513" s="71" t="s">
        <v>486</v>
      </c>
      <c r="G513" s="71" t="s">
        <v>40</v>
      </c>
      <c r="H513" s="71" t="s">
        <v>24</v>
      </c>
      <c r="I513" s="71" t="s">
        <v>39</v>
      </c>
      <c r="J513" s="72">
        <v>-22500</v>
      </c>
      <c r="K513" s="73">
        <v>44377</v>
      </c>
      <c r="L513" s="73">
        <v>44377</v>
      </c>
      <c r="M513" s="73">
        <v>44377</v>
      </c>
      <c r="N513" s="71" t="s">
        <v>38</v>
      </c>
    </row>
    <row r="514" spans="1:14" ht="15">
      <c r="A514" s="71" t="s">
        <v>216</v>
      </c>
      <c r="B514" s="71" t="s">
        <v>158</v>
      </c>
      <c r="C514" s="71" t="s">
        <v>159</v>
      </c>
      <c r="D514" s="71" t="s">
        <v>467</v>
      </c>
      <c r="E514" s="71" t="s">
        <v>24</v>
      </c>
      <c r="F514" s="71" t="s">
        <v>486</v>
      </c>
      <c r="G514" s="71" t="s">
        <v>42</v>
      </c>
      <c r="H514" s="71" t="s">
        <v>24</v>
      </c>
      <c r="I514" s="71" t="s">
        <v>39</v>
      </c>
      <c r="J514" s="72">
        <v>-320.57</v>
      </c>
      <c r="K514" s="73">
        <v>44377</v>
      </c>
      <c r="L514" s="73">
        <v>44377</v>
      </c>
      <c r="M514" s="73">
        <v>44377</v>
      </c>
      <c r="N514" s="71" t="s">
        <v>38</v>
      </c>
    </row>
    <row r="515" spans="1:14" ht="15">
      <c r="A515" s="71" t="s">
        <v>216</v>
      </c>
      <c r="B515" s="71" t="s">
        <v>158</v>
      </c>
      <c r="C515" s="71" t="s">
        <v>159</v>
      </c>
      <c r="D515" s="71" t="s">
        <v>467</v>
      </c>
      <c r="E515" s="71" t="s">
        <v>24</v>
      </c>
      <c r="F515" s="71" t="s">
        <v>486</v>
      </c>
      <c r="G515" s="71" t="s">
        <v>42</v>
      </c>
      <c r="H515" s="71" t="s">
        <v>24</v>
      </c>
      <c r="I515" s="71" t="s">
        <v>39</v>
      </c>
      <c r="J515" s="72">
        <v>-22179.43</v>
      </c>
      <c r="K515" s="73">
        <v>44378</v>
      </c>
      <c r="L515" s="73">
        <v>44378</v>
      </c>
      <c r="M515" s="73">
        <v>44378</v>
      </c>
      <c r="N515" s="71" t="s">
        <v>38</v>
      </c>
    </row>
    <row r="516" spans="1:14" ht="15">
      <c r="A516" s="71" t="s">
        <v>216</v>
      </c>
      <c r="B516" s="71" t="s">
        <v>158</v>
      </c>
      <c r="C516" s="71" t="s">
        <v>159</v>
      </c>
      <c r="D516" s="71" t="s">
        <v>467</v>
      </c>
      <c r="E516" s="71" t="s">
        <v>24</v>
      </c>
      <c r="F516" s="71" t="s">
        <v>486</v>
      </c>
      <c r="G516" s="71" t="s">
        <v>37</v>
      </c>
      <c r="H516" s="71" t="s">
        <v>24</v>
      </c>
      <c r="I516" s="71" t="s">
        <v>39</v>
      </c>
      <c r="J516" s="72">
        <v>-599.52</v>
      </c>
      <c r="K516" s="73">
        <v>44378</v>
      </c>
      <c r="L516" s="73">
        <v>44378</v>
      </c>
      <c r="M516" s="73">
        <v>44378</v>
      </c>
      <c r="N516" s="71" t="s">
        <v>38</v>
      </c>
    </row>
    <row r="517" spans="1:14" ht="15">
      <c r="A517" s="71" t="s">
        <v>216</v>
      </c>
      <c r="B517" s="71" t="s">
        <v>158</v>
      </c>
      <c r="C517" s="71" t="s">
        <v>159</v>
      </c>
      <c r="D517" s="71" t="s">
        <v>467</v>
      </c>
      <c r="E517" s="71" t="s">
        <v>24</v>
      </c>
      <c r="F517" s="71" t="s">
        <v>486</v>
      </c>
      <c r="G517" s="71" t="s">
        <v>37</v>
      </c>
      <c r="H517" s="71" t="s">
        <v>24</v>
      </c>
      <c r="I517" s="71" t="s">
        <v>39</v>
      </c>
      <c r="J517" s="72">
        <v>-21900.48</v>
      </c>
      <c r="K517" s="73">
        <v>44386</v>
      </c>
      <c r="L517" s="73">
        <v>44386</v>
      </c>
      <c r="M517" s="73">
        <v>44407</v>
      </c>
      <c r="N517" s="71" t="s">
        <v>38</v>
      </c>
    </row>
    <row r="518" spans="1:14" ht="15">
      <c r="A518" s="71" t="s">
        <v>216</v>
      </c>
      <c r="B518" s="71" t="s">
        <v>158</v>
      </c>
      <c r="C518" s="71" t="s">
        <v>159</v>
      </c>
      <c r="D518" s="71" t="s">
        <v>467</v>
      </c>
      <c r="E518" s="71" t="s">
        <v>24</v>
      </c>
      <c r="F518" s="71" t="s">
        <v>486</v>
      </c>
      <c r="G518" s="71" t="s">
        <v>47</v>
      </c>
      <c r="H518" s="71" t="s">
        <v>24</v>
      </c>
      <c r="I518" s="71" t="s">
        <v>39</v>
      </c>
      <c r="J518" s="72">
        <v>-635.83000000000004</v>
      </c>
      <c r="K518" s="73">
        <v>44386</v>
      </c>
      <c r="L518" s="73">
        <v>44386</v>
      </c>
      <c r="M518" s="73">
        <v>44407</v>
      </c>
      <c r="N518" s="71" t="s">
        <v>38</v>
      </c>
    </row>
    <row r="519" spans="1:14" ht="15">
      <c r="A519" s="71" t="s">
        <v>216</v>
      </c>
      <c r="B519" s="71" t="s">
        <v>158</v>
      </c>
      <c r="C519" s="71" t="s">
        <v>159</v>
      </c>
      <c r="D519" s="71" t="s">
        <v>467</v>
      </c>
      <c r="E519" s="71" t="s">
        <v>24</v>
      </c>
      <c r="F519" s="71" t="s">
        <v>486</v>
      </c>
      <c r="G519" s="71" t="s">
        <v>47</v>
      </c>
      <c r="H519" s="71" t="s">
        <v>24</v>
      </c>
      <c r="I519" s="71" t="s">
        <v>39</v>
      </c>
      <c r="J519" s="72">
        <v>-21864.17</v>
      </c>
      <c r="K519" s="73">
        <v>44557</v>
      </c>
      <c r="L519" s="73">
        <v>44557</v>
      </c>
      <c r="M519" s="73">
        <v>44557</v>
      </c>
      <c r="N519" s="71" t="s">
        <v>38</v>
      </c>
    </row>
    <row r="520" spans="1:14" ht="15">
      <c r="A520" s="71" t="s">
        <v>216</v>
      </c>
      <c r="B520" s="71" t="s">
        <v>158</v>
      </c>
      <c r="C520" s="71" t="s">
        <v>159</v>
      </c>
      <c r="D520" s="71" t="s">
        <v>467</v>
      </c>
      <c r="E520" s="71" t="s">
        <v>24</v>
      </c>
      <c r="F520" s="71" t="s">
        <v>486</v>
      </c>
      <c r="G520" s="71" t="s">
        <v>26</v>
      </c>
      <c r="H520" s="71" t="s">
        <v>24</v>
      </c>
      <c r="I520" s="71" t="s">
        <v>39</v>
      </c>
      <c r="J520" s="72">
        <v>-46.5</v>
      </c>
      <c r="K520" s="73">
        <v>44608</v>
      </c>
      <c r="L520" s="73">
        <v>44608</v>
      </c>
      <c r="M520" s="73">
        <v>44620</v>
      </c>
      <c r="N520" s="71" t="s">
        <v>38</v>
      </c>
    </row>
    <row r="521" spans="1:14" ht="15">
      <c r="A521" s="71" t="s">
        <v>216</v>
      </c>
      <c r="B521" s="71" t="s">
        <v>35</v>
      </c>
      <c r="C521" s="71" t="s">
        <v>36</v>
      </c>
      <c r="D521" s="71" t="s">
        <v>422</v>
      </c>
      <c r="E521" s="71" t="s">
        <v>24</v>
      </c>
      <c r="F521" s="71" t="s">
        <v>423</v>
      </c>
      <c r="G521" s="71" t="s">
        <v>40</v>
      </c>
      <c r="H521" s="71" t="s">
        <v>24</v>
      </c>
      <c r="I521" s="71" t="s">
        <v>39</v>
      </c>
      <c r="J521" s="72">
        <v>-29166.67</v>
      </c>
      <c r="K521" s="73">
        <v>44222</v>
      </c>
      <c r="L521" s="73">
        <v>44222</v>
      </c>
      <c r="M521" s="73">
        <v>44222</v>
      </c>
      <c r="N521" s="71" t="s">
        <v>38</v>
      </c>
    </row>
    <row r="522" spans="1:14" ht="15">
      <c r="A522" s="71" t="s">
        <v>216</v>
      </c>
      <c r="B522" s="71" t="s">
        <v>35</v>
      </c>
      <c r="C522" s="71" t="s">
        <v>36</v>
      </c>
      <c r="D522" s="71" t="s">
        <v>422</v>
      </c>
      <c r="E522" s="71" t="s">
        <v>24</v>
      </c>
      <c r="F522" s="71" t="s">
        <v>423</v>
      </c>
      <c r="G522" s="71" t="s">
        <v>42</v>
      </c>
      <c r="H522" s="71" t="s">
        <v>24</v>
      </c>
      <c r="I522" s="71" t="s">
        <v>39</v>
      </c>
      <c r="J522" s="72">
        <v>-29166.67</v>
      </c>
      <c r="K522" s="73">
        <v>44222</v>
      </c>
      <c r="L522" s="73">
        <v>44222</v>
      </c>
      <c r="M522" s="73">
        <v>44222</v>
      </c>
      <c r="N522" s="71" t="s">
        <v>38</v>
      </c>
    </row>
    <row r="523" spans="1:14" ht="15">
      <c r="A523" s="71" t="s">
        <v>216</v>
      </c>
      <c r="B523" s="71" t="s">
        <v>35</v>
      </c>
      <c r="C523" s="71" t="s">
        <v>36</v>
      </c>
      <c r="D523" s="71" t="s">
        <v>422</v>
      </c>
      <c r="E523" s="71" t="s">
        <v>24</v>
      </c>
      <c r="F523" s="71" t="s">
        <v>423</v>
      </c>
      <c r="G523" s="71" t="s">
        <v>37</v>
      </c>
      <c r="H523" s="71" t="s">
        <v>24</v>
      </c>
      <c r="I523" s="71" t="s">
        <v>39</v>
      </c>
      <c r="J523" s="72">
        <v>-29166.67</v>
      </c>
      <c r="K523" s="73">
        <v>44222</v>
      </c>
      <c r="L523" s="73">
        <v>44222</v>
      </c>
      <c r="M523" s="73">
        <v>44222</v>
      </c>
      <c r="N523" s="71" t="s">
        <v>38</v>
      </c>
    </row>
    <row r="524" spans="1:14" ht="15">
      <c r="A524" s="71" t="s">
        <v>216</v>
      </c>
      <c r="B524" s="71" t="s">
        <v>35</v>
      </c>
      <c r="C524" s="71" t="s">
        <v>36</v>
      </c>
      <c r="D524" s="71" t="s">
        <v>422</v>
      </c>
      <c r="E524" s="71" t="s">
        <v>24</v>
      </c>
      <c r="F524" s="71" t="s">
        <v>423</v>
      </c>
      <c r="G524" s="71" t="s">
        <v>47</v>
      </c>
      <c r="H524" s="71" t="s">
        <v>24</v>
      </c>
      <c r="I524" s="71" t="s">
        <v>39</v>
      </c>
      <c r="J524" s="72">
        <v>-7040.58</v>
      </c>
      <c r="K524" s="73">
        <v>44222</v>
      </c>
      <c r="L524" s="73">
        <v>44222</v>
      </c>
      <c r="M524" s="73">
        <v>44222</v>
      </c>
      <c r="N524" s="71" t="s">
        <v>38</v>
      </c>
    </row>
    <row r="525" spans="1:14" ht="15">
      <c r="A525" s="71" t="s">
        <v>216</v>
      </c>
      <c r="B525" s="71" t="s">
        <v>35</v>
      </c>
      <c r="C525" s="71" t="s">
        <v>36</v>
      </c>
      <c r="D525" s="71" t="s">
        <v>422</v>
      </c>
      <c r="E525" s="71" t="s">
        <v>24</v>
      </c>
      <c r="F525" s="71" t="s">
        <v>423</v>
      </c>
      <c r="G525" s="71" t="s">
        <v>47</v>
      </c>
      <c r="H525" s="71" t="s">
        <v>24</v>
      </c>
      <c r="I525" s="71" t="s">
        <v>39</v>
      </c>
      <c r="J525" s="72">
        <v>-22126.09</v>
      </c>
      <c r="K525" s="73">
        <v>44267</v>
      </c>
      <c r="L525" s="73">
        <v>44267</v>
      </c>
      <c r="M525" s="73">
        <v>44284</v>
      </c>
      <c r="N525" s="71" t="s">
        <v>38</v>
      </c>
    </row>
    <row r="526" spans="1:14" ht="15">
      <c r="A526" s="71" t="s">
        <v>216</v>
      </c>
      <c r="B526" s="71" t="s">
        <v>35</v>
      </c>
      <c r="C526" s="71" t="s">
        <v>36</v>
      </c>
      <c r="D526" s="71" t="s">
        <v>422</v>
      </c>
      <c r="E526" s="71" t="s">
        <v>24</v>
      </c>
      <c r="F526" s="71" t="s">
        <v>423</v>
      </c>
      <c r="G526" s="71" t="s">
        <v>26</v>
      </c>
      <c r="H526" s="71" t="s">
        <v>24</v>
      </c>
      <c r="I526" s="71" t="s">
        <v>39</v>
      </c>
      <c r="J526" s="72">
        <v>-5417.13</v>
      </c>
      <c r="K526" s="73">
        <v>44267</v>
      </c>
      <c r="L526" s="73">
        <v>44267</v>
      </c>
      <c r="M526" s="73">
        <v>44284</v>
      </c>
      <c r="N526" s="71" t="s">
        <v>38</v>
      </c>
    </row>
    <row r="527" spans="1:14" ht="15">
      <c r="A527" s="71" t="s">
        <v>216</v>
      </c>
      <c r="B527" s="71" t="s">
        <v>35</v>
      </c>
      <c r="C527" s="71" t="s">
        <v>36</v>
      </c>
      <c r="D527" s="71" t="s">
        <v>422</v>
      </c>
      <c r="E527" s="71" t="s">
        <v>24</v>
      </c>
      <c r="F527" s="71" t="s">
        <v>423</v>
      </c>
      <c r="G527" s="71" t="s">
        <v>26</v>
      </c>
      <c r="H527" s="71" t="s">
        <v>24</v>
      </c>
      <c r="I527" s="71" t="s">
        <v>39</v>
      </c>
      <c r="J527" s="72">
        <v>-23749.54</v>
      </c>
      <c r="K527" s="73">
        <v>44288</v>
      </c>
      <c r="L527" s="73">
        <v>44288</v>
      </c>
      <c r="M527" s="73">
        <v>44298</v>
      </c>
      <c r="N527" s="71" t="s">
        <v>38</v>
      </c>
    </row>
    <row r="528" spans="1:14" ht="15">
      <c r="A528" s="71" t="s">
        <v>216</v>
      </c>
      <c r="B528" s="71" t="s">
        <v>35</v>
      </c>
      <c r="C528" s="71" t="s">
        <v>36</v>
      </c>
      <c r="D528" s="71" t="s">
        <v>422</v>
      </c>
      <c r="E528" s="71" t="s">
        <v>24</v>
      </c>
      <c r="F528" s="71" t="s">
        <v>423</v>
      </c>
      <c r="G528" s="71" t="s">
        <v>132</v>
      </c>
      <c r="H528" s="71" t="s">
        <v>24</v>
      </c>
      <c r="I528" s="71" t="s">
        <v>39</v>
      </c>
      <c r="J528" s="72">
        <v>-4098.42</v>
      </c>
      <c r="K528" s="73">
        <v>44288</v>
      </c>
      <c r="L528" s="73">
        <v>44288</v>
      </c>
      <c r="M528" s="73">
        <v>44298</v>
      </c>
      <c r="N528" s="71" t="s">
        <v>38</v>
      </c>
    </row>
    <row r="529" spans="1:14" ht="15">
      <c r="A529" s="71" t="s">
        <v>216</v>
      </c>
      <c r="B529" s="71" t="s">
        <v>35</v>
      </c>
      <c r="C529" s="71" t="s">
        <v>36</v>
      </c>
      <c r="D529" s="71" t="s">
        <v>422</v>
      </c>
      <c r="E529" s="71" t="s">
        <v>24</v>
      </c>
      <c r="F529" s="71" t="s">
        <v>423</v>
      </c>
      <c r="G529" s="71" t="s">
        <v>132</v>
      </c>
      <c r="H529" s="71" t="s">
        <v>24</v>
      </c>
      <c r="I529" s="71" t="s">
        <v>39</v>
      </c>
      <c r="J529" s="72">
        <v>-25068.25</v>
      </c>
      <c r="K529" s="73">
        <v>44298</v>
      </c>
      <c r="L529" s="73">
        <v>44298</v>
      </c>
      <c r="M529" s="73">
        <v>44298</v>
      </c>
      <c r="N529" s="71" t="s">
        <v>38</v>
      </c>
    </row>
    <row r="530" spans="1:14" ht="15">
      <c r="A530" s="71" t="s">
        <v>216</v>
      </c>
      <c r="B530" s="71" t="s">
        <v>35</v>
      </c>
      <c r="C530" s="71" t="s">
        <v>36</v>
      </c>
      <c r="D530" s="71" t="s">
        <v>422</v>
      </c>
      <c r="E530" s="71" t="s">
        <v>24</v>
      </c>
      <c r="F530" s="71" t="s">
        <v>423</v>
      </c>
      <c r="G530" s="71" t="s">
        <v>189</v>
      </c>
      <c r="H530" s="71" t="s">
        <v>24</v>
      </c>
      <c r="I530" s="71" t="s">
        <v>39</v>
      </c>
      <c r="J530" s="72">
        <v>-604.80999999999995</v>
      </c>
      <c r="K530" s="73">
        <v>44298</v>
      </c>
      <c r="L530" s="73">
        <v>44298</v>
      </c>
      <c r="M530" s="73">
        <v>44298</v>
      </c>
      <c r="N530" s="71" t="s">
        <v>38</v>
      </c>
    </row>
    <row r="531" spans="1:14" ht="15">
      <c r="A531" s="71" t="s">
        <v>216</v>
      </c>
      <c r="B531" s="71" t="s">
        <v>35</v>
      </c>
      <c r="C531" s="71" t="s">
        <v>36</v>
      </c>
      <c r="D531" s="71" t="s">
        <v>422</v>
      </c>
      <c r="E531" s="71" t="s">
        <v>24</v>
      </c>
      <c r="F531" s="71" t="s">
        <v>423</v>
      </c>
      <c r="G531" s="71" t="s">
        <v>189</v>
      </c>
      <c r="H531" s="71" t="s">
        <v>24</v>
      </c>
      <c r="I531" s="71" t="s">
        <v>39</v>
      </c>
      <c r="J531" s="72">
        <v>-26676.61</v>
      </c>
      <c r="K531" s="73">
        <v>44349</v>
      </c>
      <c r="L531" s="73">
        <v>44349</v>
      </c>
      <c r="M531" s="73">
        <v>44349</v>
      </c>
      <c r="N531" s="71" t="s">
        <v>38</v>
      </c>
    </row>
    <row r="532" spans="1:14" ht="15">
      <c r="A532" s="71" t="s">
        <v>216</v>
      </c>
      <c r="B532" s="71" t="s">
        <v>35</v>
      </c>
      <c r="C532" s="71" t="s">
        <v>36</v>
      </c>
      <c r="D532" s="71" t="s">
        <v>422</v>
      </c>
      <c r="E532" s="71" t="s">
        <v>24</v>
      </c>
      <c r="F532" s="71" t="s">
        <v>423</v>
      </c>
      <c r="G532" s="71" t="s">
        <v>189</v>
      </c>
      <c r="H532" s="71" t="s">
        <v>24</v>
      </c>
      <c r="I532" s="71" t="s">
        <v>39</v>
      </c>
      <c r="J532" s="72">
        <v>-1885.25</v>
      </c>
      <c r="K532" s="73">
        <v>44363</v>
      </c>
      <c r="L532" s="73">
        <v>44363</v>
      </c>
      <c r="M532" s="73">
        <v>44376</v>
      </c>
      <c r="N532" s="71" t="s">
        <v>38</v>
      </c>
    </row>
    <row r="533" spans="1:14" ht="15">
      <c r="A533" s="71" t="s">
        <v>216</v>
      </c>
      <c r="B533" s="71" t="s">
        <v>35</v>
      </c>
      <c r="C533" s="71" t="s">
        <v>36</v>
      </c>
      <c r="D533" s="71" t="s">
        <v>422</v>
      </c>
      <c r="E533" s="71" t="s">
        <v>24</v>
      </c>
      <c r="F533" s="71" t="s">
        <v>423</v>
      </c>
      <c r="G533" s="71" t="s">
        <v>101</v>
      </c>
      <c r="H533" s="71" t="s">
        <v>24</v>
      </c>
      <c r="I533" s="71" t="s">
        <v>39</v>
      </c>
      <c r="J533" s="72">
        <v>-21660.07</v>
      </c>
      <c r="K533" s="73">
        <v>44363</v>
      </c>
      <c r="L533" s="73">
        <v>44363</v>
      </c>
      <c r="M533" s="73">
        <v>44376</v>
      </c>
      <c r="N533" s="71" t="s">
        <v>38</v>
      </c>
    </row>
    <row r="534" spans="1:14" ht="15">
      <c r="A534" s="71" t="s">
        <v>216</v>
      </c>
      <c r="B534" s="71" t="s">
        <v>35</v>
      </c>
      <c r="C534" s="71" t="s">
        <v>36</v>
      </c>
      <c r="D534" s="71" t="s">
        <v>422</v>
      </c>
      <c r="E534" s="71" t="s">
        <v>24</v>
      </c>
      <c r="F534" s="71" t="s">
        <v>423</v>
      </c>
      <c r="G534" s="71" t="s">
        <v>101</v>
      </c>
      <c r="H534" s="71" t="s">
        <v>24</v>
      </c>
      <c r="I534" s="71" t="s">
        <v>39</v>
      </c>
      <c r="J534" s="72">
        <v>-7506.6</v>
      </c>
      <c r="K534" s="73">
        <v>44417</v>
      </c>
      <c r="L534" s="73">
        <v>44417</v>
      </c>
      <c r="M534" s="73">
        <v>44427</v>
      </c>
      <c r="N534" s="71" t="s">
        <v>38</v>
      </c>
    </row>
    <row r="535" spans="1:14" ht="15">
      <c r="A535" s="71" t="s">
        <v>216</v>
      </c>
      <c r="B535" s="71" t="s">
        <v>35</v>
      </c>
      <c r="C535" s="71" t="s">
        <v>36</v>
      </c>
      <c r="D535" s="71" t="s">
        <v>422</v>
      </c>
      <c r="E535" s="71" t="s">
        <v>24</v>
      </c>
      <c r="F535" s="71" t="s">
        <v>423</v>
      </c>
      <c r="G535" s="71" t="s">
        <v>60</v>
      </c>
      <c r="H535" s="71" t="s">
        <v>24</v>
      </c>
      <c r="I535" s="71" t="s">
        <v>39</v>
      </c>
      <c r="J535" s="72">
        <v>-18477.150000000001</v>
      </c>
      <c r="K535" s="73">
        <v>44417</v>
      </c>
      <c r="L535" s="73">
        <v>44417</v>
      </c>
      <c r="M535" s="73">
        <v>44427</v>
      </c>
      <c r="N535" s="71" t="s">
        <v>38</v>
      </c>
    </row>
    <row r="536" spans="1:14" ht="15">
      <c r="A536" s="71" t="s">
        <v>216</v>
      </c>
      <c r="B536" s="71" t="s">
        <v>35</v>
      </c>
      <c r="C536" s="71" t="s">
        <v>36</v>
      </c>
      <c r="D536" s="71" t="s">
        <v>422</v>
      </c>
      <c r="E536" s="71" t="s">
        <v>24</v>
      </c>
      <c r="F536" s="71" t="s">
        <v>423</v>
      </c>
      <c r="G536" s="71" t="s">
        <v>60</v>
      </c>
      <c r="H536" s="71" t="s">
        <v>24</v>
      </c>
      <c r="I536" s="71" t="s">
        <v>39</v>
      </c>
      <c r="J536" s="72">
        <v>-10689.51</v>
      </c>
      <c r="K536" s="73">
        <v>44427</v>
      </c>
      <c r="L536" s="73">
        <v>44427</v>
      </c>
      <c r="M536" s="73">
        <v>44434</v>
      </c>
      <c r="N536" s="71" t="s">
        <v>38</v>
      </c>
    </row>
    <row r="537" spans="1:14" ht="15">
      <c r="A537" s="71" t="s">
        <v>216</v>
      </c>
      <c r="B537" s="71" t="s">
        <v>35</v>
      </c>
      <c r="C537" s="71" t="s">
        <v>36</v>
      </c>
      <c r="D537" s="71" t="s">
        <v>422</v>
      </c>
      <c r="E537" s="71" t="s">
        <v>24</v>
      </c>
      <c r="F537" s="71" t="s">
        <v>423</v>
      </c>
      <c r="G537" s="71" t="s">
        <v>25</v>
      </c>
      <c r="H537" s="71" t="s">
        <v>24</v>
      </c>
      <c r="I537" s="71" t="s">
        <v>39</v>
      </c>
      <c r="J537" s="72">
        <v>-29166.66</v>
      </c>
      <c r="K537" s="73">
        <v>44427</v>
      </c>
      <c r="L537" s="73">
        <v>44427</v>
      </c>
      <c r="M537" s="73">
        <v>44434</v>
      </c>
      <c r="N537" s="71" t="s">
        <v>38</v>
      </c>
    </row>
    <row r="538" spans="1:14" ht="15">
      <c r="A538" s="71" t="s">
        <v>216</v>
      </c>
      <c r="B538" s="71" t="s">
        <v>35</v>
      </c>
      <c r="C538" s="71" t="s">
        <v>36</v>
      </c>
      <c r="D538" s="71" t="s">
        <v>422</v>
      </c>
      <c r="E538" s="71" t="s">
        <v>24</v>
      </c>
      <c r="F538" s="71" t="s">
        <v>423</v>
      </c>
      <c r="G538" s="71" t="s">
        <v>196</v>
      </c>
      <c r="H538" s="71" t="s">
        <v>24</v>
      </c>
      <c r="I538" s="71" t="s">
        <v>39</v>
      </c>
      <c r="J538" s="72">
        <v>-1911.46</v>
      </c>
      <c r="K538" s="73">
        <v>44427</v>
      </c>
      <c r="L538" s="73">
        <v>44427</v>
      </c>
      <c r="M538" s="73">
        <v>44434</v>
      </c>
      <c r="N538" s="71" t="s">
        <v>38</v>
      </c>
    </row>
    <row r="539" spans="1:14" ht="15">
      <c r="A539" s="71" t="s">
        <v>216</v>
      </c>
      <c r="B539" s="71" t="s">
        <v>35</v>
      </c>
      <c r="C539" s="71" t="s">
        <v>36</v>
      </c>
      <c r="D539" s="71" t="s">
        <v>422</v>
      </c>
      <c r="E539" s="71" t="s">
        <v>24</v>
      </c>
      <c r="F539" s="71" t="s">
        <v>423</v>
      </c>
      <c r="G539" s="71" t="s">
        <v>196</v>
      </c>
      <c r="H539" s="71" t="s">
        <v>24</v>
      </c>
      <c r="I539" s="71" t="s">
        <v>39</v>
      </c>
      <c r="J539" s="72">
        <v>-27255.200000000001</v>
      </c>
      <c r="K539" s="73">
        <v>44477</v>
      </c>
      <c r="L539" s="73">
        <v>44477</v>
      </c>
      <c r="M539" s="73">
        <v>44494</v>
      </c>
      <c r="N539" s="71" t="s">
        <v>38</v>
      </c>
    </row>
    <row r="540" spans="1:14" ht="15">
      <c r="A540" s="71" t="s">
        <v>216</v>
      </c>
      <c r="B540" s="71" t="s">
        <v>35</v>
      </c>
      <c r="C540" s="71" t="s">
        <v>36</v>
      </c>
      <c r="D540" s="71" t="s">
        <v>422</v>
      </c>
      <c r="E540" s="71" t="s">
        <v>24</v>
      </c>
      <c r="F540" s="71" t="s">
        <v>423</v>
      </c>
      <c r="G540" s="71" t="s">
        <v>276</v>
      </c>
      <c r="H540" s="71" t="s">
        <v>24</v>
      </c>
      <c r="I540" s="71" t="s">
        <v>39</v>
      </c>
      <c r="J540" s="72">
        <v>-14263.98</v>
      </c>
      <c r="K540" s="73">
        <v>44477</v>
      </c>
      <c r="L540" s="73">
        <v>44477</v>
      </c>
      <c r="M540" s="73">
        <v>44494</v>
      </c>
      <c r="N540" s="71" t="s">
        <v>38</v>
      </c>
    </row>
    <row r="541" spans="1:14" ht="15">
      <c r="A541" s="71" t="s">
        <v>216</v>
      </c>
      <c r="B541" s="71" t="s">
        <v>35</v>
      </c>
      <c r="C541" s="71" t="s">
        <v>36</v>
      </c>
      <c r="D541" s="71" t="s">
        <v>422</v>
      </c>
      <c r="E541" s="71" t="s">
        <v>24</v>
      </c>
      <c r="F541" s="71" t="s">
        <v>423</v>
      </c>
      <c r="G541" s="71" t="s">
        <v>276</v>
      </c>
      <c r="H541" s="71" t="s">
        <v>24</v>
      </c>
      <c r="I541" s="71" t="s">
        <v>39</v>
      </c>
      <c r="J541" s="72">
        <v>-14902.68</v>
      </c>
      <c r="K541" s="73">
        <v>44550</v>
      </c>
      <c r="L541" s="73">
        <v>44550</v>
      </c>
      <c r="M541" s="73">
        <v>44550</v>
      </c>
      <c r="N541" s="71" t="s">
        <v>38</v>
      </c>
    </row>
    <row r="542" spans="1:14" ht="15">
      <c r="A542" s="71" t="s">
        <v>216</v>
      </c>
      <c r="B542" s="71" t="s">
        <v>297</v>
      </c>
      <c r="C542" s="71" t="s">
        <v>298</v>
      </c>
      <c r="D542" s="71" t="s">
        <v>419</v>
      </c>
      <c r="E542" s="71" t="s">
        <v>24</v>
      </c>
      <c r="F542" s="71" t="s">
        <v>424</v>
      </c>
      <c r="G542" s="71" t="s">
        <v>40</v>
      </c>
      <c r="H542" s="71" t="s">
        <v>24</v>
      </c>
      <c r="I542" s="71" t="s">
        <v>39</v>
      </c>
      <c r="J542" s="72">
        <v>-75000</v>
      </c>
      <c r="K542" s="73">
        <v>44270</v>
      </c>
      <c r="L542" s="73">
        <v>44270</v>
      </c>
      <c r="M542" s="73">
        <v>44284</v>
      </c>
      <c r="N542" s="71" t="s">
        <v>38</v>
      </c>
    </row>
    <row r="543" spans="1:14" ht="15">
      <c r="A543" s="71" t="s">
        <v>216</v>
      </c>
      <c r="B543" s="71" t="s">
        <v>297</v>
      </c>
      <c r="C543" s="71" t="s">
        <v>298</v>
      </c>
      <c r="D543" s="71" t="s">
        <v>419</v>
      </c>
      <c r="E543" s="71" t="s">
        <v>24</v>
      </c>
      <c r="F543" s="71" t="s">
        <v>424</v>
      </c>
      <c r="G543" s="71" t="s">
        <v>42</v>
      </c>
      <c r="H543" s="71" t="s">
        <v>24</v>
      </c>
      <c r="I543" s="71" t="s">
        <v>39</v>
      </c>
      <c r="J543" s="72">
        <v>-19107</v>
      </c>
      <c r="K543" s="73">
        <v>44270</v>
      </c>
      <c r="L543" s="73">
        <v>44270</v>
      </c>
      <c r="M543" s="73">
        <v>44284</v>
      </c>
      <c r="N543" s="71" t="s">
        <v>38</v>
      </c>
    </row>
    <row r="544" spans="1:14" ht="15">
      <c r="A544" s="71" t="s">
        <v>216</v>
      </c>
      <c r="B544" s="71" t="s">
        <v>297</v>
      </c>
      <c r="C544" s="71" t="s">
        <v>298</v>
      </c>
      <c r="D544" s="71" t="s">
        <v>419</v>
      </c>
      <c r="E544" s="71" t="s">
        <v>24</v>
      </c>
      <c r="F544" s="71" t="s">
        <v>424</v>
      </c>
      <c r="G544" s="71" t="s">
        <v>42</v>
      </c>
      <c r="H544" s="71" t="s">
        <v>24</v>
      </c>
      <c r="I544" s="71" t="s">
        <v>39</v>
      </c>
      <c r="J544" s="72">
        <v>-55893</v>
      </c>
      <c r="K544" s="73">
        <v>44378</v>
      </c>
      <c r="L544" s="73">
        <v>44378</v>
      </c>
      <c r="M544" s="73">
        <v>44378</v>
      </c>
      <c r="N544" s="71" t="s">
        <v>38</v>
      </c>
    </row>
    <row r="545" spans="1:14" ht="15">
      <c r="A545" s="71" t="s">
        <v>216</v>
      </c>
      <c r="B545" s="71" t="s">
        <v>297</v>
      </c>
      <c r="C545" s="71" t="s">
        <v>298</v>
      </c>
      <c r="D545" s="71" t="s">
        <v>419</v>
      </c>
      <c r="E545" s="71" t="s">
        <v>24</v>
      </c>
      <c r="F545" s="71" t="s">
        <v>424</v>
      </c>
      <c r="G545" s="71" t="s">
        <v>37</v>
      </c>
      <c r="H545" s="71" t="s">
        <v>24</v>
      </c>
      <c r="I545" s="71" t="s">
        <v>39</v>
      </c>
      <c r="J545" s="72">
        <v>-38214</v>
      </c>
      <c r="K545" s="73">
        <v>44378</v>
      </c>
      <c r="L545" s="73">
        <v>44378</v>
      </c>
      <c r="M545" s="73">
        <v>44378</v>
      </c>
      <c r="N545" s="71" t="s">
        <v>38</v>
      </c>
    </row>
    <row r="546" spans="1:14" ht="15">
      <c r="A546" s="71" t="s">
        <v>216</v>
      </c>
      <c r="B546" s="71" t="s">
        <v>297</v>
      </c>
      <c r="C546" s="71" t="s">
        <v>298</v>
      </c>
      <c r="D546" s="71" t="s">
        <v>419</v>
      </c>
      <c r="E546" s="71" t="s">
        <v>24</v>
      </c>
      <c r="F546" s="71" t="s">
        <v>424</v>
      </c>
      <c r="G546" s="71" t="s">
        <v>37</v>
      </c>
      <c r="H546" s="71" t="s">
        <v>24</v>
      </c>
      <c r="I546" s="71" t="s">
        <v>39</v>
      </c>
      <c r="J546" s="72">
        <v>-94107.5</v>
      </c>
      <c r="K546" s="73">
        <v>44606</v>
      </c>
      <c r="L546" s="73">
        <v>44606</v>
      </c>
      <c r="M546" s="73">
        <v>44620</v>
      </c>
      <c r="N546" s="71" t="s">
        <v>38</v>
      </c>
    </row>
    <row r="547" spans="1:14" ht="15">
      <c r="A547" s="71" t="s">
        <v>216</v>
      </c>
      <c r="B547" s="71" t="s">
        <v>209</v>
      </c>
      <c r="C547" s="71" t="s">
        <v>374</v>
      </c>
      <c r="D547" s="71" t="s">
        <v>387</v>
      </c>
      <c r="E547" s="71" t="s">
        <v>24</v>
      </c>
      <c r="F547" s="71" t="s">
        <v>457</v>
      </c>
      <c r="G547" s="71" t="s">
        <v>40</v>
      </c>
      <c r="H547" s="71" t="s">
        <v>24</v>
      </c>
      <c r="I547" s="71" t="s">
        <v>39</v>
      </c>
      <c r="J547" s="72">
        <v>-18836.7</v>
      </c>
      <c r="K547" s="73">
        <v>44288</v>
      </c>
      <c r="L547" s="73">
        <v>44288</v>
      </c>
      <c r="M547" s="73">
        <v>44298</v>
      </c>
      <c r="N547" s="71" t="s">
        <v>38</v>
      </c>
    </row>
    <row r="548" spans="1:14" ht="15">
      <c r="A548" s="71" t="s">
        <v>216</v>
      </c>
      <c r="B548" s="71" t="s">
        <v>277</v>
      </c>
      <c r="C548" s="71" t="s">
        <v>278</v>
      </c>
      <c r="D548" s="71" t="s">
        <v>560</v>
      </c>
      <c r="E548" s="71" t="s">
        <v>24</v>
      </c>
      <c r="F548" s="71" t="s">
        <v>561</v>
      </c>
      <c r="G548" s="71" t="s">
        <v>40</v>
      </c>
      <c r="H548" s="71" t="s">
        <v>24</v>
      </c>
      <c r="I548" s="71" t="s">
        <v>39</v>
      </c>
      <c r="J548" s="72">
        <v>-1400000</v>
      </c>
      <c r="K548" s="73">
        <v>44543</v>
      </c>
      <c r="L548" s="73">
        <v>44543</v>
      </c>
      <c r="M548" s="73">
        <v>44557</v>
      </c>
      <c r="N548" s="71" t="s">
        <v>38</v>
      </c>
    </row>
    <row r="549" spans="1:14" ht="15">
      <c r="A549" s="71" t="s">
        <v>216</v>
      </c>
      <c r="B549" s="71" t="s">
        <v>299</v>
      </c>
      <c r="C549" s="71" t="s">
        <v>300</v>
      </c>
      <c r="D549" s="71" t="s">
        <v>387</v>
      </c>
      <c r="E549" s="71" t="s">
        <v>24</v>
      </c>
      <c r="F549" s="71" t="s">
        <v>473</v>
      </c>
      <c r="G549" s="71" t="s">
        <v>40</v>
      </c>
      <c r="H549" s="71" t="s">
        <v>24</v>
      </c>
      <c r="I549" s="71" t="s">
        <v>39</v>
      </c>
      <c r="J549" s="72">
        <v>-53962.46</v>
      </c>
      <c r="K549" s="73">
        <v>44288</v>
      </c>
      <c r="L549" s="73">
        <v>44288</v>
      </c>
      <c r="M549" s="73">
        <v>44298</v>
      </c>
      <c r="N549" s="71" t="s">
        <v>38</v>
      </c>
    </row>
    <row r="550" spans="1:14" ht="15">
      <c r="A550" s="71" t="s">
        <v>216</v>
      </c>
      <c r="B550" s="71" t="s">
        <v>299</v>
      </c>
      <c r="C550" s="71" t="s">
        <v>300</v>
      </c>
      <c r="D550" s="71" t="s">
        <v>387</v>
      </c>
      <c r="E550" s="71" t="s">
        <v>24</v>
      </c>
      <c r="F550" s="71" t="s">
        <v>473</v>
      </c>
      <c r="G550" s="71" t="s">
        <v>40</v>
      </c>
      <c r="H550" s="71" t="s">
        <v>24</v>
      </c>
      <c r="I550" s="71" t="s">
        <v>39</v>
      </c>
      <c r="J550" s="72">
        <v>-25287.54</v>
      </c>
      <c r="K550" s="73">
        <v>44349</v>
      </c>
      <c r="L550" s="73">
        <v>44349</v>
      </c>
      <c r="M550" s="73">
        <v>44349</v>
      </c>
      <c r="N550" s="71" t="s">
        <v>38</v>
      </c>
    </row>
    <row r="551" spans="1:14" ht="15">
      <c r="A551" s="71" t="s">
        <v>216</v>
      </c>
      <c r="B551" s="71" t="s">
        <v>299</v>
      </c>
      <c r="C551" s="71" t="s">
        <v>300</v>
      </c>
      <c r="D551" s="71" t="s">
        <v>387</v>
      </c>
      <c r="E551" s="71" t="s">
        <v>24</v>
      </c>
      <c r="F551" s="71" t="s">
        <v>473</v>
      </c>
      <c r="G551" s="71" t="s">
        <v>42</v>
      </c>
      <c r="H551" s="71" t="s">
        <v>24</v>
      </c>
      <c r="I551" s="71" t="s">
        <v>39</v>
      </c>
      <c r="J551" s="72">
        <v>-79250</v>
      </c>
      <c r="K551" s="73">
        <v>44349</v>
      </c>
      <c r="L551" s="73">
        <v>44349</v>
      </c>
      <c r="M551" s="73">
        <v>44349</v>
      </c>
      <c r="N551" s="71" t="s">
        <v>38</v>
      </c>
    </row>
    <row r="552" spans="1:14" ht="15">
      <c r="A552" s="71" t="s">
        <v>216</v>
      </c>
      <c r="B552" s="71" t="s">
        <v>299</v>
      </c>
      <c r="C552" s="71" t="s">
        <v>300</v>
      </c>
      <c r="D552" s="71" t="s">
        <v>387</v>
      </c>
      <c r="E552" s="71" t="s">
        <v>24</v>
      </c>
      <c r="F552" s="71" t="s">
        <v>473</v>
      </c>
      <c r="G552" s="71" t="s">
        <v>37</v>
      </c>
      <c r="H552" s="71" t="s">
        <v>24</v>
      </c>
      <c r="I552" s="71" t="s">
        <v>39</v>
      </c>
      <c r="J552" s="72">
        <v>-3522.26</v>
      </c>
      <c r="K552" s="73">
        <v>44349</v>
      </c>
      <c r="L552" s="73">
        <v>44349</v>
      </c>
      <c r="M552" s="73">
        <v>44349</v>
      </c>
      <c r="N552" s="71" t="s">
        <v>38</v>
      </c>
    </row>
    <row r="553" spans="1:14" ht="15">
      <c r="A553" s="71" t="s">
        <v>216</v>
      </c>
      <c r="B553" s="71" t="s">
        <v>299</v>
      </c>
      <c r="C553" s="71" t="s">
        <v>300</v>
      </c>
      <c r="D553" s="71" t="s">
        <v>387</v>
      </c>
      <c r="E553" s="71" t="s">
        <v>24</v>
      </c>
      <c r="F553" s="71" t="s">
        <v>473</v>
      </c>
      <c r="G553" s="71" t="s">
        <v>37</v>
      </c>
      <c r="H553" s="71" t="s">
        <v>24</v>
      </c>
      <c r="I553" s="71" t="s">
        <v>39</v>
      </c>
      <c r="J553" s="72">
        <v>-75727.740000000005</v>
      </c>
      <c r="K553" s="73">
        <v>44477</v>
      </c>
      <c r="L553" s="73">
        <v>44477</v>
      </c>
      <c r="M553" s="73">
        <v>44477</v>
      </c>
      <c r="N553" s="71" t="s">
        <v>38</v>
      </c>
    </row>
    <row r="554" spans="1:14" ht="15">
      <c r="A554" s="71" t="s">
        <v>216</v>
      </c>
      <c r="B554" s="71" t="s">
        <v>299</v>
      </c>
      <c r="C554" s="71" t="s">
        <v>300</v>
      </c>
      <c r="D554" s="71" t="s">
        <v>387</v>
      </c>
      <c r="E554" s="71" t="s">
        <v>24</v>
      </c>
      <c r="F554" s="71" t="s">
        <v>473</v>
      </c>
      <c r="G554" s="71" t="s">
        <v>47</v>
      </c>
      <c r="H554" s="71" t="s">
        <v>24</v>
      </c>
      <c r="I554" s="71" t="s">
        <v>39</v>
      </c>
      <c r="J554" s="72">
        <v>-79250</v>
      </c>
      <c r="K554" s="73">
        <v>44477</v>
      </c>
      <c r="L554" s="73">
        <v>44477</v>
      </c>
      <c r="M554" s="73">
        <v>44477</v>
      </c>
      <c r="N554" s="71" t="s">
        <v>38</v>
      </c>
    </row>
    <row r="555" spans="1:14" ht="15">
      <c r="A555" s="71" t="s">
        <v>216</v>
      </c>
      <c r="B555" s="71" t="s">
        <v>279</v>
      </c>
      <c r="C555" s="71" t="s">
        <v>280</v>
      </c>
      <c r="D555" s="71" t="s">
        <v>560</v>
      </c>
      <c r="E555" s="71" t="s">
        <v>24</v>
      </c>
      <c r="F555" s="71" t="s">
        <v>562</v>
      </c>
      <c r="G555" s="71" t="s">
        <v>40</v>
      </c>
      <c r="H555" s="71" t="s">
        <v>24</v>
      </c>
      <c r="I555" s="71" t="s">
        <v>39</v>
      </c>
      <c r="J555" s="72">
        <v>-1700000</v>
      </c>
      <c r="K555" s="73">
        <v>44543</v>
      </c>
      <c r="L555" s="73">
        <v>44543</v>
      </c>
      <c r="M555" s="73">
        <v>44557</v>
      </c>
      <c r="N555" s="71" t="s">
        <v>38</v>
      </c>
    </row>
    <row r="556" spans="1:14" ht="15">
      <c r="A556" s="71" t="s">
        <v>216</v>
      </c>
      <c r="B556" s="71" t="s">
        <v>45</v>
      </c>
      <c r="C556" s="71" t="s">
        <v>46</v>
      </c>
      <c r="D556" s="71" t="s">
        <v>426</v>
      </c>
      <c r="E556" s="71" t="s">
        <v>24</v>
      </c>
      <c r="F556" s="71" t="s">
        <v>474</v>
      </c>
      <c r="G556" s="71" t="s">
        <v>40</v>
      </c>
      <c r="H556" s="71" t="s">
        <v>24</v>
      </c>
      <c r="I556" s="71" t="s">
        <v>39</v>
      </c>
      <c r="J556" s="72">
        <v>-12500</v>
      </c>
      <c r="K556" s="73">
        <v>44315</v>
      </c>
      <c r="L556" s="73">
        <v>44315</v>
      </c>
      <c r="M556" s="73">
        <v>44315</v>
      </c>
      <c r="N556" s="71" t="s">
        <v>38</v>
      </c>
    </row>
    <row r="557" spans="1:14" ht="15">
      <c r="A557" s="71" t="s">
        <v>216</v>
      </c>
      <c r="B557" s="71" t="s">
        <v>45</v>
      </c>
      <c r="C557" s="71" t="s">
        <v>46</v>
      </c>
      <c r="D557" s="71" t="s">
        <v>426</v>
      </c>
      <c r="E557" s="71" t="s">
        <v>24</v>
      </c>
      <c r="F557" s="71" t="s">
        <v>474</v>
      </c>
      <c r="G557" s="71" t="s">
        <v>42</v>
      </c>
      <c r="H557" s="71" t="s">
        <v>24</v>
      </c>
      <c r="I557" s="71" t="s">
        <v>39</v>
      </c>
      <c r="J557" s="72">
        <v>-12500</v>
      </c>
      <c r="K557" s="73">
        <v>44315</v>
      </c>
      <c r="L557" s="73">
        <v>44315</v>
      </c>
      <c r="M557" s="73">
        <v>44315</v>
      </c>
      <c r="N557" s="71" t="s">
        <v>38</v>
      </c>
    </row>
    <row r="558" spans="1:14" ht="15">
      <c r="A558" s="71" t="s">
        <v>216</v>
      </c>
      <c r="B558" s="71" t="s">
        <v>45</v>
      </c>
      <c r="C558" s="71" t="s">
        <v>46</v>
      </c>
      <c r="D558" s="71" t="s">
        <v>426</v>
      </c>
      <c r="E558" s="71" t="s">
        <v>24</v>
      </c>
      <c r="F558" s="71" t="s">
        <v>474</v>
      </c>
      <c r="G558" s="71" t="s">
        <v>37</v>
      </c>
      <c r="H558" s="71" t="s">
        <v>24</v>
      </c>
      <c r="I558" s="71" t="s">
        <v>39</v>
      </c>
      <c r="J558" s="72">
        <v>-2933.54</v>
      </c>
      <c r="K558" s="73">
        <v>44315</v>
      </c>
      <c r="L558" s="73">
        <v>44315</v>
      </c>
      <c r="M558" s="73">
        <v>44315</v>
      </c>
      <c r="N558" s="71" t="s">
        <v>38</v>
      </c>
    </row>
    <row r="559" spans="1:14" ht="15">
      <c r="A559" s="71" t="s">
        <v>216</v>
      </c>
      <c r="B559" s="71" t="s">
        <v>45</v>
      </c>
      <c r="C559" s="71" t="s">
        <v>46</v>
      </c>
      <c r="D559" s="71" t="s">
        <v>426</v>
      </c>
      <c r="E559" s="71" t="s">
        <v>24</v>
      </c>
      <c r="F559" s="71" t="s">
        <v>474</v>
      </c>
      <c r="G559" s="71" t="s">
        <v>37</v>
      </c>
      <c r="H559" s="71" t="s">
        <v>24</v>
      </c>
      <c r="I559" s="71" t="s">
        <v>39</v>
      </c>
      <c r="J559" s="72">
        <v>-9566.4599999999991</v>
      </c>
      <c r="K559" s="73">
        <v>44407</v>
      </c>
      <c r="L559" s="73">
        <v>44407</v>
      </c>
      <c r="M559" s="73">
        <v>44407</v>
      </c>
      <c r="N559" s="71" t="s">
        <v>38</v>
      </c>
    </row>
    <row r="560" spans="1:14" ht="15">
      <c r="A560" s="71" t="s">
        <v>216</v>
      </c>
      <c r="B560" s="71" t="s">
        <v>45</v>
      </c>
      <c r="C560" s="71" t="s">
        <v>46</v>
      </c>
      <c r="D560" s="71" t="s">
        <v>426</v>
      </c>
      <c r="E560" s="71" t="s">
        <v>24</v>
      </c>
      <c r="F560" s="71" t="s">
        <v>474</v>
      </c>
      <c r="G560" s="71" t="s">
        <v>47</v>
      </c>
      <c r="H560" s="71" t="s">
        <v>24</v>
      </c>
      <c r="I560" s="71" t="s">
        <v>39</v>
      </c>
      <c r="J560" s="72">
        <v>-2017.56</v>
      </c>
      <c r="K560" s="73">
        <v>44407</v>
      </c>
      <c r="L560" s="73">
        <v>44407</v>
      </c>
      <c r="M560" s="73">
        <v>44407</v>
      </c>
      <c r="N560" s="71" t="s">
        <v>38</v>
      </c>
    </row>
    <row r="561" spans="1:14" ht="15">
      <c r="A561" s="71" t="s">
        <v>216</v>
      </c>
      <c r="B561" s="71" t="s">
        <v>45</v>
      </c>
      <c r="C561" s="71" t="s">
        <v>46</v>
      </c>
      <c r="D561" s="71" t="s">
        <v>426</v>
      </c>
      <c r="E561" s="71" t="s">
        <v>24</v>
      </c>
      <c r="F561" s="71" t="s">
        <v>474</v>
      </c>
      <c r="G561" s="71" t="s">
        <v>47</v>
      </c>
      <c r="H561" s="71" t="s">
        <v>24</v>
      </c>
      <c r="I561" s="71" t="s">
        <v>39</v>
      </c>
      <c r="J561" s="72">
        <v>-10482.44</v>
      </c>
      <c r="K561" s="73">
        <v>44484</v>
      </c>
      <c r="L561" s="73">
        <v>44484</v>
      </c>
      <c r="M561" s="73">
        <v>44494</v>
      </c>
      <c r="N561" s="71" t="s">
        <v>38</v>
      </c>
    </row>
    <row r="562" spans="1:14" ht="15">
      <c r="A562" s="71" t="s">
        <v>216</v>
      </c>
      <c r="B562" s="71" t="s">
        <v>58</v>
      </c>
      <c r="C562" s="71" t="s">
        <v>59</v>
      </c>
      <c r="D562" s="71" t="s">
        <v>476</v>
      </c>
      <c r="E562" s="71" t="s">
        <v>24</v>
      </c>
      <c r="F562" s="71" t="s">
        <v>550</v>
      </c>
      <c r="G562" s="71" t="s">
        <v>40</v>
      </c>
      <c r="H562" s="71" t="s">
        <v>24</v>
      </c>
      <c r="I562" s="71" t="s">
        <v>39</v>
      </c>
      <c r="J562" s="72">
        <v>-4000</v>
      </c>
      <c r="K562" s="73">
        <v>44484</v>
      </c>
      <c r="L562" s="73">
        <v>44484</v>
      </c>
      <c r="M562" s="73">
        <v>44494</v>
      </c>
      <c r="N562" s="71" t="s">
        <v>38</v>
      </c>
    </row>
    <row r="563" spans="1:14" ht="15">
      <c r="A563" s="71" t="s">
        <v>216</v>
      </c>
      <c r="B563" s="71" t="s">
        <v>143</v>
      </c>
      <c r="C563" s="71" t="s">
        <v>144</v>
      </c>
      <c r="D563" s="71" t="s">
        <v>455</v>
      </c>
      <c r="E563" s="71" t="s">
        <v>24</v>
      </c>
      <c r="F563" s="71" t="s">
        <v>563</v>
      </c>
      <c r="G563" s="71" t="s">
        <v>40</v>
      </c>
      <c r="H563" s="71" t="s">
        <v>24</v>
      </c>
      <c r="I563" s="71" t="s">
        <v>39</v>
      </c>
      <c r="J563" s="72">
        <v>-20000</v>
      </c>
      <c r="K563" s="73">
        <v>44550</v>
      </c>
      <c r="L563" s="73">
        <v>44550</v>
      </c>
      <c r="M563" s="73">
        <v>44550</v>
      </c>
      <c r="N563" s="71" t="s">
        <v>38</v>
      </c>
    </row>
    <row r="564" spans="1:14" ht="15">
      <c r="A564" s="71" t="s">
        <v>216</v>
      </c>
      <c r="B564" s="71" t="s">
        <v>170</v>
      </c>
      <c r="C564" s="71" t="s">
        <v>303</v>
      </c>
      <c r="D564" s="71" t="s">
        <v>455</v>
      </c>
      <c r="E564" s="71" t="s">
        <v>24</v>
      </c>
      <c r="F564" s="71" t="s">
        <v>475</v>
      </c>
      <c r="G564" s="71" t="s">
        <v>40</v>
      </c>
      <c r="H564" s="71" t="s">
        <v>24</v>
      </c>
      <c r="I564" s="71" t="s">
        <v>39</v>
      </c>
      <c r="J564" s="72">
        <v>-142964.57999999999</v>
      </c>
      <c r="K564" s="73">
        <v>44302</v>
      </c>
      <c r="L564" s="73">
        <v>44302</v>
      </c>
      <c r="M564" s="73">
        <v>44314</v>
      </c>
      <c r="N564" s="71" t="s">
        <v>38</v>
      </c>
    </row>
    <row r="565" spans="1:14" ht="15">
      <c r="A565" s="71" t="s">
        <v>216</v>
      </c>
      <c r="B565" s="71" t="s">
        <v>122</v>
      </c>
      <c r="C565" s="71" t="s">
        <v>123</v>
      </c>
      <c r="D565" s="71" t="s">
        <v>476</v>
      </c>
      <c r="E565" s="71" t="s">
        <v>24</v>
      </c>
      <c r="F565" s="71" t="s">
        <v>477</v>
      </c>
      <c r="G565" s="71" t="s">
        <v>40</v>
      </c>
      <c r="H565" s="71" t="s">
        <v>24</v>
      </c>
      <c r="I565" s="71" t="s">
        <v>39</v>
      </c>
      <c r="J565" s="72">
        <v>-15000</v>
      </c>
      <c r="K565" s="73">
        <v>44322</v>
      </c>
      <c r="L565" s="73">
        <v>44322</v>
      </c>
      <c r="M565" s="73">
        <v>44330</v>
      </c>
      <c r="N565" s="71" t="s">
        <v>38</v>
      </c>
    </row>
    <row r="566" spans="1:14" ht="15">
      <c r="A566" s="71" t="s">
        <v>216</v>
      </c>
      <c r="B566" s="71" t="s">
        <v>122</v>
      </c>
      <c r="C566" s="71" t="s">
        <v>123</v>
      </c>
      <c r="D566" s="71" t="s">
        <v>476</v>
      </c>
      <c r="E566" s="71" t="s">
        <v>24</v>
      </c>
      <c r="F566" s="71" t="s">
        <v>477</v>
      </c>
      <c r="G566" s="71" t="s">
        <v>42</v>
      </c>
      <c r="H566" s="71" t="s">
        <v>24</v>
      </c>
      <c r="I566" s="71" t="s">
        <v>39</v>
      </c>
      <c r="J566" s="72">
        <v>-15000</v>
      </c>
      <c r="K566" s="73">
        <v>44484</v>
      </c>
      <c r="L566" s="73">
        <v>44484</v>
      </c>
      <c r="M566" s="73">
        <v>44494</v>
      </c>
      <c r="N566" s="71" t="s">
        <v>38</v>
      </c>
    </row>
    <row r="567" spans="1:14" ht="15">
      <c r="A567" s="71" t="s">
        <v>216</v>
      </c>
      <c r="B567" s="71" t="s">
        <v>301</v>
      </c>
      <c r="C567" s="71" t="s">
        <v>302</v>
      </c>
      <c r="D567" s="71" t="s">
        <v>419</v>
      </c>
      <c r="E567" s="71" t="s">
        <v>24</v>
      </c>
      <c r="F567" s="71" t="s">
        <v>425</v>
      </c>
      <c r="G567" s="71" t="s">
        <v>40</v>
      </c>
      <c r="H567" s="71" t="s">
        <v>24</v>
      </c>
      <c r="I567" s="71" t="s">
        <v>39</v>
      </c>
      <c r="J567" s="72">
        <v>-75000</v>
      </c>
      <c r="K567" s="73">
        <v>44270</v>
      </c>
      <c r="L567" s="73">
        <v>44270</v>
      </c>
      <c r="M567" s="73">
        <v>44284</v>
      </c>
      <c r="N567" s="71" t="s">
        <v>38</v>
      </c>
    </row>
    <row r="568" spans="1:14" ht="15">
      <c r="A568" s="71" t="s">
        <v>216</v>
      </c>
      <c r="B568" s="71" t="s">
        <v>301</v>
      </c>
      <c r="C568" s="71" t="s">
        <v>302</v>
      </c>
      <c r="D568" s="71" t="s">
        <v>419</v>
      </c>
      <c r="E568" s="71" t="s">
        <v>24</v>
      </c>
      <c r="F568" s="71" t="s">
        <v>425</v>
      </c>
      <c r="G568" s="71" t="s">
        <v>42</v>
      </c>
      <c r="H568" s="71" t="s">
        <v>24</v>
      </c>
      <c r="I568" s="71" t="s">
        <v>39</v>
      </c>
      <c r="J568" s="72">
        <v>-15196.85</v>
      </c>
      <c r="K568" s="73">
        <v>44270</v>
      </c>
      <c r="L568" s="73">
        <v>44270</v>
      </c>
      <c r="M568" s="73">
        <v>44284</v>
      </c>
      <c r="N568" s="71" t="s">
        <v>38</v>
      </c>
    </row>
    <row r="569" spans="1:14" ht="15">
      <c r="A569" s="71" t="s">
        <v>216</v>
      </c>
      <c r="B569" s="71" t="s">
        <v>301</v>
      </c>
      <c r="C569" s="71" t="s">
        <v>302</v>
      </c>
      <c r="D569" s="71" t="s">
        <v>419</v>
      </c>
      <c r="E569" s="71" t="s">
        <v>24</v>
      </c>
      <c r="F569" s="71" t="s">
        <v>425</v>
      </c>
      <c r="G569" s="71" t="s">
        <v>42</v>
      </c>
      <c r="H569" s="71" t="s">
        <v>24</v>
      </c>
      <c r="I569" s="71" t="s">
        <v>39</v>
      </c>
      <c r="J569" s="72">
        <v>-59803.15</v>
      </c>
      <c r="K569" s="73">
        <v>44378</v>
      </c>
      <c r="L569" s="73">
        <v>44378</v>
      </c>
      <c r="M569" s="73">
        <v>44378</v>
      </c>
      <c r="N569" s="71" t="s">
        <v>38</v>
      </c>
    </row>
    <row r="570" spans="1:14" ht="15">
      <c r="A570" s="71" t="s">
        <v>216</v>
      </c>
      <c r="B570" s="71" t="s">
        <v>301</v>
      </c>
      <c r="C570" s="71" t="s">
        <v>302</v>
      </c>
      <c r="D570" s="71" t="s">
        <v>419</v>
      </c>
      <c r="E570" s="71" t="s">
        <v>24</v>
      </c>
      <c r="F570" s="71" t="s">
        <v>425</v>
      </c>
      <c r="G570" s="71" t="s">
        <v>37</v>
      </c>
      <c r="H570" s="71" t="s">
        <v>24</v>
      </c>
      <c r="I570" s="71" t="s">
        <v>39</v>
      </c>
      <c r="J570" s="72">
        <v>-29638.59</v>
      </c>
      <c r="K570" s="73">
        <v>44378</v>
      </c>
      <c r="L570" s="73">
        <v>44378</v>
      </c>
      <c r="M570" s="73">
        <v>44378</v>
      </c>
      <c r="N570" s="71" t="s">
        <v>38</v>
      </c>
    </row>
    <row r="571" spans="1:14" ht="15">
      <c r="A571" s="71" t="s">
        <v>216</v>
      </c>
      <c r="B571" s="71" t="s">
        <v>301</v>
      </c>
      <c r="C571" s="71" t="s">
        <v>302</v>
      </c>
      <c r="D571" s="71" t="s">
        <v>419</v>
      </c>
      <c r="E571" s="71" t="s">
        <v>24</v>
      </c>
      <c r="F571" s="71" t="s">
        <v>425</v>
      </c>
      <c r="G571" s="71" t="s">
        <v>37</v>
      </c>
      <c r="H571" s="71" t="s">
        <v>24</v>
      </c>
      <c r="I571" s="71" t="s">
        <v>39</v>
      </c>
      <c r="J571" s="72">
        <v>-100481.41</v>
      </c>
      <c r="K571" s="73">
        <v>44608</v>
      </c>
      <c r="L571" s="73">
        <v>44608</v>
      </c>
      <c r="M571" s="73">
        <v>44620</v>
      </c>
      <c r="N571" s="71" t="s">
        <v>38</v>
      </c>
    </row>
    <row r="572" spans="1:14" ht="15">
      <c r="A572" s="71" t="s">
        <v>216</v>
      </c>
      <c r="B572" s="71" t="s">
        <v>301</v>
      </c>
      <c r="C572" s="71" t="s">
        <v>302</v>
      </c>
      <c r="D572" s="71" t="s">
        <v>419</v>
      </c>
      <c r="E572" s="71" t="s">
        <v>24</v>
      </c>
      <c r="F572" s="71" t="s">
        <v>425</v>
      </c>
      <c r="G572" s="71" t="s">
        <v>47</v>
      </c>
      <c r="H572" s="71" t="s">
        <v>24</v>
      </c>
      <c r="I572" s="71" t="s">
        <v>39</v>
      </c>
      <c r="J572" s="72">
        <v>-20208.13</v>
      </c>
      <c r="K572" s="73">
        <v>44608</v>
      </c>
      <c r="L572" s="73">
        <v>44608</v>
      </c>
      <c r="M572" s="73">
        <v>44620</v>
      </c>
      <c r="N572" s="71" t="s">
        <v>38</v>
      </c>
    </row>
    <row r="573" spans="1:14" ht="15">
      <c r="A573" s="71" t="s">
        <v>216</v>
      </c>
      <c r="B573" s="71" t="s">
        <v>194</v>
      </c>
      <c r="C573" s="71" t="s">
        <v>195</v>
      </c>
      <c r="D573" s="71" t="s">
        <v>426</v>
      </c>
      <c r="E573" s="71" t="s">
        <v>24</v>
      </c>
      <c r="F573" s="71" t="s">
        <v>564</v>
      </c>
      <c r="G573" s="71" t="s">
        <v>40</v>
      </c>
      <c r="H573" s="71" t="s">
        <v>24</v>
      </c>
      <c r="I573" s="71" t="s">
        <v>39</v>
      </c>
      <c r="J573" s="72">
        <v>-200000</v>
      </c>
      <c r="K573" s="73">
        <v>44489</v>
      </c>
      <c r="L573" s="73">
        <v>44489</v>
      </c>
      <c r="M573" s="73">
        <v>44494</v>
      </c>
      <c r="N573" s="71" t="s">
        <v>38</v>
      </c>
    </row>
    <row r="574" spans="1:14" ht="15">
      <c r="A574" s="71" t="s">
        <v>216</v>
      </c>
      <c r="B574" s="71" t="s">
        <v>95</v>
      </c>
      <c r="C574" s="71" t="s">
        <v>96</v>
      </c>
      <c r="D574" s="71" t="s">
        <v>476</v>
      </c>
      <c r="E574" s="71" t="s">
        <v>24</v>
      </c>
      <c r="F574" s="71" t="s">
        <v>478</v>
      </c>
      <c r="G574" s="71" t="s">
        <v>40</v>
      </c>
      <c r="H574" s="71" t="s">
        <v>24</v>
      </c>
      <c r="I574" s="71" t="s">
        <v>39</v>
      </c>
      <c r="J574" s="72">
        <v>-190000</v>
      </c>
      <c r="K574" s="73">
        <v>44322</v>
      </c>
      <c r="L574" s="73">
        <v>44322</v>
      </c>
      <c r="M574" s="73">
        <v>44330</v>
      </c>
      <c r="N574" s="71" t="s">
        <v>38</v>
      </c>
    </row>
    <row r="575" spans="1:14" ht="15">
      <c r="A575" s="71" t="s">
        <v>216</v>
      </c>
      <c r="B575" s="71" t="s">
        <v>95</v>
      </c>
      <c r="C575" s="71" t="s">
        <v>96</v>
      </c>
      <c r="D575" s="71" t="s">
        <v>476</v>
      </c>
      <c r="E575" s="71" t="s">
        <v>24</v>
      </c>
      <c r="F575" s="71" t="s">
        <v>478</v>
      </c>
      <c r="G575" s="71" t="s">
        <v>42</v>
      </c>
      <c r="H575" s="71" t="s">
        <v>24</v>
      </c>
      <c r="I575" s="71" t="s">
        <v>39</v>
      </c>
      <c r="J575" s="72">
        <v>-102746</v>
      </c>
      <c r="K575" s="73">
        <v>44614</v>
      </c>
      <c r="L575" s="73">
        <v>44614</v>
      </c>
      <c r="M575" s="73">
        <v>44620</v>
      </c>
      <c r="N575" s="71" t="s">
        <v>38</v>
      </c>
    </row>
    <row r="576" spans="1:14" ht="15">
      <c r="A576" s="71" t="s">
        <v>216</v>
      </c>
      <c r="B576" s="71" t="s">
        <v>207</v>
      </c>
      <c r="C576" s="71" t="s">
        <v>208</v>
      </c>
      <c r="D576" s="71" t="s">
        <v>455</v>
      </c>
      <c r="E576" s="71" t="s">
        <v>24</v>
      </c>
      <c r="F576" s="71" t="s">
        <v>479</v>
      </c>
      <c r="G576" s="71" t="s">
        <v>40</v>
      </c>
      <c r="H576" s="71" t="s">
        <v>24</v>
      </c>
      <c r="I576" s="71" t="s">
        <v>39</v>
      </c>
      <c r="J576" s="72">
        <v>-250000</v>
      </c>
      <c r="K576" s="73">
        <v>44349</v>
      </c>
      <c r="L576" s="73">
        <v>44349</v>
      </c>
      <c r="M576" s="73">
        <v>44349</v>
      </c>
      <c r="N576" s="71" t="s">
        <v>38</v>
      </c>
    </row>
    <row r="577" spans="1:14" ht="15">
      <c r="A577" s="71" t="s">
        <v>216</v>
      </c>
      <c r="B577" s="71" t="s">
        <v>207</v>
      </c>
      <c r="C577" s="71" t="s">
        <v>208</v>
      </c>
      <c r="D577" s="71" t="s">
        <v>455</v>
      </c>
      <c r="E577" s="71" t="s">
        <v>24</v>
      </c>
      <c r="F577" s="71" t="s">
        <v>479</v>
      </c>
      <c r="G577" s="71" t="s">
        <v>42</v>
      </c>
      <c r="H577" s="71" t="s">
        <v>24</v>
      </c>
      <c r="I577" s="71" t="s">
        <v>39</v>
      </c>
      <c r="J577" s="72">
        <v>-250000</v>
      </c>
      <c r="K577" s="73">
        <v>44349</v>
      </c>
      <c r="L577" s="73">
        <v>44349</v>
      </c>
      <c r="M577" s="73">
        <v>44349</v>
      </c>
      <c r="N577" s="71" t="s">
        <v>38</v>
      </c>
    </row>
    <row r="578" spans="1:14" ht="15">
      <c r="A578" s="71" t="s">
        <v>216</v>
      </c>
      <c r="B578" s="71" t="s">
        <v>108</v>
      </c>
      <c r="C578" s="71" t="s">
        <v>109</v>
      </c>
      <c r="D578" s="71" t="s">
        <v>426</v>
      </c>
      <c r="E578" s="71" t="s">
        <v>24</v>
      </c>
      <c r="F578" s="71" t="s">
        <v>427</v>
      </c>
      <c r="G578" s="71" t="s">
        <v>40</v>
      </c>
      <c r="H578" s="71" t="s">
        <v>24</v>
      </c>
      <c r="I578" s="71" t="s">
        <v>39</v>
      </c>
      <c r="J578" s="72">
        <v>-87500</v>
      </c>
      <c r="K578" s="73">
        <v>44238</v>
      </c>
      <c r="L578" s="73">
        <v>44238</v>
      </c>
      <c r="M578" s="73">
        <v>44253</v>
      </c>
      <c r="N578" s="71" t="s">
        <v>38</v>
      </c>
    </row>
    <row r="579" spans="1:14" ht="15">
      <c r="A579" s="71" t="s">
        <v>216</v>
      </c>
      <c r="B579" s="71" t="s">
        <v>108</v>
      </c>
      <c r="C579" s="71" t="s">
        <v>109</v>
      </c>
      <c r="D579" s="71" t="s">
        <v>426</v>
      </c>
      <c r="E579" s="71" t="s">
        <v>24</v>
      </c>
      <c r="F579" s="71" t="s">
        <v>427</v>
      </c>
      <c r="G579" s="71" t="s">
        <v>42</v>
      </c>
      <c r="H579" s="71" t="s">
        <v>24</v>
      </c>
      <c r="I579" s="71" t="s">
        <v>39</v>
      </c>
      <c r="J579" s="72">
        <v>-36857.879999999997</v>
      </c>
      <c r="K579" s="73">
        <v>44238</v>
      </c>
      <c r="L579" s="73">
        <v>44238</v>
      </c>
      <c r="M579" s="73">
        <v>44253</v>
      </c>
      <c r="N579" s="71" t="s">
        <v>38</v>
      </c>
    </row>
    <row r="580" spans="1:14" ht="15">
      <c r="A580" s="71" t="s">
        <v>216</v>
      </c>
      <c r="B580" s="71" t="s">
        <v>108</v>
      </c>
      <c r="C580" s="71" t="s">
        <v>109</v>
      </c>
      <c r="D580" s="71" t="s">
        <v>426</v>
      </c>
      <c r="E580" s="71" t="s">
        <v>24</v>
      </c>
      <c r="F580" s="71" t="s">
        <v>427</v>
      </c>
      <c r="G580" s="71" t="s">
        <v>42</v>
      </c>
      <c r="H580" s="71" t="s">
        <v>24</v>
      </c>
      <c r="I580" s="71" t="s">
        <v>39</v>
      </c>
      <c r="J580" s="72">
        <v>-50642.12</v>
      </c>
      <c r="K580" s="73">
        <v>44315</v>
      </c>
      <c r="L580" s="73">
        <v>44315</v>
      </c>
      <c r="M580" s="73">
        <v>44315</v>
      </c>
      <c r="N580" s="71" t="s">
        <v>38</v>
      </c>
    </row>
    <row r="581" spans="1:14" ht="15">
      <c r="A581" s="71" t="s">
        <v>216</v>
      </c>
      <c r="B581" s="71" t="s">
        <v>108</v>
      </c>
      <c r="C581" s="71" t="s">
        <v>109</v>
      </c>
      <c r="D581" s="71" t="s">
        <v>426</v>
      </c>
      <c r="E581" s="71" t="s">
        <v>24</v>
      </c>
      <c r="F581" s="71" t="s">
        <v>427</v>
      </c>
      <c r="G581" s="71" t="s">
        <v>37</v>
      </c>
      <c r="H581" s="71" t="s">
        <v>24</v>
      </c>
      <c r="I581" s="71" t="s">
        <v>39</v>
      </c>
      <c r="J581" s="72">
        <v>-68773.37</v>
      </c>
      <c r="K581" s="73">
        <v>44315</v>
      </c>
      <c r="L581" s="73">
        <v>44315</v>
      </c>
      <c r="M581" s="73">
        <v>44315</v>
      </c>
      <c r="N581" s="71" t="s">
        <v>38</v>
      </c>
    </row>
    <row r="582" spans="1:14" ht="15">
      <c r="A582" s="71" t="s">
        <v>216</v>
      </c>
      <c r="B582" s="71" t="s">
        <v>108</v>
      </c>
      <c r="C582" s="71" t="s">
        <v>109</v>
      </c>
      <c r="D582" s="71" t="s">
        <v>426</v>
      </c>
      <c r="E582" s="71" t="s">
        <v>24</v>
      </c>
      <c r="F582" s="71" t="s">
        <v>427</v>
      </c>
      <c r="G582" s="71" t="s">
        <v>37</v>
      </c>
      <c r="H582" s="71" t="s">
        <v>24</v>
      </c>
      <c r="I582" s="71" t="s">
        <v>39</v>
      </c>
      <c r="J582" s="72">
        <v>-18726.63</v>
      </c>
      <c r="K582" s="73">
        <v>44420</v>
      </c>
      <c r="L582" s="73">
        <v>44420</v>
      </c>
      <c r="M582" s="73">
        <v>44434</v>
      </c>
      <c r="N582" s="71" t="s">
        <v>38</v>
      </c>
    </row>
    <row r="583" spans="1:14" ht="15">
      <c r="A583" s="71" t="s">
        <v>216</v>
      </c>
      <c r="B583" s="71" t="s">
        <v>108</v>
      </c>
      <c r="C583" s="71" t="s">
        <v>109</v>
      </c>
      <c r="D583" s="71" t="s">
        <v>426</v>
      </c>
      <c r="E583" s="71" t="s">
        <v>24</v>
      </c>
      <c r="F583" s="71" t="s">
        <v>427</v>
      </c>
      <c r="G583" s="71" t="s">
        <v>47</v>
      </c>
      <c r="H583" s="71" t="s">
        <v>24</v>
      </c>
      <c r="I583" s="71" t="s">
        <v>39</v>
      </c>
      <c r="J583" s="72">
        <v>-87500</v>
      </c>
      <c r="K583" s="73">
        <v>44420</v>
      </c>
      <c r="L583" s="73">
        <v>44420</v>
      </c>
      <c r="M583" s="73">
        <v>44434</v>
      </c>
      <c r="N583" s="71" t="s">
        <v>38</v>
      </c>
    </row>
    <row r="584" spans="1:14" ht="15">
      <c r="A584" s="71" t="s">
        <v>216</v>
      </c>
      <c r="B584" s="71" t="s">
        <v>480</v>
      </c>
      <c r="C584" s="71" t="s">
        <v>481</v>
      </c>
      <c r="D584" s="71" t="s">
        <v>426</v>
      </c>
      <c r="E584" s="71" t="s">
        <v>24</v>
      </c>
      <c r="F584" s="71" t="s">
        <v>482</v>
      </c>
      <c r="G584" s="71" t="s">
        <v>40</v>
      </c>
      <c r="H584" s="71" t="s">
        <v>24</v>
      </c>
      <c r="I584" s="71" t="s">
        <v>39</v>
      </c>
      <c r="J584" s="72">
        <v>-75000</v>
      </c>
      <c r="K584" s="73">
        <v>44315</v>
      </c>
      <c r="L584" s="73">
        <v>44315</v>
      </c>
      <c r="M584" s="73">
        <v>44315</v>
      </c>
      <c r="N584" s="71" t="s">
        <v>38</v>
      </c>
    </row>
    <row r="585" spans="1:14" ht="15">
      <c r="A585" s="71" t="s">
        <v>216</v>
      </c>
      <c r="B585" s="71" t="s">
        <v>480</v>
      </c>
      <c r="C585" s="71" t="s">
        <v>481</v>
      </c>
      <c r="D585" s="71" t="s">
        <v>426</v>
      </c>
      <c r="E585" s="71" t="s">
        <v>24</v>
      </c>
      <c r="F585" s="71" t="s">
        <v>482</v>
      </c>
      <c r="G585" s="71" t="s">
        <v>42</v>
      </c>
      <c r="H585" s="71" t="s">
        <v>24</v>
      </c>
      <c r="I585" s="71" t="s">
        <v>39</v>
      </c>
      <c r="J585" s="72">
        <v>-8762</v>
      </c>
      <c r="K585" s="73">
        <v>44315</v>
      </c>
      <c r="L585" s="73">
        <v>44315</v>
      </c>
      <c r="M585" s="73">
        <v>44315</v>
      </c>
      <c r="N585" s="71" t="s">
        <v>38</v>
      </c>
    </row>
    <row r="586" spans="1:14" ht="15">
      <c r="A586" s="71" t="s">
        <v>216</v>
      </c>
      <c r="B586" s="71" t="s">
        <v>480</v>
      </c>
      <c r="C586" s="71" t="s">
        <v>481</v>
      </c>
      <c r="D586" s="71" t="s">
        <v>426</v>
      </c>
      <c r="E586" s="71" t="s">
        <v>24</v>
      </c>
      <c r="F586" s="71" t="s">
        <v>482</v>
      </c>
      <c r="G586" s="71" t="s">
        <v>42</v>
      </c>
      <c r="H586" s="71" t="s">
        <v>24</v>
      </c>
      <c r="I586" s="71" t="s">
        <v>39</v>
      </c>
      <c r="J586" s="72">
        <v>-66238</v>
      </c>
      <c r="K586" s="73">
        <v>44496</v>
      </c>
      <c r="L586" s="73">
        <v>44496</v>
      </c>
      <c r="M586" s="73">
        <v>44498</v>
      </c>
      <c r="N586" s="71" t="s">
        <v>38</v>
      </c>
    </row>
    <row r="587" spans="1:14" ht="15">
      <c r="A587" s="71" t="s">
        <v>216</v>
      </c>
      <c r="B587" s="71" t="s">
        <v>507</v>
      </c>
      <c r="C587" s="71" t="s">
        <v>508</v>
      </c>
      <c r="D587" s="71" t="s">
        <v>502</v>
      </c>
      <c r="E587" s="71" t="s">
        <v>24</v>
      </c>
      <c r="F587" s="71" t="s">
        <v>509</v>
      </c>
      <c r="G587" s="71" t="s">
        <v>40</v>
      </c>
      <c r="H587" s="71" t="s">
        <v>24</v>
      </c>
      <c r="I587" s="71" t="s">
        <v>39</v>
      </c>
      <c r="J587" s="72">
        <v>-115000</v>
      </c>
      <c r="K587" s="73">
        <v>44391</v>
      </c>
      <c r="L587" s="73">
        <v>44391</v>
      </c>
      <c r="M587" s="73">
        <v>44407</v>
      </c>
      <c r="N587" s="71" t="s">
        <v>38</v>
      </c>
    </row>
    <row r="588" spans="1:14" ht="15">
      <c r="A588" s="71" t="s">
        <v>216</v>
      </c>
      <c r="B588" s="71" t="s">
        <v>507</v>
      </c>
      <c r="C588" s="71" t="s">
        <v>508</v>
      </c>
      <c r="D588" s="71" t="s">
        <v>502</v>
      </c>
      <c r="E588" s="71" t="s">
        <v>24</v>
      </c>
      <c r="F588" s="71" t="s">
        <v>509</v>
      </c>
      <c r="G588" s="71" t="s">
        <v>42</v>
      </c>
      <c r="H588" s="71" t="s">
        <v>24</v>
      </c>
      <c r="I588" s="71" t="s">
        <v>39</v>
      </c>
      <c r="J588" s="72">
        <v>-68433</v>
      </c>
      <c r="K588" s="73">
        <v>44391</v>
      </c>
      <c r="L588" s="73">
        <v>44391</v>
      </c>
      <c r="M588" s="73">
        <v>44407</v>
      </c>
      <c r="N588" s="71" t="s">
        <v>38</v>
      </c>
    </row>
    <row r="589" spans="1:14" ht="15">
      <c r="A589" s="71" t="s">
        <v>216</v>
      </c>
      <c r="B589" s="71" t="s">
        <v>507</v>
      </c>
      <c r="C589" s="71" t="s">
        <v>508</v>
      </c>
      <c r="D589" s="71" t="s">
        <v>502</v>
      </c>
      <c r="E589" s="71" t="s">
        <v>24</v>
      </c>
      <c r="F589" s="71" t="s">
        <v>509</v>
      </c>
      <c r="G589" s="71" t="s">
        <v>42</v>
      </c>
      <c r="H589" s="71" t="s">
        <v>24</v>
      </c>
      <c r="I589" s="71" t="s">
        <v>39</v>
      </c>
      <c r="J589" s="72">
        <v>-66567</v>
      </c>
      <c r="K589" s="73">
        <v>44630</v>
      </c>
      <c r="L589" s="73">
        <v>44630</v>
      </c>
      <c r="M589" s="73">
        <v>44638</v>
      </c>
      <c r="N589" s="71" t="s">
        <v>38</v>
      </c>
    </row>
    <row r="590" spans="1:14" ht="15">
      <c r="A590" s="71" t="s">
        <v>219</v>
      </c>
      <c r="B590" s="71" t="s">
        <v>219</v>
      </c>
      <c r="C590" s="71" t="s">
        <v>219</v>
      </c>
      <c r="D590" s="71" t="s">
        <v>219</v>
      </c>
      <c r="E590" s="71" t="s">
        <v>219</v>
      </c>
      <c r="F590" s="71" t="s">
        <v>219</v>
      </c>
      <c r="G590" s="71" t="s">
        <v>219</v>
      </c>
      <c r="H590" s="71" t="s">
        <v>219</v>
      </c>
      <c r="I590" s="71" t="s">
        <v>219</v>
      </c>
      <c r="J590" s="71" t="s">
        <v>605</v>
      </c>
      <c r="K590" s="71" t="s">
        <v>219</v>
      </c>
      <c r="L590" s="71" t="s">
        <v>219</v>
      </c>
      <c r="M590" s="71" t="s">
        <v>219</v>
      </c>
      <c r="N590" s="71" t="s">
        <v>219</v>
      </c>
    </row>
    <row r="591" spans="1:14" ht="15">
      <c r="A591" s="71" t="s">
        <v>219</v>
      </c>
      <c r="B591" s="71" t="s">
        <v>219</v>
      </c>
      <c r="C591" s="71" t="s">
        <v>219</v>
      </c>
      <c r="D591" s="71" t="s">
        <v>219</v>
      </c>
      <c r="E591" s="71" t="s">
        <v>219</v>
      </c>
      <c r="F591" s="71" t="s">
        <v>219</v>
      </c>
      <c r="G591" s="71" t="s">
        <v>219</v>
      </c>
      <c r="H591" s="71" t="s">
        <v>219</v>
      </c>
      <c r="I591" s="71" t="s">
        <v>219</v>
      </c>
      <c r="J591" s="71"/>
      <c r="K591" s="71" t="s">
        <v>219</v>
      </c>
      <c r="L591" s="71" t="s">
        <v>219</v>
      </c>
      <c r="M591" s="71" t="s">
        <v>219</v>
      </c>
      <c r="N591" s="71" t="s">
        <v>219</v>
      </c>
    </row>
  </sheetData>
  <autoFilter ref="A21:N370" xr:uid="{93F5B346-BD40-445B-B684-FB08B33A3908}"/>
  <conditionalFormatting sqref="AH21:AH48 AH50">
    <cfRule type="cellIs" dxfId="0" priority="4" operator="greaterThan">
      <formula>0</formula>
    </cfRule>
  </conditionalFormatting>
  <pageMargins left="0.7" right="0.38" top="0.38" bottom="0.39" header="0.3" footer="0.3"/>
  <pageSetup scale="48" fitToHeight="3" orientation="landscape"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EA837411ED864B94278B26830B74D5" ma:contentTypeVersion="33" ma:contentTypeDescription="Create a new document." ma:contentTypeScope="" ma:versionID="7ae85a6553a7588aa572ee3f34cdb34a">
  <xsd:schema xmlns:xsd="http://www.w3.org/2001/XMLSchema" xmlns:xs="http://www.w3.org/2001/XMLSchema" xmlns:p="http://schemas.microsoft.com/office/2006/metadata/properties" xmlns:ns1="474a6763-ac05-4e28-9ae1-4058cad3e94b" xmlns:ns2="http://schemas.microsoft.com/sharepoint/v3" xmlns:ns3="d75cc3ea-6d34-48b9-955f-209672471296" targetNamespace="http://schemas.microsoft.com/office/2006/metadata/properties" ma:root="true" ma:fieldsID="c9934313f942d14bd24d0391a9bb3285" ns1:_="" ns2:_="" ns3:_="">
    <xsd:import namespace="474a6763-ac05-4e28-9ae1-4058cad3e94b"/>
    <xsd:import namespace="http://schemas.microsoft.com/sharepoint/v3"/>
    <xsd:import namespace="d75cc3ea-6d34-48b9-955f-209672471296"/>
    <xsd:element name="properties">
      <xsd:complexType>
        <xsd:sequence>
          <xsd:element name="documentManagement">
            <xsd:complexType>
              <xsd:all>
                <xsd:element ref="ns1:Folder" minOccurs="0"/>
                <xsd:element ref="ns1:URL_x0020_Node" minOccurs="0"/>
                <xsd:element ref="ns1:URL_x0020_Web_x0020_Page" minOccurs="0"/>
                <xsd:element ref="ns1:Other_x0020_URL_x0020_Web_x0020_Page" minOccurs="0"/>
                <xsd:element ref="ns1:Notes0" minOccurs="0"/>
                <xsd:element ref="ns1:Document_x0020_Name" minOccurs="0"/>
                <xsd:element ref="ns1:Remove_x0020_from_x0020_Web" minOccurs="0"/>
                <xsd:element ref="ns1:CCEL_x0020_Home_x0020_Page_x0020_Section" minOccurs="0"/>
                <xsd:element ref="ns1:MediaServiceMetadata" minOccurs="0"/>
                <xsd:element ref="ns1:MediaServiceFastMetadata" minOccurs="0"/>
                <xsd:element ref="ns1:lcf76f155ced4ddcb4097134ff3c332f" minOccurs="0"/>
                <xsd:element ref="ns3:TaxCatchAll" minOccurs="0"/>
                <xsd:element ref="ns1:MediaServiceDateTaken" minOccurs="0"/>
                <xsd:element ref="ns1:MediaServiceObjectDetectorVersions" minOccurs="0"/>
                <xsd:element ref="ns1:MediaServiceOCR" minOccurs="0"/>
                <xsd:element ref="ns1:MediaServiceGenerationTime" minOccurs="0"/>
                <xsd:element ref="ns1:MediaServiceEventHashCode" minOccurs="0"/>
                <xsd:element ref="ns1:Web_x0020_Page" minOccurs="0"/>
                <xsd:element ref="ns1:MediaServiceSearchProperties" minOccurs="0"/>
                <xsd:element ref="ns2:_ip_UnifiedCompliancePolicyProperties" minOccurs="0"/>
                <xsd:element ref="ns2: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a6763-ac05-4e28-9ae1-4058cad3e94b" elementFormDefault="qualified">
    <xsd:import namespace="http://schemas.microsoft.com/office/2006/documentManagement/types"/>
    <xsd:import namespace="http://schemas.microsoft.com/office/infopath/2007/PartnerControls"/>
    <xsd:element name="Folder" ma:index="0" nillable="true" ma:displayName="Folder" ma:format="Dropdown" ma:internalName="Folder">
      <xsd:simpleType>
        <xsd:restriction base="dms:Choice">
          <xsd:enumeration value="Documents"/>
          <xsd:enumeration value="Image"/>
          <xsd:enumeration value="Pages"/>
        </xsd:restriction>
      </xsd:simpleType>
    </xsd:element>
    <xsd:element name="URL_x0020_Node" ma:index="3" nillable="true" ma:displayName="URL Node (Old)" ma:internalName="URL_x0020_Node">
      <xsd:simpleType>
        <xsd:restriction base="dms:Text">
          <xsd:maxLength value="255"/>
        </xsd:restriction>
      </xsd:simpleType>
    </xsd:element>
    <xsd:element name="URL_x0020_Web_x0020_Page" ma:index="4" nillable="true" ma:displayName="URL Web Page (Old)" ma:format="Dropdown" ma:internalName="URL_x0020_Web_x0020_Page">
      <xsd:simpleType>
        <xsd:restriction base="dms:Choice">
          <xsd:enumeration value="Unknown"/>
        </xsd:restriction>
      </xsd:simpleType>
    </xsd:element>
    <xsd:element name="Other_x0020_URL_x0020_Web_x0020_Page" ma:index="5" nillable="true" ma:displayName="Other URL Web Page (Old)" ma:format="Dropdown" ma:internalName="Other_x0020_URL_x0020_Web_x0020_Page">
      <xsd:simpleType>
        <xsd:restriction base="dms:Choice">
          <xsd:enumeration value="www.twc.texas.gov/programs/childcare"/>
          <xsd:enumeration value="www.twc.texas.gov/programs/child-care-numbers"/>
          <xsd:enumeration value="www.twc.texas.gov/students/child-care-early-learning-conferences"/>
          <xsd:enumeration value="www.twc.texas.gov/students/child-care-development-fund-state-plans"/>
          <xsd:enumeration value="www.twc.texas.gov/partners/texas-rising-star-workgroup"/>
          <xsd:enumeration value="www.twc.texas.gov/jobseekers/child-care-services"/>
          <xsd:enumeration value="www.twc.texas.gov/covid-19-frontline-essential-worker-child-care"/>
          <xsd:enumeration value="www.twc.texas.gov/programs/texas-child-care-market-rate-survey"/>
          <xsd:enumeration value="www.twc.texas.gov/students/child-care-program-evaluation-effectiveness"/>
          <xsd:enumeration value="www.twc.texas.gov/child-care-services-guide"/>
          <xsd:enumeration value="www.twc.texas.gov/programs/childcare-numbers"/>
          <xsd:enumeration value="www.twc.texas.gov/child-care-services-guide-j-100-forms-desk-aids"/>
          <xsd:enumeration value="www.twc.texas.gov/child-care-services-guide-e-700-exemptions-parent-responsibility-agreement"/>
          <xsd:enumeration value="www.twc.texas.gov/programs/twc-prekindergarten-partnerships"/>
          <xsd:enumeration value="www.twc.texas.gov/partners/child-care-services-children-disabilities"/>
          <xsd:enumeration value="www.twc.texas.gov/programs/child-care-relief-funding"/>
          <xsd:enumeration value="www.twc.texas.gov/pre-k-partnership-summit-materials"/>
          <xsd:enumeration value="www.twc.texas.gov/covid-19-frontline-essential-worker-child-care"/>
          <xsd:enumeration value="https://www.twc.texas.gov/news/child-care-stimulus-resources"/>
          <xsd:enumeration value="https://www.twc.texas.gov/programs/child-care-relief-fund-frequently-asked-questions"/>
          <xsd:enumeration value="https://twc.texas.gov/child-care-services-guide-e-700-exemptions-parent-responsibility-agreement"/>
          <xsd:enumeration value="https://twc.texas.gov/partners/texas-rising-star-workgroup"/>
          <xsd:enumeration value="https://twc.texas.gov/programs/partnership-matching-grant-programs"/>
          <xsd:enumeration value="https://www.twc.texas.gov/programs/texas-preschool-development-grant"/>
          <xsd:enumeration value="Unknown"/>
        </xsd:restriction>
      </xsd:simpleType>
    </xsd:element>
    <xsd:element name="Notes0" ma:index="6" nillable="true" ma:displayName="Notes" ma:internalName="Notes0">
      <xsd:simpleType>
        <xsd:restriction base="dms:Note">
          <xsd:maxLength value="255"/>
        </xsd:restriction>
      </xsd:simpleType>
    </xsd:element>
    <xsd:element name="Document_x0020_Name" ma:index="7" nillable="true" ma:displayName="Document Name" ma:internalName="Document_x0020_Name">
      <xsd:simpleType>
        <xsd:restriction base="dms:Text">
          <xsd:maxLength value="255"/>
        </xsd:restriction>
      </xsd:simpleType>
    </xsd:element>
    <xsd:element name="Remove_x0020_from_x0020_Web" ma:index="8" nillable="true" ma:displayName="Removed from Web" ma:default="0" ma:format="Dropdown" ma:internalName="Remove_x0020_from_x0020_Web">
      <xsd:simpleType>
        <xsd:restriction base="dms:Boolean"/>
      </xsd:simpleType>
    </xsd:element>
    <xsd:element name="CCEL_x0020_Home_x0020_Page_x0020_Section" ma:index="9" nillable="true" ma:displayName="CCEL Home Page Section (Old)" ma:internalName="CCEL_x0020_Home_x0020_Page_x0020_Section">
      <xsd:complexType>
        <xsd:complexContent>
          <xsd:extension base="dms:MultiChoice">
            <xsd:sequence>
              <xsd:element name="Value" maxOccurs="unbounded" minOccurs="0" nillable="true">
                <xsd:simpleType>
                  <xsd:restriction base="dms:Choice">
                    <xsd:enumeration value="Spotlight"/>
                    <xsd:enumeration value="Texas Rising Star"/>
                    <xsd:enumeration value="Customers"/>
                    <xsd:enumeration value="Parents"/>
                    <xsd:enumeration value="Child Care Programs"/>
                    <xsd:enumeration value="Child Care Quality Improvement"/>
                    <xsd:enumeration value="Stakeholder Input"/>
                    <xsd:enumeration value="Authority and Funding"/>
                    <xsd:enumeration value="Data and Reports"/>
                  </xsd:restrict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2870f7a-ebce-4420-99c3-1cd72abed08e"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Web_x0020_Page" ma:index="26" nillable="true" ma:displayName="Web Page" ma:format="Dropdown" ma:internalName="Web_x0020_Page">
      <xsd:complexType>
        <xsd:complexContent>
          <xsd:extension base="dms:MultiChoice">
            <xsd:sequence>
              <xsd:element name="Value" maxOccurs="unbounded" minOccurs="0" nillable="true">
                <xsd:simpleType>
                  <xsd:restriction base="dms:Choice">
                    <xsd:enumeration value="Child Care &amp; Early Learning Program"/>
                    <xsd:enumeration value="Child Care by the Numbers"/>
                    <xsd:enumeration value="Child Care Data, Reports &amp; Plans"/>
                    <xsd:enumeration value="Child Care Guide"/>
                    <xsd:enumeration value="Child Care Information for Parents"/>
                    <xsd:enumeration value="Child Care Information for Providers"/>
                    <xsd:enumeration value="Child Care Investments Partnership"/>
                    <xsd:enumeration value="Child Care Relief Funding 2022"/>
                    <xsd:enumeration value="Child Care Services &amp; Children with Disabilities"/>
                    <xsd:enumeration value="Child Care Stimulus Resources"/>
                    <xsd:enumeration value="Find Child Care"/>
                    <xsd:enumeration value="Free Child Care Business Resources"/>
                    <xsd:enumeration value="Shared Services Alliances"/>
                    <xsd:enumeration value="Texas Preschool Development Grant Birth Through 5 (PDG B-5)"/>
                    <xsd:enumeration value="Texas Rising Star Program"/>
                    <xsd:enumeration value="Texas Rising Star Workgroup - 2019"/>
                    <xsd:enumeration value="Texas Rising Star Workgroup - 2023"/>
                    <xsd:enumeration value="TWC Prekindergarten Partnerships"/>
                    <xsd:enumeration value="Work-Based Learning Staffing Initiatives"/>
                    <xsd:enumeration value="Unknown"/>
                  </xsd:restriction>
                </xsd:simpleType>
              </xsd:element>
            </xsd:sequence>
          </xsd:extension>
        </xsd:complexContent>
      </xsd:complex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8" nillable="true" ma:displayName="Unified Compliance Policy Properties" ma:hidden="true" ma:internalName="_ip_UnifiedCompliancePolicyProperties">
      <xsd:simpleType>
        <xsd:restriction base="dms:Note"/>
      </xsd:simpleType>
    </xsd:element>
    <xsd:element name="_ip_UnifiedCompliancePolicyUIAction" ma:index="2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5cc3ea-6d34-48b9-955f-20967247129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4c2949c-22a8-4d1d-9a8c-b3c5bd09e7e6}" ma:internalName="TaxCatchAll" ma:showField="CatchAllData" ma:web="d75cc3ea-6d34-48b9-955f-209672471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2" ma:displayName="File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Other_x0020_URL_x0020_Web_x0020_Page xmlns="474a6763-ac05-4e28-9ae1-4058cad3e94b" xsi:nil="true"/>
    <Web_x0020_Page xmlns="474a6763-ac05-4e28-9ae1-4058cad3e94b" xsi:nil="true"/>
    <Notes0 xmlns="474a6763-ac05-4e28-9ae1-4058cad3e94b" xsi:nil="true"/>
    <Remove_x0020_from_x0020_Web xmlns="474a6763-ac05-4e28-9ae1-4058cad3e94b">false</Remove_x0020_from_x0020_Web>
    <TaxCatchAll xmlns="d75cc3ea-6d34-48b9-955f-209672471296" xsi:nil="true"/>
    <URL_x0020_Web_x0020_Page xmlns="474a6763-ac05-4e28-9ae1-4058cad3e94b" xsi:nil="true"/>
    <Document_x0020_Name xmlns="474a6763-ac05-4e28-9ae1-4058cad3e94b" xsi:nil="true"/>
    <CCEL_x0020_Home_x0020_Page_x0020_Section xmlns="474a6763-ac05-4e28-9ae1-4058cad3e94b" xsi:nil="true"/>
    <_ip_UnifiedCompliancePolicyProperties xmlns="http://schemas.microsoft.com/sharepoint/v3" xsi:nil="true"/>
    <URL_x0020_Node xmlns="474a6763-ac05-4e28-9ae1-4058cad3e94b" xsi:nil="true"/>
    <lcf76f155ced4ddcb4097134ff3c332f xmlns="474a6763-ac05-4e28-9ae1-4058cad3e94b">
      <Terms xmlns="http://schemas.microsoft.com/office/infopath/2007/PartnerControls"/>
    </lcf76f155ced4ddcb4097134ff3c332f>
    <Folder xmlns="474a6763-ac05-4e28-9ae1-4058cad3e94b" xsi:nil="true"/>
  </documentManagement>
</p:properties>
</file>

<file path=customXml/itemProps1.xml><?xml version="1.0" encoding="utf-8"?>
<ds:datastoreItem xmlns:ds="http://schemas.openxmlformats.org/officeDocument/2006/customXml" ds:itemID="{F7FB4A80-8FB4-4BBE-8D96-2B3C93EC926B}"/>
</file>

<file path=customXml/itemProps2.xml><?xml version="1.0" encoding="utf-8"?>
<ds:datastoreItem xmlns:ds="http://schemas.openxmlformats.org/officeDocument/2006/customXml" ds:itemID="{EE73A484-DC15-4BF3-9148-9BD896CF1C00}"/>
</file>

<file path=customXml/itemProps3.xml><?xml version="1.0" encoding="utf-8"?>
<ds:datastoreItem xmlns:ds="http://schemas.openxmlformats.org/officeDocument/2006/customXml" ds:itemID="{252B7905-EF76-411B-B8B7-DF6DAA1223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2101TXCCDF</vt:lpstr>
      <vt:lpstr>2201TXCCDF</vt:lpstr>
      <vt:lpstr>New-21 x-ref</vt:lpstr>
      <vt:lpstr>New-22 x-ref </vt:lpstr>
      <vt:lpstr>2301TXCCDF</vt:lpstr>
      <vt:lpstr>New-23 x-ref </vt:lpstr>
      <vt:lpstr>2401TXCCDF</vt:lpstr>
      <vt:lpstr>New-24 x-ref </vt:lpstr>
      <vt:lpstr>2021 Certs Recd </vt:lpstr>
      <vt:lpstr>'2021 Certs Recd '!Print_Area</vt:lpstr>
      <vt:lpstr>'2101TXCCDF'!Print_Area</vt:lpstr>
      <vt:lpstr>'2201TXCCDF'!Print_Area</vt:lpstr>
      <vt:lpstr>'2301TXCCDF'!Print_Area</vt:lpstr>
      <vt:lpstr>'2401TXCCDF'!Print_Area</vt:lpstr>
      <vt:lpstr>'New-21 x-ref'!Print_Area</vt:lpstr>
      <vt:lpstr>'New-22 x-ref '!Print_Area</vt:lpstr>
      <vt:lpstr>'New-23 x-ref '!Print_Area</vt:lpstr>
      <vt:lpstr>'New-24 x-ref '!Print_Area</vt:lpstr>
    </vt:vector>
  </TitlesOfParts>
  <Company>TWC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dc:creator>
  <cp:lastModifiedBy>Sanchez,Gabriela</cp:lastModifiedBy>
  <cp:lastPrinted>2023-10-28T22:06:24Z</cp:lastPrinted>
  <dcterms:created xsi:type="dcterms:W3CDTF">2003-08-12T13:22:14Z</dcterms:created>
  <dcterms:modified xsi:type="dcterms:W3CDTF">2024-10-29T20:27:54Z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0x010100E9EA837411ED864B94278B26830B74D5</vt:lpwstr>
  </property>
</Properties>
</file>