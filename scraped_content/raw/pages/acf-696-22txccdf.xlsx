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twcgov-my.sharepoint.com/personal/philip_warner_twc_texas_gov/Documents/Attachments/"/>
    </mc:Choice>
  </mc:AlternateContent>
  <xr:revisionPtr revIDLastSave="94" documentId="13_ncr:1_{E790BF92-118D-4FC5-B381-1290CCF1826C}" xr6:coauthVersionLast="47" xr6:coauthVersionMax="47" xr10:uidLastSave="{75E5A802-1A63-4B46-8FC9-E46FA93C3BAA}"/>
  <bookViews>
    <workbookView xWindow="-108" yWindow="-108" windowWidth="23256" windowHeight="12456" xr2:uid="{CBED8240-49BC-49FF-B0DE-BCA3B94AC1A0}"/>
  </bookViews>
  <sheets>
    <sheet name="Qtr 12.31.23" sheetId="2" r:id="rId1"/>
    <sheet name="Qtr 09.30.23" sheetId="5" r:id="rId2"/>
    <sheet name="Qtr 06.30.23" sheetId="8" r:id="rId3"/>
    <sheet name="Qtr 03.31.23" sheetId="9" r:id="rId4"/>
    <sheet name="Qtr 12.31.22" sheetId="10" r:id="rId5"/>
    <sheet name="Qtr 09.30.22" sheetId="11" r:id="rId6"/>
    <sheet name="Qtr 06.30.22" sheetId="12" r:id="rId7"/>
    <sheet name="Qtr 03.31.22" sheetId="13" r:id="rId8"/>
    <sheet name="Qtr 12.31.21" sheetId="14" r:id="rId9"/>
  </sheets>
  <externalReferences>
    <externalReference r:id="rId10"/>
    <externalReference r:id="rId11"/>
    <externalReference r:id="rId12"/>
    <externalReference r:id="rId13"/>
    <externalReference r:id="rId14"/>
  </externalReferences>
  <definedNames>
    <definedName name="_xlnm.Print_Area" localSheetId="7">'Qtr 03.31.22'!$A$1:$K$43</definedName>
    <definedName name="_xlnm.Print_Area" localSheetId="3">'Qtr 03.31.23'!$A$1:$K$43</definedName>
    <definedName name="_xlnm.Print_Area" localSheetId="6">'Qtr 06.30.22'!$A$1:$K$43</definedName>
    <definedName name="_xlnm.Print_Area" localSheetId="2">'Qtr 06.30.23'!$A$1:$K$103</definedName>
    <definedName name="_xlnm.Print_Area" localSheetId="5">'Qtr 09.30.22'!$A$1:$K$43</definedName>
    <definedName name="_xlnm.Print_Area" localSheetId="8">'Qtr 12.31.21'!$A$1:$K$43</definedName>
    <definedName name="_xlnm.Print_Area" localSheetId="4">'Qtr 12.31.22'!$A$1:$K$43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14" l="1"/>
  <c r="K24" i="14"/>
  <c r="K23" i="14"/>
  <c r="K22" i="14"/>
  <c r="I14" i="14"/>
  <c r="I13" i="14"/>
  <c r="I12" i="14"/>
  <c r="J11" i="14"/>
  <c r="H11" i="14"/>
  <c r="H6" i="14" s="1"/>
  <c r="G11" i="14"/>
  <c r="G6" i="14" s="1"/>
  <c r="F11" i="14"/>
  <c r="F6" i="14" s="1"/>
  <c r="J10" i="14"/>
  <c r="I10" i="14"/>
  <c r="J9" i="14"/>
  <c r="I9" i="14"/>
  <c r="J8" i="14"/>
  <c r="I8" i="14"/>
  <c r="J7" i="14"/>
  <c r="I7" i="14"/>
  <c r="K6" i="14"/>
  <c r="I11" i="14" l="1"/>
  <c r="J6" i="14"/>
  <c r="I6" i="14"/>
  <c r="K25" i="13" l="1"/>
  <c r="K24" i="13"/>
  <c r="I14" i="13"/>
  <c r="I13" i="13"/>
  <c r="I12" i="13"/>
  <c r="J11" i="13"/>
  <c r="H11" i="13"/>
  <c r="G11" i="13"/>
  <c r="G6" i="13" s="1"/>
  <c r="F11" i="13"/>
  <c r="F6" i="13" s="1"/>
  <c r="J10" i="13"/>
  <c r="I10" i="13"/>
  <c r="J9" i="13"/>
  <c r="I9" i="13"/>
  <c r="J8" i="13"/>
  <c r="I8" i="13"/>
  <c r="J7" i="13"/>
  <c r="I7" i="13"/>
  <c r="K6" i="13"/>
  <c r="H6" i="13"/>
  <c r="J6" i="13" l="1"/>
  <c r="I11" i="13"/>
  <c r="I6" i="13"/>
  <c r="K25" i="12" l="1"/>
  <c r="K24" i="12"/>
  <c r="I14" i="12"/>
  <c r="I13" i="12"/>
  <c r="I12" i="12"/>
  <c r="J11" i="12"/>
  <c r="H11" i="12"/>
  <c r="H6" i="12" s="1"/>
  <c r="G11" i="12"/>
  <c r="G6" i="12" s="1"/>
  <c r="F11" i="12"/>
  <c r="F6" i="12" s="1"/>
  <c r="J10" i="12"/>
  <c r="I10" i="12"/>
  <c r="J9" i="12"/>
  <c r="I9" i="12"/>
  <c r="J8" i="12"/>
  <c r="I8" i="12"/>
  <c r="J7" i="12"/>
  <c r="J6" i="12" s="1"/>
  <c r="I7" i="12"/>
  <c r="K6" i="12"/>
  <c r="I11" i="12" l="1"/>
  <c r="I6" i="12" s="1"/>
  <c r="K25" i="11"/>
  <c r="K24" i="11"/>
  <c r="I14" i="11"/>
  <c r="I13" i="11"/>
  <c r="I12" i="11"/>
  <c r="J11" i="11"/>
  <c r="H11" i="11"/>
  <c r="G11" i="11"/>
  <c r="F11" i="11"/>
  <c r="F6" i="11" s="1"/>
  <c r="J10" i="11"/>
  <c r="I10" i="11"/>
  <c r="J9" i="11"/>
  <c r="I9" i="11"/>
  <c r="J8" i="11"/>
  <c r="I8" i="11"/>
  <c r="J7" i="11"/>
  <c r="I7" i="11"/>
  <c r="K6" i="11"/>
  <c r="H6" i="11"/>
  <c r="G6" i="11"/>
  <c r="J6" i="11" l="1"/>
  <c r="I11" i="11"/>
  <c r="I6" i="11"/>
  <c r="K25" i="10"/>
  <c r="K24" i="10"/>
  <c r="I14" i="10"/>
  <c r="I13" i="10"/>
  <c r="I12" i="10"/>
  <c r="J11" i="10"/>
  <c r="H11" i="10"/>
  <c r="H6" i="10" s="1"/>
  <c r="G11" i="10"/>
  <c r="G6" i="10" s="1"/>
  <c r="F11" i="10"/>
  <c r="F6" i="10" s="1"/>
  <c r="J10" i="10"/>
  <c r="I10" i="10"/>
  <c r="J9" i="10"/>
  <c r="I9" i="10"/>
  <c r="J8" i="10"/>
  <c r="I8" i="10"/>
  <c r="J7" i="10"/>
  <c r="I7" i="10"/>
  <c r="K6" i="10"/>
  <c r="G3" i="10" a="1"/>
  <c r="G3" i="10" s="1"/>
  <c r="G2" i="10" a="1"/>
  <c r="G2" i="10" s="1"/>
  <c r="T19" i="11" l="1"/>
  <c r="T20" i="11" s="1"/>
  <c r="I11" i="10"/>
  <c r="I6" i="10"/>
  <c r="J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Goodwin,Teri</author>
  </authors>
  <commentList>
    <comment ref="R16" authorId="0" shapeId="0" xr:uid="{3BBBAC22-440A-4915-8E94-ED71B82277B0}">
      <text>
        <r>
          <rPr>
            <b/>
            <sz val="9"/>
            <color indexed="81"/>
            <rFont val="Tahoma"/>
            <family val="2"/>
          </rPr>
          <t>Goodwin,Teri:</t>
        </r>
        <r>
          <rPr>
            <sz val="9"/>
            <color indexed="81"/>
            <rFont val="Tahoma"/>
            <family val="2"/>
          </rPr>
          <t xml:space="preserve">
Includes function code 874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<sst xmlns="http://schemas.openxmlformats.org/spreadsheetml/2006/main" count="630" uniqueCount="186">
  <si>
    <t>Current Quarter Ended: 12/31/23</t>
  </si>
  <si>
    <t>Next Quarter Beginning: 4/01/24</t>
  </si>
  <si>
    <t>(COLUMN A)                          MANDATORY FUNDS
Grant Document #s CCDF (states)
CCDT (territories)</t>
  </si>
  <si>
    <t>(COLUMN D) MOE</t>
  </si>
  <si>
    <t>1. Total Expenditures</t>
  </si>
  <si>
    <t>1(a). Child Care Administration</t>
  </si>
  <si>
    <t>1(c). Infant/Toddler Quality Activities</t>
  </si>
  <si>
    <t>1(d). Direct Services</t>
  </si>
  <si>
    <t>1(e). Non - Direct Services</t>
  </si>
  <si>
    <t>1(e)(1). Systems</t>
  </si>
  <si>
    <t>1(e)(2). Certificate Program Costs/Eligibility Determination</t>
  </si>
  <si>
    <t>1(e)(3). All Other Non-Direct Services</t>
  </si>
  <si>
    <t>1(f). Construction and Major Renovation</t>
  </si>
  <si>
    <t>2. State Share of Expenditures</t>
  </si>
  <si>
    <t>2(a). Regular</t>
  </si>
  <si>
    <t>2(b). Private Donated Funds</t>
  </si>
  <si>
    <t>2(c). Pre - K</t>
  </si>
  <si>
    <t>3. ARP Act Stabilization Subgrants to Providers</t>
  </si>
  <si>
    <t>4. ARP Act Stabilization Set Aside (Admin &amp; TA)</t>
  </si>
  <si>
    <t>4(a) Subgrant administration</t>
  </si>
  <si>
    <t>4(b) Systems</t>
  </si>
  <si>
    <t>4(c) TA - application</t>
  </si>
  <si>
    <t>4(d) TA - implementation</t>
  </si>
  <si>
    <t>4(e) Publicity</t>
  </si>
  <si>
    <t>4(f) Activities to build supply</t>
  </si>
  <si>
    <t>5. Federal Share of Expenditures</t>
  </si>
  <si>
    <t>7. Awarded</t>
  </si>
  <si>
    <t>9. Unobligated Balance</t>
  </si>
  <si>
    <t>9(a). Was the State or Territory unable to obligate at least 50% of the CCDF stabilization grants by December 11, 2021?</t>
  </si>
  <si>
    <t>YES [   ]   NO [  ]</t>
  </si>
  <si>
    <t>Please refer to redistribution and reallotment of funds information information in the instructions.</t>
  </si>
  <si>
    <t>YES [   ]   NO [   ]</t>
  </si>
  <si>
    <t>THE PAPERWORK REDUCTION ACT OF 1995 (Pub. L. 104-13): Public reporting burden for this collection of information is estimated to average 6 hours per response, including the time for reviewing  instructions, gathering and maintaining the data needed, and reviewing the collection of information. An agency may not conduct or sponsor, and a person is not required to respond to, a collection  of information unless it displays a currently valid OMB control number.</t>
  </si>
  <si>
    <t>CHILD CARE AND DEVELOPMENT FUND ACF-696 FINANCIAL REPORT</t>
  </si>
  <si>
    <t>State or Territory: TEXAS</t>
  </si>
  <si>
    <t>Final Report [   ] Yes [ X ] No</t>
  </si>
  <si>
    <t>Cumulative Fiscal Year Totals</t>
  </si>
  <si>
    <t>(COLUMN C) DISCRETIONARY FUNDS
Grant Document # CCDD</t>
  </si>
  <si>
    <t>(COLUMN E) DISCRETIONARY DISASTER RELIEF FUNDS
GrantDocument # CCDX</t>
  </si>
  <si>
    <t>(COLUMN F) DISCRETIONARY DISASTER RELIEF FUNDS CONST. &amp; MAJOR RENOVATION
Grant Document # CCDY</t>
  </si>
  <si>
    <t>(COLUMN G) DISCRETIONARY CARES ACT FUNDS
Grant Document # CCC3</t>
  </si>
  <si>
    <t>(COLUMN H) DISCRETIONARY CRRSA ACT FUNDS
Grant Document # CCC5</t>
  </si>
  <si>
    <t>(COLUMN I) SUPPLEMENTAL DISCRETIONARY ARP ACT FUNDS
Grant Document # CDC6</t>
  </si>
  <si>
    <t>(COLUMN J) STABILZATION ARP ACT FUNDS
Grant Document # CSC6</t>
  </si>
  <si>
    <t>1(b). Quality Activities Excluding Infant/Toddler Quality Activities
Reported On Line 1(c)</t>
  </si>
  <si>
    <t>6. Federal Share of Unliquidated Obligations</t>
  </si>
  <si>
    <t>8. Transfer From TANF</t>
  </si>
  <si>
    <t>10. Federal Funds Requested : Estimates For Next Quarter (Refer to Next Quarter Beginning Date Above.)</t>
  </si>
  <si>
    <t>11.  Redistributed Funds (September 30 Submittal):  If available, does the State or Territory request redistributed funds?  [ Mandatory (territories, per ARP Act); Matching (states)]</t>
  </si>
  <si>
    <t>11(a). If yes, does the State or Territory request a limit to the redistributed funds received?</t>
  </si>
  <si>
    <t>12. Reallotted Funds:  If available, does the State request reallotted
discretionary or stabilization funds?</t>
  </si>
  <si>
    <t>Signature Information</t>
  </si>
  <si>
    <t>This is to certify that the information reported on all parts of this form is accurate and true to the best of my knowledge and belief. This also certifies that the States share
of Estimates is or will be Available to meet the NON-FEDERAL Share of Expenditures as Required by Law.</t>
  </si>
  <si>
    <t>Signature:  State Official</t>
  </si>
  <si>
    <t>Typed Name, Title, Agency Name, Phone #:</t>
  </si>
  <si>
    <t>Date Certified:</t>
  </si>
  <si>
    <t>Submit Date:</t>
  </si>
  <si>
    <t>FORM ACF-696
APPROVED OMB CONTROL NO. 0970-0510 EXPIRATION Date:  06/30/2024</t>
  </si>
  <si>
    <t>Grant Year: 2022</t>
  </si>
  <si>
    <t>Grant Number:  G-2201TXCCDF</t>
  </si>
  <si>
    <t>(COLUMN B)                          MATCHING FUNDS
AT FMAP RATE OF   67.00 %
(Federal and State Shares)
Grant Document # CCDM</t>
  </si>
  <si>
    <t>YES [  ]   NO [   ]</t>
  </si>
  <si>
    <t>Current Quarter Ended: 9/30/23</t>
  </si>
  <si>
    <t>Next Quarter Beginning: 1/01/24</t>
  </si>
  <si>
    <t>YES [ ]   NO [X]</t>
  </si>
  <si>
    <t>MOE</t>
  </si>
  <si>
    <r>
      <rPr>
        <b/>
        <sz val="8.5"/>
        <rFont val="Calibri"/>
        <family val="2"/>
      </rPr>
      <t>CHILD CARE AND DEVELOPMENT FUND ACF-696 FINANCIAL REPORT</t>
    </r>
  </si>
  <si>
    <r>
      <rPr>
        <b/>
        <u/>
        <sz val="8"/>
        <rFont val="Calibri"/>
        <family val="2"/>
        <scheme val="minor"/>
      </rPr>
      <t>State or Territory</t>
    </r>
    <r>
      <rPr>
        <b/>
        <sz val="8"/>
        <rFont val="Calibri"/>
        <family val="2"/>
        <scheme val="minor"/>
      </rPr>
      <t>: TEXAS</t>
    </r>
  </si>
  <si>
    <r>
      <rPr>
        <b/>
        <u/>
        <sz val="11"/>
        <rFont val="Calibri"/>
        <family val="2"/>
        <scheme val="minor"/>
      </rPr>
      <t>Grant Yea</t>
    </r>
    <r>
      <rPr>
        <b/>
        <sz val="11"/>
        <rFont val="Calibri"/>
        <family val="2"/>
        <scheme val="minor"/>
      </rPr>
      <t>r</t>
    </r>
    <r>
      <rPr>
        <sz val="11"/>
        <color rgb="FF000000"/>
        <rFont val="Calibri"/>
        <family val="2"/>
        <scheme val="minor"/>
      </rPr>
      <t>: 2022</t>
    </r>
  </si>
  <si>
    <r>
      <rPr>
        <b/>
        <u/>
        <sz val="11"/>
        <rFont val="Calibri"/>
        <family val="2"/>
        <scheme val="minor"/>
      </rPr>
      <t>Final Repor</t>
    </r>
    <r>
      <rPr>
        <b/>
        <sz val="11"/>
        <rFont val="Calibri"/>
        <family val="2"/>
        <scheme val="minor"/>
      </rPr>
      <t>t [   ] Yes [ X ] No</t>
    </r>
  </si>
  <si>
    <r>
      <rPr>
        <b/>
        <u/>
        <sz val="11"/>
        <rFont val="Calibri"/>
        <family val="2"/>
        <scheme val="minor"/>
      </rPr>
      <t>Grant Number</t>
    </r>
    <r>
      <rPr>
        <b/>
        <sz val="11"/>
        <rFont val="Calibri"/>
        <family val="2"/>
        <scheme val="minor"/>
      </rPr>
      <t>:</t>
    </r>
    <r>
      <rPr>
        <sz val="11"/>
        <color rgb="FF000000"/>
        <rFont val="Calibri"/>
        <family val="2"/>
        <scheme val="minor"/>
      </rPr>
      <t xml:space="preserve">  G-2201TXCCDF</t>
    </r>
  </si>
  <si>
    <r>
      <rPr>
        <b/>
        <sz val="7.5"/>
        <rFont val="Calibri"/>
        <family val="2"/>
      </rPr>
      <t>Cumulative Fiscal Year Totals</t>
    </r>
  </si>
  <si>
    <r>
      <t xml:space="preserve">(COLUMN B)                          MATCHING FUNDS
AT FMAP RATE OF </t>
    </r>
    <r>
      <rPr>
        <b/>
        <u/>
        <sz val="5"/>
        <rFont val="Calibri"/>
        <family val="2"/>
      </rPr>
      <t>  67.00 </t>
    </r>
    <r>
      <rPr>
        <b/>
        <sz val="5"/>
        <rFont val="Calibri"/>
        <family val="2"/>
      </rPr>
      <t>%
(Federal and State Shares)
Grant Document # CCDM</t>
    </r>
  </si>
  <si>
    <r>
      <rPr>
        <b/>
        <sz val="5"/>
        <rFont val="Calibri"/>
        <family val="2"/>
      </rPr>
      <t xml:space="preserve">(COLUMN C) DISCRETIONARY FUNDS
</t>
    </r>
    <r>
      <rPr>
        <b/>
        <sz val="5"/>
        <rFont val="Calibri"/>
        <family val="2"/>
      </rPr>
      <t>Grant Document # CCDD</t>
    </r>
  </si>
  <si>
    <r>
      <rPr>
        <b/>
        <sz val="5"/>
        <rFont val="Calibri"/>
        <family val="2"/>
      </rPr>
      <t>(COLUMN D) MOE</t>
    </r>
  </si>
  <si>
    <r>
      <rPr>
        <b/>
        <sz val="5"/>
        <rFont val="Calibri"/>
        <family val="2"/>
      </rPr>
      <t xml:space="preserve">(COLUMN E) DISCRETIONARY DISASTER RELIEF FUNDS
</t>
    </r>
    <r>
      <rPr>
        <b/>
        <sz val="5"/>
        <rFont val="Calibri"/>
        <family val="2"/>
      </rPr>
      <t>GrantDocument # CCDX</t>
    </r>
  </si>
  <si>
    <r>
      <rPr>
        <b/>
        <sz val="5"/>
        <rFont val="Calibri"/>
        <family val="2"/>
      </rPr>
      <t xml:space="preserve">(COLUMN F) DISCRETIONARY DISASTER RELIEF FUNDS CONST. &amp; MAJOR RENOVATION
</t>
    </r>
    <r>
      <rPr>
        <b/>
        <sz val="5"/>
        <rFont val="Calibri"/>
        <family val="2"/>
      </rPr>
      <t>Grant Document # CCDY</t>
    </r>
  </si>
  <si>
    <r>
      <rPr>
        <b/>
        <sz val="5"/>
        <rFont val="Calibri"/>
        <family val="2"/>
      </rPr>
      <t xml:space="preserve">(COLUMN G) DISCRETIONARY CARES ACT FUNDS
</t>
    </r>
    <r>
      <rPr>
        <b/>
        <sz val="5"/>
        <rFont val="Calibri"/>
        <family val="2"/>
      </rPr>
      <t>Grant Document # CCC3</t>
    </r>
  </si>
  <si>
    <r>
      <rPr>
        <b/>
        <sz val="5"/>
        <rFont val="Calibri"/>
        <family val="2"/>
      </rPr>
      <t xml:space="preserve">(COLUMN H) DISCRETIONARY CRRSA ACT FUNDS
</t>
    </r>
    <r>
      <rPr>
        <b/>
        <sz val="5"/>
        <rFont val="Calibri"/>
        <family val="2"/>
      </rPr>
      <t>Grant Document # CCC5</t>
    </r>
  </si>
  <si>
    <r>
      <rPr>
        <b/>
        <sz val="5"/>
        <rFont val="Calibri"/>
        <family val="2"/>
      </rPr>
      <t xml:space="preserve">(COLUMN I) SUPPLEMENTAL DISCRETIONARY ARP ACT FUNDS
</t>
    </r>
    <r>
      <rPr>
        <b/>
        <sz val="5"/>
        <rFont val="Calibri"/>
        <family val="2"/>
      </rPr>
      <t>Grant Document # CDC6</t>
    </r>
  </si>
  <si>
    <r>
      <rPr>
        <b/>
        <sz val="5"/>
        <rFont val="Calibri"/>
        <family val="2"/>
      </rPr>
      <t xml:space="preserve">(COLUMN J) STABILZATION ARP ACT FUNDS
</t>
    </r>
    <r>
      <rPr>
        <b/>
        <sz val="5"/>
        <rFont val="Calibri"/>
        <family val="2"/>
      </rPr>
      <t>Grant Document # CSC6</t>
    </r>
  </si>
  <si>
    <t>Mandatory</t>
  </si>
  <si>
    <t>Discretionary</t>
  </si>
  <si>
    <t>696 Category</t>
  </si>
  <si>
    <t>1a Administration</t>
  </si>
  <si>
    <r>
      <rPr>
        <sz val="8"/>
        <rFont val="Calibri"/>
        <family val="2"/>
        <scheme val="minor"/>
      </rPr>
      <t>1(b). Quality Activities Excluding Infant/Toddler Quality Activities
Reported On Line 1(c)</t>
    </r>
  </si>
  <si>
    <t>1b QI-Non Earmark</t>
  </si>
  <si>
    <t>1c QI-Infant &amp; Toddler</t>
  </si>
  <si>
    <t>1d QI-Q Expansion</t>
  </si>
  <si>
    <t>1e QI-SchA-R&amp;R</t>
  </si>
  <si>
    <t>1f QA-Infant &amp; Toddler</t>
  </si>
  <si>
    <t>1g Direct</t>
  </si>
  <si>
    <t>1h1 Systems</t>
  </si>
  <si>
    <t>1h2 Cert. Program</t>
  </si>
  <si>
    <t>1h3 Other Non-Direct</t>
  </si>
  <si>
    <t>FMAP Rate</t>
  </si>
  <si>
    <t>TOTAL</t>
  </si>
  <si>
    <t>Enhanced FMAP</t>
  </si>
  <si>
    <t>MOF</t>
  </si>
  <si>
    <r>
      <rPr>
        <b/>
        <sz val="8"/>
        <rFont val="Calibri"/>
        <family val="2"/>
        <scheme val="minor"/>
      </rPr>
      <t xml:space="preserve">6. </t>
    </r>
    <r>
      <rPr>
        <sz val="8"/>
        <rFont val="Calibri"/>
        <family val="2"/>
        <scheme val="minor"/>
      </rPr>
      <t>Federal Share of Unliquidated Obligations</t>
    </r>
  </si>
  <si>
    <t>Fed Share</t>
  </si>
  <si>
    <t>Private Donated</t>
  </si>
  <si>
    <r>
      <rPr>
        <b/>
        <sz val="8"/>
        <rFont val="Calibri"/>
        <family val="2"/>
        <scheme val="minor"/>
      </rPr>
      <t xml:space="preserve">8. </t>
    </r>
    <r>
      <rPr>
        <sz val="8"/>
        <rFont val="Calibri"/>
        <family val="2"/>
        <scheme val="minor"/>
      </rPr>
      <t>Transfer From TANF</t>
    </r>
  </si>
  <si>
    <t>PRE-K (TEA)</t>
  </si>
  <si>
    <t>Regular State</t>
  </si>
  <si>
    <r>
      <rPr>
        <b/>
        <sz val="8"/>
        <rFont val="Calibri"/>
        <family val="2"/>
        <scheme val="minor"/>
      </rPr>
      <t xml:space="preserve">10. </t>
    </r>
    <r>
      <rPr>
        <sz val="8"/>
        <rFont val="Calibri"/>
        <family val="2"/>
        <scheme val="minor"/>
      </rPr>
      <t>Federal Funds Requested : Estimates For Next Quarter (Refer to Next Quarter Beginning Date Above.)</t>
    </r>
  </si>
  <si>
    <t xml:space="preserve"> </t>
  </si>
  <si>
    <r>
      <rPr>
        <sz val="5"/>
        <rFont val="Calibri"/>
        <family val="2"/>
      </rPr>
      <t>Please refer to redistribution and reallotment of funds information information in the instructions.</t>
    </r>
  </si>
  <si>
    <r>
      <rPr>
        <b/>
        <sz val="8"/>
        <rFont val="Calibri"/>
        <family val="2"/>
        <scheme val="minor"/>
      </rPr>
      <t xml:space="preserve">11.  </t>
    </r>
    <r>
      <rPr>
        <b/>
        <u/>
        <sz val="8"/>
        <rFont val="Calibri"/>
        <family val="2"/>
        <scheme val="minor"/>
      </rPr>
      <t>Redistributed Funds (September 30 Submittal</t>
    </r>
    <r>
      <rPr>
        <b/>
        <sz val="8"/>
        <rFont val="Calibri"/>
        <family val="2"/>
        <scheme val="minor"/>
      </rPr>
      <t>)</t>
    </r>
    <r>
      <rPr>
        <sz val="8"/>
        <rFont val="Calibri"/>
        <family val="2"/>
        <scheme val="minor"/>
      </rPr>
      <t xml:space="preserve">:  If available, does the State or Territory request </t>
    </r>
    <r>
      <rPr>
        <b/>
        <sz val="8"/>
        <rFont val="Calibri"/>
        <family val="2"/>
        <scheme val="minor"/>
      </rPr>
      <t xml:space="preserve">redistributed </t>
    </r>
    <r>
      <rPr>
        <sz val="8"/>
        <rFont val="Calibri"/>
        <family val="2"/>
        <scheme val="minor"/>
      </rPr>
      <t xml:space="preserve">funds?  </t>
    </r>
    <r>
      <rPr>
        <b/>
        <i/>
        <sz val="8"/>
        <rFont val="Calibri"/>
        <family val="2"/>
        <scheme val="minor"/>
      </rPr>
      <t xml:space="preserve">[ </t>
    </r>
    <r>
      <rPr>
        <i/>
        <sz val="8"/>
        <rFont val="Calibri"/>
        <family val="2"/>
        <scheme val="minor"/>
      </rPr>
      <t>Mandatory (territories, per ARP Act); Matching (states)]</t>
    </r>
  </si>
  <si>
    <t>YES [ ]   NO [  x ]</t>
  </si>
  <si>
    <r>
      <rPr>
        <sz val="8"/>
        <rFont val="Calibri"/>
        <family val="2"/>
        <scheme val="minor"/>
      </rPr>
      <t xml:space="preserve">11(a). If yes, does the State or Territory request a limit to the </t>
    </r>
    <r>
      <rPr>
        <b/>
        <sz val="8"/>
        <rFont val="Calibri"/>
        <family val="2"/>
        <scheme val="minor"/>
      </rPr>
      <t xml:space="preserve">redistributed </t>
    </r>
    <r>
      <rPr>
        <sz val="8"/>
        <rFont val="Calibri"/>
        <family val="2"/>
        <scheme val="minor"/>
      </rPr>
      <t>funds received?</t>
    </r>
  </si>
  <si>
    <r>
      <rPr>
        <b/>
        <sz val="8"/>
        <rFont val="Calibri"/>
        <family val="2"/>
        <scheme val="minor"/>
      </rPr>
      <t xml:space="preserve">12. </t>
    </r>
    <r>
      <rPr>
        <b/>
        <u/>
        <sz val="8"/>
        <rFont val="Calibri"/>
        <family val="2"/>
        <scheme val="minor"/>
      </rPr>
      <t>Reallotted Funds</t>
    </r>
    <r>
      <rPr>
        <b/>
        <sz val="8"/>
        <rFont val="Calibri"/>
        <family val="2"/>
        <scheme val="minor"/>
      </rPr>
      <t xml:space="preserve">:  </t>
    </r>
    <r>
      <rPr>
        <sz val="8"/>
        <rFont val="Calibri"/>
        <family val="2"/>
        <scheme val="minor"/>
      </rPr>
      <t>If available, does the State request reallotted
discretionary or stabilization funds?</t>
    </r>
  </si>
  <si>
    <r>
      <rPr>
        <b/>
        <sz val="7.5"/>
        <rFont val="Calibri"/>
        <family val="2"/>
      </rPr>
      <t>Signature Information</t>
    </r>
  </si>
  <si>
    <r>
      <rPr>
        <b/>
        <sz val="5"/>
        <rFont val="Calibri"/>
        <family val="2"/>
      </rPr>
      <t xml:space="preserve">This is to certify that the information reported on all parts of this form is accurate and true to the best of my knowledge and belief. This also certifies that the States share
</t>
    </r>
    <r>
      <rPr>
        <b/>
        <sz val="5"/>
        <rFont val="Calibri"/>
        <family val="2"/>
      </rPr>
      <t>of Estimates is or will be Available to meet the NON-FEDERAL Share of Expenditures as Required by Law.</t>
    </r>
  </si>
  <si>
    <r>
      <rPr>
        <b/>
        <u/>
        <sz val="8"/>
        <rFont val="Calibri"/>
        <family val="2"/>
        <scheme val="minor"/>
      </rPr>
      <t>Signature:  State Officia</t>
    </r>
    <r>
      <rPr>
        <b/>
        <sz val="8"/>
        <rFont val="Calibri"/>
        <family val="2"/>
        <scheme val="minor"/>
      </rPr>
      <t>l</t>
    </r>
  </si>
  <si>
    <r>
      <rPr>
        <u/>
        <sz val="5"/>
        <rFont val="Calibri"/>
        <family val="2"/>
      </rPr>
      <t>Typed Name, Title, Agency Name, Phone #</t>
    </r>
    <r>
      <rPr>
        <sz val="5"/>
        <rFont val="Calibri"/>
        <family val="2"/>
      </rPr>
      <t>:</t>
    </r>
  </si>
  <si>
    <r>
      <rPr>
        <b/>
        <u/>
        <sz val="8"/>
        <rFont val="Calibri"/>
        <family val="2"/>
        <scheme val="minor"/>
      </rPr>
      <t>Date Certified</t>
    </r>
    <r>
      <rPr>
        <b/>
        <sz val="8"/>
        <rFont val="Calibri"/>
        <family val="2"/>
        <scheme val="minor"/>
      </rPr>
      <t>:</t>
    </r>
  </si>
  <si>
    <r>
      <rPr>
        <b/>
        <u/>
        <sz val="5"/>
        <rFont val="Calibri"/>
        <family val="2"/>
      </rPr>
      <t>Submit Date</t>
    </r>
    <r>
      <rPr>
        <b/>
        <sz val="5"/>
        <rFont val="Calibri"/>
        <family val="2"/>
      </rPr>
      <t>:</t>
    </r>
  </si>
  <si>
    <r>
      <rPr>
        <b/>
        <sz val="8"/>
        <rFont val="Calibri"/>
        <family val="2"/>
        <scheme val="minor"/>
      </rPr>
      <t>FORM ACF-696
APPROVED OMB CONTROL NO. 0970-0510 EXPIRATION Date:  06/30/2024</t>
    </r>
  </si>
  <si>
    <r>
      <rPr>
        <b/>
        <sz val="5"/>
        <rFont val="Calibri"/>
        <family val="2"/>
      </rPr>
      <t>THE PAPERWORK REDUCTION ACT OF 1995 (Pub. L. 104-13): Public reporting burden for this collection of information is estimated to average 6 hours per response, including the time for reviewing  instructions, gathering and maintaining the data needed, and reviewing the collection of information. An agency may not conduct or sponsor, and a person is not required to respond to, a collection  of information unless it displays a currently valid OMB control number.</t>
    </r>
  </si>
  <si>
    <t>Current Quarter Ended: 6/30/23</t>
  </si>
  <si>
    <t>Next Quarter Beginning: 10/01/23</t>
  </si>
  <si>
    <r>
      <t xml:space="preserve">(COLUMN B)                          MATCHING FUNDS
AT FMAP RATE OF </t>
    </r>
    <r>
      <rPr>
        <b/>
        <u/>
        <sz val="11"/>
        <rFont val="Calibri"/>
        <family val="2"/>
      </rPr>
      <t>  67.00 </t>
    </r>
    <r>
      <rPr>
        <b/>
        <sz val="11"/>
        <rFont val="Calibri"/>
        <family val="2"/>
      </rPr>
      <t>%
(Federal and State Shares)
Grant Document # CCDM</t>
    </r>
  </si>
  <si>
    <r>
      <rPr>
        <b/>
        <sz val="11"/>
        <rFont val="Calibri"/>
        <family val="2"/>
      </rPr>
      <t>(COLUMN C) DISCRETIONARY FUNDS
Grant Document # CCDD</t>
    </r>
  </si>
  <si>
    <r>
      <rPr>
        <b/>
        <sz val="11"/>
        <rFont val="Calibri"/>
        <family val="2"/>
      </rPr>
      <t>(COLUMN E) DISCRETIONARY DISASTER RELIEF FUNDS
GrantDocument # CCDX</t>
    </r>
  </si>
  <si>
    <r>
      <rPr>
        <b/>
        <sz val="11"/>
        <rFont val="Calibri"/>
        <family val="2"/>
      </rPr>
      <t>(COLUMN F) DISCRETIONARY DISASTER RELIEF FUNDS CONST. &amp; MAJOR RENOVATION
Grant Document # CCDY</t>
    </r>
  </si>
  <si>
    <r>
      <rPr>
        <b/>
        <sz val="11"/>
        <rFont val="Calibri"/>
        <family val="2"/>
      </rPr>
      <t>(COLUMN G) DISCRETIONARY CARES ACT FUNDS
Grant Document # CCC3</t>
    </r>
  </si>
  <si>
    <r>
      <rPr>
        <b/>
        <sz val="11"/>
        <rFont val="Calibri"/>
        <family val="2"/>
      </rPr>
      <t>(COLUMN H) DISCRETIONARY CRRSA ACT FUNDS
Grant Document # CCC5</t>
    </r>
  </si>
  <si>
    <r>
      <rPr>
        <b/>
        <sz val="11"/>
        <rFont val="Calibri"/>
        <family val="2"/>
      </rPr>
      <t>(COLUMN I) SUPPLEMENTAL DISCRETIONARY ARP ACT FUNDS
Grant Document # CDC6</t>
    </r>
  </si>
  <si>
    <r>
      <rPr>
        <b/>
        <sz val="11"/>
        <rFont val="Calibri"/>
        <family val="2"/>
      </rPr>
      <t>(COLUMN J) STABILZATION ARP ACT FUNDS
Grant Document # CSC6</t>
    </r>
  </si>
  <si>
    <r>
      <rPr>
        <b/>
        <sz val="11"/>
        <rFont val="Calibri"/>
        <family val="2"/>
      </rPr>
      <t>This is to certify that the information reported on all parts of this form is accurate and true to the best of my knowledge and belief. This also certifies that the States share
of Estimates is or will be Available to meet the NON-FEDERAL Share of Expenditures as Required by Law.</t>
    </r>
  </si>
  <si>
    <r>
      <rPr>
        <u/>
        <sz val="11"/>
        <rFont val="Calibri"/>
        <family val="2"/>
      </rPr>
      <t>Typed Name, Title, Agency Name, Phone #</t>
    </r>
    <r>
      <rPr>
        <sz val="11"/>
        <rFont val="Calibri"/>
        <family val="2"/>
      </rPr>
      <t>:</t>
    </r>
  </si>
  <si>
    <r>
      <rPr>
        <b/>
        <u/>
        <sz val="11"/>
        <rFont val="Calibri"/>
        <family val="2"/>
      </rPr>
      <t>Submit Date</t>
    </r>
    <r>
      <rPr>
        <b/>
        <sz val="11"/>
        <rFont val="Calibri"/>
        <family val="2"/>
      </rPr>
      <t>:</t>
    </r>
  </si>
  <si>
    <t>YES [   ]   NO [ x  ]</t>
  </si>
  <si>
    <t>Current Quarter Ended: 3/31/23</t>
  </si>
  <si>
    <t>Next Quarter Beginning: 7/01/23</t>
  </si>
  <si>
    <r>
      <rPr>
        <b/>
        <u/>
        <sz val="11"/>
        <rFont val="Calibri"/>
        <family val="2"/>
        <scheme val="minor"/>
      </rPr>
      <t>State or Territory</t>
    </r>
    <r>
      <rPr>
        <b/>
        <sz val="11"/>
        <rFont val="Calibri"/>
        <family val="2"/>
        <scheme val="minor"/>
      </rPr>
      <t>: TEXAS</t>
    </r>
  </si>
  <si>
    <r>
      <rPr>
        <sz val="11"/>
        <rFont val="Calibri"/>
        <family val="2"/>
        <scheme val="minor"/>
      </rPr>
      <t>1(b). Quality Activities Excluding Infant/Toddler Quality Activities
Reported On Line 1(c)</t>
    </r>
  </si>
  <si>
    <r>
      <rPr>
        <b/>
        <sz val="11"/>
        <rFont val="Calibri"/>
        <family val="2"/>
        <scheme val="minor"/>
      </rPr>
      <t xml:space="preserve">6. </t>
    </r>
    <r>
      <rPr>
        <sz val="11"/>
        <rFont val="Calibri"/>
        <family val="2"/>
        <scheme val="minor"/>
      </rPr>
      <t>Federal Share of Unliquidated Obligations</t>
    </r>
  </si>
  <si>
    <r>
      <rPr>
        <b/>
        <sz val="11"/>
        <rFont val="Calibri"/>
        <family val="2"/>
        <scheme val="minor"/>
      </rPr>
      <t xml:space="preserve">8. </t>
    </r>
    <r>
      <rPr>
        <sz val="11"/>
        <rFont val="Calibri"/>
        <family val="2"/>
        <scheme val="minor"/>
      </rPr>
      <t>Transfer From TANF</t>
    </r>
  </si>
  <si>
    <r>
      <rPr>
        <b/>
        <sz val="11"/>
        <rFont val="Calibri"/>
        <family val="2"/>
        <scheme val="minor"/>
      </rPr>
      <t xml:space="preserve">10. </t>
    </r>
    <r>
      <rPr>
        <sz val="11"/>
        <rFont val="Calibri"/>
        <family val="2"/>
        <scheme val="minor"/>
      </rPr>
      <t>Federal Funds Requested : Estimates For Next Quarter (Refer to Next Quarter Beginning Date Above.)</t>
    </r>
  </si>
  <si>
    <r>
      <rPr>
        <b/>
        <sz val="11"/>
        <rFont val="Calibri"/>
        <family val="2"/>
        <scheme val="minor"/>
      </rPr>
      <t xml:space="preserve">11.  </t>
    </r>
    <r>
      <rPr>
        <b/>
        <u/>
        <sz val="11"/>
        <rFont val="Calibri"/>
        <family val="2"/>
        <scheme val="minor"/>
      </rPr>
      <t>Redistributed Funds (September 30 Submittal</t>
    </r>
    <r>
      <rPr>
        <b/>
        <sz val="11"/>
        <rFont val="Calibri"/>
        <family val="2"/>
        <scheme val="minor"/>
      </rPr>
      <t>)</t>
    </r>
    <r>
      <rPr>
        <sz val="11"/>
        <rFont val="Calibri"/>
        <family val="2"/>
        <scheme val="minor"/>
      </rPr>
      <t xml:space="preserve">:  If available, does the State or Territory request </t>
    </r>
    <r>
      <rPr>
        <b/>
        <sz val="11"/>
        <rFont val="Calibri"/>
        <family val="2"/>
        <scheme val="minor"/>
      </rPr>
      <t xml:space="preserve">redistributed </t>
    </r>
    <r>
      <rPr>
        <sz val="11"/>
        <rFont val="Calibri"/>
        <family val="2"/>
        <scheme val="minor"/>
      </rPr>
      <t xml:space="preserve">funds?  </t>
    </r>
    <r>
      <rPr>
        <b/>
        <i/>
        <sz val="11"/>
        <rFont val="Calibri"/>
        <family val="2"/>
        <scheme val="minor"/>
      </rPr>
      <t xml:space="preserve">[ </t>
    </r>
    <r>
      <rPr>
        <i/>
        <sz val="11"/>
        <rFont val="Calibri"/>
        <family val="2"/>
        <scheme val="minor"/>
      </rPr>
      <t>Mandatory (territories, per ARP Act); Matching (states)]</t>
    </r>
  </si>
  <si>
    <r>
      <rPr>
        <sz val="11"/>
        <rFont val="Calibri"/>
        <family val="2"/>
        <scheme val="minor"/>
      </rPr>
      <t xml:space="preserve">11(a). If yes, does the State or Territory request a limit to the </t>
    </r>
    <r>
      <rPr>
        <b/>
        <sz val="11"/>
        <rFont val="Calibri"/>
        <family val="2"/>
        <scheme val="minor"/>
      </rPr>
      <t xml:space="preserve">redistributed </t>
    </r>
    <r>
      <rPr>
        <sz val="11"/>
        <rFont val="Calibri"/>
        <family val="2"/>
        <scheme val="minor"/>
      </rPr>
      <t>funds received?</t>
    </r>
  </si>
  <si>
    <r>
      <rPr>
        <b/>
        <sz val="11"/>
        <rFont val="Calibri"/>
        <family val="2"/>
        <scheme val="minor"/>
      </rPr>
      <t xml:space="preserve">12. </t>
    </r>
    <r>
      <rPr>
        <b/>
        <u/>
        <sz val="11"/>
        <rFont val="Calibri"/>
        <family val="2"/>
        <scheme val="minor"/>
      </rPr>
      <t>Reallotted Funds</t>
    </r>
    <r>
      <rPr>
        <b/>
        <sz val="11"/>
        <rFont val="Calibri"/>
        <family val="2"/>
        <scheme val="minor"/>
      </rPr>
      <t xml:space="preserve">:  </t>
    </r>
    <r>
      <rPr>
        <sz val="11"/>
        <rFont val="Calibri"/>
        <family val="2"/>
        <scheme val="minor"/>
      </rPr>
      <t>If available, does the State request reallotted
discretionary or stabilization funds?</t>
    </r>
  </si>
  <si>
    <r>
      <rPr>
        <b/>
        <u/>
        <sz val="11"/>
        <rFont val="Calibri"/>
        <family val="2"/>
        <scheme val="minor"/>
      </rPr>
      <t>Signature:  State Officia</t>
    </r>
    <r>
      <rPr>
        <b/>
        <sz val="11"/>
        <rFont val="Calibri"/>
        <family val="2"/>
        <scheme val="minor"/>
      </rPr>
      <t>l</t>
    </r>
  </si>
  <si>
    <r>
      <rPr>
        <b/>
        <u/>
        <sz val="11"/>
        <rFont val="Calibri"/>
        <family val="2"/>
        <scheme val="minor"/>
      </rPr>
      <t>Date Certified</t>
    </r>
    <r>
      <rPr>
        <b/>
        <sz val="11"/>
        <rFont val="Calibri"/>
        <family val="2"/>
        <scheme val="minor"/>
      </rPr>
      <t>:</t>
    </r>
  </si>
  <si>
    <r>
      <rPr>
        <b/>
        <sz val="11"/>
        <rFont val="Calibri"/>
        <family val="2"/>
        <scheme val="minor"/>
      </rPr>
      <t>FORM ACF-696
APPROVED OMB CONTROL NO. 0970-0510 EXPIRATION Date:  06/30/2024</t>
    </r>
  </si>
  <si>
    <t>YES [  ]   NO [  x ]</t>
  </si>
  <si>
    <r>
      <rPr>
        <b/>
        <u/>
        <sz val="8"/>
        <rFont val="Calibri"/>
        <family val="2"/>
        <scheme val="minor"/>
      </rPr>
      <t>Grant Yea</t>
    </r>
    <r>
      <rPr>
        <b/>
        <sz val="8"/>
        <rFont val="Calibri"/>
        <family val="2"/>
        <scheme val="minor"/>
      </rPr>
      <t>r</t>
    </r>
    <r>
      <rPr>
        <sz val="8"/>
        <color rgb="FF000000"/>
        <rFont val="Calibri"/>
        <family val="2"/>
        <scheme val="minor"/>
      </rPr>
      <t>: 2022</t>
    </r>
  </si>
  <si>
    <r>
      <rPr>
        <b/>
        <u/>
        <sz val="8"/>
        <rFont val="Calibri"/>
        <family val="2"/>
        <scheme val="minor"/>
      </rPr>
      <t>Final Repor</t>
    </r>
    <r>
      <rPr>
        <b/>
        <sz val="8"/>
        <rFont val="Calibri"/>
        <family val="2"/>
        <scheme val="minor"/>
      </rPr>
      <t>t [   ] Yes
[ X ] No</t>
    </r>
  </si>
  <si>
    <r>
      <rPr>
        <b/>
        <u/>
        <sz val="10"/>
        <rFont val="Calibri"/>
        <family val="2"/>
      </rPr>
      <t>Current Quarter Ended</t>
    </r>
    <r>
      <rPr>
        <b/>
        <sz val="10"/>
        <rFont val="Calibri"/>
        <family val="2"/>
      </rPr>
      <t>: 9/30/22</t>
    </r>
  </si>
  <si>
    <r>
      <rPr>
        <b/>
        <u/>
        <sz val="5.5"/>
        <rFont val="Calibri"/>
        <family val="2"/>
        <scheme val="minor"/>
      </rPr>
      <t>Grant Number</t>
    </r>
    <r>
      <rPr>
        <b/>
        <sz val="5.5"/>
        <rFont val="Calibri"/>
        <family val="2"/>
        <scheme val="minor"/>
      </rPr>
      <t>:</t>
    </r>
    <r>
      <rPr>
        <sz val="10"/>
        <color rgb="FF000000"/>
        <rFont val="Calibri"/>
        <family val="2"/>
        <scheme val="minor"/>
      </rPr>
      <t xml:space="preserve">  G-2201TXCCDF</t>
    </r>
  </si>
  <si>
    <r>
      <rPr>
        <b/>
        <u/>
        <sz val="10"/>
        <rFont val="Calibri"/>
        <family val="2"/>
      </rPr>
      <t>Next Quarter Beginning</t>
    </r>
    <r>
      <rPr>
        <b/>
        <sz val="10"/>
        <rFont val="Calibri"/>
        <family val="2"/>
      </rPr>
      <t>: 1/1/2023</t>
    </r>
  </si>
  <si>
    <t>YES [ x ]   NO [   ]</t>
  </si>
  <si>
    <r>
      <t xml:space="preserve">(COLUMN B)                          MATCHING FUNDS
AT FMAP RATE OF </t>
    </r>
    <r>
      <rPr>
        <b/>
        <u/>
        <sz val="9"/>
        <rFont val="Calibri"/>
        <family val="2"/>
      </rPr>
      <t>  67.00 </t>
    </r>
    <r>
      <rPr>
        <b/>
        <sz val="9"/>
        <rFont val="Calibri"/>
        <family val="2"/>
      </rPr>
      <t>%
(Federal and State Shares)
Grant Document # CCDM</t>
    </r>
  </si>
  <si>
    <r>
      <rPr>
        <b/>
        <sz val="9"/>
        <rFont val="Calibri"/>
        <family val="2"/>
      </rPr>
      <t>(COLUMN C) DISCRETIONARY FUNDS
Grant Document # CCDD</t>
    </r>
  </si>
  <si>
    <r>
      <rPr>
        <b/>
        <sz val="9"/>
        <rFont val="Calibri"/>
        <family val="2"/>
      </rPr>
      <t>(COLUMN E) DISCRETIONARY DISASTER RELIEF FUNDS
GrantDocument # CCDX</t>
    </r>
  </si>
  <si>
    <r>
      <rPr>
        <b/>
        <sz val="9"/>
        <rFont val="Calibri"/>
        <family val="2"/>
      </rPr>
      <t>(COLUMN F) DISCRETIONARY DISASTER RELIEF FUNDS CONST. &amp; MAJOR RENOVATION
Grant Document # CCDY</t>
    </r>
  </si>
  <si>
    <r>
      <rPr>
        <b/>
        <sz val="9"/>
        <rFont val="Calibri"/>
        <family val="2"/>
      </rPr>
      <t>(COLUMN G) DISCRETIONARY CARES ACT FUNDS
Grant Document # CCC3</t>
    </r>
  </si>
  <si>
    <r>
      <rPr>
        <b/>
        <sz val="9"/>
        <rFont val="Calibri"/>
        <family val="2"/>
      </rPr>
      <t>(COLUMN H) DISCRETIONARY CRRSA ACT FUNDS
Grant Document # CCC5</t>
    </r>
  </si>
  <si>
    <r>
      <rPr>
        <b/>
        <sz val="9"/>
        <rFont val="Calibri"/>
        <family val="2"/>
      </rPr>
      <t>(COLUMN I) SUPPLEMENTAL DISCRETIONARY ARP ACT FUNDS
Grant Document # CDC6</t>
    </r>
  </si>
  <si>
    <r>
      <rPr>
        <b/>
        <sz val="9"/>
        <rFont val="Calibri"/>
        <family val="2"/>
      </rPr>
      <t>(COLUMN J) STABILZATION ARP ACT FUNDS
Grant Document # CSC6</t>
    </r>
  </si>
  <si>
    <r>
      <rPr>
        <b/>
        <u/>
        <sz val="10"/>
        <rFont val="Calibri"/>
        <family val="2"/>
      </rPr>
      <t>Current Quarter Ended</t>
    </r>
    <r>
      <rPr>
        <b/>
        <sz val="10"/>
        <rFont val="Calibri"/>
        <family val="2"/>
      </rPr>
      <t>: 6/30/22</t>
    </r>
  </si>
  <si>
    <r>
      <rPr>
        <b/>
        <u/>
        <sz val="10"/>
        <rFont val="Calibri"/>
        <family val="2"/>
      </rPr>
      <t>Next Quarter Beginning</t>
    </r>
    <r>
      <rPr>
        <b/>
        <sz val="10"/>
        <rFont val="Calibri"/>
        <family val="2"/>
      </rPr>
      <t>: 10/1/2022</t>
    </r>
  </si>
  <si>
    <t>YES [ x   ]   NO [   ]</t>
  </si>
  <si>
    <t>YES [  ]   NO [  x  ]</t>
  </si>
  <si>
    <t>YES [ x  ]   NO [   ]</t>
  </si>
  <si>
    <t>YES [   ]   NO [ x ]</t>
  </si>
  <si>
    <t>YES [  x  ]   NO [   ]</t>
  </si>
  <si>
    <r>
      <rPr>
        <b/>
        <u/>
        <sz val="10"/>
        <rFont val="Calibri"/>
        <family val="2"/>
      </rPr>
      <t>Current Quarter Ended</t>
    </r>
    <r>
      <rPr>
        <b/>
        <sz val="10"/>
        <rFont val="Calibri"/>
        <family val="2"/>
      </rPr>
      <t>: 3/31/22</t>
    </r>
  </si>
  <si>
    <r>
      <rPr>
        <b/>
        <u/>
        <sz val="10"/>
        <rFont val="Calibri"/>
        <family val="2"/>
      </rPr>
      <t>Next Quarter Beginning</t>
    </r>
    <r>
      <rPr>
        <b/>
        <sz val="10"/>
        <rFont val="Calibri"/>
        <family val="2"/>
      </rPr>
      <t>: 07/01/22</t>
    </r>
  </si>
  <si>
    <r>
      <rPr>
        <b/>
        <u/>
        <sz val="10"/>
        <rFont val="Calibri"/>
        <family val="2"/>
      </rPr>
      <t>Current Quarter Ended</t>
    </r>
    <r>
      <rPr>
        <b/>
        <sz val="10"/>
        <rFont val="Calibri"/>
        <family val="2"/>
      </rPr>
      <t>: 12/31/21</t>
    </r>
  </si>
  <si>
    <r>
      <rPr>
        <b/>
        <u/>
        <sz val="10"/>
        <rFont val="Calibri"/>
        <family val="2"/>
      </rPr>
      <t>Next Quarter Beginning</t>
    </r>
    <r>
      <rPr>
        <b/>
        <sz val="10"/>
        <rFont val="Calibri"/>
        <family val="2"/>
      </rPr>
      <t>: 04/01/22</t>
    </r>
  </si>
  <si>
    <r>
      <rPr>
        <sz val="6"/>
        <rFont val="Calibri"/>
        <family val="2"/>
        <scheme val="minor"/>
      </rPr>
      <t>1(b). Quality Activities Excluding Infant/Toddler Quality Activities
Reported On Line 1(c)</t>
    </r>
  </si>
  <si>
    <r>
      <rPr>
        <b/>
        <sz val="6"/>
        <rFont val="Calibri"/>
        <family val="2"/>
        <scheme val="minor"/>
      </rPr>
      <t xml:space="preserve">6. </t>
    </r>
    <r>
      <rPr>
        <sz val="6"/>
        <rFont val="Calibri"/>
        <family val="2"/>
        <scheme val="minor"/>
      </rPr>
      <t>Federal Share of Unliquidated Obligations</t>
    </r>
  </si>
  <si>
    <r>
      <rPr>
        <b/>
        <sz val="6"/>
        <rFont val="Calibri"/>
        <family val="2"/>
        <scheme val="minor"/>
      </rPr>
      <t xml:space="preserve">8. </t>
    </r>
    <r>
      <rPr>
        <sz val="6"/>
        <rFont val="Calibri"/>
        <family val="2"/>
        <scheme val="minor"/>
      </rPr>
      <t>Transfer From TANF</t>
    </r>
  </si>
  <si>
    <t>YES [   ]   NO [ X  ]</t>
  </si>
  <si>
    <r>
      <rPr>
        <b/>
        <sz val="6"/>
        <rFont val="Calibri"/>
        <family val="2"/>
        <scheme val="minor"/>
      </rPr>
      <t xml:space="preserve">10. </t>
    </r>
    <r>
      <rPr>
        <sz val="6"/>
        <rFont val="Calibri"/>
        <family val="2"/>
        <scheme val="minor"/>
      </rPr>
      <t>Federal Funds Requested : Estimates For Next Quarter (Refer to Next Quarter Beginning Date Above.)</t>
    </r>
  </si>
  <si>
    <r>
      <rPr>
        <b/>
        <sz val="6"/>
        <rFont val="Calibri"/>
        <family val="2"/>
        <scheme val="minor"/>
      </rPr>
      <t xml:space="preserve">11.  </t>
    </r>
    <r>
      <rPr>
        <b/>
        <u/>
        <sz val="6"/>
        <rFont val="Calibri"/>
        <family val="2"/>
        <scheme val="minor"/>
      </rPr>
      <t>Redistributed Funds (September 30 Submittal</t>
    </r>
    <r>
      <rPr>
        <b/>
        <sz val="6"/>
        <rFont val="Calibri"/>
        <family val="2"/>
        <scheme val="minor"/>
      </rPr>
      <t>)</t>
    </r>
    <r>
      <rPr>
        <sz val="6"/>
        <rFont val="Calibri"/>
        <family val="2"/>
        <scheme val="minor"/>
      </rPr>
      <t xml:space="preserve">:  If available, does the State or Territory request </t>
    </r>
    <r>
      <rPr>
        <b/>
        <sz val="6"/>
        <rFont val="Calibri"/>
        <family val="2"/>
        <scheme val="minor"/>
      </rPr>
      <t xml:space="preserve">redistributed </t>
    </r>
    <r>
      <rPr>
        <sz val="6"/>
        <rFont val="Calibri"/>
        <family val="2"/>
        <scheme val="minor"/>
      </rPr>
      <t xml:space="preserve">funds?  </t>
    </r>
    <r>
      <rPr>
        <b/>
        <i/>
        <sz val="6"/>
        <rFont val="Calibri"/>
        <family val="2"/>
        <scheme val="minor"/>
      </rPr>
      <t xml:space="preserve">[ </t>
    </r>
    <r>
      <rPr>
        <i/>
        <sz val="6"/>
        <rFont val="Calibri"/>
        <family val="2"/>
        <scheme val="minor"/>
      </rPr>
      <t>Mandatory (territories, per ARP Act); Matching (states)]</t>
    </r>
  </si>
  <si>
    <r>
      <rPr>
        <b/>
        <sz val="5"/>
        <rFont val="Calibri"/>
        <family val="2"/>
      </rPr>
      <t>YES [   ]   NO [   ]</t>
    </r>
  </si>
  <si>
    <t>YES [ X ]   NO [   ]</t>
  </si>
  <si>
    <r>
      <rPr>
        <sz val="6"/>
        <rFont val="Calibri"/>
        <family val="2"/>
        <scheme val="minor"/>
      </rPr>
      <t xml:space="preserve">11(a). If yes, does the State or Territory request a limit to the </t>
    </r>
    <r>
      <rPr>
        <b/>
        <sz val="6"/>
        <rFont val="Calibri"/>
        <family val="2"/>
        <scheme val="minor"/>
      </rPr>
      <t xml:space="preserve">redistributed </t>
    </r>
    <r>
      <rPr>
        <sz val="6"/>
        <rFont val="Calibri"/>
        <family val="2"/>
        <scheme val="minor"/>
      </rPr>
      <t>funds received?</t>
    </r>
  </si>
  <si>
    <r>
      <rPr>
        <b/>
        <sz val="6"/>
        <rFont val="Calibri"/>
        <family val="2"/>
        <scheme val="minor"/>
      </rPr>
      <t xml:space="preserve">12. </t>
    </r>
    <r>
      <rPr>
        <b/>
        <u/>
        <sz val="6"/>
        <rFont val="Calibri"/>
        <family val="2"/>
        <scheme val="minor"/>
      </rPr>
      <t>Reallotted Funds</t>
    </r>
    <r>
      <rPr>
        <b/>
        <sz val="6"/>
        <rFont val="Calibri"/>
        <family val="2"/>
        <scheme val="minor"/>
      </rPr>
      <t xml:space="preserve">:  </t>
    </r>
    <r>
      <rPr>
        <sz val="6"/>
        <rFont val="Calibri"/>
        <family val="2"/>
        <scheme val="minor"/>
      </rPr>
      <t>If available, does the State request reallotted
discretionary or stabilization funds?</t>
    </r>
  </si>
  <si>
    <r>
      <rPr>
        <b/>
        <u/>
        <sz val="5"/>
        <rFont val="Calibri"/>
        <family val="2"/>
        <scheme val="minor"/>
      </rPr>
      <t>Signature:  State Officia</t>
    </r>
    <r>
      <rPr>
        <b/>
        <sz val="5"/>
        <rFont val="Calibri"/>
        <family val="2"/>
        <scheme val="minor"/>
      </rPr>
      <t>l</t>
    </r>
  </si>
  <si>
    <r>
      <rPr>
        <b/>
        <u/>
        <sz val="5"/>
        <rFont val="Calibri"/>
        <family val="2"/>
        <scheme val="minor"/>
      </rPr>
      <t>Date Certified</t>
    </r>
    <r>
      <rPr>
        <b/>
        <sz val="5"/>
        <rFont val="Calibri"/>
        <family val="2"/>
        <scheme val="minor"/>
      </rPr>
      <t>:</t>
    </r>
  </si>
  <si>
    <r>
      <rPr>
        <b/>
        <sz val="5"/>
        <rFont val="Calibri"/>
        <family val="2"/>
        <scheme val="minor"/>
      </rPr>
      <t>FORM ACF-696
APPROVED OMB CONTROL NO. 0970-0510 EXPIRATION Date:  06/30/2024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</si>
</sst>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0000_);_(* \(#,##0.0000\);_(* &quot;-&quot;??_);_(@_)"/>
    <numFmt numFmtId="165" formatCode="_(&quot;$&quot;* #,##0.000_);_(&quot;$&quot;* \(#,##0.000\);_(&quot;$&quot;* &quot;-&quot;??_);_(@_)"/>
    <numFmt numFmtId="166" formatCode="_(&quot;$&quot;* #,##0.000_);_(&quot;$&quot;* \(#,##0.000\);_(&quot;$&quot;* &quot;-&quot;???_);_(@_)"/>
    <numFmt numFmtId="167" formatCode="_(* #,##0.0000000000_);_(* \(#,##0.0000000000\);_(* &quot;-&quot;??_);_(@_)"/>
  </numFmts>
  <fonts count="62" x14ac:knownFonts="1">
    <font>
      <sz val="11"/>
      <color theme="1"/>
      <name val="Calibri"/>
      <family val="2"/>
      <scheme val="minor"/>
    </font>
    <font>
      <sz val="11"/>
      <color theme="1"/>
      <name val="Calibri"/>
      <family val="2"/>
      <scheme val="minor"/>
    </font>
    <font>
      <sz val="10"/>
      <color rgb="FF000000"/>
      <name val="Times New Roman"/>
      <family val="1"/>
    </font>
    <font>
      <b/>
      <sz val="8.5"/>
      <name val="Calibri"/>
      <family val="2"/>
    </font>
    <font>
      <b/>
      <sz val="8"/>
      <name val="Calibri"/>
      <family val="2"/>
      <scheme val="minor"/>
    </font>
    <font>
      <sz val="11"/>
      <color rgb="FF000000"/>
      <name val="Calibri"/>
      <family val="2"/>
      <scheme val="minor"/>
    </font>
    <font>
      <b/>
      <sz val="11"/>
      <name val="Calibri"/>
      <family val="2"/>
      <scheme val="minor"/>
    </font>
    <font>
      <b/>
      <sz val="11"/>
      <name val="Calibri"/>
      <family val="2"/>
    </font>
    <font>
      <sz val="8"/>
      <color rgb="FF000000"/>
      <name val="Calibri"/>
      <family val="2"/>
      <scheme val="minor"/>
    </font>
    <font>
      <b/>
      <sz val="7.5"/>
      <name val="Calibri"/>
      <family val="2"/>
    </font>
    <font>
      <b/>
      <sz val="10"/>
      <name val="Calibri"/>
      <family val="2"/>
    </font>
    <font>
      <sz val="9"/>
      <color rgb="FF000000"/>
      <name val="Calibri"/>
      <family val="2"/>
      <scheme val="minor"/>
    </font>
    <font>
      <sz val="8"/>
      <name val="Calibri"/>
      <family val="2"/>
      <scheme val="minor"/>
    </font>
    <font>
      <sz val="9"/>
      <color rgb="FF000000"/>
      <name val="Times New Roman"/>
      <family val="1"/>
    </font>
    <font>
      <sz val="8"/>
      <color rgb="FF000000"/>
      <name val="Times New Roman"/>
      <family val="1"/>
    </font>
    <font>
      <b/>
      <sz val="8"/>
      <name val="Calibri"/>
      <family val="2"/>
    </font>
    <font>
      <sz val="8"/>
      <name val="Calibri"/>
      <family val="2"/>
    </font>
    <font>
      <sz val="5"/>
      <color rgb="FF000000"/>
      <name val="Calibri"/>
      <family val="2"/>
    </font>
    <font>
      <sz val="5"/>
      <name val="Calibri"/>
      <family val="2"/>
    </font>
    <font>
      <b/>
      <sz val="5"/>
      <color rgb="FF000000"/>
      <name val="Calibri"/>
      <family val="2"/>
    </font>
    <font>
      <b/>
      <sz val="5"/>
      <name val="Calibri"/>
      <family val="2"/>
    </font>
    <font>
      <sz val="11"/>
      <color rgb="FF000000"/>
      <name val="Times New Roman"/>
      <family val="1"/>
    </font>
    <font>
      <b/>
      <sz val="9"/>
      <name val="Calibri"/>
      <family val="2"/>
    </font>
    <font>
      <sz val="10"/>
      <name val="Arial"/>
      <family val="2"/>
    </font>
    <font>
      <sz val="10"/>
      <name val="Times New Roman"/>
      <family val="1"/>
    </font>
    <font>
      <sz val="11"/>
      <name val="Calibri"/>
      <family val="2"/>
      <scheme val="minor"/>
    </font>
    <font>
      <sz val="11"/>
      <name val="Calibri"/>
      <family val="2"/>
    </font>
    <font>
      <b/>
      <sz val="11"/>
      <color rgb="FF000000"/>
      <name val="Calibri"/>
      <family val="2"/>
    </font>
    <font>
      <sz val="11"/>
      <color rgb="FF000000"/>
      <name val="Calibri"/>
      <family val="2"/>
    </font>
    <font>
      <b/>
      <u/>
      <sz val="8"/>
      <name val="Calibri"/>
      <family val="2"/>
      <scheme val="minor"/>
    </font>
    <font>
      <b/>
      <u/>
      <sz val="11"/>
      <name val="Calibri"/>
      <family val="2"/>
      <scheme val="minor"/>
    </font>
    <font>
      <b/>
      <u/>
      <sz val="5"/>
      <name val="Calibri"/>
      <family val="2"/>
    </font>
    <font>
      <b/>
      <i/>
      <sz val="8"/>
      <name val="Calibri"/>
      <family val="2"/>
      <scheme val="minor"/>
    </font>
    <font>
      <i/>
      <sz val="8"/>
      <name val="Calibri"/>
      <family val="2"/>
      <scheme val="minor"/>
    </font>
    <font>
      <u/>
      <sz val="5"/>
      <name val="Calibri"/>
      <family val="2"/>
    </font>
    <font>
      <sz val="12"/>
      <name val="Calibri"/>
      <family val="2"/>
      <scheme val="minor"/>
    </font>
    <font>
      <sz val="12"/>
      <color rgb="FF000000"/>
      <name val="Calibri"/>
      <family val="2"/>
      <scheme val="minor"/>
    </font>
    <font>
      <b/>
      <sz val="9"/>
      <color indexed="81"/>
      <name val="Tahoma"/>
      <family val="2"/>
    </font>
    <font>
      <sz val="9"/>
      <color indexed="81"/>
      <name val="Tahoma"/>
      <family val="2"/>
    </font>
    <font>
      <b/>
      <u/>
      <sz val="11"/>
      <name val="Calibri"/>
      <family val="2"/>
    </font>
    <font>
      <u/>
      <sz val="11"/>
      <name val="Calibri"/>
      <family val="2"/>
    </font>
    <font>
      <b/>
      <i/>
      <sz val="11"/>
      <name val="Calibri"/>
      <family val="2"/>
      <scheme val="minor"/>
    </font>
    <font>
      <i/>
      <sz val="11"/>
      <name val="Calibri"/>
      <family val="2"/>
      <scheme val="minor"/>
    </font>
    <font>
      <sz val="9"/>
      <color rgb="FFFF0000"/>
      <name val="Times New Roman"/>
      <family val="1"/>
    </font>
    <font>
      <b/>
      <u/>
      <sz val="10"/>
      <name val="Calibri"/>
      <family val="2"/>
    </font>
    <font>
      <sz val="10"/>
      <color rgb="FF000000"/>
      <name val="Calibri"/>
      <family val="2"/>
      <scheme val="minor"/>
    </font>
    <font>
      <b/>
      <u/>
      <sz val="5.5"/>
      <name val="Calibri"/>
      <family val="2"/>
      <scheme val="minor"/>
    </font>
    <font>
      <b/>
      <sz val="5.5"/>
      <name val="Calibri"/>
      <family val="2"/>
      <scheme val="minor"/>
    </font>
    <font>
      <sz val="9"/>
      <name val="Arial"/>
      <family val="2"/>
    </font>
    <font>
      <sz val="10"/>
      <color indexed="8"/>
      <name val="Arial"/>
      <family val="2"/>
    </font>
    <font>
      <sz val="9"/>
      <color indexed="8"/>
      <name val="Arial"/>
      <family val="2"/>
    </font>
    <font>
      <sz val="9"/>
      <color indexed="8"/>
      <name val="Calibri"/>
      <family val="2"/>
    </font>
    <font>
      <sz val="10"/>
      <color indexed="12"/>
      <name val="Arial"/>
      <family val="2"/>
    </font>
    <font>
      <b/>
      <u/>
      <sz val="9"/>
      <name val="Calibri"/>
      <family val="2"/>
    </font>
    <font>
      <b/>
      <sz val="6"/>
      <name val="Calibri"/>
      <family val="2"/>
      <scheme val="minor"/>
    </font>
    <font>
      <sz val="6"/>
      <name val="Calibri"/>
      <family val="2"/>
      <scheme val="minor"/>
    </font>
    <font>
      <sz val="6"/>
      <color rgb="FF000000"/>
      <name val="Calibri"/>
      <family val="2"/>
      <scheme val="minor"/>
    </font>
    <font>
      <b/>
      <u/>
      <sz val="6"/>
      <name val="Calibri"/>
      <family val="2"/>
      <scheme val="minor"/>
    </font>
    <font>
      <b/>
      <i/>
      <sz val="6"/>
      <name val="Calibri"/>
      <family val="2"/>
      <scheme val="minor"/>
    </font>
    <font>
      <i/>
      <sz val="6"/>
      <name val="Calibri"/>
      <family val="2"/>
      <scheme val="minor"/>
    </font>
    <font>
      <b/>
      <u/>
      <sz val="5"/>
      <name val="Calibri"/>
      <family val="2"/>
      <scheme val="minor"/>
    </font>
    <font>
      <b/>
      <sz val="5"/>
      <name val="Calibri"/>
      <family val="2"/>
      <scheme val="minor"/>
    </font>
  </fonts>
  <fills count="11">
    <fill>
      <patternFill patternType="none"/>
    </fill>
    <fill>
      <patternFill patternType="gray125"/>
    </fill>
    <fill>
      <patternFill patternType="solid">
        <fgColor rgb="FFD9E0F1"/>
      </patternFill>
    </fill>
    <fill>
      <patternFill patternType="solid">
        <fgColor rgb="FFDDEBF7"/>
      </patternFill>
    </fill>
    <fill>
      <patternFill patternType="solid">
        <fgColor rgb="FFB4C5E7"/>
      </patternFill>
    </fill>
    <fill>
      <patternFill patternType="solid">
        <fgColor rgb="FF8496AF"/>
      </patternFill>
    </fill>
    <fill>
      <patternFill patternType="solid">
        <fgColor rgb="FFFFFF00"/>
        <bgColor indexed="64"/>
      </patternFill>
    </fill>
    <fill>
      <patternFill patternType="solid">
        <fgColor theme="4" tint="0.59999389629810485"/>
        <bgColor indexed="64"/>
      </patternFill>
    </fill>
    <fill>
      <patternFill patternType="solid">
        <fgColor indexed="22"/>
        <bgColor indexed="0"/>
      </patternFill>
    </fill>
    <fill>
      <patternFill patternType="solid">
        <fgColor theme="0" tint="-0.249977111117893"/>
        <bgColor indexed="64"/>
      </patternFill>
    </fill>
    <fill>
      <patternFill patternType="solid">
        <fgColor theme="4" tint="0.79998168889431442"/>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medium">
        <color indexed="64"/>
      </top>
      <bottom style="thin">
        <color indexed="8"/>
      </bottom>
      <diagonal/>
    </border>
    <border>
      <left style="thin">
        <color indexed="22"/>
      </left>
      <right style="thin">
        <color indexed="22"/>
      </right>
      <top style="thin">
        <color indexed="22"/>
      </top>
      <bottom style="thin">
        <color indexed="22"/>
      </bottom>
      <diagonal/>
    </border>
    <border>
      <left/>
      <right style="medium">
        <color indexed="64"/>
      </right>
      <top style="thin">
        <color indexed="64"/>
      </top>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0" fontId="2" fillId="0" borderId="0"/>
    <xf numFmtId="44" fontId="23" fillId="0" borderId="0" applyFont="0" applyFill="0" applyBorder="0" applyAlignment="0" applyProtection="0"/>
    <xf numFmtId="43" fontId="23" fillId="0" borderId="0" applyFont="0" applyFill="0" applyBorder="0" applyAlignment="0" applyProtection="0"/>
    <xf numFmtId="0" fontId="23" fillId="0" borderId="0"/>
    <xf numFmtId="0" fontId="49" fillId="0" borderId="0"/>
    <xf numFmtId="0" fontId="49" fillId="0" borderId="0"/>
  </cellStyleXfs>
  <cellXfs count="192">
    <xf numFmtId="0" fontId="0" fillId="0" borderId="0" xfId="0"/>
    <xf numFmtId="0" fontId="4" fillId="2" borderId="4" xfId="2" applyFont="1" applyFill="1" applyBorder="1" applyAlignment="1">
      <alignment horizontal="left" vertical="top" wrapText="1"/>
    </xf>
    <xf numFmtId="0" fontId="8" fillId="2" borderId="4" xfId="2" applyFont="1" applyFill="1" applyBorder="1" applyAlignment="1">
      <alignment horizontal="left" vertical="center" wrapText="1"/>
    </xf>
    <xf numFmtId="0" fontId="2" fillId="0" borderId="4" xfId="2" applyBorder="1" applyAlignment="1">
      <alignment horizontal="left" wrapText="1"/>
    </xf>
    <xf numFmtId="0" fontId="8" fillId="2" borderId="4" xfId="2" applyFont="1" applyFill="1" applyBorder="1" applyAlignment="1">
      <alignment horizontal="left" vertical="top" wrapText="1"/>
    </xf>
    <xf numFmtId="0" fontId="2" fillId="2" borderId="4" xfId="2" applyFill="1" applyBorder="1" applyAlignment="1">
      <alignment horizontal="center" vertical="top" wrapText="1"/>
    </xf>
    <xf numFmtId="0" fontId="2" fillId="3" borderId="4" xfId="2" applyFill="1" applyBorder="1" applyAlignment="1">
      <alignment horizontal="center" vertical="top" wrapText="1"/>
    </xf>
    <xf numFmtId="0" fontId="4" fillId="4" borderId="4" xfId="2" applyFont="1" applyFill="1" applyBorder="1" applyAlignment="1">
      <alignment horizontal="left" vertical="top" wrapText="1"/>
    </xf>
    <xf numFmtId="43" fontId="11" fillId="4" borderId="4" xfId="2" applyNumberFormat="1" applyFont="1" applyFill="1" applyBorder="1" applyAlignment="1">
      <alignment horizontal="left" wrapText="1"/>
    </xf>
    <xf numFmtId="0" fontId="12" fillId="2" borderId="4" xfId="2" applyFont="1" applyFill="1" applyBorder="1" applyAlignment="1">
      <alignment horizontal="left" vertical="top" wrapText="1"/>
    </xf>
    <xf numFmtId="43" fontId="11" fillId="0" borderId="4" xfId="1" applyFont="1" applyBorder="1" applyAlignment="1">
      <alignment horizontal="right" wrapText="1"/>
    </xf>
    <xf numFmtId="0" fontId="13" fillId="0" borderId="4" xfId="2" applyFont="1" applyBorder="1" applyAlignment="1">
      <alignment horizontal="left" wrapText="1"/>
    </xf>
    <xf numFmtId="0" fontId="13" fillId="5" borderId="4" xfId="2" applyFont="1" applyFill="1" applyBorder="1" applyAlignment="1">
      <alignment horizontal="left" wrapText="1"/>
    </xf>
    <xf numFmtId="0" fontId="13" fillId="0" borderId="0" xfId="2" applyFont="1" applyAlignment="1">
      <alignment horizontal="left" vertical="top"/>
    </xf>
    <xf numFmtId="0" fontId="13" fillId="0" borderId="4" xfId="2" applyFont="1" applyBorder="1" applyAlignment="1">
      <alignment horizontal="left" vertical="center" wrapText="1"/>
    </xf>
    <xf numFmtId="0" fontId="12" fillId="2" borderId="4" xfId="2" applyFont="1" applyFill="1" applyBorder="1" applyAlignment="1">
      <alignment horizontal="left" vertical="top" wrapText="1" indent="1"/>
    </xf>
    <xf numFmtId="43" fontId="11" fillId="5" borderId="4" xfId="1" applyFont="1" applyFill="1" applyBorder="1" applyAlignment="1">
      <alignment horizontal="right" wrapText="1"/>
    </xf>
    <xf numFmtId="0" fontId="4" fillId="3" borderId="4" xfId="2" applyFont="1" applyFill="1" applyBorder="1" applyAlignment="1">
      <alignment horizontal="left" vertical="top" wrapText="1"/>
    </xf>
    <xf numFmtId="0" fontId="13" fillId="4" borderId="4" xfId="2" applyFont="1" applyFill="1" applyBorder="1" applyAlignment="1">
      <alignment horizontal="left" wrapText="1"/>
    </xf>
    <xf numFmtId="0" fontId="12" fillId="3" borderId="4" xfId="2" applyFont="1" applyFill="1" applyBorder="1" applyAlignment="1">
      <alignment horizontal="left" vertical="top" wrapText="1"/>
    </xf>
    <xf numFmtId="0" fontId="14" fillId="5" borderId="4" xfId="2" applyFont="1" applyFill="1" applyBorder="1" applyAlignment="1">
      <alignment horizontal="left" vertical="center" wrapText="1"/>
    </xf>
    <xf numFmtId="0" fontId="15" fillId="0" borderId="4" xfId="2" applyFont="1" applyBorder="1" applyAlignment="1">
      <alignment horizontal="center" vertical="center" wrapText="1"/>
    </xf>
    <xf numFmtId="43" fontId="8" fillId="0" borderId="4" xfId="1" applyFont="1" applyBorder="1" applyAlignment="1">
      <alignment horizontal="right" wrapText="1"/>
    </xf>
    <xf numFmtId="0" fontId="2" fillId="5" borderId="4" xfId="2" applyFill="1" applyBorder="1" applyAlignment="1">
      <alignment horizontal="left" vertical="center" wrapText="1"/>
    </xf>
    <xf numFmtId="0" fontId="8" fillId="2" borderId="4" xfId="2" applyFont="1" applyFill="1" applyBorder="1" applyAlignment="1">
      <alignment horizontal="left" vertical="top" wrapText="1" indent="1"/>
    </xf>
    <xf numFmtId="2" fontId="17" fillId="0" borderId="4" xfId="2" applyNumberFormat="1" applyFont="1" applyBorder="1" applyAlignment="1">
      <alignment horizontal="right" vertical="center" shrinkToFit="1"/>
    </xf>
    <xf numFmtId="0" fontId="8" fillId="3" borderId="4" xfId="2" applyFont="1" applyFill="1" applyBorder="1" applyAlignment="1">
      <alignment horizontal="left" vertical="top" wrapText="1"/>
    </xf>
    <xf numFmtId="0" fontId="2" fillId="2" borderId="4" xfId="2" applyFill="1" applyBorder="1" applyAlignment="1">
      <alignment horizontal="left" vertical="center" wrapText="1"/>
    </xf>
    <xf numFmtId="0" fontId="15" fillId="2" borderId="4" xfId="2" applyFont="1" applyFill="1" applyBorder="1" applyAlignment="1">
      <alignment horizontal="center" vertical="top" wrapText="1"/>
    </xf>
    <xf numFmtId="0" fontId="14" fillId="2" borderId="4" xfId="2" applyFont="1" applyFill="1" applyBorder="1" applyAlignment="1">
      <alignment horizontal="center" vertical="top" wrapText="1"/>
    </xf>
    <xf numFmtId="0" fontId="15" fillId="2" borderId="4" xfId="2" applyFont="1" applyFill="1" applyBorder="1" applyAlignment="1">
      <alignment horizontal="left" vertical="top" wrapText="1" indent="1"/>
    </xf>
    <xf numFmtId="0" fontId="14" fillId="3" borderId="4" xfId="2" applyFont="1" applyFill="1" applyBorder="1" applyAlignment="1">
      <alignment horizontal="center" vertical="top" wrapText="1"/>
    </xf>
    <xf numFmtId="43" fontId="8" fillId="4" borderId="4" xfId="2" applyNumberFormat="1" applyFont="1" applyFill="1" applyBorder="1" applyAlignment="1">
      <alignment horizontal="left" wrapText="1"/>
    </xf>
    <xf numFmtId="0" fontId="14" fillId="0" borderId="4" xfId="2" applyFont="1" applyBorder="1" applyAlignment="1">
      <alignment horizontal="left" wrapText="1"/>
    </xf>
    <xf numFmtId="0" fontId="14" fillId="5" borderId="4" xfId="2" applyFont="1" applyFill="1" applyBorder="1" applyAlignment="1">
      <alignment horizontal="left" wrapText="1"/>
    </xf>
    <xf numFmtId="0" fontId="14" fillId="0" borderId="4" xfId="2" applyFont="1" applyBorder="1" applyAlignment="1">
      <alignment horizontal="left" vertical="center" wrapText="1"/>
    </xf>
    <xf numFmtId="164" fontId="11" fillId="0" borderId="4" xfId="1" applyNumberFormat="1" applyFont="1" applyBorder="1" applyAlignment="1">
      <alignment horizontal="right" wrapText="1"/>
    </xf>
    <xf numFmtId="0" fontId="14" fillId="0" borderId="0" xfId="2" applyFont="1" applyAlignment="1">
      <alignment horizontal="left" vertical="top"/>
    </xf>
    <xf numFmtId="164" fontId="11" fillId="4" borderId="4" xfId="2" applyNumberFormat="1" applyFont="1" applyFill="1" applyBorder="1" applyAlignment="1">
      <alignment horizontal="left" wrapText="1"/>
    </xf>
    <xf numFmtId="0" fontId="14" fillId="4" borderId="4" xfId="2" applyFont="1" applyFill="1" applyBorder="1" applyAlignment="1">
      <alignment horizontal="left" wrapText="1"/>
    </xf>
    <xf numFmtId="0" fontId="16" fillId="0" borderId="4" xfId="2" applyFont="1" applyBorder="1" applyAlignment="1">
      <alignment horizontal="center" vertical="center" wrapText="1"/>
    </xf>
    <xf numFmtId="2" fontId="19" fillId="0" borderId="4" xfId="2" applyNumberFormat="1" applyFont="1" applyBorder="1" applyAlignment="1">
      <alignment horizontal="right" vertical="center" shrinkToFit="1"/>
    </xf>
    <xf numFmtId="0" fontId="2" fillId="2" borderId="4" xfId="2" applyFill="1" applyBorder="1" applyAlignment="1">
      <alignment horizontal="left" wrapText="1"/>
    </xf>
    <xf numFmtId="43" fontId="11" fillId="0" borderId="4" xfId="1" applyFont="1" applyFill="1" applyBorder="1" applyAlignment="1">
      <alignment horizontal="right" wrapText="1"/>
    </xf>
    <xf numFmtId="0" fontId="22" fillId="2" borderId="4" xfId="2" applyFont="1" applyFill="1" applyBorder="1" applyAlignment="1">
      <alignment horizontal="center" vertical="top" wrapText="1"/>
    </xf>
    <xf numFmtId="0" fontId="20" fillId="0" borderId="4" xfId="2" applyFont="1" applyBorder="1" applyAlignment="1">
      <alignment horizontal="center" vertical="center" wrapText="1"/>
    </xf>
    <xf numFmtId="0" fontId="20" fillId="2" borderId="4" xfId="2" applyFont="1" applyFill="1" applyBorder="1" applyAlignment="1">
      <alignment horizontal="center" vertical="top" wrapText="1"/>
    </xf>
    <xf numFmtId="0" fontId="20" fillId="2" borderId="4" xfId="2" applyFont="1" applyFill="1" applyBorder="1" applyAlignment="1">
      <alignment horizontal="left" vertical="top" wrapText="1" indent="1"/>
    </xf>
    <xf numFmtId="0" fontId="2" fillId="2" borderId="4" xfId="2" applyFont="1" applyFill="1" applyBorder="1" applyAlignment="1">
      <alignment horizontal="center" vertical="top" wrapText="1"/>
    </xf>
    <xf numFmtId="0" fontId="2" fillId="3" borderId="4" xfId="2" applyFont="1" applyFill="1" applyBorder="1" applyAlignment="1">
      <alignment horizontal="center" vertical="top" wrapText="1"/>
    </xf>
    <xf numFmtId="0" fontId="24" fillId="2" borderId="4" xfId="2" applyFont="1" applyFill="1" applyBorder="1" applyAlignment="1">
      <alignment horizontal="center" vertical="top" wrapText="1"/>
    </xf>
    <xf numFmtId="0" fontId="6" fillId="4" borderId="4" xfId="2" applyFont="1" applyFill="1" applyBorder="1" applyAlignment="1">
      <alignment horizontal="left" vertical="top" wrapText="1"/>
    </xf>
    <xf numFmtId="43" fontId="5" fillId="4" borderId="4" xfId="2" applyNumberFormat="1" applyFont="1" applyFill="1" applyBorder="1" applyAlignment="1">
      <alignment horizontal="left" wrapText="1"/>
    </xf>
    <xf numFmtId="0" fontId="25" fillId="2" borderId="4" xfId="2" applyFont="1" applyFill="1" applyBorder="1" applyAlignment="1">
      <alignment horizontal="left" vertical="top" wrapText="1"/>
    </xf>
    <xf numFmtId="43" fontId="5" fillId="0" borderId="4" xfId="1" applyFont="1" applyBorder="1" applyAlignment="1">
      <alignment horizontal="right" wrapText="1"/>
    </xf>
    <xf numFmtId="0" fontId="21" fillId="0" borderId="4" xfId="2" applyFont="1" applyBorder="1" applyAlignment="1">
      <alignment horizontal="left" wrapText="1"/>
    </xf>
    <xf numFmtId="0" fontId="21" fillId="5" borderId="4" xfId="2" applyFont="1" applyFill="1" applyBorder="1" applyAlignment="1">
      <alignment horizontal="left" wrapText="1"/>
    </xf>
    <xf numFmtId="0" fontId="5" fillId="2" borderId="4" xfId="2" applyFont="1" applyFill="1" applyBorder="1" applyAlignment="1">
      <alignment horizontal="left" vertical="top" wrapText="1"/>
    </xf>
    <xf numFmtId="0" fontId="21" fillId="0" borderId="0" xfId="2" applyFont="1" applyAlignment="1">
      <alignment horizontal="left" vertical="top"/>
    </xf>
    <xf numFmtId="0" fontId="21" fillId="0" borderId="4" xfId="2" applyFont="1" applyBorder="1" applyAlignment="1">
      <alignment horizontal="left" vertical="center" wrapText="1"/>
    </xf>
    <xf numFmtId="0" fontId="21" fillId="5" borderId="4" xfId="2" applyFont="1" applyFill="1" applyBorder="1" applyAlignment="1">
      <alignment horizontal="left" vertical="center" wrapText="1"/>
    </xf>
    <xf numFmtId="43" fontId="5" fillId="0" borderId="4" xfId="1" applyFont="1" applyFill="1" applyBorder="1" applyAlignment="1">
      <alignment horizontal="right" wrapText="1"/>
    </xf>
    <xf numFmtId="0" fontId="25" fillId="2" borderId="4" xfId="2" applyFont="1" applyFill="1" applyBorder="1" applyAlignment="1">
      <alignment horizontal="left" vertical="top" wrapText="1" indent="1"/>
    </xf>
    <xf numFmtId="164" fontId="5" fillId="0" borderId="4" xfId="1" applyNumberFormat="1" applyFont="1" applyBorder="1" applyAlignment="1">
      <alignment horizontal="right" wrapText="1"/>
    </xf>
    <xf numFmtId="43" fontId="5" fillId="5" borderId="4" xfId="1" applyFont="1" applyFill="1" applyBorder="1" applyAlignment="1">
      <alignment horizontal="right" wrapText="1"/>
    </xf>
    <xf numFmtId="164" fontId="5" fillId="4" borderId="4" xfId="2" applyNumberFormat="1" applyFont="1" applyFill="1" applyBorder="1" applyAlignment="1">
      <alignment horizontal="left" wrapText="1"/>
    </xf>
    <xf numFmtId="0" fontId="6" fillId="3" borderId="4" xfId="2" applyFont="1" applyFill="1" applyBorder="1" applyAlignment="1">
      <alignment horizontal="left" vertical="top" wrapText="1"/>
    </xf>
    <xf numFmtId="0" fontId="21" fillId="4" borderId="4" xfId="2" applyFont="1" applyFill="1" applyBorder="1" applyAlignment="1">
      <alignment horizontal="left" wrapText="1"/>
    </xf>
    <xf numFmtId="0" fontId="25" fillId="3" borderId="4" xfId="2" applyFont="1" applyFill="1" applyBorder="1" applyAlignment="1">
      <alignment horizontal="left" vertical="top" wrapText="1"/>
    </xf>
    <xf numFmtId="0" fontId="26" fillId="0" borderId="4" xfId="2" applyFont="1" applyBorder="1" applyAlignment="1">
      <alignment horizontal="center" vertical="center" wrapText="1"/>
    </xf>
    <xf numFmtId="0" fontId="7" fillId="0" borderId="4" xfId="2" applyFont="1" applyBorder="1" applyAlignment="1">
      <alignment horizontal="center" vertical="center" wrapText="1"/>
    </xf>
    <xf numFmtId="0" fontId="5" fillId="2" borderId="4" xfId="2" applyFont="1" applyFill="1" applyBorder="1" applyAlignment="1">
      <alignment horizontal="left" vertical="top" wrapText="1" indent="1"/>
    </xf>
    <xf numFmtId="2" fontId="27" fillId="0" borderId="4" xfId="2" applyNumberFormat="1" applyFont="1" applyBorder="1" applyAlignment="1">
      <alignment horizontal="right" vertical="center" shrinkToFit="1"/>
    </xf>
    <xf numFmtId="2" fontId="28" fillId="0" borderId="4" xfId="2" applyNumberFormat="1" applyFont="1" applyBorder="1" applyAlignment="1">
      <alignment horizontal="right" vertical="center" shrinkToFit="1"/>
    </xf>
    <xf numFmtId="0" fontId="5" fillId="3" borderId="4" xfId="2" applyFont="1" applyFill="1" applyBorder="1" applyAlignment="1">
      <alignment horizontal="left" vertical="top" wrapText="1"/>
    </xf>
    <xf numFmtId="0" fontId="7" fillId="0" borderId="4" xfId="2" applyFont="1" applyFill="1" applyBorder="1" applyAlignment="1">
      <alignment horizontal="center" vertical="center" wrapText="1"/>
    </xf>
    <xf numFmtId="43" fontId="5" fillId="7" borderId="4" xfId="2" applyNumberFormat="1" applyFont="1" applyFill="1" applyBorder="1" applyAlignment="1">
      <alignment horizontal="left" wrapText="1"/>
    </xf>
    <xf numFmtId="0" fontId="2" fillId="0" borderId="0" xfId="2" applyAlignment="1">
      <alignment horizontal="left" vertical="top"/>
    </xf>
    <xf numFmtId="43" fontId="11" fillId="0" borderId="4" xfId="4" applyFont="1" applyBorder="1" applyAlignment="1">
      <alignment horizontal="right" wrapText="1"/>
    </xf>
    <xf numFmtId="43" fontId="8" fillId="0" borderId="4" xfId="4" applyFont="1" applyBorder="1" applyAlignment="1">
      <alignment horizontal="right" wrapText="1"/>
    </xf>
    <xf numFmtId="43" fontId="11" fillId="5" borderId="4" xfId="4" applyFont="1" applyFill="1" applyBorder="1" applyAlignment="1">
      <alignment horizontal="right" wrapText="1"/>
    </xf>
    <xf numFmtId="43" fontId="8" fillId="0" borderId="4" xfId="4" applyFont="1" applyFill="1" applyBorder="1" applyAlignment="1">
      <alignment horizontal="right" wrapText="1"/>
    </xf>
    <xf numFmtId="0" fontId="8" fillId="0" borderId="0" xfId="2" applyFont="1" applyAlignment="1">
      <alignment horizontal="left" vertical="top"/>
    </xf>
    <xf numFmtId="43" fontId="2" fillId="0" borderId="0" xfId="4" applyFont="1" applyAlignment="1">
      <alignment horizontal="left" vertical="top"/>
    </xf>
    <xf numFmtId="0" fontId="35" fillId="0" borderId="0" xfId="2" applyFont="1" applyAlignment="1">
      <alignment horizontal="left" vertical="top"/>
    </xf>
    <xf numFmtId="0" fontId="36" fillId="0" borderId="0" xfId="2" applyFont="1" applyAlignment="1">
      <alignment horizontal="left" vertical="top"/>
    </xf>
    <xf numFmtId="0" fontId="7" fillId="2" borderId="4" xfId="2" applyFont="1" applyFill="1" applyBorder="1" applyAlignment="1">
      <alignment horizontal="center" vertical="top" wrapText="1"/>
    </xf>
    <xf numFmtId="0" fontId="21" fillId="2" borderId="4" xfId="2" applyFont="1" applyFill="1" applyBorder="1" applyAlignment="1">
      <alignment horizontal="center" vertical="top" wrapText="1"/>
    </xf>
    <xf numFmtId="0" fontId="7" fillId="2" borderId="4" xfId="2" applyFont="1" applyFill="1" applyBorder="1" applyAlignment="1">
      <alignment horizontal="left" vertical="top" wrapText="1" indent="1"/>
    </xf>
    <xf numFmtId="0" fontId="21" fillId="3" borderId="4" xfId="2" applyFont="1" applyFill="1" applyBorder="1" applyAlignment="1">
      <alignment horizontal="center" vertical="top" wrapText="1"/>
    </xf>
    <xf numFmtId="43" fontId="11" fillId="0" borderId="4" xfId="4" applyFont="1" applyFill="1" applyBorder="1" applyAlignment="1">
      <alignment horizontal="right" wrapText="1"/>
    </xf>
    <xf numFmtId="0" fontId="15" fillId="0" borderId="4" xfId="2" applyFont="1" applyFill="1" applyBorder="1" applyAlignment="1">
      <alignment horizontal="center" vertical="center" wrapText="1"/>
    </xf>
    <xf numFmtId="0" fontId="6" fillId="2" borderId="4" xfId="2" applyFont="1" applyFill="1" applyBorder="1" applyAlignment="1">
      <alignment horizontal="left" vertical="top" wrapText="1"/>
    </xf>
    <xf numFmtId="0" fontId="5" fillId="2" borderId="4" xfId="2" applyFont="1" applyFill="1" applyBorder="1" applyAlignment="1">
      <alignment horizontal="left" vertical="center" wrapText="1"/>
    </xf>
    <xf numFmtId="43" fontId="5" fillId="0" borderId="4" xfId="4" applyFont="1" applyBorder="1" applyAlignment="1">
      <alignment horizontal="right" wrapText="1"/>
    </xf>
    <xf numFmtId="43" fontId="5" fillId="5" borderId="4" xfId="4" applyFont="1" applyFill="1" applyBorder="1" applyAlignment="1">
      <alignment horizontal="right" wrapText="1"/>
    </xf>
    <xf numFmtId="43" fontId="5" fillId="0" borderId="4" xfId="4" applyFont="1" applyFill="1" applyBorder="1" applyAlignment="1">
      <alignment horizontal="right" wrapText="1"/>
    </xf>
    <xf numFmtId="0" fontId="21" fillId="2" borderId="4" xfId="2" applyFont="1" applyFill="1" applyBorder="1" applyAlignment="1">
      <alignment horizontal="left" vertical="center" wrapText="1"/>
    </xf>
    <xf numFmtId="0" fontId="21" fillId="2" borderId="4" xfId="2" applyFont="1" applyFill="1" applyBorder="1" applyAlignment="1">
      <alignment horizontal="left" wrapText="1"/>
    </xf>
    <xf numFmtId="0" fontId="26" fillId="0" borderId="4" xfId="2" applyFont="1" applyFill="1" applyBorder="1" applyAlignment="1">
      <alignment horizontal="center" vertical="center" wrapText="1"/>
    </xf>
    <xf numFmtId="0" fontId="16" fillId="0" borderId="4" xfId="2" applyFont="1" applyFill="1" applyBorder="1" applyAlignment="1">
      <alignment horizontal="center" vertical="center" wrapText="1"/>
    </xf>
    <xf numFmtId="43" fontId="11" fillId="0" borderId="4" xfId="2" applyNumberFormat="1" applyFont="1" applyFill="1" applyBorder="1" applyAlignment="1">
      <alignment horizontal="left" wrapText="1"/>
    </xf>
    <xf numFmtId="165" fontId="13" fillId="0" borderId="0" xfId="3" applyNumberFormat="1" applyFont="1" applyAlignment="1">
      <alignment horizontal="left" vertical="top"/>
    </xf>
    <xf numFmtId="165" fontId="43" fillId="0" borderId="0" xfId="3" applyNumberFormat="1" applyFont="1" applyAlignment="1">
      <alignment horizontal="left" vertical="top"/>
    </xf>
    <xf numFmtId="166" fontId="2" fillId="0" borderId="0" xfId="2" applyNumberFormat="1" applyAlignment="1">
      <alignment horizontal="left" vertical="top"/>
    </xf>
    <xf numFmtId="43" fontId="48" fillId="0" borderId="0" xfId="5" applyNumberFormat="1" applyFont="1"/>
    <xf numFmtId="0" fontId="50" fillId="8" borderId="5" xfId="6" applyFont="1" applyFill="1" applyBorder="1" applyAlignment="1">
      <alignment horizontal="center" wrapText="1"/>
    </xf>
    <xf numFmtId="0" fontId="50" fillId="0" borderId="6" xfId="6" applyFont="1" applyBorder="1"/>
    <xf numFmtId="0" fontId="50" fillId="9" borderId="6" xfId="6" applyFont="1" applyFill="1" applyBorder="1"/>
    <xf numFmtId="0" fontId="48" fillId="0" borderId="0" xfId="5" applyFont="1"/>
    <xf numFmtId="0" fontId="51" fillId="0" borderId="6" xfId="7" applyFont="1" applyBorder="1" applyAlignment="1">
      <alignment wrapText="1"/>
    </xf>
    <xf numFmtId="43" fontId="48" fillId="10" borderId="0" xfId="5" applyNumberFormat="1" applyFont="1" applyFill="1"/>
    <xf numFmtId="43" fontId="48" fillId="0" borderId="0" xfId="4" applyFont="1"/>
    <xf numFmtId="43" fontId="2" fillId="0" borderId="0" xfId="2" applyNumberFormat="1" applyAlignment="1">
      <alignment horizontal="left" vertical="top"/>
    </xf>
    <xf numFmtId="43" fontId="0" fillId="0" borderId="7" xfId="4" applyFont="1" applyBorder="1" applyAlignment="1">
      <alignment horizontal="center"/>
    </xf>
    <xf numFmtId="167" fontId="2" fillId="0" borderId="0" xfId="2" applyNumberFormat="1" applyAlignment="1">
      <alignment horizontal="left" vertical="top"/>
    </xf>
    <xf numFmtId="39" fontId="52" fillId="0" borderId="8" xfId="3" applyNumberFormat="1" applyFont="1" applyFill="1" applyBorder="1"/>
    <xf numFmtId="43" fontId="14" fillId="4" borderId="4" xfId="1" applyFont="1" applyFill="1" applyBorder="1" applyAlignment="1">
      <alignment horizontal="left" wrapText="1"/>
    </xf>
    <xf numFmtId="0" fontId="13" fillId="2" borderId="4" xfId="2" applyFont="1" applyFill="1" applyBorder="1" applyAlignment="1">
      <alignment horizontal="center" vertical="top" wrapText="1"/>
    </xf>
    <xf numFmtId="0" fontId="22" fillId="2" borderId="4" xfId="2" applyFont="1" applyFill="1" applyBorder="1" applyAlignment="1">
      <alignment horizontal="left" vertical="top" wrapText="1" indent="1"/>
    </xf>
    <xf numFmtId="0" fontId="13" fillId="3" borderId="4" xfId="2" applyFont="1" applyFill="1" applyBorder="1" applyAlignment="1">
      <alignment horizontal="center" vertical="top" wrapText="1"/>
    </xf>
    <xf numFmtId="165" fontId="43" fillId="6" borderId="0" xfId="3" applyNumberFormat="1" applyFont="1" applyFill="1" applyAlignment="1">
      <alignment horizontal="left" vertical="top"/>
    </xf>
    <xf numFmtId="43" fontId="0" fillId="0" borderId="0" xfId="4" applyFont="1" applyBorder="1" applyAlignment="1">
      <alignment horizontal="center"/>
    </xf>
    <xf numFmtId="0" fontId="45" fillId="2" borderId="4" xfId="2" applyFont="1" applyFill="1" applyBorder="1" applyAlignment="1">
      <alignment horizontal="left" vertical="center" wrapText="1"/>
    </xf>
    <xf numFmtId="0" fontId="45" fillId="2" borderId="4" xfId="2" applyFont="1" applyFill="1" applyBorder="1" applyAlignment="1">
      <alignment horizontal="left" vertical="top" wrapText="1"/>
    </xf>
    <xf numFmtId="0" fontId="54" fillId="4" borderId="4" xfId="2" applyFont="1" applyFill="1" applyBorder="1" applyAlignment="1">
      <alignment horizontal="left" vertical="top" wrapText="1"/>
    </xf>
    <xf numFmtId="0" fontId="55" fillId="2" borderId="4" xfId="2" applyFont="1" applyFill="1" applyBorder="1" applyAlignment="1">
      <alignment horizontal="left" vertical="top" wrapText="1"/>
    </xf>
    <xf numFmtId="0" fontId="56" fillId="2" borderId="4" xfId="2" applyFont="1" applyFill="1" applyBorder="1" applyAlignment="1">
      <alignment horizontal="left" vertical="top" wrapText="1"/>
    </xf>
    <xf numFmtId="0" fontId="55" fillId="2" borderId="4" xfId="2" applyFont="1" applyFill="1" applyBorder="1" applyAlignment="1">
      <alignment horizontal="left" vertical="top" wrapText="1" indent="1"/>
    </xf>
    <xf numFmtId="43" fontId="8" fillId="5" borderId="4" xfId="4" applyFont="1" applyFill="1" applyBorder="1" applyAlignment="1">
      <alignment horizontal="right" wrapText="1"/>
    </xf>
    <xf numFmtId="0" fontId="54" fillId="3" borderId="4" xfId="2" applyFont="1" applyFill="1" applyBorder="1" applyAlignment="1">
      <alignment horizontal="left" vertical="top" wrapText="1"/>
    </xf>
    <xf numFmtId="0" fontId="55" fillId="3" borderId="4" xfId="2" applyFont="1" applyFill="1" applyBorder="1" applyAlignment="1">
      <alignment horizontal="left" vertical="top" wrapText="1"/>
    </xf>
    <xf numFmtId="0" fontId="56" fillId="2" borderId="4" xfId="2" applyFont="1" applyFill="1" applyBorder="1" applyAlignment="1">
      <alignment horizontal="left" vertical="top" wrapText="1" indent="1"/>
    </xf>
    <xf numFmtId="0" fontId="56" fillId="3" borderId="4" xfId="2" applyFont="1" applyFill="1" applyBorder="1" applyAlignment="1">
      <alignment horizontal="left" vertical="top" wrapText="1"/>
    </xf>
    <xf numFmtId="0" fontId="45" fillId="0" borderId="0" xfId="2" applyFont="1" applyAlignment="1">
      <alignment horizontal="left" vertical="top"/>
    </xf>
    <xf numFmtId="0" fontId="7" fillId="2" borderId="1" xfId="2" applyFont="1" applyFill="1" applyBorder="1" applyAlignment="1">
      <alignment horizontal="left" vertical="top" wrapText="1"/>
    </xf>
    <xf numFmtId="0" fontId="7" fillId="2" borderId="2" xfId="2" applyFont="1" applyFill="1" applyBorder="1" applyAlignment="1">
      <alignment horizontal="left" vertical="top" wrapText="1"/>
    </xf>
    <xf numFmtId="0" fontId="7" fillId="2" borderId="3" xfId="2" applyFont="1" applyFill="1" applyBorder="1" applyAlignment="1">
      <alignment horizontal="left" vertical="top" wrapText="1"/>
    </xf>
    <xf numFmtId="0" fontId="9" fillId="0" borderId="1" xfId="2" applyFont="1" applyBorder="1" applyAlignment="1">
      <alignment horizontal="left" vertical="top" wrapText="1"/>
    </xf>
    <xf numFmtId="0" fontId="9" fillId="0" borderId="2" xfId="2" applyFont="1" applyBorder="1" applyAlignment="1">
      <alignment horizontal="left" vertical="top" wrapText="1"/>
    </xf>
    <xf numFmtId="0" fontId="9" fillId="0" borderId="3" xfId="2" applyFont="1" applyBorder="1" applyAlignment="1">
      <alignment horizontal="left" vertical="top" wrapText="1"/>
    </xf>
    <xf numFmtId="0" fontId="26" fillId="2" borderId="1" xfId="2" applyFont="1" applyFill="1" applyBorder="1" applyAlignment="1">
      <alignment horizontal="left" vertical="top" wrapText="1"/>
    </xf>
    <xf numFmtId="0" fontId="26" fillId="2" borderId="2" xfId="2" applyFont="1" applyFill="1" applyBorder="1" applyAlignment="1">
      <alignment horizontal="left" vertical="top" wrapText="1"/>
    </xf>
    <xf numFmtId="0" fontId="26" fillId="2" borderId="3" xfId="2" applyFont="1" applyFill="1" applyBorder="1" applyAlignment="1">
      <alignment horizontal="left" vertical="top" wrapText="1"/>
    </xf>
    <xf numFmtId="0" fontId="2" fillId="2" borderId="1" xfId="2" applyFill="1" applyBorder="1" applyAlignment="1">
      <alignment horizontal="left" vertical="top" wrapText="1"/>
    </xf>
    <xf numFmtId="0" fontId="2" fillId="2" borderId="2" xfId="2" applyFill="1" applyBorder="1" applyAlignment="1">
      <alignment horizontal="left" vertical="top" wrapText="1"/>
    </xf>
    <xf numFmtId="0" fontId="2" fillId="2" borderId="3" xfId="2" applyFill="1" applyBorder="1" applyAlignment="1">
      <alignment horizontal="left" vertical="top" wrapText="1"/>
    </xf>
    <xf numFmtId="0" fontId="5" fillId="2" borderId="1" xfId="2" applyFont="1" applyFill="1" applyBorder="1" applyAlignment="1">
      <alignment horizontal="left" vertical="top" wrapText="1"/>
    </xf>
    <xf numFmtId="0" fontId="5" fillId="2" borderId="3" xfId="2" applyFont="1" applyFill="1" applyBorder="1" applyAlignment="1">
      <alignment horizontal="left" vertical="top" wrapText="1"/>
    </xf>
    <xf numFmtId="0" fontId="5" fillId="2" borderId="2" xfId="2" applyFont="1" applyFill="1" applyBorder="1" applyAlignment="1">
      <alignment horizontal="left" vertical="top" wrapText="1"/>
    </xf>
    <xf numFmtId="0" fontId="21" fillId="2" borderId="2" xfId="2" applyFont="1" applyFill="1" applyBorder="1" applyAlignment="1">
      <alignment horizontal="left" vertical="top" wrapText="1"/>
    </xf>
    <xf numFmtId="0" fontId="21" fillId="2" borderId="3" xfId="2" applyFont="1" applyFill="1" applyBorder="1" applyAlignment="1">
      <alignment horizontal="left" vertical="top" wrapText="1"/>
    </xf>
    <xf numFmtId="0" fontId="7" fillId="0" borderId="1" xfId="2" applyFont="1" applyBorder="1" applyAlignment="1">
      <alignment horizontal="left" vertical="top" wrapText="1"/>
    </xf>
    <xf numFmtId="0" fontId="7" fillId="0" borderId="2" xfId="2" applyFont="1" applyBorder="1" applyAlignment="1">
      <alignment horizontal="left" vertical="top" wrapText="1"/>
    </xf>
    <xf numFmtId="0" fontId="7" fillId="0" borderId="3" xfId="2" applyFont="1" applyBorder="1" applyAlignment="1">
      <alignment horizontal="left" vertical="top" wrapText="1"/>
    </xf>
    <xf numFmtId="0" fontId="18" fillId="2" borderId="1" xfId="2" applyFont="1" applyFill="1" applyBorder="1" applyAlignment="1">
      <alignment horizontal="left" vertical="top" wrapText="1"/>
    </xf>
    <xf numFmtId="0" fontId="18" fillId="2" borderId="2" xfId="2" applyFont="1" applyFill="1" applyBorder="1" applyAlignment="1">
      <alignment horizontal="left" vertical="top" wrapText="1"/>
    </xf>
    <xf numFmtId="0" fontId="18" fillId="2" borderId="3" xfId="2" applyFont="1" applyFill="1" applyBorder="1" applyAlignment="1">
      <alignment horizontal="left" vertical="top" wrapText="1"/>
    </xf>
    <xf numFmtId="0" fontId="45" fillId="2" borderId="1" xfId="2" applyFont="1" applyFill="1" applyBorder="1" applyAlignment="1">
      <alignment horizontal="left" vertical="top" wrapText="1"/>
    </xf>
    <xf numFmtId="0" fontId="45" fillId="2" borderId="2" xfId="2" applyFont="1" applyFill="1" applyBorder="1" applyAlignment="1">
      <alignment horizontal="left" vertical="top" wrapText="1"/>
    </xf>
    <xf numFmtId="0" fontId="45" fillId="2" borderId="3" xfId="2" applyFont="1" applyFill="1" applyBorder="1" applyAlignment="1">
      <alignment horizontal="left" vertical="top" wrapText="1"/>
    </xf>
    <xf numFmtId="0" fontId="20" fillId="2" borderId="1" xfId="2" applyFont="1" applyFill="1" applyBorder="1" applyAlignment="1">
      <alignment horizontal="left" vertical="top" wrapText="1"/>
    </xf>
    <xf numFmtId="0" fontId="20" fillId="2" borderId="2" xfId="2" applyFont="1" applyFill="1" applyBorder="1" applyAlignment="1">
      <alignment horizontal="left" vertical="top" wrapText="1"/>
    </xf>
    <xf numFmtId="0" fontId="20" fillId="2" borderId="3" xfId="2" applyFont="1" applyFill="1" applyBorder="1" applyAlignment="1">
      <alignment horizontal="left" vertical="top" wrapText="1"/>
    </xf>
    <xf numFmtId="0" fontId="3" fillId="2" borderId="1" xfId="2" applyFont="1" applyFill="1" applyBorder="1" applyAlignment="1">
      <alignment horizontal="left" vertical="top" wrapText="1"/>
    </xf>
    <xf numFmtId="0" fontId="3" fillId="2" borderId="2" xfId="2" applyFont="1" applyFill="1" applyBorder="1" applyAlignment="1">
      <alignment horizontal="left" vertical="top" wrapText="1"/>
    </xf>
    <xf numFmtId="0" fontId="3" fillId="2" borderId="3" xfId="2" applyFont="1" applyFill="1" applyBorder="1" applyAlignment="1">
      <alignment horizontal="left" vertical="top" wrapText="1"/>
    </xf>
    <xf numFmtId="0" fontId="5" fillId="2" borderId="1" xfId="2" applyFont="1" applyFill="1" applyBorder="1" applyAlignment="1">
      <alignment horizontal="left" vertical="top" wrapText="1"/>
    </xf>
    <xf numFmtId="0" fontId="5" fillId="2" borderId="3" xfId="2" applyFont="1" applyFill="1" applyBorder="1" applyAlignment="1">
      <alignment horizontal="left" vertical="top" wrapText="1"/>
    </xf>
    <xf numFmtId="0" fontId="6" fillId="2" borderId="1" xfId="2" applyFont="1" applyFill="1" applyBorder="1" applyAlignment="1">
      <alignment horizontal="left" vertical="top" wrapText="1"/>
    </xf>
    <xf numFmtId="0" fontId="5" fillId="2" borderId="2" xfId="2" applyFont="1" applyFill="1" applyBorder="1" applyAlignment="1">
      <alignment horizontal="left" vertical="top" wrapText="1"/>
    </xf>
    <xf numFmtId="0" fontId="7" fillId="2" borderId="1" xfId="2" applyFont="1" applyFill="1" applyBorder="1" applyAlignment="1">
      <alignment horizontal="left" vertical="top" wrapText="1"/>
    </xf>
    <xf numFmtId="0" fontId="7" fillId="2" borderId="2" xfId="2" applyFont="1" applyFill="1" applyBorder="1" applyAlignment="1">
      <alignment horizontal="left" vertical="top" wrapText="1"/>
    </xf>
    <xf numFmtId="0" fontId="7" fillId="2" borderId="3" xfId="2" applyFont="1" applyFill="1" applyBorder="1" applyAlignment="1">
      <alignment horizontal="left" vertical="top" wrapText="1"/>
    </xf>
    <xf numFmtId="0" fontId="2" fillId="2" borderId="1" xfId="2" applyFill="1" applyBorder="1" applyAlignment="1">
      <alignment horizontal="left" vertical="top" wrapText="1"/>
    </xf>
    <xf numFmtId="0" fontId="2" fillId="2" borderId="2" xfId="2" applyFill="1" applyBorder="1" applyAlignment="1">
      <alignment horizontal="left" vertical="top" wrapText="1"/>
    </xf>
    <xf numFmtId="0" fontId="2" fillId="2" borderId="3" xfId="2" applyFill="1" applyBorder="1" applyAlignment="1">
      <alignment horizontal="left" vertical="top" wrapText="1"/>
    </xf>
    <xf numFmtId="0" fontId="21" fillId="2" borderId="1" xfId="2" applyFont="1" applyFill="1" applyBorder="1" applyAlignment="1">
      <alignment horizontal="left" vertical="top" wrapText="1"/>
    </xf>
    <xf numFmtId="0" fontId="21" fillId="2" borderId="2" xfId="2" applyFont="1" applyFill="1" applyBorder="1" applyAlignment="1">
      <alignment horizontal="left" vertical="top" wrapText="1"/>
    </xf>
    <xf numFmtId="0" fontId="21" fillId="2" borderId="3" xfId="2" applyFont="1" applyFill="1" applyBorder="1" applyAlignment="1">
      <alignment horizontal="left" vertical="top" wrapText="1"/>
    </xf>
    <xf numFmtId="0" fontId="8" fillId="2" borderId="1" xfId="2" applyFont="1" applyFill="1" applyBorder="1" applyAlignment="1">
      <alignment horizontal="left" vertical="top" wrapText="1"/>
    </xf>
    <xf numFmtId="0" fontId="8" fillId="2" borderId="3" xfId="2" applyFont="1" applyFill="1" applyBorder="1" applyAlignment="1">
      <alignment horizontal="left" vertical="top" wrapText="1"/>
    </xf>
    <xf numFmtId="0" fontId="4" fillId="2" borderId="1" xfId="2" applyFont="1" applyFill="1" applyBorder="1" applyAlignment="1">
      <alignment horizontal="left" vertical="top" wrapText="1"/>
    </xf>
    <xf numFmtId="0" fontId="8" fillId="2" borderId="2" xfId="2" applyFont="1" applyFill="1" applyBorder="1" applyAlignment="1">
      <alignment horizontal="left" vertical="top" wrapText="1"/>
    </xf>
    <xf numFmtId="0" fontId="10" fillId="2" borderId="1" xfId="2" applyFont="1" applyFill="1" applyBorder="1" applyAlignment="1">
      <alignment horizontal="left" vertical="top" wrapText="1"/>
    </xf>
    <xf numFmtId="0" fontId="10" fillId="2" borderId="2" xfId="2" applyFont="1" applyFill="1" applyBorder="1" applyAlignment="1">
      <alignment horizontal="left" vertical="top" wrapText="1"/>
    </xf>
    <xf numFmtId="0" fontId="10" fillId="2" borderId="3" xfId="2" applyFont="1" applyFill="1" applyBorder="1" applyAlignment="1">
      <alignment horizontal="left" vertical="top" wrapText="1"/>
    </xf>
    <xf numFmtId="0" fontId="21" fillId="2" borderId="1" xfId="2" applyFont="1" applyFill="1" applyBorder="1" applyAlignment="1">
      <alignment horizontal="left" vertical="top"/>
    </xf>
    <xf numFmtId="0" fontId="5" fillId="2" borderId="1" xfId="2" applyFont="1" applyFill="1" applyBorder="1" applyAlignment="1">
      <alignment horizontal="left" vertical="top"/>
    </xf>
    <xf numFmtId="0" fontId="15" fillId="2" borderId="1" xfId="2" applyFont="1" applyFill="1" applyBorder="1" applyAlignment="1">
      <alignment horizontal="left" vertical="top" wrapText="1"/>
    </xf>
    <xf numFmtId="0" fontId="45" fillId="2" borderId="1" xfId="2" applyFont="1" applyFill="1" applyBorder="1" applyAlignment="1">
      <alignment horizontal="left" vertical="top"/>
    </xf>
    <xf numFmtId="0" fontId="2" fillId="2" borderId="1" xfId="2" applyFill="1" applyBorder="1" applyAlignment="1">
      <alignment horizontal="left" vertical="top"/>
    </xf>
  </cellXfs>
  <cellStyles count="8">
    <cellStyle name="Comma" xfId="1" builtinId="3"/>
    <cellStyle name="Comma 2" xfId="4" xr:uid="{14050F26-C3FD-46C3-845C-B83B54CB60A8}"/>
    <cellStyle name="Currency 2" xfId="3" xr:uid="{86DACBA5-9B16-4427-8528-25F093396ED2}"/>
    <cellStyle name="Normal" xfId="0" builtinId="0"/>
    <cellStyle name="Normal 2" xfId="5" xr:uid="{39C6C286-6657-4F19-89CE-3E8AC7FEACA3}"/>
    <cellStyle name="Normal 29" xfId="2" xr:uid="{02E7EBF7-57EC-4667-ABCF-CAB5C1CABA18}"/>
    <cellStyle name="Normal_data" xfId="6" xr:uid="{BA2AFCB6-A4D8-4BAF-B782-6705A2A67251}"/>
    <cellStyle name="Normal_Data_2" xfId="7" xr:uid="{0B532B0E-FDE0-42AD-920A-A2C35B49CC71}"/>
  </cellStyles>
  <dxfs count="3">
    <dxf>
      <fill>
        <patternFill>
          <bgColor indexed="45"/>
        </patternFill>
      </fill>
    </dxf>
    <dxf>
      <fill>
        <patternFill>
          <bgColor indexed="45"/>
        </patternFill>
      </fill>
    </dxf>
    <dxf>
      <fill>
        <patternFill>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P:\FSReports\CHILD%20CARE\Reports\ACF-696\2023\1st%20Quarter\ACF-696%20-%201st%20Qtr%202023%20-%2012-31-22.xlsx" TargetMode="External"/><Relationship Id="rId1" Type="http://schemas.openxmlformats.org/officeDocument/2006/relationships/externalLinkPath" Target="/FSReports/CHILD%20CARE/Reports/ACF-696/2023/1st%20Quarter/ACF-696%20-%201st%20Qtr%202023%20-%2012-31-2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FSReports\CHILD%20CARE\Reports\ACF-696\2022\4th%20Quarter\ACF-696%20-%204thQtr%202022%20As%20of%209-30-22.xlsx" TargetMode="External"/><Relationship Id="rId1" Type="http://schemas.openxmlformats.org/officeDocument/2006/relationships/externalLinkPath" Target="/FSReports/CHILD%20CARE/Reports/ACF-696/2022/4th%20Quarter/ACF-696%20-%204thQtr%202022%20As%20of%209-30-2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P:\FSReports\CHILD%20CARE\Reports\ACF-696\2022\3rd%20Quarter\ACF-696%20-%203rd%20Qtr%202022%20As%20of%206-30-22.xlsx" TargetMode="External"/><Relationship Id="rId1" Type="http://schemas.openxmlformats.org/officeDocument/2006/relationships/externalLinkPath" Target="/FSReports/CHILD%20CARE/Reports/ACF-696/2022/3rd%20Quarter/ACF-696%20-%203rd%20Qtr%202022%20As%20of%206-30-2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P:\FSReports\CHILD%20CARE\Reports\ACF-696\2022\2nd%20Quarter\ACF-696%20-%202nd%20Qtr%202022%20As%20of%203-31-22.xlsx" TargetMode="External"/><Relationship Id="rId1" Type="http://schemas.openxmlformats.org/officeDocument/2006/relationships/externalLinkPath" Target="/FSReports/CHILD%20CARE/Reports/ACF-696/2022/2nd%20Quarter/ACF-696%20-%202nd%20Qtr%202022%20As%20of%203-31-2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P:\FSReports\CHILD%20CARE\Reports\ACF-696\2022\1st%20Quarter\ACF-696%20-%201st%20Qtr%202022%20As%20of%2012-31-21.xlsx" TargetMode="External"/><Relationship Id="rId1" Type="http://schemas.openxmlformats.org/officeDocument/2006/relationships/externalLinkPath" Target="/FSReports/CHILD%20CARE/Reports/ACF-696/2022/1st%20Quarter/ACF-696%20-%201st%20Qtr%202022%20As%20of%2012-31-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96-19 x-ref"/>
      <sheetName val="696-20 x-ref"/>
      <sheetName val="696-21 x-ref "/>
      <sheetName val="Approval"/>
      <sheetName val="New-23 x-ref "/>
      <sheetName val="New-21 x-ref"/>
      <sheetName val="New-22 x-ref "/>
      <sheetName val="2019"/>
      <sheetName val="2023"/>
      <sheetName val="2021"/>
      <sheetName val="2022"/>
      <sheetName val="Data"/>
      <sheetName val="2019 Certs Recd"/>
      <sheetName val="2023 Certs Recd"/>
      <sheetName val="2021 Certs Recd "/>
      <sheetName val="2021 Certs Recd  (7.15.22)"/>
      <sheetName val="2022 Certs Recd  "/>
      <sheetName val="TEA Cert Summary"/>
      <sheetName val="TEA Cert New"/>
      <sheetName val="Accrual"/>
      <sheetName val="Encumb - Obl check"/>
      <sheetName val="Request Amounts"/>
      <sheetName val="Reallotted match"/>
      <sheetName val="Summary"/>
      <sheetName val="Total Payments Amounts (TPA)"/>
      <sheetName val="17 certifications"/>
    </sheetNames>
    <sheetDataSet>
      <sheetData sheetId="0"/>
      <sheetData sheetId="1"/>
      <sheetData sheetId="2"/>
      <sheetData sheetId="3"/>
      <sheetData sheetId="4">
        <row r="2">
          <cell r="G2" t="str">
            <v>Current Quarter Ended: 12/31/22</v>
          </cell>
          <cell r="H2"/>
          <cell r="I2"/>
          <cell r="J2"/>
          <cell r="K2"/>
        </row>
        <row r="3">
          <cell r="G3" t="str">
            <v>Next Quarter Beginning: 4/01/23</v>
          </cell>
          <cell r="H3"/>
          <cell r="I3"/>
          <cell r="J3"/>
          <cell r="K3"/>
        </row>
      </sheetData>
      <sheetData sheetId="5"/>
      <sheetData sheetId="6"/>
      <sheetData sheetId="7"/>
      <sheetData sheetId="8"/>
      <sheetData sheetId="9">
        <row r="75">
          <cell r="L75">
            <v>0</v>
          </cell>
        </row>
        <row r="86">
          <cell r="N86">
            <v>0</v>
          </cell>
        </row>
        <row r="87">
          <cell r="N87">
            <v>0</v>
          </cell>
        </row>
      </sheetData>
      <sheetData sheetId="10">
        <row r="71">
          <cell r="L71">
            <v>0</v>
          </cell>
          <cell r="N71"/>
        </row>
        <row r="72">
          <cell r="L72">
            <v>0</v>
          </cell>
          <cell r="N72">
            <v>0</v>
          </cell>
        </row>
        <row r="73">
          <cell r="N73">
            <v>0</v>
          </cell>
        </row>
        <row r="77">
          <cell r="L77">
            <v>0</v>
          </cell>
          <cell r="N77">
            <v>0</v>
          </cell>
        </row>
        <row r="78">
          <cell r="L78">
            <v>0</v>
          </cell>
        </row>
        <row r="79">
          <cell r="L79">
            <v>0</v>
          </cell>
        </row>
        <row r="80">
          <cell r="L80">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96-19 x-ref"/>
      <sheetName val="696-20 x-ref"/>
      <sheetName val="696-21 x-ref "/>
      <sheetName val="Approval"/>
      <sheetName val="New-20 x-ref "/>
      <sheetName val="New-21 x-ref"/>
      <sheetName val="New-22 x-ref "/>
      <sheetName val="2019"/>
      <sheetName val="2020"/>
      <sheetName val="2021"/>
      <sheetName val="2022"/>
      <sheetName val="Data"/>
      <sheetName val="2019 Certs Recd"/>
      <sheetName val="2020 Certs Recd"/>
      <sheetName val="2020 Certs Recd (Details)"/>
      <sheetName val="2020 Certs Recd (9.30.21)"/>
      <sheetName val="2021 Certs Recd "/>
      <sheetName val="2021 Certs Recd  (7.15.22)"/>
      <sheetName val="2022 Certs Recd  "/>
      <sheetName val="TEA Cert Summary"/>
      <sheetName val="TEA Cert New"/>
      <sheetName val="Accrual"/>
      <sheetName val="Encumb - Obl check"/>
      <sheetName val="Request Amounts"/>
      <sheetName val="Reallotted match"/>
      <sheetName val="6474 Summary"/>
      <sheetName val="CCSIR Corrections"/>
      <sheetName val="ACF-696 Recap"/>
      <sheetName val="Summary"/>
      <sheetName val="Total Payments Amounts (TPA)"/>
      <sheetName val="17 certifications"/>
    </sheetNames>
    <sheetDataSet>
      <sheetData sheetId="0"/>
      <sheetData sheetId="1"/>
      <sheetData sheetId="2"/>
      <sheetData sheetId="3"/>
      <sheetData sheetId="4"/>
      <sheetData sheetId="5"/>
      <sheetData sheetId="6"/>
      <sheetData sheetId="7"/>
      <sheetData sheetId="8"/>
      <sheetData sheetId="9">
        <row r="75">
          <cell r="L75">
            <v>0</v>
          </cell>
        </row>
        <row r="86">
          <cell r="N86">
            <v>0</v>
          </cell>
        </row>
        <row r="87">
          <cell r="N87">
            <v>0</v>
          </cell>
        </row>
      </sheetData>
      <sheetData sheetId="10">
        <row r="71">
          <cell r="L71">
            <v>0</v>
          </cell>
          <cell r="N71"/>
        </row>
        <row r="72">
          <cell r="L72">
            <v>0</v>
          </cell>
          <cell r="N72">
            <v>0</v>
          </cell>
        </row>
        <row r="73">
          <cell r="N73">
            <v>0</v>
          </cell>
        </row>
        <row r="77">
          <cell r="L77">
            <v>0</v>
          </cell>
          <cell r="N77">
            <v>0</v>
          </cell>
        </row>
        <row r="78">
          <cell r="L78">
            <v>0</v>
          </cell>
        </row>
        <row r="79">
          <cell r="L79">
            <v>0</v>
          </cell>
        </row>
        <row r="80">
          <cell r="L80">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96-19 x-ref"/>
      <sheetName val="696-20 x-ref"/>
      <sheetName val="696-21 x-ref "/>
      <sheetName val="Approval"/>
      <sheetName val="New-20 x-ref "/>
      <sheetName val="New-21 x-ref"/>
      <sheetName val="New-22 x-ref "/>
      <sheetName val="2019"/>
      <sheetName val="2020"/>
      <sheetName val="2021"/>
      <sheetName val="2022"/>
      <sheetName val="Data"/>
      <sheetName val="2019 Certs Recd"/>
      <sheetName val="2020 Certs Recd"/>
      <sheetName val="2020 Certs Recd (Details)"/>
      <sheetName val="2020 Certs Recd (9.30.21)"/>
      <sheetName val="2021 Certs Recd "/>
      <sheetName val="2021 Certs Recd  (7.15.22)"/>
      <sheetName val="2022 Certs Recd  "/>
      <sheetName val="TEA Cert Summary"/>
      <sheetName val="TEA Cert New"/>
      <sheetName val="Accrual"/>
      <sheetName val="Encumb - Obl check"/>
      <sheetName val="Request Amounts"/>
      <sheetName val="Reallotted match"/>
      <sheetName val="216474 Detail"/>
      <sheetName val="CCRELIEF Obligation"/>
      <sheetName val="CCRELIEF Pmt Detail"/>
      <sheetName val="17 certifications"/>
    </sheetNames>
    <sheetDataSet>
      <sheetData sheetId="0"/>
      <sheetData sheetId="1"/>
      <sheetData sheetId="2"/>
      <sheetData sheetId="3"/>
      <sheetData sheetId="4"/>
      <sheetData sheetId="5"/>
      <sheetData sheetId="6"/>
      <sheetData sheetId="7"/>
      <sheetData sheetId="8"/>
      <sheetData sheetId="9">
        <row r="75">
          <cell r="L75">
            <v>0</v>
          </cell>
        </row>
        <row r="86">
          <cell r="N86">
            <v>0</v>
          </cell>
        </row>
        <row r="87">
          <cell r="N87">
            <v>0</v>
          </cell>
        </row>
      </sheetData>
      <sheetData sheetId="10">
        <row r="71">
          <cell r="L71">
            <v>0</v>
          </cell>
          <cell r="N71"/>
        </row>
        <row r="72">
          <cell r="L72">
            <v>0</v>
          </cell>
          <cell r="N72">
            <v>0</v>
          </cell>
        </row>
        <row r="73">
          <cell r="N73">
            <v>0</v>
          </cell>
        </row>
        <row r="77">
          <cell r="L77">
            <v>0</v>
          </cell>
          <cell r="N77">
            <v>0</v>
          </cell>
        </row>
        <row r="78">
          <cell r="L78">
            <v>0</v>
          </cell>
        </row>
        <row r="79">
          <cell r="L79">
            <v>0</v>
          </cell>
        </row>
        <row r="80">
          <cell r="L80">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96-19 x-ref"/>
      <sheetName val="696-20 x-ref"/>
      <sheetName val="696-21 x-ref "/>
      <sheetName val="Approval"/>
      <sheetName val="New-20 x-ref "/>
      <sheetName val="New-21 x-ref"/>
      <sheetName val="New-22 x-ref "/>
      <sheetName val="2019"/>
      <sheetName val="2020"/>
      <sheetName val="2021"/>
      <sheetName val="2022"/>
      <sheetName val="Data"/>
      <sheetName val="2019 Certs Recd"/>
      <sheetName val="2020 Certs Recd"/>
      <sheetName val="2020 Certs Recd (Details)"/>
      <sheetName val="2020 Certs Recd (9.30.21)"/>
      <sheetName val="2021 Certs Recd "/>
      <sheetName val="2021 Certs Recd  (4.29.22)"/>
      <sheetName val="2022 Certs Recd  "/>
      <sheetName val="TEA Cert Summary"/>
      <sheetName val="TEA Cert New"/>
      <sheetName val="Accrual"/>
      <sheetName val="Encumb - Obl check"/>
      <sheetName val="Request Amounts"/>
      <sheetName val="Reallotted match"/>
      <sheetName val="216474 Detail"/>
      <sheetName val="CCRELIEF Providers Obligation"/>
      <sheetName val="17 certifications"/>
    </sheetNames>
    <sheetDataSet>
      <sheetData sheetId="0"/>
      <sheetData sheetId="1"/>
      <sheetData sheetId="2"/>
      <sheetData sheetId="3"/>
      <sheetData sheetId="4"/>
      <sheetData sheetId="5"/>
      <sheetData sheetId="6"/>
      <sheetData sheetId="7"/>
      <sheetData sheetId="8"/>
      <sheetData sheetId="9">
        <row r="75">
          <cell r="L75">
            <v>0</v>
          </cell>
        </row>
        <row r="86">
          <cell r="N86">
            <v>0</v>
          </cell>
        </row>
        <row r="87">
          <cell r="N87">
            <v>0</v>
          </cell>
        </row>
      </sheetData>
      <sheetData sheetId="10">
        <row r="71">
          <cell r="L71">
            <v>0</v>
          </cell>
          <cell r="N71"/>
        </row>
        <row r="72">
          <cell r="L72">
            <v>0</v>
          </cell>
          <cell r="N72">
            <v>0</v>
          </cell>
        </row>
        <row r="73">
          <cell r="N73">
            <v>0</v>
          </cell>
        </row>
        <row r="77">
          <cell r="L77">
            <v>0</v>
          </cell>
          <cell r="N77">
            <v>0</v>
          </cell>
        </row>
        <row r="78">
          <cell r="L78">
            <v>0</v>
          </cell>
        </row>
        <row r="79">
          <cell r="L79">
            <v>0</v>
          </cell>
        </row>
        <row r="80">
          <cell r="L80">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96-19 x-ref"/>
      <sheetName val="696-20 x-ref"/>
      <sheetName val="696-21 x-ref "/>
      <sheetName val="Approval"/>
      <sheetName val="New-20 x-ref "/>
      <sheetName val="New-21 x-ref"/>
      <sheetName val="New-22 x-ref "/>
      <sheetName val="2019"/>
      <sheetName val="2020"/>
      <sheetName val="2021"/>
      <sheetName val="2022"/>
      <sheetName val="Data"/>
      <sheetName val="2019 Certs Recd"/>
      <sheetName val="2020 Certs Recd"/>
      <sheetName val="2020 Certs Recd (Details)"/>
      <sheetName val="2020 Certs Recd (9.30.21)"/>
      <sheetName val="2021 Certs Recd "/>
      <sheetName val="2022 Certs Recd  "/>
      <sheetName val="TEA Cert Summary"/>
      <sheetName val="TEA Cert New"/>
      <sheetName val="Accrual"/>
      <sheetName val="Encumb - Obl check"/>
      <sheetName val="Request Amounts"/>
      <sheetName val="Reallotted match"/>
      <sheetName val="17 certifications"/>
    </sheetNames>
    <sheetDataSet>
      <sheetData sheetId="0"/>
      <sheetData sheetId="1"/>
      <sheetData sheetId="2"/>
      <sheetData sheetId="3"/>
      <sheetData sheetId="4"/>
      <sheetData sheetId="5"/>
      <sheetData sheetId="6"/>
      <sheetData sheetId="7"/>
      <sheetData sheetId="8"/>
      <sheetData sheetId="9">
        <row r="73">
          <cell r="L73">
            <v>0</v>
          </cell>
        </row>
        <row r="81">
          <cell r="N81">
            <v>0</v>
          </cell>
        </row>
        <row r="82">
          <cell r="N82">
            <v>0</v>
          </cell>
        </row>
        <row r="83">
          <cell r="N83">
            <v>0</v>
          </cell>
        </row>
        <row r="84">
          <cell r="N84">
            <v>0</v>
          </cell>
        </row>
      </sheetData>
      <sheetData sheetId="10">
        <row r="71">
          <cell r="L71">
            <v>0</v>
          </cell>
          <cell r="N71"/>
        </row>
        <row r="72">
          <cell r="L72">
            <v>0</v>
          </cell>
          <cell r="N72">
            <v>0</v>
          </cell>
        </row>
        <row r="73">
          <cell r="N73">
            <v>0</v>
          </cell>
        </row>
        <row r="77">
          <cell r="L77">
            <v>0</v>
          </cell>
          <cell r="N77">
            <v>0</v>
          </cell>
        </row>
        <row r="78">
          <cell r="L78">
            <v>0</v>
          </cell>
        </row>
        <row r="79">
          <cell r="L79">
            <v>0</v>
          </cell>
        </row>
        <row r="80">
          <cell r="L80">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B017-C46A-4BCA-976F-2DFCA262A558}">
  <dimension ref="A1:K43"/>
  <sheetViews>
    <sheetView tabSelected="1" view="pageBreakPreview" topLeftCell="A33" zoomScale="80" zoomScaleNormal="80" zoomScaleSheetLayoutView="80" workbookViewId="0">
      <selection activeCell="B3" sqref="B3"/>
    </sheetView>
  </sheetViews>
  <sheetFormatPr defaultRowHeight="14.4" x14ac:dyDescent="0.3"/>
  <cols>
    <col min="1" max="1" width="28.44140625" customWidth="1"/>
    <col min="2" max="2" width="22.6640625" bestFit="1" customWidth="1"/>
    <col min="3" max="3" width="29.109375" bestFit="1" customWidth="1"/>
    <col min="4" max="4" width="19.44140625" bestFit="1" customWidth="1"/>
    <col min="5" max="5" width="14" bestFit="1" customWidth="1"/>
    <col min="6" max="6" width="20.33203125" customWidth="1"/>
    <col min="7" max="7" width="20.88671875" customWidth="1"/>
    <col min="8" max="8" width="20.109375" customWidth="1"/>
    <col min="9" max="9" width="21.6640625" customWidth="1"/>
    <col min="10" max="10" width="19.88671875" customWidth="1"/>
    <col min="11" max="11" width="19.6640625" customWidth="1"/>
  </cols>
  <sheetData>
    <row r="1" spans="1:11" ht="19.5" customHeight="1" x14ac:dyDescent="0.3">
      <c r="A1" s="164" t="s">
        <v>33</v>
      </c>
      <c r="B1" s="165"/>
      <c r="C1" s="165"/>
      <c r="D1" s="165"/>
      <c r="E1" s="165"/>
      <c r="F1" s="165"/>
      <c r="G1" s="165"/>
      <c r="H1" s="165"/>
      <c r="I1" s="165"/>
      <c r="J1" s="165"/>
      <c r="K1" s="166"/>
    </row>
    <row r="2" spans="1:11" ht="26.25" customHeight="1" x14ac:dyDescent="0.3">
      <c r="A2" s="1" t="s">
        <v>34</v>
      </c>
      <c r="B2" s="167" t="s">
        <v>58</v>
      </c>
      <c r="C2" s="168"/>
      <c r="D2" s="169" t="s">
        <v>35</v>
      </c>
      <c r="E2" s="170"/>
      <c r="F2" s="168"/>
      <c r="G2" s="171" t="s">
        <v>0</v>
      </c>
      <c r="H2" s="172"/>
      <c r="I2" s="172"/>
      <c r="J2" s="172"/>
      <c r="K2" s="173"/>
    </row>
    <row r="3" spans="1:11" ht="18" customHeight="1" x14ac:dyDescent="0.3">
      <c r="A3" s="2"/>
      <c r="B3" s="188" t="s">
        <v>59</v>
      </c>
      <c r="C3" s="149"/>
      <c r="D3" s="149"/>
      <c r="E3" s="149"/>
      <c r="F3" s="148"/>
      <c r="G3" s="171" t="s">
        <v>1</v>
      </c>
      <c r="H3" s="172"/>
      <c r="I3" s="172"/>
      <c r="J3" s="172"/>
      <c r="K3" s="173"/>
    </row>
    <row r="4" spans="1:11" x14ac:dyDescent="0.3">
      <c r="A4" s="138" t="s">
        <v>36</v>
      </c>
      <c r="B4" s="139"/>
      <c r="C4" s="139"/>
      <c r="D4" s="139"/>
      <c r="E4" s="139"/>
      <c r="F4" s="139"/>
      <c r="G4" s="139"/>
      <c r="H4" s="140"/>
      <c r="I4" s="3"/>
      <c r="J4" s="3"/>
      <c r="K4" s="3"/>
    </row>
    <row r="5" spans="1:11" ht="51" x14ac:dyDescent="0.3">
      <c r="A5" s="4"/>
      <c r="B5" s="28" t="s">
        <v>2</v>
      </c>
      <c r="C5" s="28" t="s">
        <v>60</v>
      </c>
      <c r="D5" s="29" t="s">
        <v>37</v>
      </c>
      <c r="E5" s="30" t="s">
        <v>3</v>
      </c>
      <c r="F5" s="29" t="s">
        <v>38</v>
      </c>
      <c r="G5" s="29" t="s">
        <v>39</v>
      </c>
      <c r="H5" s="29" t="s">
        <v>40</v>
      </c>
      <c r="I5" s="29" t="s">
        <v>41</v>
      </c>
      <c r="J5" s="31" t="s">
        <v>42</v>
      </c>
      <c r="K5" s="31" t="s">
        <v>43</v>
      </c>
    </row>
    <row r="6" spans="1:11" x14ac:dyDescent="0.3">
      <c r="A6" s="51" t="s">
        <v>4</v>
      </c>
      <c r="B6" s="8">
        <v>59844129</v>
      </c>
      <c r="C6" s="8">
        <v>307240892.21000004</v>
      </c>
      <c r="D6" s="8">
        <v>553119925.28999996</v>
      </c>
      <c r="E6" s="8">
        <v>34681421</v>
      </c>
      <c r="F6" s="8">
        <v>0</v>
      </c>
      <c r="G6" s="32">
        <v>0</v>
      </c>
      <c r="H6" s="32">
        <v>0</v>
      </c>
      <c r="I6" s="32">
        <v>0</v>
      </c>
      <c r="J6" s="32">
        <v>0</v>
      </c>
      <c r="K6" s="32">
        <v>0</v>
      </c>
    </row>
    <row r="7" spans="1:11" x14ac:dyDescent="0.3">
      <c r="A7" s="53" t="s">
        <v>5</v>
      </c>
      <c r="B7" s="10">
        <v>1195257.46</v>
      </c>
      <c r="C7" s="10">
        <v>3034950.39</v>
      </c>
      <c r="D7" s="10">
        <v>21220366.59</v>
      </c>
      <c r="E7" s="10">
        <v>565896.47</v>
      </c>
      <c r="F7" s="11"/>
      <c r="G7" s="33"/>
      <c r="H7" s="33"/>
      <c r="I7" s="22">
        <v>0</v>
      </c>
      <c r="J7" s="22">
        <v>0</v>
      </c>
      <c r="K7" s="34"/>
    </row>
    <row r="8" spans="1:11" ht="43.2" x14ac:dyDescent="0.3">
      <c r="A8" s="57" t="s">
        <v>44</v>
      </c>
      <c r="B8" s="13"/>
      <c r="C8" s="10">
        <v>25231161.675000001</v>
      </c>
      <c r="D8" s="10">
        <v>85340763.930000007</v>
      </c>
      <c r="E8" s="13"/>
      <c r="F8" s="14"/>
      <c r="G8" s="35"/>
      <c r="H8" s="35"/>
      <c r="I8" s="22">
        <v>0</v>
      </c>
      <c r="J8" s="22">
        <v>0</v>
      </c>
      <c r="K8" s="20"/>
    </row>
    <row r="9" spans="1:11" ht="28.8" x14ac:dyDescent="0.3">
      <c r="A9" s="53" t="s">
        <v>6</v>
      </c>
      <c r="B9" s="10">
        <v>0</v>
      </c>
      <c r="C9" s="43">
        <v>5346297.5350000001</v>
      </c>
      <c r="D9" s="10">
        <v>20042647.66</v>
      </c>
      <c r="E9" s="10">
        <v>0</v>
      </c>
      <c r="F9" s="11"/>
      <c r="G9" s="33"/>
      <c r="H9" s="33"/>
      <c r="I9" s="22">
        <v>0</v>
      </c>
      <c r="J9" s="22">
        <v>0</v>
      </c>
      <c r="K9" s="34"/>
    </row>
    <row r="10" spans="1:11" x14ac:dyDescent="0.3">
      <c r="A10" s="53" t="s">
        <v>7</v>
      </c>
      <c r="B10" s="10">
        <v>53739001.299999997</v>
      </c>
      <c r="C10" s="10">
        <v>260958496.75</v>
      </c>
      <c r="D10" s="10">
        <v>363693057.56</v>
      </c>
      <c r="E10" s="10">
        <v>31907424.68</v>
      </c>
      <c r="F10" s="11"/>
      <c r="G10" s="33"/>
      <c r="H10" s="33"/>
      <c r="I10" s="22">
        <v>0</v>
      </c>
      <c r="J10" s="22">
        <v>0</v>
      </c>
      <c r="K10" s="34"/>
    </row>
    <row r="11" spans="1:11" x14ac:dyDescent="0.3">
      <c r="A11" s="51" t="s">
        <v>8</v>
      </c>
      <c r="B11" s="8">
        <v>4909870.24</v>
      </c>
      <c r="C11" s="8">
        <v>12669985.85</v>
      </c>
      <c r="D11" s="8">
        <v>62823089.550000004</v>
      </c>
      <c r="E11" s="8">
        <v>2208099.85</v>
      </c>
      <c r="F11" s="8">
        <v>0</v>
      </c>
      <c r="G11" s="32">
        <v>0</v>
      </c>
      <c r="H11" s="32">
        <v>0</v>
      </c>
      <c r="I11" s="32">
        <v>0</v>
      </c>
      <c r="J11" s="32">
        <v>0</v>
      </c>
      <c r="K11" s="34"/>
    </row>
    <row r="12" spans="1:11" x14ac:dyDescent="0.3">
      <c r="A12" s="62" t="s">
        <v>9</v>
      </c>
      <c r="B12" s="10">
        <v>312666.45</v>
      </c>
      <c r="C12" s="36">
        <v>725210.90999999992</v>
      </c>
      <c r="D12" s="10">
        <v>14849135.77</v>
      </c>
      <c r="E12" s="10">
        <v>136505.76999999999</v>
      </c>
      <c r="F12" s="11"/>
      <c r="G12" s="33"/>
      <c r="H12" s="33"/>
      <c r="I12" s="22">
        <v>0</v>
      </c>
      <c r="J12" s="22">
        <v>0</v>
      </c>
      <c r="K12" s="34"/>
    </row>
    <row r="13" spans="1:11" ht="28.8" x14ac:dyDescent="0.3">
      <c r="A13" s="62" t="s">
        <v>10</v>
      </c>
      <c r="B13" s="10">
        <v>4597203.79</v>
      </c>
      <c r="C13" s="36">
        <v>11944774.939999999</v>
      </c>
      <c r="D13" s="10">
        <v>45506057.539999999</v>
      </c>
      <c r="E13" s="10">
        <v>2071594.08</v>
      </c>
      <c r="F13" s="11"/>
      <c r="G13" s="33"/>
      <c r="H13" s="33"/>
      <c r="I13" s="22">
        <v>0</v>
      </c>
      <c r="J13" s="22">
        <v>0</v>
      </c>
      <c r="K13" s="34"/>
    </row>
    <row r="14" spans="1:11" ht="28.8" x14ac:dyDescent="0.3">
      <c r="A14" s="62" t="s">
        <v>11</v>
      </c>
      <c r="B14" s="10">
        <v>0</v>
      </c>
      <c r="C14" s="10">
        <v>0</v>
      </c>
      <c r="D14" s="10">
        <v>2467896.2400000002</v>
      </c>
      <c r="E14" s="10">
        <v>0</v>
      </c>
      <c r="F14" s="11"/>
      <c r="G14" s="33"/>
      <c r="H14" s="33"/>
      <c r="I14" s="22">
        <v>0</v>
      </c>
      <c r="J14" s="37"/>
      <c r="K14" s="34"/>
    </row>
    <row r="15" spans="1:11" ht="28.8" x14ac:dyDescent="0.3">
      <c r="A15" s="62" t="s">
        <v>12</v>
      </c>
      <c r="B15" s="16"/>
      <c r="C15" s="16"/>
      <c r="D15" s="16"/>
      <c r="E15" s="16"/>
      <c r="F15" s="12"/>
      <c r="G15" s="33"/>
      <c r="H15" s="34"/>
      <c r="I15" s="34"/>
      <c r="J15" s="34"/>
      <c r="K15" s="34"/>
    </row>
    <row r="16" spans="1:11" x14ac:dyDescent="0.3">
      <c r="A16" s="53" t="s">
        <v>13</v>
      </c>
      <c r="B16" s="16"/>
      <c r="C16" s="38">
        <v>84059901</v>
      </c>
      <c r="D16" s="16"/>
      <c r="E16" s="8">
        <v>34681421</v>
      </c>
      <c r="F16" s="12"/>
      <c r="G16" s="34"/>
      <c r="H16" s="34"/>
      <c r="I16" s="34"/>
      <c r="J16" s="34"/>
      <c r="K16" s="34"/>
    </row>
    <row r="17" spans="1:11" x14ac:dyDescent="0.3">
      <c r="A17" s="53" t="s">
        <v>14</v>
      </c>
      <c r="B17" s="12"/>
      <c r="C17" s="10">
        <v>83797901</v>
      </c>
      <c r="D17" s="16"/>
      <c r="E17" s="10">
        <v>27745141</v>
      </c>
      <c r="F17" s="12"/>
      <c r="G17" s="34"/>
      <c r="H17" s="34"/>
      <c r="I17" s="34"/>
      <c r="J17" s="34"/>
      <c r="K17" s="34"/>
    </row>
    <row r="18" spans="1:11" x14ac:dyDescent="0.3">
      <c r="A18" s="53" t="s">
        <v>15</v>
      </c>
      <c r="B18" s="12"/>
      <c r="C18" s="10">
        <v>262000</v>
      </c>
      <c r="D18" s="16"/>
      <c r="E18" s="10">
        <v>0</v>
      </c>
      <c r="F18" s="12"/>
      <c r="G18" s="34"/>
      <c r="H18" s="34"/>
      <c r="I18" s="34"/>
      <c r="J18" s="34"/>
      <c r="K18" s="34"/>
    </row>
    <row r="19" spans="1:11" x14ac:dyDescent="0.3">
      <c r="A19" s="53" t="s">
        <v>16</v>
      </c>
      <c r="B19" s="12"/>
      <c r="C19" s="10">
        <v>0</v>
      </c>
      <c r="D19" s="16"/>
      <c r="E19" s="10">
        <v>6936280</v>
      </c>
      <c r="F19" s="12"/>
      <c r="G19" s="34"/>
      <c r="H19" s="34"/>
      <c r="I19" s="34"/>
      <c r="J19" s="34"/>
      <c r="K19" s="34"/>
    </row>
    <row r="20" spans="1:11" ht="28.8" x14ac:dyDescent="0.3">
      <c r="A20" s="66" t="s">
        <v>17</v>
      </c>
      <c r="B20" s="12"/>
      <c r="C20" s="12"/>
      <c r="D20" s="12"/>
      <c r="E20" s="12"/>
      <c r="F20" s="12"/>
      <c r="G20" s="34"/>
      <c r="H20" s="34"/>
      <c r="I20" s="34"/>
      <c r="J20" s="34"/>
      <c r="K20" s="33"/>
    </row>
    <row r="21" spans="1:11" ht="28.8" x14ac:dyDescent="0.3">
      <c r="A21" s="66" t="s">
        <v>18</v>
      </c>
      <c r="B21" s="12"/>
      <c r="C21" s="12"/>
      <c r="D21" s="12"/>
      <c r="E21" s="12"/>
      <c r="F21" s="12"/>
      <c r="G21" s="34"/>
      <c r="H21" s="34"/>
      <c r="I21" s="34"/>
      <c r="J21" s="34"/>
      <c r="K21" s="22"/>
    </row>
    <row r="22" spans="1:11" x14ac:dyDescent="0.3">
      <c r="A22" s="66" t="s">
        <v>19</v>
      </c>
      <c r="B22" s="12"/>
      <c r="C22" s="12"/>
      <c r="D22" s="12"/>
      <c r="E22" s="12"/>
      <c r="F22" s="12"/>
      <c r="G22" s="34"/>
      <c r="H22" s="34"/>
      <c r="I22" s="34"/>
      <c r="J22" s="34"/>
      <c r="K22" s="22"/>
    </row>
    <row r="23" spans="1:11" x14ac:dyDescent="0.3">
      <c r="A23" s="66" t="s">
        <v>20</v>
      </c>
      <c r="B23" s="56"/>
      <c r="C23" s="56"/>
      <c r="D23" s="56"/>
      <c r="E23" s="56"/>
      <c r="F23" s="56"/>
      <c r="G23" s="56"/>
      <c r="H23" s="56"/>
      <c r="I23" s="56"/>
      <c r="J23" s="56"/>
      <c r="K23" s="54"/>
    </row>
    <row r="24" spans="1:11" x14ac:dyDescent="0.3">
      <c r="A24" s="66" t="s">
        <v>21</v>
      </c>
      <c r="B24" s="56"/>
      <c r="C24" s="56"/>
      <c r="D24" s="56"/>
      <c r="E24" s="56"/>
      <c r="F24" s="56"/>
      <c r="G24" s="56"/>
      <c r="H24" s="56"/>
      <c r="I24" s="56"/>
      <c r="J24" s="56"/>
      <c r="K24" s="54">
        <v>0</v>
      </c>
    </row>
    <row r="25" spans="1:11" x14ac:dyDescent="0.3">
      <c r="A25" s="66" t="s">
        <v>22</v>
      </c>
      <c r="B25" s="56"/>
      <c r="C25" s="56"/>
      <c r="D25" s="56"/>
      <c r="E25" s="56"/>
      <c r="F25" s="56"/>
      <c r="G25" s="56"/>
      <c r="H25" s="56"/>
      <c r="I25" s="56"/>
      <c r="J25" s="56"/>
      <c r="K25" s="54">
        <v>0</v>
      </c>
    </row>
    <row r="26" spans="1:11" x14ac:dyDescent="0.3">
      <c r="A26" s="66" t="s">
        <v>23</v>
      </c>
      <c r="B26" s="56"/>
      <c r="C26" s="56"/>
      <c r="D26" s="56"/>
      <c r="E26" s="56"/>
      <c r="F26" s="56"/>
      <c r="G26" s="56"/>
      <c r="H26" s="56"/>
      <c r="I26" s="56"/>
      <c r="J26" s="56"/>
      <c r="K26" s="54"/>
    </row>
    <row r="27" spans="1:11" x14ac:dyDescent="0.3">
      <c r="A27" s="66" t="s">
        <v>24</v>
      </c>
      <c r="B27" s="56"/>
      <c r="C27" s="56"/>
      <c r="D27" s="56"/>
      <c r="E27" s="56"/>
      <c r="F27" s="56"/>
      <c r="G27" s="56"/>
      <c r="H27" s="56"/>
      <c r="I27" s="56"/>
      <c r="J27" s="56"/>
      <c r="K27" s="54"/>
    </row>
    <row r="28" spans="1:11" x14ac:dyDescent="0.3">
      <c r="A28" s="51" t="s">
        <v>25</v>
      </c>
      <c r="B28" s="52">
        <v>59844129</v>
      </c>
      <c r="C28" s="65">
        <v>223180991.21000001</v>
      </c>
      <c r="D28" s="52">
        <v>553119925.29000008</v>
      </c>
      <c r="E28" s="56"/>
      <c r="F28" s="67"/>
      <c r="G28" s="67"/>
      <c r="H28" s="67"/>
      <c r="I28" s="52"/>
      <c r="J28" s="67"/>
      <c r="K28" s="52"/>
    </row>
    <row r="29" spans="1:11" ht="28.8" x14ac:dyDescent="0.3">
      <c r="A29" s="57" t="s">
        <v>45</v>
      </c>
      <c r="B29" s="54">
        <v>0</v>
      </c>
      <c r="C29" s="54">
        <v>0</v>
      </c>
      <c r="D29" s="54">
        <v>136720086.70999992</v>
      </c>
      <c r="E29" s="56"/>
      <c r="F29" s="55"/>
      <c r="G29" s="55"/>
      <c r="H29" s="55"/>
      <c r="I29" s="54"/>
      <c r="J29" s="55"/>
      <c r="K29" s="54"/>
    </row>
    <row r="30" spans="1:11" x14ac:dyDescent="0.3">
      <c r="A30" s="51" t="s">
        <v>26</v>
      </c>
      <c r="B30" s="52">
        <v>59844129</v>
      </c>
      <c r="C30" s="65">
        <v>223180991.21000001</v>
      </c>
      <c r="D30" s="52">
        <v>689840012</v>
      </c>
      <c r="E30" s="56"/>
      <c r="F30" s="67"/>
      <c r="G30" s="67"/>
      <c r="H30" s="67"/>
      <c r="I30" s="52"/>
      <c r="J30" s="67"/>
      <c r="K30" s="52"/>
    </row>
    <row r="31" spans="1:11" x14ac:dyDescent="0.3">
      <c r="A31" s="57" t="s">
        <v>46</v>
      </c>
      <c r="B31" s="56"/>
      <c r="C31" s="56"/>
      <c r="D31" s="56"/>
      <c r="E31" s="56"/>
      <c r="F31" s="56"/>
      <c r="G31" s="56"/>
      <c r="H31" s="56"/>
      <c r="I31" s="56"/>
      <c r="J31" s="56"/>
      <c r="K31" s="56"/>
    </row>
    <row r="32" spans="1:11" x14ac:dyDescent="0.3">
      <c r="A32" s="51" t="s">
        <v>27</v>
      </c>
      <c r="B32" s="76">
        <v>0</v>
      </c>
      <c r="C32" s="76">
        <v>0</v>
      </c>
      <c r="D32" s="76">
        <v>0</v>
      </c>
      <c r="E32" s="56"/>
      <c r="F32" s="67"/>
      <c r="G32" s="67"/>
      <c r="H32" s="67"/>
      <c r="I32" s="52"/>
      <c r="J32" s="67"/>
      <c r="K32" s="52"/>
    </row>
    <row r="33" spans="1:11" ht="57.6" x14ac:dyDescent="0.3">
      <c r="A33" s="68" t="s">
        <v>28</v>
      </c>
      <c r="B33" s="60"/>
      <c r="C33" s="60"/>
      <c r="D33" s="60"/>
      <c r="E33" s="60"/>
      <c r="F33" s="60"/>
      <c r="G33" s="60"/>
      <c r="H33" s="60"/>
      <c r="I33" s="60"/>
      <c r="J33" s="60"/>
      <c r="K33" s="69" t="s">
        <v>61</v>
      </c>
    </row>
    <row r="34" spans="1:11" ht="57.6" x14ac:dyDescent="0.3">
      <c r="A34" s="57" t="s">
        <v>47</v>
      </c>
      <c r="B34" s="54"/>
      <c r="C34" s="61"/>
      <c r="D34" s="61"/>
      <c r="E34" s="60"/>
      <c r="F34" s="60"/>
      <c r="G34" s="60"/>
      <c r="H34" s="60"/>
      <c r="I34" s="60"/>
      <c r="J34" s="60"/>
      <c r="K34" s="60"/>
    </row>
    <row r="35" spans="1:11" ht="15" customHeight="1" x14ac:dyDescent="0.3">
      <c r="A35" s="141" t="s">
        <v>30</v>
      </c>
      <c r="B35" s="142"/>
      <c r="C35" s="142"/>
      <c r="D35" s="142"/>
      <c r="E35" s="142"/>
      <c r="F35" s="142"/>
      <c r="G35" s="142"/>
      <c r="H35" s="142"/>
      <c r="I35" s="142"/>
      <c r="J35" s="142"/>
      <c r="K35" s="143"/>
    </row>
    <row r="36" spans="1:11" ht="100.8" x14ac:dyDescent="0.3">
      <c r="A36" s="57" t="s">
        <v>48</v>
      </c>
      <c r="B36" s="70" t="s">
        <v>31</v>
      </c>
      <c r="C36" s="70" t="s">
        <v>31</v>
      </c>
      <c r="D36" s="60"/>
      <c r="E36" s="60"/>
      <c r="F36" s="60"/>
      <c r="G36" s="60"/>
      <c r="H36" s="60"/>
      <c r="I36" s="60"/>
      <c r="J36" s="60"/>
      <c r="K36" s="60"/>
    </row>
    <row r="37" spans="1:11" ht="43.2" x14ac:dyDescent="0.3">
      <c r="A37" s="71" t="s">
        <v>49</v>
      </c>
      <c r="B37" s="72">
        <v>0</v>
      </c>
      <c r="C37" s="73">
        <v>0</v>
      </c>
      <c r="D37" s="60"/>
      <c r="E37" s="60"/>
      <c r="F37" s="60"/>
      <c r="G37" s="60"/>
      <c r="H37" s="60"/>
      <c r="I37" s="60"/>
      <c r="J37" s="60"/>
      <c r="K37" s="60"/>
    </row>
    <row r="38" spans="1:11" ht="72" x14ac:dyDescent="0.3">
      <c r="A38" s="74" t="s">
        <v>50</v>
      </c>
      <c r="B38" s="60"/>
      <c r="C38" s="60"/>
      <c r="D38" s="70" t="s">
        <v>31</v>
      </c>
      <c r="E38" s="60"/>
      <c r="F38" s="60"/>
      <c r="G38" s="60"/>
      <c r="H38" s="69" t="s">
        <v>29</v>
      </c>
      <c r="I38" s="69" t="s">
        <v>29</v>
      </c>
      <c r="J38" s="69" t="s">
        <v>31</v>
      </c>
      <c r="K38" s="69" t="s">
        <v>31</v>
      </c>
    </row>
    <row r="39" spans="1:11" x14ac:dyDescent="0.3">
      <c r="A39" s="138" t="s">
        <v>51</v>
      </c>
      <c r="B39" s="139"/>
      <c r="C39" s="139"/>
      <c r="D39" s="139"/>
      <c r="E39" s="139"/>
      <c r="F39" s="139"/>
      <c r="G39" s="139"/>
      <c r="H39" s="139"/>
      <c r="I39" s="139"/>
      <c r="J39" s="139"/>
      <c r="K39" s="140"/>
    </row>
    <row r="40" spans="1:11" ht="14.4" customHeight="1" x14ac:dyDescent="0.3">
      <c r="A40" s="191" t="s">
        <v>52</v>
      </c>
      <c r="B40" s="145"/>
      <c r="C40" s="145"/>
      <c r="D40" s="145"/>
      <c r="E40" s="145"/>
      <c r="F40" s="145"/>
      <c r="G40" s="145"/>
      <c r="H40" s="145"/>
      <c r="I40" s="146"/>
      <c r="J40" s="27"/>
      <c r="K40" s="27"/>
    </row>
    <row r="41" spans="1:11" x14ac:dyDescent="0.3">
      <c r="A41" s="4" t="s">
        <v>53</v>
      </c>
      <c r="B41" s="174" t="s">
        <v>54</v>
      </c>
      <c r="C41" s="175"/>
      <c r="D41" s="175"/>
      <c r="E41" s="175"/>
      <c r="F41" s="175"/>
      <c r="G41" s="175"/>
      <c r="H41" s="175"/>
      <c r="I41" s="176"/>
      <c r="J41" s="27"/>
      <c r="K41" s="27"/>
    </row>
    <row r="42" spans="1:11" x14ac:dyDescent="0.3">
      <c r="A42" s="4" t="s">
        <v>55</v>
      </c>
      <c r="B42" s="174" t="s">
        <v>56</v>
      </c>
      <c r="C42" s="175"/>
      <c r="D42" s="175"/>
      <c r="E42" s="175"/>
      <c r="F42" s="175"/>
      <c r="G42" s="175"/>
      <c r="H42" s="175"/>
      <c r="I42" s="176"/>
      <c r="J42" s="42"/>
      <c r="K42" s="42"/>
    </row>
    <row r="43" spans="1:11" ht="30.6" customHeight="1" x14ac:dyDescent="0.3">
      <c r="A43" s="4" t="s">
        <v>57</v>
      </c>
      <c r="B43" s="189" t="s">
        <v>32</v>
      </c>
      <c r="C43" s="136"/>
      <c r="D43" s="136"/>
      <c r="E43" s="136"/>
      <c r="F43" s="136"/>
      <c r="G43" s="136"/>
      <c r="H43" s="136"/>
      <c r="I43" s="136"/>
      <c r="J43" s="136"/>
      <c r="K43" s="137"/>
    </row>
  </sheetData>
  <mergeCells count="7">
    <mergeCell ref="B41:I41"/>
    <mergeCell ref="B42:I42"/>
    <mergeCell ref="A1:K1"/>
    <mergeCell ref="B2:C2"/>
    <mergeCell ref="D2:F2"/>
    <mergeCell ref="G2:K2"/>
    <mergeCell ref="G3:K3"/>
  </mergeCells>
  <pageMargins left="0.7" right="0.7" top="0.75" bottom="0.75" header="0.3" footer="0.3"/>
  <pageSetup scale="38"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EFE5-F172-4805-91E4-27C2873722B4}">
  <dimension ref="A1:K43"/>
  <sheetViews>
    <sheetView workbookViewId="0">
      <selection activeCell="A43" sqref="A43"/>
    </sheetView>
  </sheetViews>
  <sheetFormatPr defaultRowHeight="14.4" x14ac:dyDescent="0.3"/>
  <cols>
    <col min="1" max="1" width="44.88671875" customWidth="1"/>
    <col min="2" max="2" width="29.44140625" customWidth="1"/>
    <col min="3" max="3" width="26.6640625" customWidth="1"/>
    <col min="4" max="4" width="23.6640625" customWidth="1"/>
    <col min="5" max="5" width="13.33203125" customWidth="1"/>
    <col min="6" max="6" width="23.109375" customWidth="1"/>
    <col min="7" max="7" width="23" customWidth="1"/>
    <col min="8" max="8" width="21.5546875" customWidth="1"/>
    <col min="9" max="9" width="20.88671875" customWidth="1"/>
    <col min="10" max="10" width="19.5546875" customWidth="1"/>
    <col min="11" max="11" width="21.44140625" customWidth="1"/>
  </cols>
  <sheetData>
    <row r="1" spans="1:11" x14ac:dyDescent="0.3">
      <c r="A1" s="164" t="s">
        <v>33</v>
      </c>
      <c r="B1" s="165"/>
      <c r="C1" s="165"/>
      <c r="D1" s="165"/>
      <c r="E1" s="165"/>
      <c r="F1" s="165"/>
      <c r="G1" s="165"/>
      <c r="H1" s="165"/>
      <c r="I1" s="165"/>
      <c r="J1" s="165"/>
      <c r="K1" s="166"/>
    </row>
    <row r="2" spans="1:11" x14ac:dyDescent="0.3">
      <c r="A2" s="1" t="s">
        <v>34</v>
      </c>
      <c r="B2" s="167" t="s">
        <v>58</v>
      </c>
      <c r="C2" s="168"/>
      <c r="D2" s="169" t="s">
        <v>35</v>
      </c>
      <c r="E2" s="170"/>
      <c r="F2" s="168"/>
      <c r="G2" s="171" t="s">
        <v>62</v>
      </c>
      <c r="H2" s="172">
        <v>0</v>
      </c>
      <c r="I2" s="172">
        <v>0</v>
      </c>
      <c r="J2" s="172">
        <v>0</v>
      </c>
      <c r="K2" s="173">
        <v>0</v>
      </c>
    </row>
    <row r="3" spans="1:11" x14ac:dyDescent="0.3">
      <c r="A3" s="2"/>
      <c r="B3" s="147" t="s">
        <v>59</v>
      </c>
      <c r="C3" s="149"/>
      <c r="D3" s="149"/>
      <c r="E3" s="149"/>
      <c r="F3" s="148"/>
      <c r="G3" s="171" t="s">
        <v>63</v>
      </c>
      <c r="H3" s="172">
        <v>0</v>
      </c>
      <c r="I3" s="172">
        <v>0</v>
      </c>
      <c r="J3" s="172">
        <v>0</v>
      </c>
      <c r="K3" s="173">
        <v>0</v>
      </c>
    </row>
    <row r="4" spans="1:11" x14ac:dyDescent="0.3">
      <c r="A4" s="138" t="s">
        <v>36</v>
      </c>
      <c r="B4" s="139"/>
      <c r="C4" s="139"/>
      <c r="D4" s="139"/>
      <c r="E4" s="139"/>
      <c r="F4" s="139"/>
      <c r="G4" s="139"/>
      <c r="H4" s="140"/>
      <c r="I4" s="3"/>
      <c r="J4" s="3"/>
      <c r="K4" s="3"/>
    </row>
    <row r="5" spans="1:11" ht="79.2" x14ac:dyDescent="0.3">
      <c r="A5" s="4"/>
      <c r="B5" s="50" t="s">
        <v>2</v>
      </c>
      <c r="C5" s="50" t="s">
        <v>60</v>
      </c>
      <c r="D5" s="48" t="s">
        <v>37</v>
      </c>
      <c r="E5" s="48" t="s">
        <v>3</v>
      </c>
      <c r="F5" s="48" t="s">
        <v>38</v>
      </c>
      <c r="G5" s="48" t="s">
        <v>39</v>
      </c>
      <c r="H5" s="48" t="s">
        <v>40</v>
      </c>
      <c r="I5" s="48" t="s">
        <v>41</v>
      </c>
      <c r="J5" s="49" t="s">
        <v>42</v>
      </c>
      <c r="K5" s="49" t="s">
        <v>43</v>
      </c>
    </row>
    <row r="6" spans="1:11" x14ac:dyDescent="0.3">
      <c r="A6" s="51" t="s">
        <v>4</v>
      </c>
      <c r="B6" s="52">
        <v>59844129</v>
      </c>
      <c r="C6" s="52">
        <v>307240892.21000004</v>
      </c>
      <c r="D6" s="52">
        <v>453024322.06999999</v>
      </c>
      <c r="E6" s="52">
        <v>34681421</v>
      </c>
      <c r="F6" s="52">
        <v>0</v>
      </c>
      <c r="G6" s="52">
        <v>0</v>
      </c>
      <c r="H6" s="52">
        <v>0</v>
      </c>
      <c r="I6" s="52">
        <v>0</v>
      </c>
      <c r="J6" s="52">
        <v>0</v>
      </c>
      <c r="K6" s="52">
        <v>0</v>
      </c>
    </row>
    <row r="7" spans="1:11" x14ac:dyDescent="0.3">
      <c r="A7" s="53" t="s">
        <v>5</v>
      </c>
      <c r="B7" s="54">
        <v>1195257.46</v>
      </c>
      <c r="C7" s="54">
        <v>3034950.39</v>
      </c>
      <c r="D7" s="54">
        <v>19383271.270000003</v>
      </c>
      <c r="E7" s="54">
        <v>565896.47</v>
      </c>
      <c r="F7" s="55"/>
      <c r="G7" s="55"/>
      <c r="H7" s="55"/>
      <c r="I7" s="54">
        <v>0</v>
      </c>
      <c r="J7" s="54">
        <v>0</v>
      </c>
      <c r="K7" s="56"/>
    </row>
    <row r="8" spans="1:11" ht="43.2" x14ac:dyDescent="0.3">
      <c r="A8" s="57" t="s">
        <v>44</v>
      </c>
      <c r="B8" s="58"/>
      <c r="C8" s="54">
        <v>25231161.675000001</v>
      </c>
      <c r="D8" s="54">
        <v>81044105.870000005</v>
      </c>
      <c r="E8" s="58"/>
      <c r="F8" s="59"/>
      <c r="G8" s="59"/>
      <c r="H8" s="59"/>
      <c r="I8" s="54">
        <v>0</v>
      </c>
      <c r="J8" s="54">
        <v>0</v>
      </c>
      <c r="K8" s="60"/>
    </row>
    <row r="9" spans="1:11" x14ac:dyDescent="0.3">
      <c r="A9" s="53" t="s">
        <v>6</v>
      </c>
      <c r="B9" s="54">
        <v>0</v>
      </c>
      <c r="C9" s="61">
        <v>5346297.5350000001</v>
      </c>
      <c r="D9" s="54">
        <v>18158929.309999999</v>
      </c>
      <c r="E9" s="54">
        <v>0</v>
      </c>
      <c r="F9" s="55"/>
      <c r="G9" s="55"/>
      <c r="H9" s="55"/>
      <c r="I9" s="54">
        <v>0</v>
      </c>
      <c r="J9" s="54">
        <v>0</v>
      </c>
      <c r="K9" s="56"/>
    </row>
    <row r="10" spans="1:11" x14ac:dyDescent="0.3">
      <c r="A10" s="53" t="s">
        <v>7</v>
      </c>
      <c r="B10" s="54">
        <v>53739001.299999997</v>
      </c>
      <c r="C10" s="54">
        <v>260958496.75</v>
      </c>
      <c r="D10" s="54">
        <v>280446897.81999999</v>
      </c>
      <c r="E10" s="54">
        <v>31907424.68</v>
      </c>
      <c r="F10" s="55"/>
      <c r="G10" s="55"/>
      <c r="H10" s="55"/>
      <c r="I10" s="54">
        <v>0</v>
      </c>
      <c r="J10" s="54">
        <v>0</v>
      </c>
      <c r="K10" s="56"/>
    </row>
    <row r="11" spans="1:11" x14ac:dyDescent="0.3">
      <c r="A11" s="51" t="s">
        <v>8</v>
      </c>
      <c r="B11" s="52">
        <v>4909870.24</v>
      </c>
      <c r="C11" s="52">
        <v>12669985.85</v>
      </c>
      <c r="D11" s="52">
        <v>53991117.799999997</v>
      </c>
      <c r="E11" s="52">
        <v>2208099.85</v>
      </c>
      <c r="F11" s="52">
        <v>0</v>
      </c>
      <c r="G11" s="52">
        <v>0</v>
      </c>
      <c r="H11" s="52">
        <v>0</v>
      </c>
      <c r="I11" s="52">
        <v>0</v>
      </c>
      <c r="J11" s="52">
        <v>0</v>
      </c>
      <c r="K11" s="56"/>
    </row>
    <row r="12" spans="1:11" x14ac:dyDescent="0.3">
      <c r="A12" s="62" t="s">
        <v>9</v>
      </c>
      <c r="B12" s="54">
        <v>312666.45</v>
      </c>
      <c r="C12" s="63">
        <v>725210.90999999992</v>
      </c>
      <c r="D12" s="54">
        <v>12772180.17</v>
      </c>
      <c r="E12" s="54">
        <v>136505.76999999999</v>
      </c>
      <c r="F12" s="55"/>
      <c r="G12" s="55"/>
      <c r="H12" s="55"/>
      <c r="I12" s="54">
        <v>0</v>
      </c>
      <c r="J12" s="54">
        <v>0</v>
      </c>
      <c r="K12" s="56"/>
    </row>
    <row r="13" spans="1:11" ht="28.8" x14ac:dyDescent="0.3">
      <c r="A13" s="62" t="s">
        <v>10</v>
      </c>
      <c r="B13" s="54">
        <v>4597203.79</v>
      </c>
      <c r="C13" s="63">
        <v>11944774.939999999</v>
      </c>
      <c r="D13" s="54">
        <v>38739624.759999998</v>
      </c>
      <c r="E13" s="54">
        <v>2071594.08</v>
      </c>
      <c r="F13" s="55"/>
      <c r="G13" s="55"/>
      <c r="H13" s="55"/>
      <c r="I13" s="54">
        <v>0</v>
      </c>
      <c r="J13" s="54">
        <v>0</v>
      </c>
      <c r="K13" s="56"/>
    </row>
    <row r="14" spans="1:11" x14ac:dyDescent="0.3">
      <c r="A14" s="62" t="s">
        <v>11</v>
      </c>
      <c r="B14" s="54">
        <v>0</v>
      </c>
      <c r="C14" s="54">
        <v>0</v>
      </c>
      <c r="D14" s="54">
        <v>2479312.87</v>
      </c>
      <c r="E14" s="54">
        <v>0</v>
      </c>
      <c r="F14" s="55"/>
      <c r="G14" s="55"/>
      <c r="H14" s="55"/>
      <c r="I14" s="54">
        <v>0</v>
      </c>
      <c r="J14" s="58"/>
      <c r="K14" s="56"/>
    </row>
    <row r="15" spans="1:11" x14ac:dyDescent="0.3">
      <c r="A15" s="62" t="s">
        <v>12</v>
      </c>
      <c r="B15" s="64"/>
      <c r="C15" s="64"/>
      <c r="D15" s="64"/>
      <c r="E15" s="64"/>
      <c r="F15" s="56"/>
      <c r="G15" s="55"/>
      <c r="H15" s="56"/>
      <c r="I15" s="56"/>
      <c r="J15" s="56"/>
      <c r="K15" s="56"/>
    </row>
    <row r="16" spans="1:11" x14ac:dyDescent="0.3">
      <c r="A16" s="53" t="s">
        <v>13</v>
      </c>
      <c r="B16" s="64"/>
      <c r="C16" s="65">
        <v>84059901</v>
      </c>
      <c r="D16" s="64"/>
      <c r="E16" s="52">
        <v>34681421</v>
      </c>
      <c r="F16" s="56"/>
      <c r="G16" s="56"/>
      <c r="H16" s="56"/>
      <c r="I16" s="56"/>
      <c r="J16" s="56"/>
      <c r="K16" s="56"/>
    </row>
    <row r="17" spans="1:11" x14ac:dyDescent="0.3">
      <c r="A17" s="53" t="s">
        <v>14</v>
      </c>
      <c r="B17" s="56"/>
      <c r="C17" s="54">
        <v>83797901</v>
      </c>
      <c r="D17" s="64"/>
      <c r="E17" s="54">
        <v>27745141</v>
      </c>
      <c r="F17" s="56"/>
      <c r="G17" s="56"/>
      <c r="H17" s="56"/>
      <c r="I17" s="56"/>
      <c r="J17" s="56"/>
      <c r="K17" s="56"/>
    </row>
    <row r="18" spans="1:11" x14ac:dyDescent="0.3">
      <c r="A18" s="53" t="s">
        <v>15</v>
      </c>
      <c r="B18" s="56"/>
      <c r="C18" s="54">
        <v>262000</v>
      </c>
      <c r="D18" s="64"/>
      <c r="E18" s="54">
        <v>0</v>
      </c>
      <c r="F18" s="56"/>
      <c r="G18" s="56"/>
      <c r="H18" s="56"/>
      <c r="I18" s="56"/>
      <c r="J18" s="56"/>
      <c r="K18" s="56"/>
    </row>
    <row r="19" spans="1:11" x14ac:dyDescent="0.3">
      <c r="A19" s="53" t="s">
        <v>16</v>
      </c>
      <c r="B19" s="56"/>
      <c r="C19" s="54">
        <v>0</v>
      </c>
      <c r="D19" s="64"/>
      <c r="E19" s="54">
        <v>6936280</v>
      </c>
      <c r="F19" s="56"/>
      <c r="G19" s="56"/>
      <c r="H19" s="56"/>
      <c r="I19" s="56"/>
      <c r="J19" s="56"/>
      <c r="K19" s="56"/>
    </row>
    <row r="20" spans="1:11" x14ac:dyDescent="0.3">
      <c r="A20" s="66" t="s">
        <v>17</v>
      </c>
      <c r="B20" s="56"/>
      <c r="C20" s="56"/>
      <c r="D20" s="56"/>
      <c r="E20" s="56"/>
      <c r="F20" s="56"/>
      <c r="G20" s="56"/>
      <c r="H20" s="56"/>
      <c r="I20" s="56"/>
      <c r="J20" s="56"/>
      <c r="K20" s="55"/>
    </row>
    <row r="21" spans="1:11" x14ac:dyDescent="0.3">
      <c r="A21" s="66" t="s">
        <v>18</v>
      </c>
      <c r="B21" s="56"/>
      <c r="C21" s="56"/>
      <c r="D21" s="56"/>
      <c r="E21" s="56"/>
      <c r="F21" s="56"/>
      <c r="G21" s="56"/>
      <c r="H21" s="56"/>
      <c r="I21" s="56"/>
      <c r="J21" s="56"/>
      <c r="K21" s="54"/>
    </row>
    <row r="22" spans="1:11" x14ac:dyDescent="0.3">
      <c r="A22" s="66" t="s">
        <v>19</v>
      </c>
      <c r="B22" s="56"/>
      <c r="C22" s="56"/>
      <c r="D22" s="56"/>
      <c r="E22" s="56"/>
      <c r="F22" s="56"/>
      <c r="G22" s="56"/>
      <c r="H22" s="56"/>
      <c r="I22" s="56"/>
      <c r="J22" s="56"/>
      <c r="K22" s="54"/>
    </row>
    <row r="23" spans="1:11" x14ac:dyDescent="0.3">
      <c r="A23" s="66" t="s">
        <v>20</v>
      </c>
      <c r="B23" s="56"/>
      <c r="C23" s="56"/>
      <c r="D23" s="56"/>
      <c r="E23" s="56"/>
      <c r="F23" s="56"/>
      <c r="G23" s="56"/>
      <c r="H23" s="56"/>
      <c r="I23" s="56"/>
      <c r="J23" s="56"/>
      <c r="K23" s="54"/>
    </row>
    <row r="24" spans="1:11" x14ac:dyDescent="0.3">
      <c r="A24" s="66" t="s">
        <v>21</v>
      </c>
      <c r="B24" s="56"/>
      <c r="C24" s="56"/>
      <c r="D24" s="56"/>
      <c r="E24" s="56"/>
      <c r="F24" s="56"/>
      <c r="G24" s="56"/>
      <c r="H24" s="56"/>
      <c r="I24" s="56"/>
      <c r="J24" s="56"/>
      <c r="K24" s="54">
        <v>0</v>
      </c>
    </row>
    <row r="25" spans="1:11" x14ac:dyDescent="0.3">
      <c r="A25" s="66" t="s">
        <v>22</v>
      </c>
      <c r="B25" s="56"/>
      <c r="C25" s="56"/>
      <c r="D25" s="56"/>
      <c r="E25" s="56"/>
      <c r="F25" s="56"/>
      <c r="G25" s="56"/>
      <c r="H25" s="56"/>
      <c r="I25" s="56"/>
      <c r="J25" s="56"/>
      <c r="K25" s="54">
        <v>0</v>
      </c>
    </row>
    <row r="26" spans="1:11" x14ac:dyDescent="0.3">
      <c r="A26" s="66" t="s">
        <v>23</v>
      </c>
      <c r="B26" s="56"/>
      <c r="C26" s="56"/>
      <c r="D26" s="56"/>
      <c r="E26" s="56"/>
      <c r="F26" s="56"/>
      <c r="G26" s="56"/>
      <c r="H26" s="56"/>
      <c r="I26" s="56"/>
      <c r="J26" s="56"/>
      <c r="K26" s="54"/>
    </row>
    <row r="27" spans="1:11" x14ac:dyDescent="0.3">
      <c r="A27" s="66" t="s">
        <v>24</v>
      </c>
      <c r="B27" s="56"/>
      <c r="C27" s="56"/>
      <c r="D27" s="56"/>
      <c r="E27" s="56"/>
      <c r="F27" s="56"/>
      <c r="G27" s="56"/>
      <c r="H27" s="56"/>
      <c r="I27" s="56"/>
      <c r="J27" s="56"/>
      <c r="K27" s="54"/>
    </row>
    <row r="28" spans="1:11" x14ac:dyDescent="0.3">
      <c r="A28" s="51" t="s">
        <v>25</v>
      </c>
      <c r="B28" s="52">
        <v>59844129</v>
      </c>
      <c r="C28" s="65">
        <v>223180991.21000001</v>
      </c>
      <c r="D28" s="52">
        <v>453024322.06999999</v>
      </c>
      <c r="E28" s="56"/>
      <c r="F28" s="67"/>
      <c r="G28" s="67"/>
      <c r="H28" s="67"/>
      <c r="I28" s="52"/>
      <c r="J28" s="67"/>
      <c r="K28" s="52"/>
    </row>
    <row r="29" spans="1:11" x14ac:dyDescent="0.3">
      <c r="A29" s="57" t="s">
        <v>45</v>
      </c>
      <c r="B29" s="54">
        <v>0</v>
      </c>
      <c r="C29" s="54">
        <v>0</v>
      </c>
      <c r="D29" s="54">
        <v>236815689.93000001</v>
      </c>
      <c r="E29" s="56"/>
      <c r="F29" s="55"/>
      <c r="G29" s="55"/>
      <c r="H29" s="55"/>
      <c r="I29" s="54"/>
      <c r="J29" s="55"/>
      <c r="K29" s="54"/>
    </row>
    <row r="30" spans="1:11" x14ac:dyDescent="0.3">
      <c r="A30" s="51" t="s">
        <v>26</v>
      </c>
      <c r="B30" s="52">
        <v>59844129</v>
      </c>
      <c r="C30" s="65">
        <v>223180991.21000001</v>
      </c>
      <c r="D30" s="52">
        <v>689840012</v>
      </c>
      <c r="E30" s="56"/>
      <c r="F30" s="67"/>
      <c r="G30" s="67"/>
      <c r="H30" s="67"/>
      <c r="I30" s="52"/>
      <c r="J30" s="67"/>
      <c r="K30" s="52"/>
    </row>
    <row r="31" spans="1:11" x14ac:dyDescent="0.3">
      <c r="A31" s="57" t="s">
        <v>46</v>
      </c>
      <c r="B31" s="56"/>
      <c r="C31" s="56"/>
      <c r="D31" s="56"/>
      <c r="E31" s="56"/>
      <c r="F31" s="56"/>
      <c r="G31" s="56"/>
      <c r="H31" s="56"/>
      <c r="I31" s="56"/>
      <c r="J31" s="56"/>
      <c r="K31" s="56"/>
    </row>
    <row r="32" spans="1:11" x14ac:dyDescent="0.3">
      <c r="A32" s="51" t="s">
        <v>27</v>
      </c>
      <c r="B32" s="76">
        <v>0</v>
      </c>
      <c r="C32" s="76">
        <v>0</v>
      </c>
      <c r="D32" s="76">
        <v>0</v>
      </c>
      <c r="E32" s="56"/>
      <c r="F32" s="67"/>
      <c r="G32" s="67"/>
      <c r="H32" s="67"/>
      <c r="I32" s="52"/>
      <c r="J32" s="67"/>
      <c r="K32" s="52"/>
    </row>
    <row r="33" spans="1:11" ht="43.2" x14ac:dyDescent="0.3">
      <c r="A33" s="68" t="s">
        <v>28</v>
      </c>
      <c r="B33" s="60"/>
      <c r="C33" s="60"/>
      <c r="D33" s="60"/>
      <c r="E33" s="60"/>
      <c r="F33" s="60"/>
      <c r="G33" s="60"/>
      <c r="H33" s="60"/>
      <c r="I33" s="60"/>
      <c r="J33" s="60"/>
      <c r="K33" s="69" t="s">
        <v>61</v>
      </c>
    </row>
    <row r="34" spans="1:11" ht="43.2" x14ac:dyDescent="0.3">
      <c r="A34" s="57" t="s">
        <v>47</v>
      </c>
      <c r="B34" s="54"/>
      <c r="C34" s="61"/>
      <c r="D34" s="61"/>
      <c r="E34" s="60"/>
      <c r="F34" s="60"/>
      <c r="G34" s="60"/>
      <c r="H34" s="60"/>
      <c r="I34" s="60"/>
      <c r="J34" s="60"/>
      <c r="K34" s="60"/>
    </row>
    <row r="35" spans="1:11" ht="14.4" customHeight="1" x14ac:dyDescent="0.3">
      <c r="A35" s="141" t="s">
        <v>30</v>
      </c>
      <c r="B35" s="142"/>
      <c r="C35" s="142"/>
      <c r="D35" s="142"/>
      <c r="E35" s="142"/>
      <c r="F35" s="142"/>
      <c r="G35" s="142"/>
      <c r="H35" s="142"/>
      <c r="I35" s="142"/>
      <c r="J35" s="142"/>
      <c r="K35" s="143"/>
    </row>
    <row r="36" spans="1:11" ht="57.6" x14ac:dyDescent="0.3">
      <c r="A36" s="57" t="s">
        <v>48</v>
      </c>
      <c r="B36" s="70" t="s">
        <v>31</v>
      </c>
      <c r="C36" s="75" t="s">
        <v>64</v>
      </c>
      <c r="D36" s="60"/>
      <c r="E36" s="60"/>
      <c r="F36" s="60"/>
      <c r="G36" s="60"/>
      <c r="H36" s="60"/>
      <c r="I36" s="60"/>
      <c r="J36" s="60"/>
      <c r="K36" s="60"/>
    </row>
    <row r="37" spans="1:11" ht="28.8" x14ac:dyDescent="0.3">
      <c r="A37" s="71" t="s">
        <v>49</v>
      </c>
      <c r="B37" s="72">
        <v>0</v>
      </c>
      <c r="C37" s="73">
        <v>0</v>
      </c>
      <c r="D37" s="60"/>
      <c r="E37" s="60"/>
      <c r="F37" s="60"/>
      <c r="G37" s="60"/>
      <c r="H37" s="60"/>
      <c r="I37" s="60"/>
      <c r="J37" s="60"/>
      <c r="K37" s="60"/>
    </row>
    <row r="38" spans="1:11" ht="43.2" x14ac:dyDescent="0.3">
      <c r="A38" s="74" t="s">
        <v>50</v>
      </c>
      <c r="B38" s="60"/>
      <c r="C38" s="60"/>
      <c r="D38" s="70" t="s">
        <v>31</v>
      </c>
      <c r="E38" s="60"/>
      <c r="F38" s="60"/>
      <c r="G38" s="60"/>
      <c r="H38" s="69" t="s">
        <v>29</v>
      </c>
      <c r="I38" s="69" t="s">
        <v>29</v>
      </c>
      <c r="J38" s="69" t="s">
        <v>31</v>
      </c>
      <c r="K38" s="69" t="s">
        <v>31</v>
      </c>
    </row>
    <row r="39" spans="1:11" x14ac:dyDescent="0.3">
      <c r="A39" s="138" t="s">
        <v>51</v>
      </c>
      <c r="B39" s="139"/>
      <c r="C39" s="139"/>
      <c r="D39" s="139"/>
      <c r="E39" s="139"/>
      <c r="F39" s="139"/>
      <c r="G39" s="139"/>
      <c r="H39" s="139"/>
      <c r="I39" s="139"/>
      <c r="J39" s="139"/>
      <c r="K39" s="140"/>
    </row>
    <row r="40" spans="1:11" ht="14.4" customHeight="1" x14ac:dyDescent="0.3">
      <c r="A40" s="191" t="s">
        <v>52</v>
      </c>
      <c r="B40" s="145"/>
      <c r="C40" s="145"/>
      <c r="D40" s="145"/>
      <c r="E40" s="145"/>
      <c r="F40" s="145"/>
      <c r="G40" s="145"/>
      <c r="H40" s="145"/>
      <c r="I40" s="146"/>
      <c r="J40" s="27"/>
      <c r="K40" s="27"/>
    </row>
    <row r="41" spans="1:11" x14ac:dyDescent="0.3">
      <c r="A41" s="4" t="s">
        <v>53</v>
      </c>
      <c r="B41" s="174" t="s">
        <v>54</v>
      </c>
      <c r="C41" s="175"/>
      <c r="D41" s="175"/>
      <c r="E41" s="175"/>
      <c r="F41" s="175"/>
      <c r="G41" s="175"/>
      <c r="H41" s="175"/>
      <c r="I41" s="176"/>
      <c r="J41" s="27"/>
      <c r="K41" s="27"/>
    </row>
    <row r="42" spans="1:11" x14ac:dyDescent="0.3">
      <c r="A42" s="4" t="s">
        <v>55</v>
      </c>
      <c r="B42" s="174" t="s">
        <v>56</v>
      </c>
      <c r="C42" s="175"/>
      <c r="D42" s="175"/>
      <c r="E42" s="175"/>
      <c r="F42" s="175"/>
      <c r="G42" s="175"/>
      <c r="H42" s="175"/>
      <c r="I42" s="176"/>
      <c r="J42" s="42"/>
      <c r="K42" s="42"/>
    </row>
    <row r="43" spans="1:11" ht="30.6" customHeight="1" x14ac:dyDescent="0.3">
      <c r="A43" s="4" t="s">
        <v>57</v>
      </c>
      <c r="B43" s="189" t="s">
        <v>32</v>
      </c>
      <c r="C43" s="136"/>
      <c r="D43" s="136"/>
      <c r="E43" s="136"/>
      <c r="F43" s="136"/>
      <c r="G43" s="136"/>
      <c r="H43" s="136"/>
      <c r="I43" s="136"/>
      <c r="J43" s="136"/>
      <c r="K43" s="137"/>
    </row>
  </sheetData>
  <mergeCells count="7">
    <mergeCell ref="B41:I41"/>
    <mergeCell ref="B42:I42"/>
    <mergeCell ref="A1:K1"/>
    <mergeCell ref="B2:C2"/>
    <mergeCell ref="D2:F2"/>
    <mergeCell ref="G2:K2"/>
    <mergeCell ref="G3:K3"/>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9F06-185C-478E-9646-6F5A3B0D6E79}">
  <sheetPr>
    <pageSetUpPr fitToPage="1"/>
  </sheetPr>
  <dimension ref="A1:K47"/>
  <sheetViews>
    <sheetView view="pageBreakPreview" zoomScale="70" zoomScaleNormal="140" zoomScaleSheetLayoutView="70" workbookViewId="0">
      <selection activeCell="A43" sqref="A43"/>
    </sheetView>
  </sheetViews>
  <sheetFormatPr defaultColWidth="9.109375" defaultRowHeight="13.2" x14ac:dyDescent="0.3"/>
  <cols>
    <col min="1" max="1" width="51.88671875" style="82" customWidth="1"/>
    <col min="2" max="2" width="31.44140625" style="77" customWidth="1"/>
    <col min="3" max="3" width="31.5546875" style="77" customWidth="1"/>
    <col min="4" max="4" width="23.33203125" style="77" customWidth="1"/>
    <col min="5" max="5" width="16.5546875" style="77" customWidth="1"/>
    <col min="6" max="6" width="22.5546875" style="77" customWidth="1"/>
    <col min="7" max="7" width="24.44140625" style="77" customWidth="1"/>
    <col min="8" max="8" width="25.44140625" style="77" customWidth="1"/>
    <col min="9" max="9" width="22.109375" style="77" customWidth="1"/>
    <col min="10" max="10" width="18.44140625" style="77" customWidth="1"/>
    <col min="11" max="11" width="23.5546875" style="77" customWidth="1"/>
    <col min="12" max="16384" width="9.109375" style="77"/>
  </cols>
  <sheetData>
    <row r="1" spans="1:11" ht="15" customHeight="1" x14ac:dyDescent="0.3">
      <c r="A1" s="164" t="s">
        <v>66</v>
      </c>
      <c r="B1" s="165"/>
      <c r="C1" s="165"/>
      <c r="D1" s="165"/>
      <c r="E1" s="165"/>
      <c r="F1" s="165"/>
      <c r="G1" s="165"/>
      <c r="H1" s="165"/>
      <c r="I1" s="165"/>
      <c r="J1" s="165"/>
      <c r="K1" s="166"/>
    </row>
    <row r="2" spans="1:11" ht="24" customHeight="1" x14ac:dyDescent="0.3">
      <c r="A2" s="1" t="s">
        <v>67</v>
      </c>
      <c r="B2" s="167" t="s">
        <v>68</v>
      </c>
      <c r="C2" s="168"/>
      <c r="D2" s="169" t="s">
        <v>69</v>
      </c>
      <c r="E2" s="170"/>
      <c r="F2" s="168"/>
      <c r="G2" s="171" t="s">
        <v>120</v>
      </c>
      <c r="H2" s="172">
        <v>0</v>
      </c>
      <c r="I2" s="172">
        <v>0</v>
      </c>
      <c r="J2" s="172">
        <v>0</v>
      </c>
      <c r="K2" s="173">
        <v>0</v>
      </c>
    </row>
    <row r="3" spans="1:11" ht="15" customHeight="1" x14ac:dyDescent="0.3">
      <c r="A3" s="2"/>
      <c r="B3" s="188" t="s">
        <v>70</v>
      </c>
      <c r="C3" s="149"/>
      <c r="D3" s="149"/>
      <c r="E3" s="149"/>
      <c r="F3" s="148"/>
      <c r="G3" s="171" t="s">
        <v>121</v>
      </c>
      <c r="H3" s="172">
        <v>0</v>
      </c>
      <c r="I3" s="172">
        <v>0</v>
      </c>
      <c r="J3" s="172">
        <v>0</v>
      </c>
      <c r="K3" s="173">
        <v>0</v>
      </c>
    </row>
    <row r="4" spans="1:11" ht="9.9" customHeight="1" x14ac:dyDescent="0.25">
      <c r="A4" s="138" t="s">
        <v>71</v>
      </c>
      <c r="B4" s="139"/>
      <c r="C4" s="139"/>
      <c r="D4" s="139"/>
      <c r="E4" s="139"/>
      <c r="F4" s="139"/>
      <c r="G4" s="139"/>
      <c r="H4" s="140"/>
      <c r="I4" s="3"/>
      <c r="J4" s="3"/>
      <c r="K4" s="3"/>
    </row>
    <row r="5" spans="1:11" ht="86.4" x14ac:dyDescent="0.3">
      <c r="A5" s="4"/>
      <c r="B5" s="86" t="s">
        <v>2</v>
      </c>
      <c r="C5" s="86" t="s">
        <v>122</v>
      </c>
      <c r="D5" s="87" t="s">
        <v>123</v>
      </c>
      <c r="E5" s="88" t="s">
        <v>3</v>
      </c>
      <c r="F5" s="87" t="s">
        <v>124</v>
      </c>
      <c r="G5" s="87" t="s">
        <v>125</v>
      </c>
      <c r="H5" s="87" t="s">
        <v>126</v>
      </c>
      <c r="I5" s="87" t="s">
        <v>127</v>
      </c>
      <c r="J5" s="89" t="s">
        <v>128</v>
      </c>
      <c r="K5" s="89" t="s">
        <v>129</v>
      </c>
    </row>
    <row r="6" spans="1:11" ht="15.75" customHeight="1" x14ac:dyDescent="0.25">
      <c r="A6" s="7" t="s">
        <v>4</v>
      </c>
      <c r="B6" s="8">
        <v>59844129</v>
      </c>
      <c r="C6" s="8">
        <v>300726864.46000004</v>
      </c>
      <c r="D6" s="8">
        <v>319845469.36000001</v>
      </c>
      <c r="E6" s="8">
        <v>34681421</v>
      </c>
      <c r="F6" s="8">
        <v>0</v>
      </c>
      <c r="G6" s="32">
        <v>0</v>
      </c>
      <c r="H6" s="32">
        <v>0</v>
      </c>
      <c r="I6" s="32">
        <v>0</v>
      </c>
      <c r="J6" s="32">
        <v>0</v>
      </c>
      <c r="K6" s="32">
        <v>0</v>
      </c>
    </row>
    <row r="7" spans="1:11" x14ac:dyDescent="0.25">
      <c r="A7" s="9" t="s">
        <v>5</v>
      </c>
      <c r="B7" s="78">
        <v>1195257.46</v>
      </c>
      <c r="C7" s="78">
        <v>2915558.95</v>
      </c>
      <c r="D7" s="78">
        <v>16237529.810000001</v>
      </c>
      <c r="E7" s="78">
        <v>565896.47</v>
      </c>
      <c r="F7" s="11"/>
      <c r="G7" s="33"/>
      <c r="H7" s="33"/>
      <c r="I7" s="79">
        <v>0</v>
      </c>
      <c r="J7" s="79">
        <v>0</v>
      </c>
      <c r="K7" s="34"/>
    </row>
    <row r="8" spans="1:11" ht="20.399999999999999" x14ac:dyDescent="0.25">
      <c r="A8" s="4" t="s">
        <v>85</v>
      </c>
      <c r="B8" s="13"/>
      <c r="C8" s="78">
        <v>25231161.675000001</v>
      </c>
      <c r="D8" s="78">
        <v>69939831.310000002</v>
      </c>
      <c r="E8" s="13"/>
      <c r="F8" s="14"/>
      <c r="G8" s="35"/>
      <c r="H8" s="35"/>
      <c r="I8" s="79">
        <v>0</v>
      </c>
      <c r="J8" s="79">
        <v>0</v>
      </c>
      <c r="K8" s="20"/>
    </row>
    <row r="9" spans="1:11" x14ac:dyDescent="0.25">
      <c r="A9" s="9" t="s">
        <v>6</v>
      </c>
      <c r="B9" s="78">
        <v>0</v>
      </c>
      <c r="C9" s="78">
        <v>5346297.5449999999</v>
      </c>
      <c r="D9" s="78">
        <v>14089268.640000001</v>
      </c>
      <c r="E9" s="78">
        <v>0</v>
      </c>
      <c r="F9" s="11"/>
      <c r="G9" s="33"/>
      <c r="H9" s="33"/>
      <c r="I9" s="79">
        <v>0</v>
      </c>
      <c r="J9" s="79">
        <v>0</v>
      </c>
      <c r="K9" s="34"/>
    </row>
    <row r="10" spans="1:11" ht="13.5" customHeight="1" x14ac:dyDescent="0.25">
      <c r="A10" s="9" t="s">
        <v>7</v>
      </c>
      <c r="B10" s="78">
        <v>53739001.299999997</v>
      </c>
      <c r="C10" s="78">
        <v>255038583.18000001</v>
      </c>
      <c r="D10" s="78">
        <v>178546836</v>
      </c>
      <c r="E10" s="78">
        <v>31907424.68</v>
      </c>
      <c r="F10" s="11"/>
      <c r="G10" s="33"/>
      <c r="H10" s="33"/>
      <c r="I10" s="79">
        <v>0</v>
      </c>
      <c r="J10" s="79">
        <v>0</v>
      </c>
      <c r="K10" s="34"/>
    </row>
    <row r="11" spans="1:11" ht="20.25" customHeight="1" x14ac:dyDescent="0.25">
      <c r="A11" s="7" t="s">
        <v>8</v>
      </c>
      <c r="B11" s="8">
        <v>4909870.24</v>
      </c>
      <c r="C11" s="8">
        <v>12195263.109999999</v>
      </c>
      <c r="D11" s="8">
        <v>41032003.599999994</v>
      </c>
      <c r="E11" s="8">
        <v>2208099.85</v>
      </c>
      <c r="F11" s="8">
        <v>0</v>
      </c>
      <c r="G11" s="32">
        <v>0</v>
      </c>
      <c r="H11" s="32">
        <v>0</v>
      </c>
      <c r="I11" s="32">
        <v>0</v>
      </c>
      <c r="J11" s="32">
        <v>0</v>
      </c>
      <c r="K11" s="34"/>
    </row>
    <row r="12" spans="1:11" x14ac:dyDescent="0.25">
      <c r="A12" s="15" t="s">
        <v>9</v>
      </c>
      <c r="B12" s="78">
        <v>312666.45</v>
      </c>
      <c r="C12" s="78">
        <v>690900.26</v>
      </c>
      <c r="D12" s="78">
        <v>9445384.3999999985</v>
      </c>
      <c r="E12" s="78">
        <v>136505.76999999999</v>
      </c>
      <c r="F12" s="11"/>
      <c r="G12" s="33"/>
      <c r="H12" s="33"/>
      <c r="I12" s="79">
        <v>0</v>
      </c>
      <c r="J12" s="79">
        <v>0</v>
      </c>
      <c r="K12" s="34"/>
    </row>
    <row r="13" spans="1:11" x14ac:dyDescent="0.25">
      <c r="A13" s="15" t="s">
        <v>10</v>
      </c>
      <c r="B13" s="78">
        <v>4597203.79</v>
      </c>
      <c r="C13" s="78">
        <v>11504362.85</v>
      </c>
      <c r="D13" s="78">
        <v>29075095.23</v>
      </c>
      <c r="E13" s="78">
        <v>2071594.08</v>
      </c>
      <c r="F13" s="11"/>
      <c r="G13" s="33"/>
      <c r="H13" s="33"/>
      <c r="I13" s="79">
        <v>0</v>
      </c>
      <c r="J13" s="79">
        <v>0</v>
      </c>
      <c r="K13" s="34"/>
    </row>
    <row r="14" spans="1:11" x14ac:dyDescent="0.25">
      <c r="A14" s="15" t="s">
        <v>11</v>
      </c>
      <c r="B14" s="78">
        <v>0</v>
      </c>
      <c r="C14" s="78">
        <v>0</v>
      </c>
      <c r="D14" s="78">
        <v>2511523.9700000002</v>
      </c>
      <c r="E14" s="78">
        <v>0</v>
      </c>
      <c r="F14" s="11"/>
      <c r="G14" s="33"/>
      <c r="H14" s="33"/>
      <c r="I14" s="79">
        <v>0</v>
      </c>
      <c r="J14" s="37"/>
      <c r="K14" s="34"/>
    </row>
    <row r="15" spans="1:11" x14ac:dyDescent="0.25">
      <c r="A15" s="15" t="s">
        <v>12</v>
      </c>
      <c r="B15" s="80"/>
      <c r="C15" s="80"/>
      <c r="D15" s="80"/>
      <c r="E15" s="80"/>
      <c r="F15" s="12"/>
      <c r="G15" s="33"/>
      <c r="H15" s="34"/>
      <c r="I15" s="34"/>
      <c r="J15" s="34"/>
      <c r="K15" s="34"/>
    </row>
    <row r="16" spans="1:11" x14ac:dyDescent="0.25">
      <c r="A16" s="9" t="s">
        <v>13</v>
      </c>
      <c r="B16" s="80"/>
      <c r="C16" s="8">
        <v>83424172</v>
      </c>
      <c r="D16" s="80"/>
      <c r="E16" s="8">
        <v>34681421</v>
      </c>
      <c r="F16" s="12"/>
      <c r="G16" s="34"/>
      <c r="H16" s="34"/>
      <c r="I16" s="34"/>
      <c r="J16" s="34"/>
      <c r="K16" s="34"/>
    </row>
    <row r="17" spans="1:11" x14ac:dyDescent="0.25">
      <c r="A17" s="9" t="s">
        <v>14</v>
      </c>
      <c r="B17" s="12"/>
      <c r="C17" s="78">
        <v>83162172</v>
      </c>
      <c r="D17" s="80"/>
      <c r="E17" s="78">
        <v>27745141</v>
      </c>
      <c r="F17" s="12"/>
      <c r="G17" s="34"/>
      <c r="H17" s="34"/>
      <c r="I17" s="34"/>
      <c r="J17" s="34"/>
      <c r="K17" s="34"/>
    </row>
    <row r="18" spans="1:11" ht="12.75" customHeight="1" x14ac:dyDescent="0.25">
      <c r="A18" s="9" t="s">
        <v>15</v>
      </c>
      <c r="B18" s="12"/>
      <c r="C18" s="78">
        <v>262000</v>
      </c>
      <c r="D18" s="80"/>
      <c r="E18" s="78">
        <v>0</v>
      </c>
      <c r="F18" s="12"/>
      <c r="G18" s="34"/>
      <c r="H18" s="34"/>
      <c r="I18" s="34"/>
      <c r="J18" s="34"/>
      <c r="K18" s="34"/>
    </row>
    <row r="19" spans="1:11" x14ac:dyDescent="0.25">
      <c r="A19" s="9" t="s">
        <v>16</v>
      </c>
      <c r="B19" s="12"/>
      <c r="C19" s="78">
        <v>0</v>
      </c>
      <c r="D19" s="80"/>
      <c r="E19" s="78">
        <v>6936280</v>
      </c>
      <c r="F19" s="12"/>
      <c r="G19" s="34"/>
      <c r="H19" s="34"/>
      <c r="I19" s="34"/>
      <c r="J19" s="34"/>
      <c r="K19" s="34"/>
    </row>
    <row r="20" spans="1:11" x14ac:dyDescent="0.25">
      <c r="A20" s="17" t="s">
        <v>17</v>
      </c>
      <c r="B20" s="12"/>
      <c r="C20" s="12"/>
      <c r="D20" s="12"/>
      <c r="E20" s="12"/>
      <c r="F20" s="12"/>
      <c r="G20" s="34"/>
      <c r="H20" s="34"/>
      <c r="I20" s="34"/>
      <c r="J20" s="34"/>
      <c r="K20" s="33"/>
    </row>
    <row r="21" spans="1:11" x14ac:dyDescent="0.25">
      <c r="A21" s="17" t="s">
        <v>18</v>
      </c>
      <c r="B21" s="12"/>
      <c r="C21" s="12"/>
      <c r="D21" s="12"/>
      <c r="E21" s="12"/>
      <c r="F21" s="12"/>
      <c r="G21" s="34"/>
      <c r="H21" s="34"/>
      <c r="I21" s="34"/>
      <c r="J21" s="34"/>
      <c r="K21" s="79"/>
    </row>
    <row r="22" spans="1:11" ht="9.75" customHeight="1" x14ac:dyDescent="0.25">
      <c r="A22" s="17" t="s">
        <v>19</v>
      </c>
      <c r="B22" s="12"/>
      <c r="C22" s="12"/>
      <c r="D22" s="12"/>
      <c r="E22" s="12"/>
      <c r="F22" s="12"/>
      <c r="G22" s="34"/>
      <c r="H22" s="34"/>
      <c r="I22" s="34"/>
      <c r="J22" s="34"/>
      <c r="K22" s="79"/>
    </row>
    <row r="23" spans="1:11" x14ac:dyDescent="0.25">
      <c r="A23" s="17" t="s">
        <v>20</v>
      </c>
      <c r="B23" s="12"/>
      <c r="C23" s="12"/>
      <c r="D23" s="12"/>
      <c r="E23" s="12"/>
      <c r="F23" s="12"/>
      <c r="G23" s="34"/>
      <c r="H23" s="34"/>
      <c r="I23" s="34"/>
      <c r="J23" s="34"/>
      <c r="K23" s="79"/>
    </row>
    <row r="24" spans="1:11" x14ac:dyDescent="0.25">
      <c r="A24" s="17" t="s">
        <v>21</v>
      </c>
      <c r="B24" s="12"/>
      <c r="C24" s="12"/>
      <c r="D24" s="12"/>
      <c r="E24" s="12"/>
      <c r="F24" s="12"/>
      <c r="G24" s="34"/>
      <c r="H24" s="34"/>
      <c r="I24" s="34"/>
      <c r="J24" s="34"/>
      <c r="K24" s="79">
        <v>0</v>
      </c>
    </row>
    <row r="25" spans="1:11" x14ac:dyDescent="0.25">
      <c r="A25" s="17" t="s">
        <v>22</v>
      </c>
      <c r="B25" s="12"/>
      <c r="C25" s="12"/>
      <c r="D25" s="12"/>
      <c r="E25" s="12"/>
      <c r="F25" s="12"/>
      <c r="G25" s="34"/>
      <c r="H25" s="34"/>
      <c r="I25" s="34"/>
      <c r="J25" s="34"/>
      <c r="K25" s="79">
        <v>0</v>
      </c>
    </row>
    <row r="26" spans="1:11" x14ac:dyDescent="0.25">
      <c r="A26" s="17" t="s">
        <v>23</v>
      </c>
      <c r="B26" s="12"/>
      <c r="C26" s="12"/>
      <c r="D26" s="12"/>
      <c r="E26" s="12"/>
      <c r="F26" s="12"/>
      <c r="G26" s="34"/>
      <c r="H26" s="34"/>
      <c r="I26" s="34"/>
      <c r="J26" s="34"/>
      <c r="K26" s="79"/>
    </row>
    <row r="27" spans="1:11" x14ac:dyDescent="0.25">
      <c r="A27" s="17" t="s">
        <v>24</v>
      </c>
      <c r="B27" s="12"/>
      <c r="C27" s="12"/>
      <c r="D27" s="12"/>
      <c r="E27" s="12"/>
      <c r="F27" s="12"/>
      <c r="G27" s="34"/>
      <c r="H27" s="34"/>
      <c r="I27" s="34"/>
      <c r="J27" s="34"/>
      <c r="K27" s="79"/>
    </row>
    <row r="28" spans="1:11" ht="12" customHeight="1" x14ac:dyDescent="0.25">
      <c r="A28" s="7" t="s">
        <v>25</v>
      </c>
      <c r="B28" s="8">
        <v>59844129</v>
      </c>
      <c r="C28" s="8">
        <v>217302692.46000001</v>
      </c>
      <c r="D28" s="8">
        <v>319845469.36000001</v>
      </c>
      <c r="E28" s="12"/>
      <c r="F28" s="18"/>
      <c r="G28" s="39"/>
      <c r="H28" s="39"/>
      <c r="I28" s="32"/>
      <c r="J28" s="39"/>
      <c r="K28" s="32"/>
    </row>
    <row r="29" spans="1:11" ht="12" customHeight="1" x14ac:dyDescent="0.25">
      <c r="A29" s="4" t="s">
        <v>99</v>
      </c>
      <c r="B29" s="78">
        <v>0</v>
      </c>
      <c r="C29" s="90">
        <v>5878298.7400000002</v>
      </c>
      <c r="D29" s="78">
        <v>369994542.63999999</v>
      </c>
      <c r="E29" s="12"/>
      <c r="F29" s="11"/>
      <c r="G29" s="33"/>
      <c r="H29" s="33"/>
      <c r="I29" s="79"/>
      <c r="J29" s="33"/>
      <c r="K29" s="79"/>
    </row>
    <row r="30" spans="1:11" ht="15" customHeight="1" x14ac:dyDescent="0.25">
      <c r="A30" s="7" t="s">
        <v>26</v>
      </c>
      <c r="B30" s="8">
        <v>59844129</v>
      </c>
      <c r="C30" s="8">
        <v>223180991.21000001</v>
      </c>
      <c r="D30" s="8">
        <v>689840012</v>
      </c>
      <c r="E30" s="12"/>
      <c r="F30" s="18"/>
      <c r="G30" s="39"/>
      <c r="H30" s="39"/>
      <c r="I30" s="32"/>
      <c r="J30" s="39"/>
      <c r="K30" s="32"/>
    </row>
    <row r="31" spans="1:11" ht="12.75" customHeight="1" x14ac:dyDescent="0.25">
      <c r="A31" s="4" t="s">
        <v>102</v>
      </c>
      <c r="B31" s="12"/>
      <c r="C31" s="12"/>
      <c r="D31" s="34"/>
      <c r="E31" s="12"/>
      <c r="F31" s="12"/>
      <c r="G31" s="34"/>
      <c r="H31" s="34"/>
      <c r="I31" s="34"/>
      <c r="J31" s="34"/>
      <c r="K31" s="34"/>
    </row>
    <row r="32" spans="1:11" ht="15" customHeight="1" x14ac:dyDescent="0.25">
      <c r="A32" s="7" t="s">
        <v>27</v>
      </c>
      <c r="B32" s="8">
        <v>0</v>
      </c>
      <c r="C32" s="8">
        <v>0</v>
      </c>
      <c r="D32" s="8">
        <v>0</v>
      </c>
      <c r="E32" s="12"/>
      <c r="F32" s="18"/>
      <c r="G32" s="39"/>
      <c r="H32" s="39"/>
      <c r="I32" s="32"/>
      <c r="J32" s="39"/>
      <c r="K32" s="32"/>
    </row>
    <row r="33" spans="1:11" ht="20.399999999999999" x14ac:dyDescent="0.3">
      <c r="A33" s="19" t="s">
        <v>28</v>
      </c>
      <c r="B33" s="20"/>
      <c r="C33" s="20"/>
      <c r="D33" s="20"/>
      <c r="E33" s="20"/>
      <c r="F33" s="20"/>
      <c r="G33" s="20"/>
      <c r="H33" s="20"/>
      <c r="I33" s="20"/>
      <c r="J33" s="20"/>
      <c r="K33" s="40" t="s">
        <v>61</v>
      </c>
    </row>
    <row r="34" spans="1:11" ht="20.399999999999999" x14ac:dyDescent="0.2">
      <c r="A34" s="4" t="s">
        <v>105</v>
      </c>
      <c r="B34" s="79"/>
      <c r="C34" s="81"/>
      <c r="D34" s="81"/>
      <c r="E34" s="20"/>
      <c r="F34" s="20"/>
      <c r="G34" s="20"/>
      <c r="H34" s="20"/>
      <c r="I34" s="20"/>
      <c r="J34" s="20"/>
      <c r="K34" s="20"/>
    </row>
    <row r="35" spans="1:11" ht="14.4" customHeight="1" x14ac:dyDescent="0.3">
      <c r="A35" s="141" t="s">
        <v>30</v>
      </c>
      <c r="B35" s="142"/>
      <c r="C35" s="142"/>
      <c r="D35" s="142"/>
      <c r="E35" s="142"/>
      <c r="F35" s="142"/>
      <c r="G35" s="142"/>
      <c r="H35" s="142"/>
      <c r="I35" s="142"/>
      <c r="J35" s="142"/>
      <c r="K35" s="143"/>
    </row>
    <row r="36" spans="1:11" ht="25.5" customHeight="1" x14ac:dyDescent="0.3">
      <c r="A36" s="4" t="s">
        <v>108</v>
      </c>
      <c r="B36" s="21" t="s">
        <v>31</v>
      </c>
      <c r="C36" s="91" t="s">
        <v>109</v>
      </c>
      <c r="D36" s="23"/>
      <c r="E36" s="23"/>
      <c r="F36" s="23"/>
      <c r="G36" s="23"/>
      <c r="H36" s="23"/>
      <c r="I36" s="23"/>
      <c r="J36" s="23"/>
      <c r="K36" s="23"/>
    </row>
    <row r="37" spans="1:11" ht="25.5" customHeight="1" x14ac:dyDescent="0.3">
      <c r="A37" s="24" t="s">
        <v>110</v>
      </c>
      <c r="B37" s="72">
        <v>0</v>
      </c>
      <c r="C37" s="73">
        <v>0</v>
      </c>
      <c r="D37" s="23"/>
      <c r="E37" s="23"/>
      <c r="F37" s="23"/>
      <c r="G37" s="23"/>
      <c r="H37" s="23"/>
      <c r="I37" s="23"/>
      <c r="J37" s="23"/>
      <c r="K37" s="23"/>
    </row>
    <row r="38" spans="1:11" ht="25.5" customHeight="1" x14ac:dyDescent="0.3">
      <c r="A38" s="26" t="s">
        <v>111</v>
      </c>
      <c r="B38" s="23"/>
      <c r="C38" s="23"/>
      <c r="D38" s="21" t="s">
        <v>31</v>
      </c>
      <c r="E38" s="23"/>
      <c r="F38" s="23"/>
      <c r="G38" s="23"/>
      <c r="H38" s="40" t="s">
        <v>29</v>
      </c>
      <c r="I38" s="40" t="s">
        <v>29</v>
      </c>
      <c r="J38" s="40" t="s">
        <v>31</v>
      </c>
      <c r="K38" s="40" t="s">
        <v>31</v>
      </c>
    </row>
    <row r="39" spans="1:11" ht="10.5" customHeight="1" x14ac:dyDescent="0.3">
      <c r="A39" s="138" t="s">
        <v>112</v>
      </c>
      <c r="B39" s="139"/>
      <c r="C39" s="139"/>
      <c r="D39" s="139"/>
      <c r="E39" s="139"/>
      <c r="F39" s="139"/>
      <c r="G39" s="139"/>
      <c r="H39" s="139"/>
      <c r="I39" s="139"/>
      <c r="J39" s="139"/>
      <c r="K39" s="140"/>
    </row>
    <row r="40" spans="1:11" ht="18.600000000000001" customHeight="1" x14ac:dyDescent="0.3">
      <c r="A40" s="187" t="s">
        <v>130</v>
      </c>
      <c r="B40" s="150"/>
      <c r="C40" s="150"/>
      <c r="D40" s="150"/>
      <c r="E40" s="150"/>
      <c r="F40" s="150"/>
      <c r="G40" s="150"/>
      <c r="H40" s="150"/>
      <c r="I40" s="151"/>
      <c r="J40" s="27"/>
      <c r="K40" s="27"/>
    </row>
    <row r="41" spans="1:11" ht="13.8" x14ac:dyDescent="0.3">
      <c r="A41" s="4" t="s">
        <v>114</v>
      </c>
      <c r="B41" s="177" t="s">
        <v>131</v>
      </c>
      <c r="C41" s="178"/>
      <c r="D41" s="178"/>
      <c r="E41" s="178"/>
      <c r="F41" s="178"/>
      <c r="G41" s="178"/>
      <c r="H41" s="178"/>
      <c r="I41" s="179"/>
      <c r="J41" s="27"/>
      <c r="K41" s="27"/>
    </row>
    <row r="42" spans="1:11" ht="18" customHeight="1" x14ac:dyDescent="0.25">
      <c r="A42" s="4" t="s">
        <v>116</v>
      </c>
      <c r="B42" s="177" t="s">
        <v>132</v>
      </c>
      <c r="C42" s="178"/>
      <c r="D42" s="178"/>
      <c r="E42" s="178"/>
      <c r="F42" s="178"/>
      <c r="G42" s="178"/>
      <c r="H42" s="178"/>
      <c r="I42" s="179"/>
      <c r="J42" s="42"/>
      <c r="K42" s="42"/>
    </row>
    <row r="43" spans="1:11" ht="30.75" customHeight="1" x14ac:dyDescent="0.3">
      <c r="A43" s="4" t="s">
        <v>118</v>
      </c>
      <c r="B43" s="135" t="s">
        <v>32</v>
      </c>
      <c r="C43" s="136"/>
      <c r="D43" s="136"/>
      <c r="E43" s="136"/>
      <c r="F43" s="136"/>
      <c r="G43" s="136"/>
      <c r="H43" s="136"/>
      <c r="I43" s="136"/>
      <c r="J43" s="136"/>
      <c r="K43" s="137"/>
    </row>
    <row r="44" spans="1:11" x14ac:dyDescent="0.3">
      <c r="D44" s="83"/>
      <c r="E44" s="83"/>
    </row>
    <row r="45" spans="1:11" ht="15.6" x14ac:dyDescent="0.3">
      <c r="A45" s="84"/>
      <c r="D45" s="83"/>
      <c r="E45" s="83"/>
    </row>
    <row r="46" spans="1:11" ht="15.6" x14ac:dyDescent="0.3">
      <c r="A46" s="85"/>
      <c r="D46" s="83"/>
      <c r="E46" s="83"/>
    </row>
    <row r="47" spans="1:11" x14ac:dyDescent="0.3">
      <c r="D47" s="83"/>
      <c r="E47" s="83"/>
    </row>
  </sheetData>
  <mergeCells count="7">
    <mergeCell ref="B41:I41"/>
    <mergeCell ref="B42:I42"/>
    <mergeCell ref="A1:K1"/>
    <mergeCell ref="B2:C2"/>
    <mergeCell ref="D2:F2"/>
    <mergeCell ref="G2:K2"/>
    <mergeCell ref="G3:K3"/>
  </mergeCells>
  <pageMargins left="0.25" right="0.25" top="0.75" bottom="0.75" header="0.3" footer="0.3"/>
  <pageSetup scale="3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8DF6-4F74-4350-A38B-1BA50828B95D}">
  <sheetPr>
    <pageSetUpPr fitToPage="1"/>
  </sheetPr>
  <dimension ref="A1:K45"/>
  <sheetViews>
    <sheetView view="pageBreakPreview" zoomScale="80" zoomScaleNormal="140" zoomScaleSheetLayoutView="80" workbookViewId="0">
      <selection activeCell="B43" sqref="B43"/>
    </sheetView>
  </sheetViews>
  <sheetFormatPr defaultColWidth="9.109375" defaultRowHeight="13.2" x14ac:dyDescent="0.3"/>
  <cols>
    <col min="1" max="1" width="51.88671875" style="82" customWidth="1"/>
    <col min="2" max="2" width="23.33203125" style="77" customWidth="1"/>
    <col min="3" max="3" width="23.6640625" style="77" customWidth="1"/>
    <col min="4" max="4" width="20.33203125" style="77" customWidth="1"/>
    <col min="5" max="5" width="14.5546875" style="77" customWidth="1"/>
    <col min="6" max="6" width="16.88671875" style="77" customWidth="1"/>
    <col min="7" max="7" width="22" style="77" customWidth="1"/>
    <col min="8" max="8" width="18.88671875" style="77" customWidth="1"/>
    <col min="9" max="9" width="16.88671875" style="77" customWidth="1"/>
    <col min="10" max="10" width="18.44140625" style="77" customWidth="1"/>
    <col min="11" max="11" width="15.109375" style="77" customWidth="1"/>
    <col min="12" max="16384" width="9.109375" style="77"/>
  </cols>
  <sheetData>
    <row r="1" spans="1:11" ht="14.4" x14ac:dyDescent="0.3">
      <c r="A1" s="171" t="s">
        <v>33</v>
      </c>
      <c r="B1" s="172"/>
      <c r="C1" s="172"/>
      <c r="D1" s="172"/>
      <c r="E1" s="172"/>
      <c r="F1" s="172"/>
      <c r="G1" s="172"/>
      <c r="H1" s="172"/>
      <c r="I1" s="172"/>
      <c r="J1" s="172"/>
      <c r="K1" s="173"/>
    </row>
    <row r="2" spans="1:11" ht="24" customHeight="1" x14ac:dyDescent="0.3">
      <c r="A2" s="92" t="s">
        <v>136</v>
      </c>
      <c r="B2" s="167" t="s">
        <v>68</v>
      </c>
      <c r="C2" s="168"/>
      <c r="D2" s="169" t="s">
        <v>69</v>
      </c>
      <c r="E2" s="170"/>
      <c r="F2" s="168"/>
      <c r="G2" s="171" t="s">
        <v>134</v>
      </c>
      <c r="H2" s="172">
        <v>0</v>
      </c>
      <c r="I2" s="172">
        <v>0</v>
      </c>
      <c r="J2" s="172">
        <v>0</v>
      </c>
      <c r="K2" s="173">
        <v>0</v>
      </c>
    </row>
    <row r="3" spans="1:11" ht="15" customHeight="1" x14ac:dyDescent="0.3">
      <c r="A3" s="93"/>
      <c r="B3" s="188" t="s">
        <v>70</v>
      </c>
      <c r="C3" s="149"/>
      <c r="D3" s="149"/>
      <c r="E3" s="149"/>
      <c r="F3" s="148"/>
      <c r="G3" s="171" t="s">
        <v>135</v>
      </c>
      <c r="H3" s="172">
        <v>0</v>
      </c>
      <c r="I3" s="172">
        <v>0</v>
      </c>
      <c r="J3" s="172">
        <v>0</v>
      </c>
      <c r="K3" s="173">
        <v>0</v>
      </c>
    </row>
    <row r="4" spans="1:11" ht="14.4" x14ac:dyDescent="0.25">
      <c r="A4" s="152" t="s">
        <v>36</v>
      </c>
      <c r="B4" s="153"/>
      <c r="C4" s="153"/>
      <c r="D4" s="153"/>
      <c r="E4" s="153"/>
      <c r="F4" s="153"/>
      <c r="G4" s="153"/>
      <c r="H4" s="154"/>
      <c r="I4" s="55"/>
      <c r="J4" s="55"/>
      <c r="K4" s="55"/>
    </row>
    <row r="5" spans="1:11" ht="86.4" x14ac:dyDescent="0.3">
      <c r="A5" s="57"/>
      <c r="B5" s="86" t="s">
        <v>2</v>
      </c>
      <c r="C5" s="86" t="s">
        <v>122</v>
      </c>
      <c r="D5" s="87" t="s">
        <v>123</v>
      </c>
      <c r="E5" s="88" t="s">
        <v>3</v>
      </c>
      <c r="F5" s="87" t="s">
        <v>124</v>
      </c>
      <c r="G5" s="87" t="s">
        <v>125</v>
      </c>
      <c r="H5" s="87" t="s">
        <v>126</v>
      </c>
      <c r="I5" s="87" t="s">
        <v>127</v>
      </c>
      <c r="J5" s="89" t="s">
        <v>128</v>
      </c>
      <c r="K5" s="89" t="s">
        <v>129</v>
      </c>
    </row>
    <row r="6" spans="1:11" ht="15.75" customHeight="1" x14ac:dyDescent="0.3">
      <c r="A6" s="51" t="s">
        <v>4</v>
      </c>
      <c r="B6" s="52">
        <v>58415208.140000001</v>
      </c>
      <c r="C6" s="52">
        <v>275473997.94</v>
      </c>
      <c r="D6" s="52">
        <v>278693551.01999998</v>
      </c>
      <c r="E6" s="52">
        <v>34681421</v>
      </c>
      <c r="F6" s="52">
        <v>0</v>
      </c>
      <c r="G6" s="52">
        <v>0</v>
      </c>
      <c r="H6" s="52">
        <v>0</v>
      </c>
      <c r="I6" s="52">
        <v>0</v>
      </c>
      <c r="J6" s="52">
        <v>0</v>
      </c>
      <c r="K6" s="52">
        <v>0</v>
      </c>
    </row>
    <row r="7" spans="1:11" ht="14.4" x14ac:dyDescent="0.3">
      <c r="A7" s="53" t="s">
        <v>5</v>
      </c>
      <c r="B7" s="94">
        <v>1195257.46</v>
      </c>
      <c r="C7" s="94">
        <v>2521723.84</v>
      </c>
      <c r="D7" s="94">
        <v>15114799.799999999</v>
      </c>
      <c r="E7" s="94">
        <v>565896.47</v>
      </c>
      <c r="F7" s="55"/>
      <c r="G7" s="55"/>
      <c r="H7" s="55"/>
      <c r="I7" s="94">
        <v>0</v>
      </c>
      <c r="J7" s="94">
        <v>0</v>
      </c>
      <c r="K7" s="56"/>
    </row>
    <row r="8" spans="1:11" ht="43.2" x14ac:dyDescent="0.3">
      <c r="A8" s="57" t="s">
        <v>137</v>
      </c>
      <c r="B8" s="58"/>
      <c r="C8" s="94">
        <v>25240192.770000003</v>
      </c>
      <c r="D8" s="94">
        <v>67099513.509999998</v>
      </c>
      <c r="E8" s="58"/>
      <c r="F8" s="59"/>
      <c r="G8" s="59"/>
      <c r="H8" s="59"/>
      <c r="I8" s="94">
        <v>0</v>
      </c>
      <c r="J8" s="94">
        <v>0</v>
      </c>
      <c r="K8" s="60"/>
    </row>
    <row r="9" spans="1:11" ht="14.4" x14ac:dyDescent="0.3">
      <c r="A9" s="53" t="s">
        <v>6</v>
      </c>
      <c r="B9" s="94">
        <v>0</v>
      </c>
      <c r="C9" s="94">
        <v>5349307.91</v>
      </c>
      <c r="D9" s="94">
        <v>12733036.609999999</v>
      </c>
      <c r="E9" s="94">
        <v>0</v>
      </c>
      <c r="F9" s="55"/>
      <c r="G9" s="55"/>
      <c r="H9" s="55"/>
      <c r="I9" s="94">
        <v>0</v>
      </c>
      <c r="J9" s="94">
        <v>0</v>
      </c>
      <c r="K9" s="56"/>
    </row>
    <row r="10" spans="1:11" ht="13.5" customHeight="1" x14ac:dyDescent="0.3">
      <c r="A10" s="53" t="s">
        <v>7</v>
      </c>
      <c r="B10" s="94">
        <v>52310080.439999998</v>
      </c>
      <c r="C10" s="94">
        <v>231672423.40000001</v>
      </c>
      <c r="D10" s="94">
        <v>146807689.44999999</v>
      </c>
      <c r="E10" s="94">
        <v>31907424.68</v>
      </c>
      <c r="F10" s="55"/>
      <c r="G10" s="55"/>
      <c r="H10" s="55"/>
      <c r="I10" s="94">
        <v>0</v>
      </c>
      <c r="J10" s="94">
        <v>0</v>
      </c>
      <c r="K10" s="56"/>
    </row>
    <row r="11" spans="1:11" ht="20.25" customHeight="1" x14ac:dyDescent="0.3">
      <c r="A11" s="51" t="s">
        <v>8</v>
      </c>
      <c r="B11" s="52">
        <v>4909870.24</v>
      </c>
      <c r="C11" s="52">
        <v>10690350.02</v>
      </c>
      <c r="D11" s="52">
        <v>36938511.649999999</v>
      </c>
      <c r="E11" s="52">
        <v>2208099.85</v>
      </c>
      <c r="F11" s="52">
        <v>0</v>
      </c>
      <c r="G11" s="52">
        <v>0</v>
      </c>
      <c r="H11" s="52">
        <v>0</v>
      </c>
      <c r="I11" s="52">
        <v>0</v>
      </c>
      <c r="J11" s="52">
        <v>0</v>
      </c>
      <c r="K11" s="56"/>
    </row>
    <row r="12" spans="1:11" ht="14.4" x14ac:dyDescent="0.3">
      <c r="A12" s="62" t="s">
        <v>9</v>
      </c>
      <c r="B12" s="94">
        <v>312666.45</v>
      </c>
      <c r="C12" s="94">
        <v>697887.7</v>
      </c>
      <c r="D12" s="94">
        <v>8253576.2400000002</v>
      </c>
      <c r="E12" s="94">
        <v>136505.76999999999</v>
      </c>
      <c r="F12" s="55"/>
      <c r="G12" s="55"/>
      <c r="H12" s="55"/>
      <c r="I12" s="94">
        <v>0</v>
      </c>
      <c r="J12" s="94">
        <v>0</v>
      </c>
      <c r="K12" s="56"/>
    </row>
    <row r="13" spans="1:11" ht="14.4" x14ac:dyDescent="0.3">
      <c r="A13" s="62" t="s">
        <v>10</v>
      </c>
      <c r="B13" s="94">
        <v>4597203.79</v>
      </c>
      <c r="C13" s="94">
        <v>9992462.3200000003</v>
      </c>
      <c r="D13" s="94">
        <v>26164491.539999999</v>
      </c>
      <c r="E13" s="94">
        <v>2071594.08</v>
      </c>
      <c r="F13" s="55"/>
      <c r="G13" s="55"/>
      <c r="H13" s="55"/>
      <c r="I13" s="94">
        <v>0</v>
      </c>
      <c r="J13" s="94">
        <v>0</v>
      </c>
      <c r="K13" s="56"/>
    </row>
    <row r="14" spans="1:11" ht="14.4" x14ac:dyDescent="0.3">
      <c r="A14" s="62" t="s">
        <v>11</v>
      </c>
      <c r="B14" s="94">
        <v>0</v>
      </c>
      <c r="C14" s="94">
        <v>0</v>
      </c>
      <c r="D14" s="94">
        <v>2520443.87</v>
      </c>
      <c r="E14" s="94">
        <v>0</v>
      </c>
      <c r="F14" s="55"/>
      <c r="G14" s="55"/>
      <c r="H14" s="55"/>
      <c r="I14" s="94">
        <v>0</v>
      </c>
      <c r="J14" s="58"/>
      <c r="K14" s="56"/>
    </row>
    <row r="15" spans="1:11" ht="14.4" x14ac:dyDescent="0.3">
      <c r="A15" s="62" t="s">
        <v>12</v>
      </c>
      <c r="B15" s="95"/>
      <c r="C15" s="95"/>
      <c r="D15" s="95"/>
      <c r="E15" s="95"/>
      <c r="F15" s="56"/>
      <c r="G15" s="55"/>
      <c r="H15" s="56"/>
      <c r="I15" s="56"/>
      <c r="J15" s="56"/>
      <c r="K15" s="56"/>
    </row>
    <row r="16" spans="1:11" ht="14.4" x14ac:dyDescent="0.3">
      <c r="A16" s="53" t="s">
        <v>13</v>
      </c>
      <c r="B16" s="95"/>
      <c r="C16" s="52">
        <v>81938536</v>
      </c>
      <c r="D16" s="95"/>
      <c r="E16" s="52">
        <v>34681421</v>
      </c>
      <c r="F16" s="56"/>
      <c r="G16" s="56"/>
      <c r="H16" s="56"/>
      <c r="I16" s="56"/>
      <c r="J16" s="56"/>
      <c r="K16" s="56"/>
    </row>
    <row r="17" spans="1:11" ht="14.4" x14ac:dyDescent="0.3">
      <c r="A17" s="53" t="s">
        <v>14</v>
      </c>
      <c r="B17" s="56"/>
      <c r="C17" s="94">
        <v>81676536</v>
      </c>
      <c r="D17" s="95"/>
      <c r="E17" s="94">
        <v>27745141</v>
      </c>
      <c r="F17" s="56"/>
      <c r="G17" s="56"/>
      <c r="H17" s="56"/>
      <c r="I17" s="56"/>
      <c r="J17" s="56"/>
      <c r="K17" s="56"/>
    </row>
    <row r="18" spans="1:11" ht="12.75" customHeight="1" x14ac:dyDescent="0.3">
      <c r="A18" s="53" t="s">
        <v>15</v>
      </c>
      <c r="B18" s="56"/>
      <c r="C18" s="94">
        <v>262000</v>
      </c>
      <c r="D18" s="95"/>
      <c r="E18" s="94">
        <v>0</v>
      </c>
      <c r="F18" s="56"/>
      <c r="G18" s="56"/>
      <c r="H18" s="56"/>
      <c r="I18" s="56"/>
      <c r="J18" s="56"/>
      <c r="K18" s="56"/>
    </row>
    <row r="19" spans="1:11" ht="14.4" x14ac:dyDescent="0.3">
      <c r="A19" s="53" t="s">
        <v>16</v>
      </c>
      <c r="B19" s="56"/>
      <c r="C19" s="94">
        <v>0</v>
      </c>
      <c r="D19" s="95"/>
      <c r="E19" s="94">
        <v>6936280</v>
      </c>
      <c r="F19" s="56"/>
      <c r="G19" s="56"/>
      <c r="H19" s="56"/>
      <c r="I19" s="56"/>
      <c r="J19" s="56"/>
      <c r="K19" s="56"/>
    </row>
    <row r="20" spans="1:11" ht="14.4" x14ac:dyDescent="0.25">
      <c r="A20" s="66" t="s">
        <v>17</v>
      </c>
      <c r="B20" s="56"/>
      <c r="C20" s="56"/>
      <c r="D20" s="56"/>
      <c r="E20" s="56"/>
      <c r="F20" s="56"/>
      <c r="G20" s="56"/>
      <c r="H20" s="56"/>
      <c r="I20" s="56"/>
      <c r="J20" s="56"/>
      <c r="K20" s="55"/>
    </row>
    <row r="21" spans="1:11" ht="14.4" x14ac:dyDescent="0.3">
      <c r="A21" s="66" t="s">
        <v>18</v>
      </c>
      <c r="B21" s="56"/>
      <c r="C21" s="56"/>
      <c r="D21" s="56"/>
      <c r="E21" s="56"/>
      <c r="F21" s="56"/>
      <c r="G21" s="56"/>
      <c r="H21" s="56"/>
      <c r="I21" s="56"/>
      <c r="J21" s="56"/>
      <c r="K21" s="94"/>
    </row>
    <row r="22" spans="1:11" ht="14.4" x14ac:dyDescent="0.3">
      <c r="A22" s="66" t="s">
        <v>19</v>
      </c>
      <c r="B22" s="56"/>
      <c r="C22" s="56"/>
      <c r="D22" s="56"/>
      <c r="E22" s="56"/>
      <c r="F22" s="56"/>
      <c r="G22" s="56"/>
      <c r="H22" s="56"/>
      <c r="I22" s="56"/>
      <c r="J22" s="56"/>
      <c r="K22" s="94"/>
    </row>
    <row r="23" spans="1:11" ht="14.4" x14ac:dyDescent="0.3">
      <c r="A23" s="66" t="s">
        <v>20</v>
      </c>
      <c r="B23" s="56"/>
      <c r="C23" s="56"/>
      <c r="D23" s="56"/>
      <c r="E23" s="56"/>
      <c r="F23" s="56"/>
      <c r="G23" s="56"/>
      <c r="H23" s="56"/>
      <c r="I23" s="56"/>
      <c r="J23" s="56"/>
      <c r="K23" s="94"/>
    </row>
    <row r="24" spans="1:11" ht="14.4" x14ac:dyDescent="0.3">
      <c r="A24" s="66" t="s">
        <v>21</v>
      </c>
      <c r="B24" s="56"/>
      <c r="C24" s="56"/>
      <c r="D24" s="56"/>
      <c r="E24" s="56"/>
      <c r="F24" s="56"/>
      <c r="G24" s="56"/>
      <c r="H24" s="56"/>
      <c r="I24" s="56"/>
      <c r="J24" s="56"/>
      <c r="K24" s="94">
        <v>0</v>
      </c>
    </row>
    <row r="25" spans="1:11" ht="14.4" x14ac:dyDescent="0.3">
      <c r="A25" s="66" t="s">
        <v>22</v>
      </c>
      <c r="B25" s="56"/>
      <c r="C25" s="56"/>
      <c r="D25" s="56"/>
      <c r="E25" s="56"/>
      <c r="F25" s="56"/>
      <c r="G25" s="56"/>
      <c r="H25" s="56"/>
      <c r="I25" s="56"/>
      <c r="J25" s="56"/>
      <c r="K25" s="94">
        <v>0</v>
      </c>
    </row>
    <row r="26" spans="1:11" ht="14.4" x14ac:dyDescent="0.3">
      <c r="A26" s="66" t="s">
        <v>23</v>
      </c>
      <c r="B26" s="56"/>
      <c r="C26" s="56"/>
      <c r="D26" s="56"/>
      <c r="E26" s="56"/>
      <c r="F26" s="56"/>
      <c r="G26" s="56"/>
      <c r="H26" s="56"/>
      <c r="I26" s="56"/>
      <c r="J26" s="56"/>
      <c r="K26" s="94"/>
    </row>
    <row r="27" spans="1:11" ht="14.4" x14ac:dyDescent="0.3">
      <c r="A27" s="66" t="s">
        <v>24</v>
      </c>
      <c r="B27" s="56"/>
      <c r="C27" s="56"/>
      <c r="D27" s="56"/>
      <c r="E27" s="56"/>
      <c r="F27" s="56"/>
      <c r="G27" s="56"/>
      <c r="H27" s="56"/>
      <c r="I27" s="56"/>
      <c r="J27" s="56"/>
      <c r="K27" s="94"/>
    </row>
    <row r="28" spans="1:11" ht="12" customHeight="1" x14ac:dyDescent="0.3">
      <c r="A28" s="51" t="s">
        <v>25</v>
      </c>
      <c r="B28" s="52">
        <v>58415208.140000001</v>
      </c>
      <c r="C28" s="52">
        <v>193535461.94</v>
      </c>
      <c r="D28" s="52">
        <v>278693551.02000004</v>
      </c>
      <c r="E28" s="56"/>
      <c r="F28" s="67"/>
      <c r="G28" s="67"/>
      <c r="H28" s="67"/>
      <c r="I28" s="52"/>
      <c r="J28" s="67"/>
      <c r="K28" s="52"/>
    </row>
    <row r="29" spans="1:11" ht="12" customHeight="1" x14ac:dyDescent="0.3">
      <c r="A29" s="57" t="s">
        <v>138</v>
      </c>
      <c r="B29" s="94">
        <v>1428920.8599999994</v>
      </c>
      <c r="C29" s="94">
        <v>29645529.270000011</v>
      </c>
      <c r="D29" s="94">
        <v>395316830.44999999</v>
      </c>
      <c r="E29" s="56"/>
      <c r="F29" s="55"/>
      <c r="G29" s="55"/>
      <c r="H29" s="55"/>
      <c r="I29" s="94"/>
      <c r="J29" s="55"/>
      <c r="K29" s="94"/>
    </row>
    <row r="30" spans="1:11" ht="15" customHeight="1" x14ac:dyDescent="0.3">
      <c r="A30" s="51" t="s">
        <v>26</v>
      </c>
      <c r="B30" s="52">
        <v>59844129</v>
      </c>
      <c r="C30" s="52">
        <v>223180991.21000001</v>
      </c>
      <c r="D30" s="52">
        <v>689840012</v>
      </c>
      <c r="E30" s="56"/>
      <c r="F30" s="67"/>
      <c r="G30" s="67"/>
      <c r="H30" s="67"/>
      <c r="I30" s="52"/>
      <c r="J30" s="67"/>
      <c r="K30" s="52"/>
    </row>
    <row r="31" spans="1:11" ht="12.75" customHeight="1" x14ac:dyDescent="0.25">
      <c r="A31" s="57" t="s">
        <v>139</v>
      </c>
      <c r="B31" s="56"/>
      <c r="C31" s="56"/>
      <c r="D31" s="56"/>
      <c r="E31" s="56"/>
      <c r="F31" s="56"/>
      <c r="G31" s="56"/>
      <c r="H31" s="56"/>
      <c r="I31" s="56"/>
      <c r="J31" s="56"/>
      <c r="K31" s="56"/>
    </row>
    <row r="32" spans="1:11" ht="15" customHeight="1" x14ac:dyDescent="0.3">
      <c r="A32" s="51" t="s">
        <v>27</v>
      </c>
      <c r="B32" s="67"/>
      <c r="C32" s="67"/>
      <c r="D32" s="52">
        <v>15829630.529999971</v>
      </c>
      <c r="E32" s="56"/>
      <c r="F32" s="67"/>
      <c r="G32" s="67"/>
      <c r="H32" s="67"/>
      <c r="I32" s="52"/>
      <c r="J32" s="67"/>
      <c r="K32" s="52"/>
    </row>
    <row r="33" spans="1:11" ht="28.8" x14ac:dyDescent="0.3">
      <c r="A33" s="68" t="s">
        <v>28</v>
      </c>
      <c r="B33" s="60"/>
      <c r="C33" s="60"/>
      <c r="D33" s="60"/>
      <c r="E33" s="60"/>
      <c r="F33" s="60"/>
      <c r="G33" s="60"/>
      <c r="H33" s="60"/>
      <c r="I33" s="60"/>
      <c r="J33" s="60"/>
      <c r="K33" s="69" t="s">
        <v>61</v>
      </c>
    </row>
    <row r="34" spans="1:11" ht="28.8" x14ac:dyDescent="0.3">
      <c r="A34" s="57" t="s">
        <v>140</v>
      </c>
      <c r="B34" s="94"/>
      <c r="C34" s="96"/>
      <c r="D34" s="96"/>
      <c r="E34" s="60"/>
      <c r="F34" s="60"/>
      <c r="G34" s="60"/>
      <c r="H34" s="60"/>
      <c r="I34" s="60"/>
      <c r="J34" s="60"/>
      <c r="K34" s="60"/>
    </row>
    <row r="35" spans="1:11" ht="14.4" customHeight="1" x14ac:dyDescent="0.3">
      <c r="A35" s="141" t="s">
        <v>30</v>
      </c>
      <c r="B35" s="142"/>
      <c r="C35" s="142"/>
      <c r="D35" s="142"/>
      <c r="E35" s="142"/>
      <c r="F35" s="142"/>
      <c r="G35" s="142"/>
      <c r="H35" s="142"/>
      <c r="I35" s="142"/>
      <c r="J35" s="142"/>
      <c r="K35" s="143"/>
    </row>
    <row r="36" spans="1:11" ht="57.6" x14ac:dyDescent="0.3">
      <c r="A36" s="57" t="s">
        <v>141</v>
      </c>
      <c r="B36" s="70" t="s">
        <v>31</v>
      </c>
      <c r="C36" s="70" t="s">
        <v>61</v>
      </c>
      <c r="D36" s="60"/>
      <c r="E36" s="60"/>
      <c r="F36" s="60"/>
      <c r="G36" s="60"/>
      <c r="H36" s="60"/>
      <c r="I36" s="60"/>
      <c r="J36" s="60"/>
      <c r="K36" s="60"/>
    </row>
    <row r="37" spans="1:11" ht="28.8" x14ac:dyDescent="0.3">
      <c r="A37" s="71" t="s">
        <v>142</v>
      </c>
      <c r="B37" s="72">
        <v>0</v>
      </c>
      <c r="C37" s="73">
        <v>0</v>
      </c>
      <c r="D37" s="60"/>
      <c r="E37" s="60"/>
      <c r="F37" s="60"/>
      <c r="G37" s="60"/>
      <c r="H37" s="60"/>
      <c r="I37" s="60"/>
      <c r="J37" s="60"/>
      <c r="K37" s="60"/>
    </row>
    <row r="38" spans="1:11" ht="43.2" x14ac:dyDescent="0.3">
      <c r="A38" s="74" t="s">
        <v>143</v>
      </c>
      <c r="B38" s="60"/>
      <c r="C38" s="60"/>
      <c r="D38" s="99" t="s">
        <v>133</v>
      </c>
      <c r="E38" s="60"/>
      <c r="F38" s="60"/>
      <c r="G38" s="60"/>
      <c r="H38" s="69" t="s">
        <v>29</v>
      </c>
      <c r="I38" s="69" t="s">
        <v>29</v>
      </c>
      <c r="J38" s="69" t="s">
        <v>31</v>
      </c>
      <c r="K38" s="69" t="s">
        <v>31</v>
      </c>
    </row>
    <row r="39" spans="1:11" ht="14.4" x14ac:dyDescent="0.3">
      <c r="A39" s="152" t="s">
        <v>51</v>
      </c>
      <c r="B39" s="153"/>
      <c r="C39" s="153"/>
      <c r="D39" s="153"/>
      <c r="E39" s="153"/>
      <c r="F39" s="153"/>
      <c r="G39" s="153"/>
      <c r="H39" s="153"/>
      <c r="I39" s="153"/>
      <c r="J39" s="153"/>
      <c r="K39" s="154"/>
    </row>
    <row r="40" spans="1:11" ht="16.5" customHeight="1" x14ac:dyDescent="0.3">
      <c r="A40" s="187" t="s">
        <v>130</v>
      </c>
      <c r="B40" s="150"/>
      <c r="C40" s="150"/>
      <c r="D40" s="150"/>
      <c r="E40" s="150"/>
      <c r="F40" s="150"/>
      <c r="G40" s="150"/>
      <c r="H40" s="150"/>
      <c r="I40" s="151"/>
      <c r="J40" s="97"/>
      <c r="K40" s="97"/>
    </row>
    <row r="41" spans="1:11" ht="14.4" x14ac:dyDescent="0.3">
      <c r="A41" s="57" t="s">
        <v>144</v>
      </c>
      <c r="B41" s="177" t="s">
        <v>131</v>
      </c>
      <c r="C41" s="178"/>
      <c r="D41" s="178"/>
      <c r="E41" s="178"/>
      <c r="F41" s="178"/>
      <c r="G41" s="178"/>
      <c r="H41" s="178"/>
      <c r="I41" s="179"/>
      <c r="J41" s="97"/>
      <c r="K41" s="97"/>
    </row>
    <row r="42" spans="1:11" ht="14.4" x14ac:dyDescent="0.25">
      <c r="A42" s="57" t="s">
        <v>145</v>
      </c>
      <c r="B42" s="177" t="s">
        <v>132</v>
      </c>
      <c r="C42" s="178"/>
      <c r="D42" s="178"/>
      <c r="E42" s="178"/>
      <c r="F42" s="178"/>
      <c r="G42" s="178"/>
      <c r="H42" s="178"/>
      <c r="I42" s="179"/>
      <c r="J42" s="98"/>
      <c r="K42" s="98"/>
    </row>
    <row r="43" spans="1:11" ht="43.2" customHeight="1" x14ac:dyDescent="0.3">
      <c r="A43" s="57" t="s">
        <v>146</v>
      </c>
      <c r="B43" s="135" t="s">
        <v>32</v>
      </c>
      <c r="C43" s="136"/>
      <c r="D43" s="136"/>
      <c r="E43" s="136"/>
      <c r="F43" s="136"/>
      <c r="G43" s="136"/>
      <c r="H43" s="136"/>
      <c r="I43" s="136"/>
      <c r="J43" s="136"/>
      <c r="K43" s="137"/>
    </row>
    <row r="44" spans="1:11" x14ac:dyDescent="0.3">
      <c r="D44" s="83"/>
      <c r="E44" s="83"/>
    </row>
    <row r="45" spans="1:11" x14ac:dyDescent="0.3">
      <c r="D45" s="83"/>
      <c r="E45" s="83"/>
    </row>
  </sheetData>
  <mergeCells count="7">
    <mergeCell ref="B41:I41"/>
    <mergeCell ref="B42:I42"/>
    <mergeCell ref="A1:K1"/>
    <mergeCell ref="B2:C2"/>
    <mergeCell ref="D2:F2"/>
    <mergeCell ref="G2:K2"/>
    <mergeCell ref="G3:K3"/>
  </mergeCells>
  <pageMargins left="0.25" right="0.25" top="0.75" bottom="0.75" header="0.3" footer="0.3"/>
  <pageSetup scale="5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08FE-6E77-44FD-BC11-17D3338B9C66}">
  <sheetPr>
    <pageSetUpPr fitToPage="1"/>
  </sheetPr>
  <dimension ref="A1:K45"/>
  <sheetViews>
    <sheetView view="pageBreakPreview" topLeftCell="A8" zoomScale="70" zoomScaleNormal="140" zoomScaleSheetLayoutView="70" workbookViewId="0">
      <selection activeCell="B43" sqref="B43"/>
    </sheetView>
  </sheetViews>
  <sheetFormatPr defaultColWidth="9.109375" defaultRowHeight="13.2" x14ac:dyDescent="0.3"/>
  <cols>
    <col min="1" max="1" width="51.88671875" style="82" customWidth="1"/>
    <col min="2" max="2" width="20.5546875" style="77" customWidth="1"/>
    <col min="3" max="3" width="24.88671875" style="77" customWidth="1"/>
    <col min="4" max="4" width="20" style="77" customWidth="1"/>
    <col min="5" max="5" width="14.33203125" style="77" customWidth="1"/>
    <col min="6" max="6" width="20.44140625" style="77" customWidth="1"/>
    <col min="7" max="7" width="26.6640625" style="77" customWidth="1"/>
    <col min="8" max="8" width="22.6640625" style="77" customWidth="1"/>
    <col min="9" max="9" width="21.44140625" style="77" customWidth="1"/>
    <col min="10" max="10" width="23" style="77" customWidth="1"/>
    <col min="11" max="11" width="23.109375" style="77" customWidth="1"/>
    <col min="12" max="16384" width="9.109375" style="77"/>
  </cols>
  <sheetData>
    <row r="1" spans="1:11" ht="15" customHeight="1" x14ac:dyDescent="0.3">
      <c r="A1" s="164" t="s">
        <v>66</v>
      </c>
      <c r="B1" s="165"/>
      <c r="C1" s="165"/>
      <c r="D1" s="165"/>
      <c r="E1" s="165"/>
      <c r="F1" s="165"/>
      <c r="G1" s="165"/>
      <c r="H1" s="165"/>
      <c r="I1" s="165"/>
      <c r="J1" s="165"/>
      <c r="K1" s="166"/>
    </row>
    <row r="2" spans="1:11" ht="24" customHeight="1" x14ac:dyDescent="0.3">
      <c r="A2" s="1" t="s">
        <v>67</v>
      </c>
      <c r="B2" s="167" t="s">
        <v>68</v>
      </c>
      <c r="C2" s="168"/>
      <c r="D2" s="169" t="s">
        <v>69</v>
      </c>
      <c r="E2" s="170"/>
      <c r="F2" s="168"/>
      <c r="G2" s="171" t="str" cm="1">
        <f t="array" ref="G2:K2">'[1]New-23 x-ref '!G2:K2</f>
        <v>Current Quarter Ended: 12/31/22</v>
      </c>
      <c r="H2" s="172">
        <v>0</v>
      </c>
      <c r="I2" s="172">
        <v>0</v>
      </c>
      <c r="J2" s="172">
        <v>0</v>
      </c>
      <c r="K2" s="173">
        <v>0</v>
      </c>
    </row>
    <row r="3" spans="1:11" ht="15" customHeight="1" x14ac:dyDescent="0.3">
      <c r="A3" s="2"/>
      <c r="B3" s="188" t="s">
        <v>70</v>
      </c>
      <c r="C3" s="149"/>
      <c r="D3" s="149"/>
      <c r="E3" s="149"/>
      <c r="F3" s="148"/>
      <c r="G3" s="171" t="str" cm="1">
        <f t="array" ref="G3:K3">'[1]New-23 x-ref '!G3:K3</f>
        <v>Next Quarter Beginning: 4/01/23</v>
      </c>
      <c r="H3" s="172">
        <v>0</v>
      </c>
      <c r="I3" s="172">
        <v>0</v>
      </c>
      <c r="J3" s="172">
        <v>0</v>
      </c>
      <c r="K3" s="173">
        <v>0</v>
      </c>
    </row>
    <row r="4" spans="1:11" ht="9.9" customHeight="1" x14ac:dyDescent="0.25">
      <c r="A4" s="138" t="s">
        <v>71</v>
      </c>
      <c r="B4" s="139"/>
      <c r="C4" s="139"/>
      <c r="D4" s="139"/>
      <c r="E4" s="139"/>
      <c r="F4" s="139"/>
      <c r="G4" s="139"/>
      <c r="H4" s="140"/>
      <c r="I4" s="3"/>
      <c r="J4" s="3"/>
      <c r="K4" s="3"/>
    </row>
    <row r="5" spans="1:11" ht="86.4" x14ac:dyDescent="0.3">
      <c r="A5" s="4"/>
      <c r="B5" s="86" t="s">
        <v>2</v>
      </c>
      <c r="C5" s="86" t="s">
        <v>122</v>
      </c>
      <c r="D5" s="87" t="s">
        <v>123</v>
      </c>
      <c r="E5" s="88" t="s">
        <v>3</v>
      </c>
      <c r="F5" s="87" t="s">
        <v>124</v>
      </c>
      <c r="G5" s="87" t="s">
        <v>125</v>
      </c>
      <c r="H5" s="87" t="s">
        <v>126</v>
      </c>
      <c r="I5" s="87" t="s">
        <v>127</v>
      </c>
      <c r="J5" s="89" t="s">
        <v>128</v>
      </c>
      <c r="K5" s="89" t="s">
        <v>129</v>
      </c>
    </row>
    <row r="6" spans="1:11" ht="15.75" customHeight="1" x14ac:dyDescent="0.25">
      <c r="A6" s="7" t="s">
        <v>4</v>
      </c>
      <c r="B6" s="8">
        <v>59408648.859999999</v>
      </c>
      <c r="C6" s="8">
        <v>217396954.76999998</v>
      </c>
      <c r="D6" s="8">
        <v>256471257.03</v>
      </c>
      <c r="E6" s="8">
        <v>34681421</v>
      </c>
      <c r="F6" s="8">
        <f t="shared" ref="F6:K6" si="0">SUM(F7:F11)</f>
        <v>0</v>
      </c>
      <c r="G6" s="32">
        <f t="shared" si="0"/>
        <v>0</v>
      </c>
      <c r="H6" s="32">
        <f t="shared" si="0"/>
        <v>0</v>
      </c>
      <c r="I6" s="32">
        <f t="shared" si="0"/>
        <v>0</v>
      </c>
      <c r="J6" s="32">
        <f t="shared" si="0"/>
        <v>0</v>
      </c>
      <c r="K6" s="32">
        <f t="shared" si="0"/>
        <v>0</v>
      </c>
    </row>
    <row r="7" spans="1:11" ht="10.5" customHeight="1" x14ac:dyDescent="0.25">
      <c r="A7" s="9" t="s">
        <v>5</v>
      </c>
      <c r="B7" s="78">
        <v>1212614.76</v>
      </c>
      <c r="C7" s="78">
        <v>2121816.34</v>
      </c>
      <c r="D7" s="78">
        <v>13577280.140000001</v>
      </c>
      <c r="E7" s="78">
        <v>565896.47</v>
      </c>
      <c r="F7" s="11"/>
      <c r="G7" s="33"/>
      <c r="H7" s="33"/>
      <c r="I7" s="79">
        <f>'[1]2022'!L71</f>
        <v>0</v>
      </c>
      <c r="J7" s="79">
        <f>'[1]2022'!N71</f>
        <v>0</v>
      </c>
      <c r="K7" s="34"/>
    </row>
    <row r="8" spans="1:11" ht="22.5" customHeight="1" x14ac:dyDescent="0.25">
      <c r="A8" s="4" t="s">
        <v>85</v>
      </c>
      <c r="B8" s="13"/>
      <c r="C8" s="78">
        <v>17800935.889999997</v>
      </c>
      <c r="D8" s="78">
        <v>64560606.079999998</v>
      </c>
      <c r="E8" s="13"/>
      <c r="F8" s="14"/>
      <c r="G8" s="35"/>
      <c r="H8" s="35"/>
      <c r="I8" s="79">
        <f>'[1]2022'!L72</f>
        <v>0</v>
      </c>
      <c r="J8" s="79">
        <f>'[1]2022'!N72</f>
        <v>0</v>
      </c>
      <c r="K8" s="20"/>
    </row>
    <row r="9" spans="1:11" ht="10.5" customHeight="1" x14ac:dyDescent="0.25">
      <c r="A9" s="9" t="s">
        <v>6</v>
      </c>
      <c r="B9" s="78">
        <v>0</v>
      </c>
      <c r="C9" s="78">
        <v>3678430</v>
      </c>
      <c r="D9" s="78">
        <v>11451467.93</v>
      </c>
      <c r="E9" s="78">
        <v>0</v>
      </c>
      <c r="F9" s="11"/>
      <c r="G9" s="33"/>
      <c r="H9" s="33"/>
      <c r="I9" s="79">
        <f>'[1]2021'!L75</f>
        <v>0</v>
      </c>
      <c r="J9" s="79">
        <f>'[1]2022'!N73</f>
        <v>0</v>
      </c>
      <c r="K9" s="34"/>
    </row>
    <row r="10" spans="1:11" ht="13.5" customHeight="1" x14ac:dyDescent="0.25">
      <c r="A10" s="9" t="s">
        <v>7</v>
      </c>
      <c r="B10" s="78">
        <v>53287046.420000002</v>
      </c>
      <c r="C10" s="78">
        <v>184573686.09999999</v>
      </c>
      <c r="D10" s="78">
        <v>136612710.22999999</v>
      </c>
      <c r="E10" s="78">
        <v>31907424.68</v>
      </c>
      <c r="F10" s="11"/>
      <c r="G10" s="33"/>
      <c r="H10" s="33"/>
      <c r="I10" s="79">
        <f>ROUND('[1]2022'!L77,2)</f>
        <v>0</v>
      </c>
      <c r="J10" s="79">
        <f>ROUND('[1]2022'!N77,0)</f>
        <v>0</v>
      </c>
      <c r="K10" s="34"/>
    </row>
    <row r="11" spans="1:11" ht="10.5" customHeight="1" x14ac:dyDescent="0.25">
      <c r="A11" s="7" t="s">
        <v>8</v>
      </c>
      <c r="B11" s="8">
        <v>4908987.68</v>
      </c>
      <c r="C11" s="8">
        <v>9222086.4399999995</v>
      </c>
      <c r="D11" s="8">
        <v>30269192.649999999</v>
      </c>
      <c r="E11" s="8">
        <v>2208099.85</v>
      </c>
      <c r="F11" s="8">
        <f t="shared" ref="F11:J11" si="1">SUM(F12:F15)</f>
        <v>0</v>
      </c>
      <c r="G11" s="32">
        <f t="shared" si="1"/>
        <v>0</v>
      </c>
      <c r="H11" s="32">
        <f t="shared" si="1"/>
        <v>0</v>
      </c>
      <c r="I11" s="32">
        <f t="shared" si="1"/>
        <v>0</v>
      </c>
      <c r="J11" s="32">
        <f t="shared" si="1"/>
        <v>0</v>
      </c>
      <c r="K11" s="34"/>
    </row>
    <row r="12" spans="1:11" ht="10.5" customHeight="1" x14ac:dyDescent="0.25">
      <c r="A12" s="15" t="s">
        <v>9</v>
      </c>
      <c r="B12" s="78">
        <v>312651.38</v>
      </c>
      <c r="C12" s="78">
        <v>385090.86</v>
      </c>
      <c r="D12" s="78">
        <v>7667865.5099999998</v>
      </c>
      <c r="E12" s="78">
        <v>136505.76999999999</v>
      </c>
      <c r="F12" s="11"/>
      <c r="G12" s="33"/>
      <c r="H12" s="33"/>
      <c r="I12" s="79">
        <f>ROUND('[1]2022'!L78,2)</f>
        <v>0</v>
      </c>
      <c r="J12" s="79">
        <v>0</v>
      </c>
      <c r="K12" s="34"/>
    </row>
    <row r="13" spans="1:11" ht="11.25" customHeight="1" x14ac:dyDescent="0.25">
      <c r="A13" s="15" t="s">
        <v>10</v>
      </c>
      <c r="B13" s="78">
        <v>4596336.3</v>
      </c>
      <c r="C13" s="78">
        <v>8836995.5800000001</v>
      </c>
      <c r="D13" s="78">
        <v>20005369.469999999</v>
      </c>
      <c r="E13" s="78">
        <v>2071594.08</v>
      </c>
      <c r="F13" s="11"/>
      <c r="G13" s="33"/>
      <c r="H13" s="33"/>
      <c r="I13" s="79">
        <f>ROUND('[1]2022'!L79,2)</f>
        <v>0</v>
      </c>
      <c r="J13" s="79">
        <v>0</v>
      </c>
      <c r="K13" s="34"/>
    </row>
    <row r="14" spans="1:11" ht="12" customHeight="1" x14ac:dyDescent="0.25">
      <c r="A14" s="15" t="s">
        <v>11</v>
      </c>
      <c r="B14" s="78">
        <v>0</v>
      </c>
      <c r="C14" s="78">
        <v>0</v>
      </c>
      <c r="D14" s="78">
        <v>2595957.67</v>
      </c>
      <c r="E14" s="78">
        <v>0</v>
      </c>
      <c r="F14" s="11"/>
      <c r="G14" s="33"/>
      <c r="H14" s="33"/>
      <c r="I14" s="79">
        <f>'[1]2022'!L80</f>
        <v>0</v>
      </c>
      <c r="J14" s="37"/>
      <c r="K14" s="34"/>
    </row>
    <row r="15" spans="1:11" ht="9.75" customHeight="1" x14ac:dyDescent="0.25">
      <c r="A15" s="15" t="s">
        <v>12</v>
      </c>
      <c r="B15" s="80"/>
      <c r="C15" s="80"/>
      <c r="D15" s="80"/>
      <c r="E15" s="80"/>
      <c r="F15" s="12"/>
      <c r="G15" s="33"/>
      <c r="H15" s="34"/>
      <c r="I15" s="34"/>
      <c r="J15" s="34"/>
      <c r="K15" s="34"/>
    </row>
    <row r="16" spans="1:11" x14ac:dyDescent="0.25">
      <c r="A16" s="9" t="s">
        <v>13</v>
      </c>
      <c r="B16" s="80"/>
      <c r="C16" s="8">
        <v>70308479</v>
      </c>
      <c r="D16" s="80"/>
      <c r="E16" s="8">
        <v>34681421</v>
      </c>
      <c r="F16" s="12"/>
      <c r="G16" s="34"/>
      <c r="H16" s="34"/>
      <c r="I16" s="34"/>
      <c r="J16" s="34"/>
      <c r="K16" s="34"/>
    </row>
    <row r="17" spans="1:11" x14ac:dyDescent="0.25">
      <c r="A17" s="9" t="s">
        <v>14</v>
      </c>
      <c r="B17" s="12"/>
      <c r="C17" s="78">
        <v>70046479</v>
      </c>
      <c r="D17" s="80"/>
      <c r="E17" s="78">
        <v>27745141</v>
      </c>
      <c r="F17" s="12"/>
      <c r="G17" s="34"/>
      <c r="H17" s="34"/>
      <c r="I17" s="34"/>
      <c r="J17" s="34"/>
      <c r="K17" s="34"/>
    </row>
    <row r="18" spans="1:11" ht="12.75" customHeight="1" x14ac:dyDescent="0.25">
      <c r="A18" s="9" t="s">
        <v>15</v>
      </c>
      <c r="B18" s="12"/>
      <c r="C18" s="78">
        <v>262000</v>
      </c>
      <c r="D18" s="80"/>
      <c r="E18" s="78">
        <v>0</v>
      </c>
      <c r="F18" s="12"/>
      <c r="G18" s="34"/>
      <c r="H18" s="34"/>
      <c r="I18" s="34"/>
      <c r="J18" s="34"/>
      <c r="K18" s="34"/>
    </row>
    <row r="19" spans="1:11" x14ac:dyDescent="0.25">
      <c r="A19" s="9" t="s">
        <v>16</v>
      </c>
      <c r="B19" s="12"/>
      <c r="C19" s="78">
        <v>0</v>
      </c>
      <c r="D19" s="80"/>
      <c r="E19" s="78">
        <v>6936280</v>
      </c>
      <c r="F19" s="12"/>
      <c r="G19" s="34"/>
      <c r="H19" s="34"/>
      <c r="I19" s="34"/>
      <c r="J19" s="34"/>
      <c r="K19" s="34"/>
    </row>
    <row r="20" spans="1:11" ht="9.75" customHeight="1" x14ac:dyDescent="0.25">
      <c r="A20" s="17" t="s">
        <v>17</v>
      </c>
      <c r="B20" s="12"/>
      <c r="C20" s="12"/>
      <c r="D20" s="12"/>
      <c r="E20" s="12"/>
      <c r="F20" s="12"/>
      <c r="G20" s="34"/>
      <c r="H20" s="34"/>
      <c r="I20" s="34"/>
      <c r="J20" s="34"/>
      <c r="K20" s="33"/>
    </row>
    <row r="21" spans="1:11" ht="9.75" customHeight="1" x14ac:dyDescent="0.25">
      <c r="A21" s="17" t="s">
        <v>18</v>
      </c>
      <c r="B21" s="12"/>
      <c r="C21" s="12"/>
      <c r="D21" s="12"/>
      <c r="E21" s="12"/>
      <c r="F21" s="12"/>
      <c r="G21" s="34"/>
      <c r="H21" s="34"/>
      <c r="I21" s="34"/>
      <c r="J21" s="34"/>
      <c r="K21" s="79"/>
    </row>
    <row r="22" spans="1:11" ht="9.75" customHeight="1" x14ac:dyDescent="0.25">
      <c r="A22" s="17" t="s">
        <v>19</v>
      </c>
      <c r="B22" s="12"/>
      <c r="C22" s="12"/>
      <c r="D22" s="12"/>
      <c r="E22" s="12"/>
      <c r="F22" s="12"/>
      <c r="G22" s="34"/>
      <c r="H22" s="34"/>
      <c r="I22" s="34"/>
      <c r="J22" s="34"/>
      <c r="K22" s="79"/>
    </row>
    <row r="23" spans="1:11" ht="9.75" customHeight="1" x14ac:dyDescent="0.25">
      <c r="A23" s="17" t="s">
        <v>20</v>
      </c>
      <c r="B23" s="12"/>
      <c r="C23" s="12"/>
      <c r="D23" s="12"/>
      <c r="E23" s="12"/>
      <c r="F23" s="12"/>
      <c r="G23" s="34"/>
      <c r="H23" s="34"/>
      <c r="I23" s="34"/>
      <c r="J23" s="34"/>
      <c r="K23" s="79"/>
    </row>
    <row r="24" spans="1:11" x14ac:dyDescent="0.25">
      <c r="A24" s="17" t="s">
        <v>21</v>
      </c>
      <c r="B24" s="12"/>
      <c r="C24" s="12"/>
      <c r="D24" s="12"/>
      <c r="E24" s="12"/>
      <c r="F24" s="12"/>
      <c r="G24" s="34"/>
      <c r="H24" s="34"/>
      <c r="I24" s="34"/>
      <c r="J24" s="34"/>
      <c r="K24" s="79">
        <f>'[1]2021'!N86</f>
        <v>0</v>
      </c>
    </row>
    <row r="25" spans="1:11" x14ac:dyDescent="0.25">
      <c r="A25" s="17" t="s">
        <v>22</v>
      </c>
      <c r="B25" s="12"/>
      <c r="C25" s="12"/>
      <c r="D25" s="12"/>
      <c r="E25" s="12"/>
      <c r="F25" s="12"/>
      <c r="G25" s="34"/>
      <c r="H25" s="34"/>
      <c r="I25" s="34"/>
      <c r="J25" s="34"/>
      <c r="K25" s="79">
        <f>'[1]2021'!N87</f>
        <v>0</v>
      </c>
    </row>
    <row r="26" spans="1:11" x14ac:dyDescent="0.25">
      <c r="A26" s="17" t="s">
        <v>23</v>
      </c>
      <c r="B26" s="12"/>
      <c r="C26" s="12"/>
      <c r="D26" s="12"/>
      <c r="E26" s="12"/>
      <c r="F26" s="12"/>
      <c r="G26" s="34"/>
      <c r="H26" s="34"/>
      <c r="I26" s="34"/>
      <c r="J26" s="34"/>
      <c r="K26" s="79"/>
    </row>
    <row r="27" spans="1:11" x14ac:dyDescent="0.25">
      <c r="A27" s="17" t="s">
        <v>24</v>
      </c>
      <c r="B27" s="12"/>
      <c r="C27" s="12"/>
      <c r="D27" s="12"/>
      <c r="E27" s="12"/>
      <c r="F27" s="12"/>
      <c r="G27" s="34"/>
      <c r="H27" s="34"/>
      <c r="I27" s="34"/>
      <c r="J27" s="34"/>
      <c r="K27" s="79"/>
    </row>
    <row r="28" spans="1:11" ht="12" customHeight="1" x14ac:dyDescent="0.25">
      <c r="A28" s="7" t="s">
        <v>25</v>
      </c>
      <c r="B28" s="8">
        <v>59408648.859999999</v>
      </c>
      <c r="C28" s="8">
        <v>147088475.77000001</v>
      </c>
      <c r="D28" s="8">
        <v>256471257.03</v>
      </c>
      <c r="E28" s="12"/>
      <c r="F28" s="18"/>
      <c r="G28" s="39"/>
      <c r="H28" s="39"/>
      <c r="I28" s="32"/>
      <c r="J28" s="39"/>
      <c r="K28" s="32"/>
    </row>
    <row r="29" spans="1:11" ht="12" customHeight="1" x14ac:dyDescent="0.25">
      <c r="A29" s="4" t="s">
        <v>99</v>
      </c>
      <c r="B29" s="78">
        <v>435480.1400000006</v>
      </c>
      <c r="C29" s="78">
        <v>76092515.439999998</v>
      </c>
      <c r="D29" s="78">
        <v>408947060.26999998</v>
      </c>
      <c r="E29" s="12"/>
      <c r="F29" s="11"/>
      <c r="G29" s="33"/>
      <c r="H29" s="33"/>
      <c r="I29" s="79"/>
      <c r="J29" s="33"/>
      <c r="K29" s="79"/>
    </row>
    <row r="30" spans="1:11" ht="15" customHeight="1" x14ac:dyDescent="0.25">
      <c r="A30" s="7" t="s">
        <v>26</v>
      </c>
      <c r="B30" s="8">
        <v>59844129</v>
      </c>
      <c r="C30" s="101">
        <v>223180991.21000001</v>
      </c>
      <c r="D30" s="8">
        <v>689840012</v>
      </c>
      <c r="E30" s="12"/>
      <c r="F30" s="18"/>
      <c r="G30" s="39"/>
      <c r="H30" s="39"/>
      <c r="I30" s="32"/>
      <c r="J30" s="39"/>
      <c r="K30" s="32"/>
    </row>
    <row r="31" spans="1:11" ht="12.75" customHeight="1" x14ac:dyDescent="0.25">
      <c r="A31" s="4" t="s">
        <v>102</v>
      </c>
      <c r="B31" s="12"/>
      <c r="C31" s="12"/>
      <c r="D31" s="34"/>
      <c r="E31" s="12"/>
      <c r="F31" s="12"/>
      <c r="G31" s="34"/>
      <c r="H31" s="34"/>
      <c r="I31" s="34"/>
      <c r="J31" s="34"/>
      <c r="K31" s="34"/>
    </row>
    <row r="32" spans="1:11" ht="15" customHeight="1" x14ac:dyDescent="0.25">
      <c r="A32" s="7" t="s">
        <v>27</v>
      </c>
      <c r="B32" s="18"/>
      <c r="C32" s="18"/>
      <c r="D32" s="8">
        <v>24421694.700000048</v>
      </c>
      <c r="E32" s="12"/>
      <c r="F32" s="18"/>
      <c r="G32" s="39"/>
      <c r="H32" s="39"/>
      <c r="I32" s="32"/>
      <c r="J32" s="39"/>
      <c r="K32" s="32"/>
    </row>
    <row r="33" spans="1:11" ht="20.399999999999999" x14ac:dyDescent="0.3">
      <c r="A33" s="19" t="s">
        <v>28</v>
      </c>
      <c r="B33" s="20"/>
      <c r="C33" s="20"/>
      <c r="D33" s="20"/>
      <c r="E33" s="20"/>
      <c r="F33" s="20"/>
      <c r="G33" s="20"/>
      <c r="H33" s="20"/>
      <c r="I33" s="20"/>
      <c r="J33" s="20"/>
      <c r="K33" s="40" t="s">
        <v>61</v>
      </c>
    </row>
    <row r="34" spans="1:11" ht="20.399999999999999" x14ac:dyDescent="0.2">
      <c r="A34" s="4" t="s">
        <v>105</v>
      </c>
      <c r="B34" s="79"/>
      <c r="C34" s="81"/>
      <c r="D34" s="81"/>
      <c r="E34" s="20"/>
      <c r="F34" s="20"/>
      <c r="G34" s="20"/>
      <c r="H34" s="20"/>
      <c r="I34" s="20"/>
      <c r="J34" s="20"/>
      <c r="K34" s="20"/>
    </row>
    <row r="35" spans="1:11" x14ac:dyDescent="0.3">
      <c r="A35" s="155" t="s">
        <v>107</v>
      </c>
      <c r="B35" s="156"/>
      <c r="C35" s="156"/>
      <c r="D35" s="156"/>
      <c r="E35" s="156"/>
      <c r="F35" s="156"/>
      <c r="G35" s="156"/>
      <c r="H35" s="156"/>
      <c r="I35" s="156"/>
      <c r="J35" s="156"/>
      <c r="K35" s="157"/>
    </row>
    <row r="36" spans="1:11" ht="25.5" customHeight="1" x14ac:dyDescent="0.3">
      <c r="A36" s="4" t="s">
        <v>108</v>
      </c>
      <c r="B36" s="45" t="s">
        <v>133</v>
      </c>
      <c r="C36" s="100" t="s">
        <v>147</v>
      </c>
      <c r="D36" s="23"/>
      <c r="E36" s="23"/>
      <c r="F36" s="23"/>
      <c r="G36" s="23"/>
      <c r="H36" s="23"/>
      <c r="I36" s="23"/>
      <c r="J36" s="23"/>
      <c r="K36" s="23"/>
    </row>
    <row r="37" spans="1:11" ht="25.5" customHeight="1" x14ac:dyDescent="0.3">
      <c r="A37" s="24" t="s">
        <v>110</v>
      </c>
      <c r="B37" s="72">
        <v>0</v>
      </c>
      <c r="C37" s="73">
        <v>0</v>
      </c>
      <c r="D37" s="23"/>
      <c r="E37" s="23"/>
      <c r="F37" s="23"/>
      <c r="G37" s="23"/>
      <c r="H37" s="23"/>
      <c r="I37" s="23"/>
      <c r="J37" s="23"/>
      <c r="K37" s="23"/>
    </row>
    <row r="38" spans="1:11" ht="25.5" customHeight="1" x14ac:dyDescent="0.3">
      <c r="A38" s="26" t="s">
        <v>111</v>
      </c>
      <c r="B38" s="23"/>
      <c r="C38" s="23"/>
      <c r="D38" s="40" t="s">
        <v>31</v>
      </c>
      <c r="E38" s="23"/>
      <c r="F38" s="23"/>
      <c r="G38" s="23"/>
      <c r="H38" s="40" t="s">
        <v>29</v>
      </c>
      <c r="I38" s="40" t="s">
        <v>29</v>
      </c>
      <c r="J38" s="40" t="s">
        <v>31</v>
      </c>
      <c r="K38" s="40" t="s">
        <v>31</v>
      </c>
    </row>
    <row r="39" spans="1:11" ht="10.5" customHeight="1" x14ac:dyDescent="0.3">
      <c r="A39" s="138" t="s">
        <v>112</v>
      </c>
      <c r="B39" s="139"/>
      <c r="C39" s="139"/>
      <c r="D39" s="139"/>
      <c r="E39" s="139"/>
      <c r="F39" s="139"/>
      <c r="G39" s="139"/>
      <c r="H39" s="139"/>
      <c r="I39" s="139"/>
      <c r="J39" s="139"/>
      <c r="K39" s="140"/>
    </row>
    <row r="40" spans="1:11" ht="17.399999999999999" customHeight="1" x14ac:dyDescent="0.3">
      <c r="A40" s="187" t="s">
        <v>130</v>
      </c>
      <c r="B40" s="150"/>
      <c r="C40" s="150"/>
      <c r="D40" s="150"/>
      <c r="E40" s="150"/>
      <c r="F40" s="150"/>
      <c r="G40" s="150"/>
      <c r="H40" s="150"/>
      <c r="I40" s="151"/>
      <c r="J40" s="27"/>
      <c r="K40" s="27"/>
    </row>
    <row r="41" spans="1:11" ht="13.8" x14ac:dyDescent="0.3">
      <c r="A41" s="4" t="s">
        <v>114</v>
      </c>
      <c r="B41" s="177" t="s">
        <v>131</v>
      </c>
      <c r="C41" s="178"/>
      <c r="D41" s="178"/>
      <c r="E41" s="178"/>
      <c r="F41" s="178"/>
      <c r="G41" s="178"/>
      <c r="H41" s="178"/>
      <c r="I41" s="179"/>
      <c r="J41" s="27"/>
      <c r="K41" s="27"/>
    </row>
    <row r="42" spans="1:11" ht="13.8" x14ac:dyDescent="0.25">
      <c r="A42" s="4" t="s">
        <v>116</v>
      </c>
      <c r="B42" s="177" t="s">
        <v>132</v>
      </c>
      <c r="C42" s="178"/>
      <c r="D42" s="178"/>
      <c r="E42" s="178"/>
      <c r="F42" s="178"/>
      <c r="G42" s="178"/>
      <c r="H42" s="178"/>
      <c r="I42" s="179"/>
      <c r="J42" s="42"/>
      <c r="K42" s="42"/>
    </row>
    <row r="43" spans="1:11" ht="51" customHeight="1" x14ac:dyDescent="0.3">
      <c r="A43" s="4" t="s">
        <v>118</v>
      </c>
      <c r="B43" s="135" t="s">
        <v>32</v>
      </c>
      <c r="C43" s="136"/>
      <c r="D43" s="136"/>
      <c r="E43" s="136"/>
      <c r="F43" s="136"/>
      <c r="G43" s="136"/>
      <c r="H43" s="136"/>
      <c r="I43" s="136"/>
      <c r="J43" s="136"/>
      <c r="K43" s="137"/>
    </row>
    <row r="44" spans="1:11" x14ac:dyDescent="0.3">
      <c r="D44" s="83"/>
      <c r="E44" s="83"/>
    </row>
    <row r="45" spans="1:11" x14ac:dyDescent="0.3">
      <c r="D45" s="83"/>
      <c r="E45" s="83"/>
    </row>
  </sheetData>
  <mergeCells count="7">
    <mergeCell ref="B41:I41"/>
    <mergeCell ref="B42:I42"/>
    <mergeCell ref="A1:K1"/>
    <mergeCell ref="B2:C2"/>
    <mergeCell ref="D2:F2"/>
    <mergeCell ref="G2:K2"/>
    <mergeCell ref="G3:K3"/>
  </mergeCells>
  <pageMargins left="0.25" right="0.25" top="0.75" bottom="0.75" header="0.3" footer="0.3"/>
  <pageSetup scale="50"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BF20F-86A2-44D8-B463-85F2F315C932}">
  <sheetPr>
    <pageSetUpPr fitToPage="1"/>
  </sheetPr>
  <dimension ref="A1:U49"/>
  <sheetViews>
    <sheetView view="pageBreakPreview" zoomScale="90" zoomScaleNormal="140" zoomScaleSheetLayoutView="90" workbookViewId="0">
      <selection activeCell="B46" sqref="B46"/>
    </sheetView>
  </sheetViews>
  <sheetFormatPr defaultColWidth="9.109375" defaultRowHeight="13.2" outlineLevelCol="1" x14ac:dyDescent="0.3"/>
  <cols>
    <col min="1" max="1" width="30.6640625" style="82" customWidth="1"/>
    <col min="2" max="2" width="21.33203125" style="77" customWidth="1"/>
    <col min="3" max="3" width="22.109375" style="77" customWidth="1"/>
    <col min="4" max="4" width="18" style="77" customWidth="1"/>
    <col min="5" max="5" width="14.5546875" style="77" customWidth="1"/>
    <col min="6" max="6" width="17.109375" style="77" customWidth="1"/>
    <col min="7" max="7" width="15.6640625" style="77" bestFit="1" customWidth="1"/>
    <col min="8" max="8" width="18.88671875" style="77" customWidth="1"/>
    <col min="9" max="9" width="16.88671875" style="77" customWidth="1"/>
    <col min="10" max="10" width="18.6640625" style="77" customWidth="1"/>
    <col min="11" max="11" width="16.44140625" style="77" customWidth="1"/>
    <col min="12" max="13" width="9.109375" style="77"/>
    <col min="14" max="14" width="16.88671875" style="77" hidden="1" customWidth="1" outlineLevel="1"/>
    <col min="15" max="15" width="14.5546875" style="77" hidden="1" customWidth="1" outlineLevel="1"/>
    <col min="16" max="16" width="15.88671875" style="77" hidden="1" customWidth="1" outlineLevel="1"/>
    <col min="17" max="17" width="14.5546875" style="77" hidden="1" customWidth="1" outlineLevel="1"/>
    <col min="18" max="18" width="13.88671875" style="77" hidden="1" customWidth="1" outlineLevel="1"/>
    <col min="19" max="19" width="14.5546875" style="77" hidden="1" customWidth="1" outlineLevel="1"/>
    <col min="20" max="20" width="14.6640625" style="77" hidden="1" customWidth="1" outlineLevel="1"/>
    <col min="21" max="21" width="9.109375" style="77" collapsed="1"/>
    <col min="22" max="16384" width="9.109375" style="77"/>
  </cols>
  <sheetData>
    <row r="1" spans="1:19" ht="15" customHeight="1" x14ac:dyDescent="0.3">
      <c r="A1" s="164" t="s">
        <v>66</v>
      </c>
      <c r="B1" s="165"/>
      <c r="C1" s="165"/>
      <c r="D1" s="165"/>
      <c r="E1" s="165"/>
      <c r="F1" s="165"/>
      <c r="G1" s="165"/>
      <c r="H1" s="165"/>
      <c r="I1" s="165"/>
      <c r="J1" s="165"/>
      <c r="K1" s="166"/>
      <c r="N1" s="102"/>
      <c r="P1" s="102"/>
      <c r="R1" s="103"/>
    </row>
    <row r="2" spans="1:19" ht="24" customHeight="1" x14ac:dyDescent="0.3">
      <c r="A2" s="1" t="s">
        <v>67</v>
      </c>
      <c r="B2" s="180" t="s">
        <v>148</v>
      </c>
      <c r="C2" s="181"/>
      <c r="D2" s="182" t="s">
        <v>149</v>
      </c>
      <c r="E2" s="183"/>
      <c r="F2" s="181"/>
      <c r="G2" s="184" t="s">
        <v>150</v>
      </c>
      <c r="H2" s="185"/>
      <c r="I2" s="185"/>
      <c r="J2" s="185"/>
      <c r="K2" s="186"/>
      <c r="N2" s="102"/>
      <c r="P2" s="102"/>
      <c r="R2" s="102"/>
    </row>
    <row r="3" spans="1:19" ht="15" customHeight="1" x14ac:dyDescent="0.3">
      <c r="A3" s="2"/>
      <c r="B3" s="158" t="s">
        <v>151</v>
      </c>
      <c r="C3" s="159"/>
      <c r="D3" s="159"/>
      <c r="E3" s="159"/>
      <c r="F3" s="160"/>
      <c r="G3" s="184" t="s">
        <v>152</v>
      </c>
      <c r="H3" s="185"/>
      <c r="I3" s="185"/>
      <c r="J3" s="185"/>
      <c r="K3" s="186"/>
      <c r="N3" s="102"/>
      <c r="P3" s="102"/>
      <c r="R3" s="102"/>
      <c r="S3" s="104"/>
    </row>
    <row r="4" spans="1:19" ht="9.9" customHeight="1" x14ac:dyDescent="0.25">
      <c r="A4" s="138" t="s">
        <v>71</v>
      </c>
      <c r="B4" s="139"/>
      <c r="C4" s="139"/>
      <c r="D4" s="139"/>
      <c r="E4" s="139"/>
      <c r="F4" s="139"/>
      <c r="G4" s="139"/>
      <c r="H4" s="140"/>
      <c r="I4" s="3"/>
      <c r="J4" s="3"/>
      <c r="K4" s="3"/>
      <c r="N4" s="102"/>
      <c r="P4" s="102"/>
    </row>
    <row r="5" spans="1:19" ht="84.6" thickBot="1" x14ac:dyDescent="0.35">
      <c r="A5" s="4"/>
      <c r="B5" s="44" t="s">
        <v>2</v>
      </c>
      <c r="C5" s="44" t="s">
        <v>154</v>
      </c>
      <c r="D5" s="118" t="s">
        <v>155</v>
      </c>
      <c r="E5" s="119" t="s">
        <v>3</v>
      </c>
      <c r="F5" s="118" t="s">
        <v>156</v>
      </c>
      <c r="G5" s="118" t="s">
        <v>157</v>
      </c>
      <c r="H5" s="118" t="s">
        <v>158</v>
      </c>
      <c r="I5" s="118" t="s">
        <v>159</v>
      </c>
      <c r="J5" s="120" t="s">
        <v>160</v>
      </c>
      <c r="K5" s="120" t="s">
        <v>161</v>
      </c>
    </row>
    <row r="6" spans="1:19" ht="15.75" customHeight="1" x14ac:dyDescent="0.25">
      <c r="A6" s="7" t="s">
        <v>4</v>
      </c>
      <c r="B6" s="8">
        <v>56840075.479999997</v>
      </c>
      <c r="C6" s="8">
        <v>155889186.69000003</v>
      </c>
      <c r="D6" s="8">
        <v>187073335.09</v>
      </c>
      <c r="E6" s="8">
        <v>34681421</v>
      </c>
      <c r="F6" s="8">
        <f t="shared" ref="F6:K6" si="0">SUM(F7:F11)</f>
        <v>0</v>
      </c>
      <c r="G6" s="32">
        <f t="shared" si="0"/>
        <v>0</v>
      </c>
      <c r="H6" s="32">
        <f t="shared" si="0"/>
        <v>0</v>
      </c>
      <c r="I6" s="32">
        <f t="shared" si="0"/>
        <v>0</v>
      </c>
      <c r="J6" s="32">
        <f t="shared" si="0"/>
        <v>0</v>
      </c>
      <c r="K6" s="32">
        <f t="shared" si="0"/>
        <v>0</v>
      </c>
      <c r="N6" s="105" t="s">
        <v>81</v>
      </c>
      <c r="O6" s="105">
        <v>0</v>
      </c>
      <c r="P6" s="105" t="s">
        <v>82</v>
      </c>
      <c r="Q6" s="105" t="s">
        <v>65</v>
      </c>
      <c r="R6" s="106" t="s">
        <v>83</v>
      </c>
      <c r="S6" s="105">
        <v>14488416.49</v>
      </c>
    </row>
    <row r="7" spans="1:19" ht="10.5" customHeight="1" x14ac:dyDescent="0.25">
      <c r="A7" s="9" t="s">
        <v>5</v>
      </c>
      <c r="B7" s="78">
        <v>1171408.47</v>
      </c>
      <c r="C7" s="78">
        <v>2008966.15</v>
      </c>
      <c r="D7" s="78">
        <v>10742145.4</v>
      </c>
      <c r="E7" s="78">
        <v>565896.47</v>
      </c>
      <c r="F7" s="11"/>
      <c r="G7" s="33"/>
      <c r="H7" s="33"/>
      <c r="I7" s="79">
        <f>'[2]2022'!L71</f>
        <v>0</v>
      </c>
      <c r="J7" s="79">
        <f>'[2]2022'!N71</f>
        <v>0</v>
      </c>
      <c r="K7" s="34"/>
      <c r="N7" s="105">
        <v>1171408.47</v>
      </c>
      <c r="O7" s="105">
        <v>2008966.15</v>
      </c>
      <c r="P7" s="105">
        <v>10742145.4</v>
      </c>
      <c r="Q7" s="105">
        <v>565896.47</v>
      </c>
      <c r="R7" s="107" t="s">
        <v>84</v>
      </c>
      <c r="S7" s="105">
        <v>73644450.950000003</v>
      </c>
    </row>
    <row r="8" spans="1:19" ht="22.5" customHeight="1" x14ac:dyDescent="0.25">
      <c r="A8" s="4" t="s">
        <v>85</v>
      </c>
      <c r="B8" s="13"/>
      <c r="C8" s="78">
        <v>14318907.35</v>
      </c>
      <c r="D8" s="78">
        <v>59325543.600000001</v>
      </c>
      <c r="E8" s="13"/>
      <c r="F8" s="14"/>
      <c r="G8" s="35"/>
      <c r="H8" s="35"/>
      <c r="I8" s="79">
        <f>'[2]2022'!L72</f>
        <v>0</v>
      </c>
      <c r="J8" s="79">
        <f>'[2]2022'!N72</f>
        <v>0</v>
      </c>
      <c r="K8" s="20"/>
      <c r="N8" s="105">
        <v>0</v>
      </c>
      <c r="O8" s="105">
        <v>14318907.35</v>
      </c>
      <c r="P8" s="105">
        <v>59325543.600000001</v>
      </c>
      <c r="Q8" s="105">
        <v>0</v>
      </c>
      <c r="R8" s="107" t="s">
        <v>86</v>
      </c>
      <c r="S8" s="105">
        <v>0</v>
      </c>
    </row>
    <row r="9" spans="1:19" ht="10.5" customHeight="1" x14ac:dyDescent="0.25">
      <c r="A9" s="9" t="s">
        <v>6</v>
      </c>
      <c r="B9" s="78">
        <v>0</v>
      </c>
      <c r="C9" s="78">
        <v>3294543</v>
      </c>
      <c r="D9" s="78">
        <v>11053860.74</v>
      </c>
      <c r="E9" s="78">
        <v>0</v>
      </c>
      <c r="F9" s="11"/>
      <c r="G9" s="33"/>
      <c r="H9" s="33"/>
      <c r="I9" s="79">
        <f>'[2]2021'!L75</f>
        <v>0</v>
      </c>
      <c r="J9" s="79">
        <f>'[2]2022'!N73</f>
        <v>0</v>
      </c>
      <c r="K9" s="34"/>
      <c r="N9" s="105">
        <v>0</v>
      </c>
      <c r="O9" s="105">
        <v>0</v>
      </c>
      <c r="P9" s="105">
        <v>0</v>
      </c>
      <c r="Q9" s="105">
        <v>0</v>
      </c>
      <c r="R9" s="108" t="s">
        <v>87</v>
      </c>
      <c r="S9" s="105">
        <v>0</v>
      </c>
    </row>
    <row r="10" spans="1:19" ht="13.5" customHeight="1" x14ac:dyDescent="0.25">
      <c r="A10" s="9" t="s">
        <v>7</v>
      </c>
      <c r="B10" s="78">
        <v>51055669.509999998</v>
      </c>
      <c r="C10" s="78">
        <v>127495989.61</v>
      </c>
      <c r="D10" s="78">
        <v>88225312.120000005</v>
      </c>
      <c r="E10" s="78">
        <v>31907424.68</v>
      </c>
      <c r="F10" s="11"/>
      <c r="G10" s="33"/>
      <c r="H10" s="33"/>
      <c r="I10" s="79">
        <f>ROUND('[2]2022'!L77,2)</f>
        <v>0</v>
      </c>
      <c r="J10" s="79">
        <f>ROUND('[2]2022'!N77,0)</f>
        <v>0</v>
      </c>
      <c r="K10" s="34"/>
      <c r="N10" s="105">
        <v>0</v>
      </c>
      <c r="O10" s="105">
        <v>0</v>
      </c>
      <c r="P10" s="105">
        <v>0</v>
      </c>
      <c r="Q10" s="105">
        <v>0</v>
      </c>
      <c r="R10" s="108" t="s">
        <v>88</v>
      </c>
      <c r="S10" s="105">
        <v>0</v>
      </c>
    </row>
    <row r="11" spans="1:19" ht="10.5" customHeight="1" x14ac:dyDescent="0.25">
      <c r="A11" s="7" t="s">
        <v>8</v>
      </c>
      <c r="B11" s="8">
        <v>4612997.5</v>
      </c>
      <c r="C11" s="8">
        <v>8770780.5800000001</v>
      </c>
      <c r="D11" s="8">
        <v>17726473.23</v>
      </c>
      <c r="E11" s="8">
        <v>2208099.85</v>
      </c>
      <c r="F11" s="8">
        <f t="shared" ref="F11:J11" si="1">SUM(F12:F15)</f>
        <v>0</v>
      </c>
      <c r="G11" s="32">
        <f t="shared" si="1"/>
        <v>0</v>
      </c>
      <c r="H11" s="32">
        <f t="shared" si="1"/>
        <v>0</v>
      </c>
      <c r="I11" s="32">
        <f t="shared" si="1"/>
        <v>0</v>
      </c>
      <c r="J11" s="32">
        <f t="shared" si="1"/>
        <v>0</v>
      </c>
      <c r="K11" s="34"/>
      <c r="N11" s="105">
        <v>0</v>
      </c>
      <c r="O11" s="105">
        <v>0</v>
      </c>
      <c r="P11" s="105">
        <v>0</v>
      </c>
      <c r="Q11" s="105">
        <v>0</v>
      </c>
      <c r="R11" s="108" t="s">
        <v>89</v>
      </c>
      <c r="S11" s="105">
        <v>14348403.74</v>
      </c>
    </row>
    <row r="12" spans="1:19" ht="10.5" customHeight="1" x14ac:dyDescent="0.25">
      <c r="A12" s="15" t="s">
        <v>9</v>
      </c>
      <c r="B12" s="78">
        <v>284220.21000000002</v>
      </c>
      <c r="C12" s="78">
        <v>315248.88</v>
      </c>
      <c r="D12" s="78">
        <v>4915806.4000000004</v>
      </c>
      <c r="E12" s="78">
        <v>136505.76999999999</v>
      </c>
      <c r="F12" s="11"/>
      <c r="G12" s="33"/>
      <c r="H12" s="33"/>
      <c r="I12" s="79">
        <f>ROUND('[2]2022'!L78,2)</f>
        <v>0</v>
      </c>
      <c r="J12" s="79">
        <v>0</v>
      </c>
      <c r="K12" s="34"/>
      <c r="N12" s="105">
        <v>0</v>
      </c>
      <c r="O12" s="105">
        <v>3294543</v>
      </c>
      <c r="P12" s="105">
        <v>11053860.74</v>
      </c>
      <c r="Q12" s="105">
        <v>0</v>
      </c>
      <c r="R12" s="107" t="s">
        <v>90</v>
      </c>
      <c r="S12" s="105">
        <v>298684395.92000002</v>
      </c>
    </row>
    <row r="13" spans="1:19" ht="11.25" customHeight="1" x14ac:dyDescent="0.25">
      <c r="A13" s="15" t="s">
        <v>10</v>
      </c>
      <c r="B13" s="78">
        <v>4328777.29</v>
      </c>
      <c r="C13" s="78">
        <v>8455531.6999999993</v>
      </c>
      <c r="D13" s="78">
        <v>10506551.34</v>
      </c>
      <c r="E13" s="78">
        <v>2071594.08</v>
      </c>
      <c r="F13" s="11"/>
      <c r="G13" s="33"/>
      <c r="H13" s="33"/>
      <c r="I13" s="79">
        <f>ROUND('[2]2022'!L79,2)</f>
        <v>0</v>
      </c>
      <c r="J13" s="79">
        <v>0</v>
      </c>
      <c r="K13" s="34"/>
      <c r="N13" s="105">
        <v>51055669.509999998</v>
      </c>
      <c r="O13" s="105">
        <v>127495989.61</v>
      </c>
      <c r="P13" s="105">
        <v>88225312.120000005</v>
      </c>
      <c r="Q13" s="105">
        <v>31907424.68</v>
      </c>
      <c r="R13" s="107" t="s">
        <v>91</v>
      </c>
      <c r="S13" s="105">
        <v>5651781.2599999998</v>
      </c>
    </row>
    <row r="14" spans="1:19" ht="12" customHeight="1" x14ac:dyDescent="0.25">
      <c r="A14" s="15" t="s">
        <v>11</v>
      </c>
      <c r="B14" s="78">
        <v>0</v>
      </c>
      <c r="C14" s="78">
        <v>0</v>
      </c>
      <c r="D14" s="78">
        <v>2304115.4899999998</v>
      </c>
      <c r="E14" s="78">
        <v>0</v>
      </c>
      <c r="F14" s="11"/>
      <c r="G14" s="33"/>
      <c r="H14" s="33"/>
      <c r="I14" s="79">
        <f>'[2]2022'!L80</f>
        <v>0</v>
      </c>
      <c r="J14" s="37"/>
      <c r="K14" s="34"/>
      <c r="N14" s="105">
        <v>284220.21000000002</v>
      </c>
      <c r="O14" s="105">
        <v>315248.88</v>
      </c>
      <c r="P14" s="105">
        <v>4915806.4000000004</v>
      </c>
      <c r="Q14" s="105">
        <v>136505.76999999999</v>
      </c>
      <c r="R14" s="107" t="s">
        <v>92</v>
      </c>
      <c r="S14" s="105">
        <v>25362454.409999996</v>
      </c>
    </row>
    <row r="15" spans="1:19" ht="9.75" customHeight="1" x14ac:dyDescent="0.25">
      <c r="A15" s="15" t="s">
        <v>12</v>
      </c>
      <c r="B15" s="80"/>
      <c r="C15" s="80"/>
      <c r="D15" s="80"/>
      <c r="E15" s="80"/>
      <c r="F15" s="12"/>
      <c r="G15" s="33"/>
      <c r="H15" s="34"/>
      <c r="I15" s="34"/>
      <c r="J15" s="34"/>
      <c r="K15" s="34"/>
      <c r="N15" s="105">
        <v>4328777.29</v>
      </c>
      <c r="O15" s="105">
        <v>8455531.6999999993</v>
      </c>
      <c r="P15" s="105">
        <v>10506551.34</v>
      </c>
      <c r="Q15" s="105">
        <v>2071594.08</v>
      </c>
      <c r="R15" s="107" t="s">
        <v>93</v>
      </c>
      <c r="S15" s="105">
        <v>2304115.4899999998</v>
      </c>
    </row>
    <row r="16" spans="1:19" x14ac:dyDescent="0.25">
      <c r="A16" s="9" t="s">
        <v>13</v>
      </c>
      <c r="B16" s="80"/>
      <c r="C16" s="8">
        <v>51443432.000000007</v>
      </c>
      <c r="D16" s="80"/>
      <c r="E16" s="8">
        <v>34681421</v>
      </c>
      <c r="F16" s="12"/>
      <c r="G16" s="34"/>
      <c r="H16" s="34"/>
      <c r="I16" s="34"/>
      <c r="J16" s="34"/>
      <c r="K16" s="34"/>
      <c r="N16" s="105">
        <v>0</v>
      </c>
      <c r="O16" s="105">
        <v>0</v>
      </c>
      <c r="P16" s="105">
        <v>2304115.4899999998</v>
      </c>
      <c r="Q16" s="105">
        <v>0</v>
      </c>
      <c r="R16" s="107" t="s">
        <v>94</v>
      </c>
      <c r="S16" s="105">
        <v>0</v>
      </c>
    </row>
    <row r="17" spans="1:20" x14ac:dyDescent="0.25">
      <c r="A17" s="9" t="s">
        <v>14</v>
      </c>
      <c r="B17" s="12"/>
      <c r="C17" s="78">
        <v>51288954.040000007</v>
      </c>
      <c r="D17" s="80"/>
      <c r="E17" s="78">
        <v>27745141</v>
      </c>
      <c r="F17" s="12"/>
      <c r="G17" s="34"/>
      <c r="H17" s="34"/>
      <c r="I17" s="34"/>
      <c r="J17" s="34"/>
      <c r="K17" s="34"/>
      <c r="N17" s="109"/>
      <c r="O17" s="109"/>
      <c r="P17" s="109"/>
      <c r="Q17" s="109"/>
      <c r="R17" s="109"/>
      <c r="S17" s="110"/>
    </row>
    <row r="18" spans="1:20" ht="12.75" customHeight="1" x14ac:dyDescent="0.25">
      <c r="A18" s="9" t="s">
        <v>15</v>
      </c>
      <c r="B18" s="12"/>
      <c r="C18" s="78">
        <v>154477.96</v>
      </c>
      <c r="D18" s="80"/>
      <c r="E18" s="78">
        <v>0</v>
      </c>
      <c r="F18" s="12"/>
      <c r="G18" s="34"/>
      <c r="H18" s="34"/>
      <c r="I18" s="34"/>
      <c r="J18" s="34"/>
      <c r="K18" s="34"/>
      <c r="N18" s="111">
        <v>56840075.479999997</v>
      </c>
      <c r="O18" s="111">
        <v>155889186.69</v>
      </c>
      <c r="P18" s="111">
        <v>187073335.09000003</v>
      </c>
      <c r="Q18" s="111">
        <v>34681421</v>
      </c>
      <c r="R18" s="105"/>
    </row>
    <row r="19" spans="1:20" x14ac:dyDescent="0.25">
      <c r="A19" s="9" t="s">
        <v>16</v>
      </c>
      <c r="B19" s="12"/>
      <c r="C19" s="78">
        <v>0</v>
      </c>
      <c r="D19" s="80"/>
      <c r="E19" s="78">
        <v>6936280</v>
      </c>
      <c r="F19" s="12"/>
      <c r="G19" s="34"/>
      <c r="H19" s="34"/>
      <c r="I19" s="34"/>
      <c r="J19" s="34"/>
      <c r="K19" s="34"/>
      <c r="N19" s="105">
        <v>0</v>
      </c>
      <c r="O19" s="105">
        <v>0</v>
      </c>
      <c r="P19" s="105">
        <v>0</v>
      </c>
      <c r="Q19" s="105">
        <v>0</v>
      </c>
      <c r="R19" s="105"/>
      <c r="S19" s="112">
        <v>434484018.25999999</v>
      </c>
      <c r="T19" s="112">
        <f>SUM(B6:E6)</f>
        <v>434484018.25999999</v>
      </c>
    </row>
    <row r="20" spans="1:20" ht="9.75" customHeight="1" x14ac:dyDescent="0.25">
      <c r="A20" s="17" t="s">
        <v>17</v>
      </c>
      <c r="B20" s="12"/>
      <c r="C20" s="12"/>
      <c r="D20" s="12"/>
      <c r="E20" s="12"/>
      <c r="F20" s="12"/>
      <c r="G20" s="34"/>
      <c r="H20" s="34"/>
      <c r="I20" s="34"/>
      <c r="J20" s="34"/>
      <c r="K20" s="33"/>
      <c r="N20" s="105" t="s">
        <v>95</v>
      </c>
      <c r="O20" s="105">
        <v>0</v>
      </c>
      <c r="P20" s="105" t="s">
        <v>96</v>
      </c>
      <c r="Q20" s="105">
        <v>434484018.25999999</v>
      </c>
      <c r="R20" s="105"/>
      <c r="S20" s="109"/>
      <c r="T20" s="83">
        <f>T19-S19</f>
        <v>0</v>
      </c>
    </row>
    <row r="21" spans="1:20" ht="9.75" customHeight="1" x14ac:dyDescent="0.25">
      <c r="A21" s="17" t="s">
        <v>18</v>
      </c>
      <c r="B21" s="12"/>
      <c r="C21" s="12"/>
      <c r="D21" s="12"/>
      <c r="E21" s="12"/>
      <c r="F21" s="12"/>
      <c r="G21" s="34"/>
      <c r="H21" s="34"/>
      <c r="I21" s="34"/>
      <c r="J21" s="34"/>
      <c r="K21" s="79"/>
      <c r="N21" s="105" t="s">
        <v>97</v>
      </c>
      <c r="O21" s="105">
        <v>0</v>
      </c>
      <c r="P21" s="105">
        <v>0</v>
      </c>
      <c r="Q21" s="105">
        <v>0</v>
      </c>
      <c r="R21" s="105"/>
      <c r="S21" s="109"/>
      <c r="T21" s="83"/>
    </row>
    <row r="22" spans="1:20" ht="9.75" customHeight="1" x14ac:dyDescent="0.25">
      <c r="A22" s="17" t="s">
        <v>19</v>
      </c>
      <c r="B22" s="12"/>
      <c r="C22" s="12"/>
      <c r="D22" s="12"/>
      <c r="E22" s="12"/>
      <c r="F22" s="12"/>
      <c r="G22" s="34"/>
      <c r="H22" s="34"/>
      <c r="I22" s="34"/>
      <c r="J22" s="34"/>
      <c r="K22" s="79"/>
      <c r="N22" s="105">
        <v>0</v>
      </c>
      <c r="O22" s="105">
        <v>0</v>
      </c>
      <c r="P22" s="105">
        <v>0</v>
      </c>
      <c r="Q22" s="105">
        <v>0</v>
      </c>
      <c r="R22" s="105"/>
      <c r="S22" s="109"/>
    </row>
    <row r="23" spans="1:20" ht="9.75" customHeight="1" x14ac:dyDescent="0.25">
      <c r="A23" s="17" t="s">
        <v>20</v>
      </c>
      <c r="B23" s="12"/>
      <c r="C23" s="12"/>
      <c r="D23" s="12"/>
      <c r="E23" s="12"/>
      <c r="F23" s="12"/>
      <c r="G23" s="34"/>
      <c r="H23" s="34"/>
      <c r="I23" s="34"/>
      <c r="J23" s="34"/>
      <c r="K23" s="79"/>
      <c r="N23" s="105" t="s">
        <v>81</v>
      </c>
      <c r="O23" s="105">
        <v>0</v>
      </c>
      <c r="P23" s="105" t="s">
        <v>82</v>
      </c>
      <c r="Q23" s="105" t="s">
        <v>65</v>
      </c>
      <c r="R23" s="105" t="s">
        <v>98</v>
      </c>
      <c r="S23" s="109"/>
    </row>
    <row r="24" spans="1:20" x14ac:dyDescent="0.25">
      <c r="A24" s="17" t="s">
        <v>21</v>
      </c>
      <c r="B24" s="12"/>
      <c r="C24" s="12"/>
      <c r="D24" s="12"/>
      <c r="E24" s="12"/>
      <c r="F24" s="12"/>
      <c r="G24" s="34"/>
      <c r="H24" s="34"/>
      <c r="I24" s="34"/>
      <c r="J24" s="34"/>
      <c r="K24" s="79">
        <f>'[2]2021'!N86</f>
        <v>0</v>
      </c>
      <c r="N24" s="111">
        <v>56840075.479999997</v>
      </c>
      <c r="O24" s="111">
        <v>104445754.69</v>
      </c>
      <c r="P24" s="111">
        <v>187073335.08999997</v>
      </c>
      <c r="Q24" s="105">
        <v>0</v>
      </c>
      <c r="R24" s="105" t="s">
        <v>100</v>
      </c>
      <c r="S24" s="105"/>
      <c r="T24" s="105"/>
    </row>
    <row r="25" spans="1:20" x14ac:dyDescent="0.25">
      <c r="A25" s="17" t="s">
        <v>22</v>
      </c>
      <c r="B25" s="12"/>
      <c r="C25" s="12"/>
      <c r="D25" s="12"/>
      <c r="E25" s="12"/>
      <c r="F25" s="12"/>
      <c r="G25" s="34"/>
      <c r="H25" s="34"/>
      <c r="I25" s="34"/>
      <c r="J25" s="34"/>
      <c r="K25" s="79">
        <f>'[2]2021'!N87</f>
        <v>0</v>
      </c>
      <c r="N25" s="105">
        <v>0</v>
      </c>
      <c r="O25" s="105">
        <v>154477.96</v>
      </c>
      <c r="P25" s="105">
        <v>0</v>
      </c>
      <c r="Q25" s="105">
        <v>0</v>
      </c>
      <c r="R25" s="105" t="s">
        <v>101</v>
      </c>
      <c r="S25" s="105"/>
      <c r="T25" s="105"/>
    </row>
    <row r="26" spans="1:20" x14ac:dyDescent="0.25">
      <c r="A26" s="17" t="s">
        <v>23</v>
      </c>
      <c r="B26" s="12"/>
      <c r="C26" s="12"/>
      <c r="D26" s="12"/>
      <c r="E26" s="12"/>
      <c r="F26" s="12"/>
      <c r="G26" s="34"/>
      <c r="H26" s="34"/>
      <c r="I26" s="34"/>
      <c r="J26" s="34"/>
      <c r="K26" s="79"/>
      <c r="N26" s="105">
        <v>0</v>
      </c>
      <c r="O26" s="105">
        <v>0</v>
      </c>
      <c r="P26" s="105">
        <v>0</v>
      </c>
      <c r="Q26" s="105">
        <v>6936280</v>
      </c>
      <c r="R26" s="105" t="s">
        <v>103</v>
      </c>
      <c r="S26" s="105"/>
      <c r="T26" s="105"/>
    </row>
    <row r="27" spans="1:20" x14ac:dyDescent="0.25">
      <c r="A27" s="17" t="s">
        <v>24</v>
      </c>
      <c r="B27" s="12"/>
      <c r="C27" s="12"/>
      <c r="D27" s="12"/>
      <c r="E27" s="12"/>
      <c r="F27" s="12"/>
      <c r="G27" s="34"/>
      <c r="H27" s="34"/>
      <c r="I27" s="34"/>
      <c r="J27" s="34"/>
      <c r="K27" s="79"/>
      <c r="N27" s="105">
        <v>0</v>
      </c>
      <c r="O27" s="105">
        <v>51288954.040000007</v>
      </c>
      <c r="P27" s="105">
        <v>0</v>
      </c>
      <c r="Q27" s="105">
        <v>27745141</v>
      </c>
      <c r="R27" s="105" t="s">
        <v>104</v>
      </c>
      <c r="S27" s="105"/>
      <c r="T27" s="105"/>
    </row>
    <row r="28" spans="1:20" ht="12" customHeight="1" x14ac:dyDescent="0.25">
      <c r="A28" s="7" t="s">
        <v>25</v>
      </c>
      <c r="B28" s="8">
        <v>56840075.479999997</v>
      </c>
      <c r="C28" s="8">
        <v>104445754.69</v>
      </c>
      <c r="D28" s="8">
        <v>187073335.08999997</v>
      </c>
      <c r="E28" s="12"/>
      <c r="F28" s="18"/>
      <c r="G28" s="39"/>
      <c r="H28" s="39"/>
      <c r="I28" s="32"/>
      <c r="J28" s="39"/>
      <c r="K28" s="32"/>
      <c r="N28" s="105">
        <v>56840075.479999997</v>
      </c>
      <c r="O28" s="105">
        <v>155889186.69</v>
      </c>
      <c r="P28" s="105">
        <v>187073335.08999997</v>
      </c>
      <c r="Q28" s="105">
        <v>34681421</v>
      </c>
      <c r="R28" s="105"/>
      <c r="S28" s="105"/>
      <c r="T28" s="105"/>
    </row>
    <row r="29" spans="1:20" ht="12" customHeight="1" x14ac:dyDescent="0.25">
      <c r="A29" s="4" t="s">
        <v>99</v>
      </c>
      <c r="B29" s="78">
        <v>3004053.5200000033</v>
      </c>
      <c r="C29" s="78">
        <v>118735236.52000001</v>
      </c>
      <c r="D29" s="78">
        <v>492222283.7899999</v>
      </c>
      <c r="E29" s="12"/>
      <c r="F29" s="11"/>
      <c r="G29" s="33"/>
      <c r="H29" s="33"/>
      <c r="I29" s="79"/>
      <c r="J29" s="33"/>
      <c r="K29" s="79"/>
      <c r="N29" s="105" t="s">
        <v>106</v>
      </c>
      <c r="O29" s="105">
        <v>0</v>
      </c>
      <c r="P29" s="105" t="s">
        <v>106</v>
      </c>
      <c r="Q29" s="105" t="s">
        <v>106</v>
      </c>
      <c r="R29" s="105"/>
      <c r="S29" s="105"/>
      <c r="T29" s="105"/>
    </row>
    <row r="30" spans="1:20" ht="15" customHeight="1" x14ac:dyDescent="0.25">
      <c r="A30" s="7" t="s">
        <v>26</v>
      </c>
      <c r="B30" s="8">
        <v>59844129</v>
      </c>
      <c r="C30" s="117">
        <v>223180991.21000001</v>
      </c>
      <c r="D30" s="8">
        <v>689840012</v>
      </c>
      <c r="E30" s="12"/>
      <c r="F30" s="18"/>
      <c r="G30" s="39"/>
      <c r="H30" s="39"/>
      <c r="I30" s="32"/>
      <c r="J30" s="39"/>
      <c r="K30" s="32"/>
      <c r="N30" s="105">
        <v>0</v>
      </c>
      <c r="O30" s="105">
        <v>0</v>
      </c>
      <c r="P30" s="105" t="s">
        <v>96</v>
      </c>
      <c r="Q30" s="105">
        <v>434484018.25999999</v>
      </c>
      <c r="R30" s="105"/>
      <c r="S30" s="105"/>
      <c r="T30" s="105"/>
    </row>
    <row r="31" spans="1:20" ht="12.75" customHeight="1" x14ac:dyDescent="0.25">
      <c r="A31" s="4" t="s">
        <v>102</v>
      </c>
      <c r="B31" s="12"/>
      <c r="C31" s="12"/>
      <c r="D31" s="34"/>
      <c r="E31" s="12"/>
      <c r="F31" s="12"/>
      <c r="G31" s="34"/>
      <c r="H31" s="34"/>
      <c r="I31" s="34"/>
      <c r="J31" s="34"/>
      <c r="K31" s="34"/>
      <c r="N31" s="105">
        <v>59844129</v>
      </c>
      <c r="O31" s="105">
        <v>254726971.21000001</v>
      </c>
      <c r="P31" s="105">
        <v>689840012</v>
      </c>
      <c r="Q31" s="105">
        <v>34681421</v>
      </c>
      <c r="R31" s="105"/>
      <c r="S31" s="105"/>
      <c r="T31" s="105"/>
    </row>
    <row r="32" spans="1:20" ht="15" customHeight="1" x14ac:dyDescent="0.25">
      <c r="A32" s="7" t="s">
        <v>27</v>
      </c>
      <c r="B32" s="18"/>
      <c r="C32" s="18"/>
      <c r="D32" s="8">
        <v>10544393.120000124</v>
      </c>
      <c r="E32" s="12"/>
      <c r="F32" s="18"/>
      <c r="G32" s="39"/>
      <c r="H32" s="39"/>
      <c r="I32" s="32"/>
      <c r="J32" s="39"/>
      <c r="K32" s="32"/>
      <c r="N32" s="105">
        <v>59844129</v>
      </c>
      <c r="O32" s="105">
        <v>254726971.21000001</v>
      </c>
      <c r="P32" s="105">
        <v>689840012</v>
      </c>
      <c r="Q32" s="105">
        <v>34681421</v>
      </c>
      <c r="R32" s="105"/>
      <c r="S32" s="105"/>
      <c r="T32" s="105"/>
    </row>
    <row r="33" spans="1:20" ht="30.6" x14ac:dyDescent="0.2">
      <c r="A33" s="19" t="s">
        <v>28</v>
      </c>
      <c r="B33" s="20"/>
      <c r="C33" s="20"/>
      <c r="D33" s="20"/>
      <c r="E33" s="20"/>
      <c r="F33" s="20"/>
      <c r="G33" s="20"/>
      <c r="H33" s="20"/>
      <c r="I33" s="20"/>
      <c r="J33" s="20"/>
      <c r="K33" s="40" t="s">
        <v>61</v>
      </c>
      <c r="N33" s="105"/>
      <c r="O33" s="105"/>
      <c r="P33" s="105"/>
      <c r="Q33" s="105"/>
      <c r="R33" s="105"/>
      <c r="S33" s="105"/>
      <c r="T33" s="105"/>
    </row>
    <row r="34" spans="1:20" ht="30.6" x14ac:dyDescent="0.2">
      <c r="A34" s="4" t="s">
        <v>105</v>
      </c>
      <c r="B34" s="79">
        <v>20945445</v>
      </c>
      <c r="C34" s="81">
        <v>78113347</v>
      </c>
      <c r="D34" s="81">
        <v>238833111</v>
      </c>
      <c r="E34" s="20"/>
      <c r="F34" s="20"/>
      <c r="G34" s="20"/>
      <c r="H34" s="20"/>
      <c r="I34" s="20"/>
      <c r="J34" s="20"/>
      <c r="K34" s="20"/>
      <c r="N34" s="105"/>
      <c r="O34" s="105"/>
      <c r="P34" s="105"/>
      <c r="Q34" s="105"/>
      <c r="R34" s="105"/>
      <c r="S34" s="105"/>
      <c r="T34" s="105"/>
    </row>
    <row r="35" spans="1:20" x14ac:dyDescent="0.3">
      <c r="A35" s="155" t="s">
        <v>107</v>
      </c>
      <c r="B35" s="156"/>
      <c r="C35" s="156"/>
      <c r="D35" s="156"/>
      <c r="E35" s="156"/>
      <c r="F35" s="156"/>
      <c r="G35" s="156"/>
      <c r="H35" s="156"/>
      <c r="I35" s="156"/>
      <c r="J35" s="156"/>
      <c r="K35" s="157"/>
    </row>
    <row r="36" spans="1:20" ht="64.5" customHeight="1" x14ac:dyDescent="0.3">
      <c r="A36" s="4" t="s">
        <v>108</v>
      </c>
      <c r="B36" s="45" t="s">
        <v>133</v>
      </c>
      <c r="C36" s="40" t="s">
        <v>153</v>
      </c>
      <c r="D36" s="23"/>
      <c r="E36" s="23"/>
      <c r="F36" s="23"/>
      <c r="G36" s="23"/>
      <c r="H36" s="23"/>
      <c r="I36" s="23"/>
      <c r="J36" s="23"/>
      <c r="K36" s="23"/>
    </row>
    <row r="37" spans="1:20" ht="45" customHeight="1" x14ac:dyDescent="0.3">
      <c r="A37" s="24" t="s">
        <v>110</v>
      </c>
      <c r="B37" s="73">
        <v>0</v>
      </c>
      <c r="C37" s="73">
        <v>0</v>
      </c>
      <c r="D37" s="23"/>
      <c r="E37" s="23"/>
      <c r="F37" s="23"/>
      <c r="G37" s="23"/>
      <c r="H37" s="23"/>
      <c r="I37" s="23"/>
      <c r="J37" s="23"/>
      <c r="K37" s="23"/>
    </row>
    <row r="38" spans="1:20" ht="66" customHeight="1" x14ac:dyDescent="0.3">
      <c r="A38" s="26" t="s">
        <v>111</v>
      </c>
      <c r="B38" s="23"/>
      <c r="C38" s="23"/>
      <c r="D38" s="40" t="s">
        <v>31</v>
      </c>
      <c r="E38" s="23"/>
      <c r="F38" s="23"/>
      <c r="G38" s="23"/>
      <c r="H38" s="40" t="s">
        <v>29</v>
      </c>
      <c r="I38" s="40" t="s">
        <v>29</v>
      </c>
      <c r="J38" s="40" t="s">
        <v>31</v>
      </c>
      <c r="K38" s="40" t="s">
        <v>31</v>
      </c>
    </row>
    <row r="39" spans="1:20" ht="10.5" customHeight="1" x14ac:dyDescent="0.3">
      <c r="A39" s="138" t="s">
        <v>112</v>
      </c>
      <c r="B39" s="139"/>
      <c r="C39" s="139"/>
      <c r="D39" s="139"/>
      <c r="E39" s="139"/>
      <c r="F39" s="139"/>
      <c r="G39" s="139"/>
      <c r="H39" s="139"/>
      <c r="I39" s="139"/>
      <c r="J39" s="139"/>
      <c r="K39" s="140"/>
    </row>
    <row r="40" spans="1:20" ht="16.5" customHeight="1" x14ac:dyDescent="0.3">
      <c r="A40" s="144" t="s">
        <v>113</v>
      </c>
      <c r="B40" s="145"/>
      <c r="C40" s="145"/>
      <c r="D40" s="145"/>
      <c r="E40" s="145"/>
      <c r="F40" s="145"/>
      <c r="G40" s="145"/>
      <c r="H40" s="145"/>
      <c r="I40" s="146"/>
      <c r="J40" s="27"/>
      <c r="K40" s="27"/>
    </row>
    <row r="41" spans="1:20" ht="13.8" x14ac:dyDescent="0.3">
      <c r="A41" s="4" t="s">
        <v>114</v>
      </c>
      <c r="B41" s="177" t="s">
        <v>131</v>
      </c>
      <c r="C41" s="178"/>
      <c r="D41" s="178"/>
      <c r="E41" s="178"/>
      <c r="F41" s="178"/>
      <c r="G41" s="178"/>
      <c r="H41" s="178"/>
      <c r="I41" s="179"/>
      <c r="J41" s="27"/>
      <c r="K41" s="27"/>
    </row>
    <row r="42" spans="1:20" ht="13.8" x14ac:dyDescent="0.25">
      <c r="A42" s="4" t="s">
        <v>116</v>
      </c>
      <c r="B42" s="177" t="s">
        <v>132</v>
      </c>
      <c r="C42" s="178"/>
      <c r="D42" s="178"/>
      <c r="E42" s="178"/>
      <c r="F42" s="178"/>
      <c r="G42" s="178"/>
      <c r="H42" s="178"/>
      <c r="I42" s="179"/>
      <c r="J42" s="42"/>
      <c r="K42" s="42"/>
    </row>
    <row r="43" spans="1:20" ht="51" customHeight="1" x14ac:dyDescent="0.3">
      <c r="A43" s="4" t="s">
        <v>118</v>
      </c>
      <c r="B43" s="189" t="s">
        <v>32</v>
      </c>
      <c r="C43" s="136"/>
      <c r="D43" s="136"/>
      <c r="E43" s="136"/>
      <c r="F43" s="136"/>
      <c r="G43" s="136"/>
      <c r="H43" s="136"/>
      <c r="I43" s="136"/>
      <c r="J43" s="136"/>
      <c r="K43" s="137"/>
    </row>
    <row r="44" spans="1:20" ht="15.75" customHeight="1" x14ac:dyDescent="0.3">
      <c r="C44" s="113"/>
    </row>
    <row r="45" spans="1:20" ht="15" customHeight="1" x14ac:dyDescent="0.3">
      <c r="C45" s="113"/>
      <c r="E45" s="114"/>
      <c r="G45" s="83"/>
    </row>
    <row r="46" spans="1:20" x14ac:dyDescent="0.3">
      <c r="C46" s="113"/>
      <c r="D46" s="113"/>
      <c r="E46" s="115"/>
      <c r="G46" s="113"/>
    </row>
    <row r="47" spans="1:20" x14ac:dyDescent="0.3">
      <c r="C47" s="113"/>
      <c r="D47" s="113"/>
      <c r="E47" s="83"/>
    </row>
    <row r="48" spans="1:20" x14ac:dyDescent="0.3">
      <c r="D48" s="83"/>
      <c r="E48" s="83"/>
    </row>
    <row r="49" spans="4:5" x14ac:dyDescent="0.3">
      <c r="D49" s="83"/>
      <c r="E49" s="83"/>
    </row>
  </sheetData>
  <mergeCells count="7">
    <mergeCell ref="B41:I41"/>
    <mergeCell ref="B42:I42"/>
    <mergeCell ref="A1:K1"/>
    <mergeCell ref="B2:C2"/>
    <mergeCell ref="D2:F2"/>
    <mergeCell ref="G2:K2"/>
    <mergeCell ref="G3:K3"/>
  </mergeCells>
  <conditionalFormatting sqref="E45">
    <cfRule type="cellIs" dxfId="2" priority="2" stopIfTrue="1" operator="lessThan">
      <formula>0</formula>
    </cfRule>
  </conditionalFormatting>
  <conditionalFormatting sqref="R6:R11 R13:R16">
    <cfRule type="cellIs" dxfId="1" priority="1" stopIfTrue="1" operator="lessThan">
      <formula>0</formula>
    </cfRule>
  </conditionalFormatting>
  <pageMargins left="0.25" right="0.25" top="0.75" bottom="0.75" header="0.3" footer="0.3"/>
  <pageSetup scale="59"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BC0C6-1917-4C6B-A394-AC31B78D41D4}">
  <sheetPr>
    <pageSetUpPr fitToPage="1"/>
  </sheetPr>
  <dimension ref="A1:T57"/>
  <sheetViews>
    <sheetView view="pageBreakPreview" zoomScale="110" zoomScaleNormal="140" zoomScaleSheetLayoutView="110" workbookViewId="0">
      <selection activeCell="A40" sqref="A40"/>
    </sheetView>
  </sheetViews>
  <sheetFormatPr defaultColWidth="9.109375" defaultRowHeight="13.2" x14ac:dyDescent="0.3"/>
  <cols>
    <col min="1" max="1" width="30.6640625" style="82" customWidth="1"/>
    <col min="2" max="2" width="14.109375" style="77" bestFit="1" customWidth="1"/>
    <col min="3" max="3" width="17.44140625" style="77" bestFit="1" customWidth="1"/>
    <col min="4" max="4" width="15.109375" style="77" customWidth="1"/>
    <col min="5" max="5" width="14.109375" style="77" bestFit="1" customWidth="1"/>
    <col min="6" max="6" width="10.88671875" style="77" customWidth="1"/>
    <col min="7" max="7" width="15.6640625" style="77" bestFit="1" customWidth="1"/>
    <col min="8" max="8" width="18.88671875" style="77" customWidth="1"/>
    <col min="9" max="9" width="16.88671875" style="77" customWidth="1"/>
    <col min="10" max="10" width="13.88671875" style="77" customWidth="1"/>
    <col min="11" max="11" width="15.109375" style="77" customWidth="1"/>
    <col min="12" max="13" width="9.109375" style="77"/>
    <col min="14" max="14" width="16.88671875" style="77" customWidth="1"/>
    <col min="15" max="15" width="9.109375" style="77"/>
    <col min="16" max="16" width="15.88671875" style="77" customWidth="1"/>
    <col min="17" max="17" width="9.109375" style="77"/>
    <col min="18" max="18" width="13.88671875" style="77" bestFit="1" customWidth="1"/>
    <col min="19" max="19" width="9.109375" style="77"/>
    <col min="20" max="20" width="14.6640625" style="77" bestFit="1" customWidth="1"/>
    <col min="21" max="16384" width="9.109375" style="77"/>
  </cols>
  <sheetData>
    <row r="1" spans="1:19" ht="15" customHeight="1" x14ac:dyDescent="0.3">
      <c r="A1" s="164" t="s">
        <v>66</v>
      </c>
      <c r="B1" s="165"/>
      <c r="C1" s="165"/>
      <c r="D1" s="165"/>
      <c r="E1" s="165"/>
      <c r="F1" s="165"/>
      <c r="G1" s="165"/>
      <c r="H1" s="165"/>
      <c r="I1" s="165"/>
      <c r="J1" s="165"/>
      <c r="K1" s="166"/>
      <c r="N1" s="102"/>
      <c r="P1" s="102"/>
      <c r="R1" s="103"/>
    </row>
    <row r="2" spans="1:19" ht="24" customHeight="1" x14ac:dyDescent="0.3">
      <c r="A2" s="1" t="s">
        <v>67</v>
      </c>
      <c r="B2" s="180" t="s">
        <v>148</v>
      </c>
      <c r="C2" s="181"/>
      <c r="D2" s="182" t="s">
        <v>149</v>
      </c>
      <c r="E2" s="183"/>
      <c r="F2" s="181"/>
      <c r="G2" s="184" t="s">
        <v>162</v>
      </c>
      <c r="H2" s="185"/>
      <c r="I2" s="185"/>
      <c r="J2" s="185"/>
      <c r="K2" s="186"/>
      <c r="N2" s="121"/>
      <c r="P2" s="102"/>
      <c r="R2" s="102"/>
    </row>
    <row r="3" spans="1:19" ht="15" customHeight="1" x14ac:dyDescent="0.3">
      <c r="A3" s="2"/>
      <c r="B3" s="190" t="s">
        <v>151</v>
      </c>
      <c r="C3" s="159"/>
      <c r="D3" s="159"/>
      <c r="E3" s="159"/>
      <c r="F3" s="160"/>
      <c r="G3" s="184" t="s">
        <v>163</v>
      </c>
      <c r="H3" s="185"/>
      <c r="I3" s="185"/>
      <c r="J3" s="185"/>
      <c r="K3" s="186"/>
      <c r="N3" s="102"/>
      <c r="P3" s="102"/>
      <c r="R3" s="102"/>
      <c r="S3" s="104"/>
    </row>
    <row r="4" spans="1:19" ht="9.9" customHeight="1" x14ac:dyDescent="0.25">
      <c r="A4" s="138" t="s">
        <v>71</v>
      </c>
      <c r="B4" s="139"/>
      <c r="C4" s="139"/>
      <c r="D4" s="139"/>
      <c r="E4" s="139"/>
      <c r="F4" s="139"/>
      <c r="G4" s="139"/>
      <c r="H4" s="140"/>
      <c r="I4" s="3"/>
      <c r="J4" s="3"/>
      <c r="K4" s="3"/>
      <c r="N4" s="102"/>
      <c r="P4" s="102"/>
    </row>
    <row r="5" spans="1:19" ht="51" customHeight="1" x14ac:dyDescent="0.3">
      <c r="A5" s="4"/>
      <c r="B5" s="46" t="s">
        <v>2</v>
      </c>
      <c r="C5" s="46" t="s">
        <v>72</v>
      </c>
      <c r="D5" s="5" t="s">
        <v>73</v>
      </c>
      <c r="E5" s="47" t="s">
        <v>74</v>
      </c>
      <c r="F5" s="5" t="s">
        <v>75</v>
      </c>
      <c r="G5" s="5" t="s">
        <v>76</v>
      </c>
      <c r="H5" s="5" t="s">
        <v>77</v>
      </c>
      <c r="I5" s="5" t="s">
        <v>78</v>
      </c>
      <c r="J5" s="6" t="s">
        <v>79</v>
      </c>
      <c r="K5" s="6" t="s">
        <v>80</v>
      </c>
    </row>
    <row r="6" spans="1:19" ht="15.75" customHeight="1" x14ac:dyDescent="0.25">
      <c r="A6" s="7" t="s">
        <v>4</v>
      </c>
      <c r="B6" s="8">
        <v>45604022.440000005</v>
      </c>
      <c r="C6" s="8">
        <v>137856666.21000001</v>
      </c>
      <c r="D6" s="8">
        <v>135424651.34</v>
      </c>
      <c r="E6" s="8">
        <v>34681421</v>
      </c>
      <c r="F6" s="8">
        <f t="shared" ref="F6:K6" si="0">SUM(F7:F11)</f>
        <v>0</v>
      </c>
      <c r="G6" s="32">
        <f t="shared" si="0"/>
        <v>0</v>
      </c>
      <c r="H6" s="32">
        <f t="shared" si="0"/>
        <v>0</v>
      </c>
      <c r="I6" s="32">
        <f t="shared" si="0"/>
        <v>0</v>
      </c>
      <c r="J6" s="32">
        <f t="shared" si="0"/>
        <v>0</v>
      </c>
      <c r="K6" s="32">
        <f t="shared" si="0"/>
        <v>0</v>
      </c>
    </row>
    <row r="7" spans="1:19" ht="10.5" customHeight="1" x14ac:dyDescent="0.25">
      <c r="A7" s="9" t="s">
        <v>5</v>
      </c>
      <c r="B7" s="78">
        <v>896502.5</v>
      </c>
      <c r="C7" s="78">
        <v>2087539.65</v>
      </c>
      <c r="D7" s="78">
        <v>6508064.7199999997</v>
      </c>
      <c r="E7" s="78">
        <v>565896.47</v>
      </c>
      <c r="F7" s="11"/>
      <c r="G7" s="33"/>
      <c r="H7" s="33"/>
      <c r="I7" s="79">
        <f>'[3]2022'!L71</f>
        <v>0</v>
      </c>
      <c r="J7" s="79">
        <f>'[3]2022'!N71</f>
        <v>0</v>
      </c>
      <c r="K7" s="34"/>
    </row>
    <row r="8" spans="1:19" ht="22.5" customHeight="1" x14ac:dyDescent="0.25">
      <c r="A8" s="4" t="s">
        <v>85</v>
      </c>
      <c r="B8" s="13"/>
      <c r="C8" s="78">
        <v>6192607.8900000006</v>
      </c>
      <c r="D8" s="78">
        <v>53657645.939999998</v>
      </c>
      <c r="E8" s="13"/>
      <c r="F8" s="14"/>
      <c r="G8" s="35"/>
      <c r="H8" s="35"/>
      <c r="I8" s="79">
        <f>'[3]2022'!L72</f>
        <v>0</v>
      </c>
      <c r="J8" s="79">
        <f>'[3]2022'!N72</f>
        <v>0</v>
      </c>
      <c r="K8" s="20"/>
    </row>
    <row r="9" spans="1:19" ht="10.5" customHeight="1" x14ac:dyDescent="0.25">
      <c r="A9" s="9" t="s">
        <v>6</v>
      </c>
      <c r="B9" s="78">
        <v>0</v>
      </c>
      <c r="C9" s="78">
        <v>1501467</v>
      </c>
      <c r="D9" s="78">
        <v>10730260.539999999</v>
      </c>
      <c r="E9" s="78">
        <v>0</v>
      </c>
      <c r="F9" s="11"/>
      <c r="G9" s="33"/>
      <c r="H9" s="33"/>
      <c r="I9" s="79">
        <f>'[3]2021'!L75</f>
        <v>0</v>
      </c>
      <c r="J9" s="79">
        <f>'[3]2022'!N73</f>
        <v>0</v>
      </c>
      <c r="K9" s="34"/>
    </row>
    <row r="10" spans="1:19" ht="13.5" customHeight="1" x14ac:dyDescent="0.25">
      <c r="A10" s="9" t="s">
        <v>7</v>
      </c>
      <c r="B10" s="78">
        <v>41105902.020000003</v>
      </c>
      <c r="C10" s="78">
        <v>119304271.09</v>
      </c>
      <c r="D10" s="78">
        <v>53872835.43</v>
      </c>
      <c r="E10" s="78">
        <v>31907424.68</v>
      </c>
      <c r="F10" s="11"/>
      <c r="G10" s="33"/>
      <c r="H10" s="33"/>
      <c r="I10" s="79">
        <f>ROUND('[3]2022'!L77,2)</f>
        <v>0</v>
      </c>
      <c r="J10" s="79">
        <f>ROUND('[3]2022'!N77,0)</f>
        <v>0</v>
      </c>
      <c r="K10" s="34"/>
    </row>
    <row r="11" spans="1:19" ht="10.5" customHeight="1" x14ac:dyDescent="0.25">
      <c r="A11" s="7" t="s">
        <v>8</v>
      </c>
      <c r="B11" s="8">
        <v>3601617.92</v>
      </c>
      <c r="C11" s="8">
        <v>8770780.5800000001</v>
      </c>
      <c r="D11" s="8">
        <v>10655844.710000001</v>
      </c>
      <c r="E11" s="8">
        <v>2208099.85</v>
      </c>
      <c r="F11" s="8">
        <f t="shared" ref="F11:J11" si="1">SUM(F12:F15)</f>
        <v>0</v>
      </c>
      <c r="G11" s="32">
        <f t="shared" si="1"/>
        <v>0</v>
      </c>
      <c r="H11" s="32">
        <f t="shared" si="1"/>
        <v>0</v>
      </c>
      <c r="I11" s="32">
        <f t="shared" si="1"/>
        <v>0</v>
      </c>
      <c r="J11" s="32">
        <f t="shared" si="1"/>
        <v>0</v>
      </c>
      <c r="K11" s="34"/>
    </row>
    <row r="12" spans="1:19" ht="10.5" customHeight="1" x14ac:dyDescent="0.25">
      <c r="A12" s="15" t="s">
        <v>9</v>
      </c>
      <c r="B12" s="78">
        <v>254808.51</v>
      </c>
      <c r="C12" s="78">
        <v>315248.88</v>
      </c>
      <c r="D12" s="78">
        <v>3453325.02</v>
      </c>
      <c r="E12" s="78">
        <v>136505.76999999999</v>
      </c>
      <c r="F12" s="11"/>
      <c r="G12" s="33"/>
      <c r="H12" s="33"/>
      <c r="I12" s="79">
        <f>ROUND('[3]2022'!L78,2)</f>
        <v>0</v>
      </c>
      <c r="J12" s="79">
        <v>0</v>
      </c>
      <c r="K12" s="34"/>
    </row>
    <row r="13" spans="1:19" ht="11.25" customHeight="1" x14ac:dyDescent="0.25">
      <c r="A13" s="15" t="s">
        <v>10</v>
      </c>
      <c r="B13" s="78">
        <v>3346809.41</v>
      </c>
      <c r="C13" s="78">
        <v>8455531.6999999993</v>
      </c>
      <c r="D13" s="78">
        <v>5321470.21</v>
      </c>
      <c r="E13" s="78">
        <v>2071594.08</v>
      </c>
      <c r="F13" s="11"/>
      <c r="G13" s="33"/>
      <c r="H13" s="33"/>
      <c r="I13" s="79">
        <f>ROUND('[3]2022'!L79,2)</f>
        <v>0</v>
      </c>
      <c r="J13" s="79">
        <v>0</v>
      </c>
      <c r="K13" s="34"/>
    </row>
    <row r="14" spans="1:19" ht="12" customHeight="1" x14ac:dyDescent="0.25">
      <c r="A14" s="15" t="s">
        <v>11</v>
      </c>
      <c r="B14" s="78">
        <v>0</v>
      </c>
      <c r="C14" s="78">
        <v>0</v>
      </c>
      <c r="D14" s="78">
        <v>1881049.48</v>
      </c>
      <c r="E14" s="78">
        <v>0</v>
      </c>
      <c r="F14" s="11"/>
      <c r="G14" s="33"/>
      <c r="H14" s="33"/>
      <c r="I14" s="79">
        <f>'[3]2022'!L80</f>
        <v>0</v>
      </c>
      <c r="J14" s="37"/>
      <c r="K14" s="34"/>
    </row>
    <row r="15" spans="1:19" ht="9.75" customHeight="1" x14ac:dyDescent="0.25">
      <c r="A15" s="15" t="s">
        <v>12</v>
      </c>
      <c r="B15" s="80"/>
      <c r="C15" s="80"/>
      <c r="D15" s="80"/>
      <c r="E15" s="80"/>
      <c r="F15" s="12"/>
      <c r="G15" s="33"/>
      <c r="H15" s="34"/>
      <c r="I15" s="34"/>
      <c r="J15" s="34"/>
      <c r="K15" s="34"/>
    </row>
    <row r="16" spans="1:19" x14ac:dyDescent="0.25">
      <c r="A16" s="9" t="s">
        <v>13</v>
      </c>
      <c r="B16" s="80"/>
      <c r="C16" s="8">
        <v>45492700</v>
      </c>
      <c r="D16" s="80"/>
      <c r="E16" s="8">
        <v>34681421</v>
      </c>
      <c r="F16" s="12"/>
      <c r="G16" s="34"/>
      <c r="H16" s="34"/>
      <c r="I16" s="34"/>
      <c r="J16" s="34"/>
      <c r="K16" s="34"/>
    </row>
    <row r="17" spans="1:20" x14ac:dyDescent="0.25">
      <c r="A17" s="9" t="s">
        <v>14</v>
      </c>
      <c r="B17" s="12"/>
      <c r="C17" s="78">
        <v>45417700</v>
      </c>
      <c r="D17" s="80"/>
      <c r="E17" s="78">
        <v>27745141</v>
      </c>
      <c r="F17" s="12"/>
      <c r="G17" s="34"/>
      <c r="H17" s="34"/>
      <c r="I17" s="34"/>
      <c r="J17" s="34"/>
      <c r="K17" s="34"/>
    </row>
    <row r="18" spans="1:20" ht="12.75" customHeight="1" x14ac:dyDescent="0.25">
      <c r="A18" s="9" t="s">
        <v>15</v>
      </c>
      <c r="B18" s="12"/>
      <c r="C18" s="78">
        <v>75000</v>
      </c>
      <c r="D18" s="80"/>
      <c r="E18" s="78">
        <v>0</v>
      </c>
      <c r="F18" s="12"/>
      <c r="G18" s="34"/>
      <c r="H18" s="34"/>
      <c r="I18" s="34"/>
      <c r="J18" s="34"/>
      <c r="K18" s="34"/>
    </row>
    <row r="19" spans="1:20" x14ac:dyDescent="0.25">
      <c r="A19" s="9" t="s">
        <v>16</v>
      </c>
      <c r="B19" s="12"/>
      <c r="C19" s="78">
        <v>0</v>
      </c>
      <c r="D19" s="80"/>
      <c r="E19" s="78">
        <v>6936280</v>
      </c>
      <c r="F19" s="12"/>
      <c r="G19" s="34"/>
      <c r="H19" s="34"/>
      <c r="I19" s="34"/>
      <c r="J19" s="34"/>
      <c r="K19" s="34"/>
      <c r="T19" s="113"/>
    </row>
    <row r="20" spans="1:20" ht="9.75" customHeight="1" x14ac:dyDescent="0.25">
      <c r="A20" s="17" t="s">
        <v>17</v>
      </c>
      <c r="B20" s="12"/>
      <c r="C20" s="12"/>
      <c r="D20" s="12"/>
      <c r="E20" s="12"/>
      <c r="F20" s="12"/>
      <c r="G20" s="34"/>
      <c r="H20" s="34"/>
      <c r="I20" s="34"/>
      <c r="J20" s="34"/>
      <c r="K20" s="33"/>
    </row>
    <row r="21" spans="1:20" ht="9.75" customHeight="1" x14ac:dyDescent="0.25">
      <c r="A21" s="17" t="s">
        <v>18</v>
      </c>
      <c r="B21" s="12"/>
      <c r="C21" s="12"/>
      <c r="D21" s="12"/>
      <c r="E21" s="12"/>
      <c r="F21" s="12"/>
      <c r="G21" s="34"/>
      <c r="H21" s="34"/>
      <c r="I21" s="34"/>
      <c r="J21" s="34"/>
      <c r="K21" s="79"/>
    </row>
    <row r="22" spans="1:20" ht="9.75" customHeight="1" x14ac:dyDescent="0.25">
      <c r="A22" s="17" t="s">
        <v>19</v>
      </c>
      <c r="B22" s="12"/>
      <c r="C22" s="12"/>
      <c r="D22" s="12"/>
      <c r="E22" s="12"/>
      <c r="F22" s="12"/>
      <c r="G22" s="34"/>
      <c r="H22" s="34"/>
      <c r="I22" s="34"/>
      <c r="J22" s="34"/>
      <c r="K22" s="79"/>
    </row>
    <row r="23" spans="1:20" ht="9.75" customHeight="1" x14ac:dyDescent="0.25">
      <c r="A23" s="17" t="s">
        <v>20</v>
      </c>
      <c r="B23" s="12"/>
      <c r="C23" s="12"/>
      <c r="D23" s="12"/>
      <c r="E23" s="12"/>
      <c r="F23" s="12"/>
      <c r="G23" s="34"/>
      <c r="H23" s="34"/>
      <c r="I23" s="34"/>
      <c r="J23" s="34"/>
      <c r="K23" s="79"/>
    </row>
    <row r="24" spans="1:20" x14ac:dyDescent="0.25">
      <c r="A24" s="17" t="s">
        <v>21</v>
      </c>
      <c r="B24" s="12"/>
      <c r="C24" s="12"/>
      <c r="D24" s="12"/>
      <c r="E24" s="12"/>
      <c r="F24" s="12"/>
      <c r="G24" s="34"/>
      <c r="H24" s="34"/>
      <c r="I24" s="34"/>
      <c r="J24" s="34"/>
      <c r="K24" s="79">
        <f>'[3]2021'!N86</f>
        <v>0</v>
      </c>
    </row>
    <row r="25" spans="1:20" x14ac:dyDescent="0.25">
      <c r="A25" s="17" t="s">
        <v>22</v>
      </c>
      <c r="B25" s="12"/>
      <c r="C25" s="12"/>
      <c r="D25" s="12"/>
      <c r="E25" s="12"/>
      <c r="F25" s="12"/>
      <c r="G25" s="34"/>
      <c r="H25" s="34"/>
      <c r="I25" s="34"/>
      <c r="J25" s="34"/>
      <c r="K25" s="79">
        <f>'[3]2021'!N87</f>
        <v>0</v>
      </c>
    </row>
    <row r="26" spans="1:20" x14ac:dyDescent="0.25">
      <c r="A26" s="17" t="s">
        <v>23</v>
      </c>
      <c r="B26" s="12"/>
      <c r="C26" s="12"/>
      <c r="D26" s="12"/>
      <c r="E26" s="12"/>
      <c r="F26" s="12"/>
      <c r="G26" s="34"/>
      <c r="H26" s="34"/>
      <c r="I26" s="34"/>
      <c r="J26" s="34"/>
      <c r="K26" s="79"/>
    </row>
    <row r="27" spans="1:20" x14ac:dyDescent="0.25">
      <c r="A27" s="17" t="s">
        <v>24</v>
      </c>
      <c r="B27" s="12"/>
      <c r="C27" s="12"/>
      <c r="D27" s="12"/>
      <c r="E27" s="12"/>
      <c r="F27" s="12"/>
      <c r="G27" s="34"/>
      <c r="H27" s="34"/>
      <c r="I27" s="34"/>
      <c r="J27" s="34"/>
      <c r="K27" s="79"/>
    </row>
    <row r="28" spans="1:20" ht="12" customHeight="1" x14ac:dyDescent="0.25">
      <c r="A28" s="7" t="s">
        <v>25</v>
      </c>
      <c r="B28" s="8">
        <v>45604022.439999998</v>
      </c>
      <c r="C28" s="8">
        <v>92363966.209999993</v>
      </c>
      <c r="D28" s="8">
        <v>135424651.34</v>
      </c>
      <c r="E28" s="12"/>
      <c r="F28" s="18"/>
      <c r="G28" s="39"/>
      <c r="H28" s="39"/>
      <c r="I28" s="32"/>
      <c r="J28" s="39"/>
      <c r="K28" s="32"/>
    </row>
    <row r="29" spans="1:20" ht="12" customHeight="1" x14ac:dyDescent="0.25">
      <c r="A29" s="4" t="s">
        <v>99</v>
      </c>
      <c r="B29" s="78">
        <v>5263486.5600000024</v>
      </c>
      <c r="C29" s="78">
        <v>96360906.790000007</v>
      </c>
      <c r="D29" s="78">
        <v>213091254.05000001</v>
      </c>
      <c r="E29" s="12"/>
      <c r="F29" s="11"/>
      <c r="G29" s="33"/>
      <c r="H29" s="33"/>
      <c r="I29" s="79"/>
      <c r="J29" s="33"/>
      <c r="K29" s="79"/>
    </row>
    <row r="30" spans="1:20" ht="15" customHeight="1" x14ac:dyDescent="0.25">
      <c r="A30" s="7" t="s">
        <v>26</v>
      </c>
      <c r="B30" s="8">
        <v>50867509</v>
      </c>
      <c r="C30" s="8">
        <v>188724873</v>
      </c>
      <c r="D30" s="8">
        <v>580023270</v>
      </c>
      <c r="E30" s="12"/>
      <c r="F30" s="18"/>
      <c r="G30" s="39"/>
      <c r="H30" s="39"/>
      <c r="I30" s="32"/>
      <c r="J30" s="39"/>
      <c r="K30" s="32"/>
    </row>
    <row r="31" spans="1:20" ht="12.75" customHeight="1" x14ac:dyDescent="0.25">
      <c r="A31" s="4" t="s">
        <v>102</v>
      </c>
      <c r="B31" s="12"/>
      <c r="C31" s="12"/>
      <c r="D31" s="12"/>
      <c r="E31" s="12"/>
      <c r="F31" s="12"/>
      <c r="G31" s="34"/>
      <c r="H31" s="34"/>
      <c r="I31" s="34"/>
      <c r="J31" s="34"/>
      <c r="K31" s="34"/>
    </row>
    <row r="32" spans="1:20" ht="15" customHeight="1" x14ac:dyDescent="0.25">
      <c r="A32" s="7" t="s">
        <v>27</v>
      </c>
      <c r="B32" s="18"/>
      <c r="C32" s="18"/>
      <c r="D32" s="8">
        <v>231507364.60999995</v>
      </c>
      <c r="E32" s="12"/>
      <c r="F32" s="18"/>
      <c r="G32" s="39"/>
      <c r="H32" s="39"/>
      <c r="I32" s="32"/>
      <c r="J32" s="39"/>
      <c r="K32" s="32"/>
    </row>
    <row r="33" spans="1:11" ht="30.6" x14ac:dyDescent="0.3">
      <c r="A33" s="19" t="s">
        <v>28</v>
      </c>
      <c r="B33" s="20"/>
      <c r="C33" s="20"/>
      <c r="D33" s="20"/>
      <c r="E33" s="20"/>
      <c r="F33" s="20"/>
      <c r="G33" s="20"/>
      <c r="H33" s="20"/>
      <c r="I33" s="20"/>
      <c r="J33" s="20"/>
      <c r="K33" s="40" t="s">
        <v>164</v>
      </c>
    </row>
    <row r="34" spans="1:11" ht="30.6" x14ac:dyDescent="0.2">
      <c r="A34" s="4" t="s">
        <v>105</v>
      </c>
      <c r="B34" s="79">
        <v>20945445</v>
      </c>
      <c r="C34" s="79">
        <v>77710241.400000006</v>
      </c>
      <c r="D34" s="79">
        <v>238833111.05000001</v>
      </c>
      <c r="E34" s="20"/>
      <c r="F34" s="20"/>
      <c r="G34" s="20"/>
      <c r="H34" s="20"/>
      <c r="I34" s="20"/>
      <c r="J34" s="20"/>
      <c r="K34" s="20"/>
    </row>
    <row r="35" spans="1:11" x14ac:dyDescent="0.3">
      <c r="A35" s="155" t="s">
        <v>107</v>
      </c>
      <c r="B35" s="156"/>
      <c r="C35" s="156"/>
      <c r="D35" s="156"/>
      <c r="E35" s="156"/>
      <c r="F35" s="156"/>
      <c r="G35" s="156"/>
      <c r="H35" s="156"/>
      <c r="I35" s="156"/>
      <c r="J35" s="156"/>
      <c r="K35" s="157"/>
    </row>
    <row r="36" spans="1:11" ht="51" x14ac:dyDescent="0.3">
      <c r="A36" s="4" t="s">
        <v>108</v>
      </c>
      <c r="B36" s="45" t="s">
        <v>133</v>
      </c>
      <c r="C36" s="40" t="s">
        <v>165</v>
      </c>
      <c r="D36" s="23"/>
      <c r="E36" s="23"/>
      <c r="F36" s="23"/>
      <c r="G36" s="23"/>
      <c r="H36" s="23"/>
      <c r="I36" s="23"/>
      <c r="J36" s="23"/>
      <c r="K36" s="23"/>
    </row>
    <row r="37" spans="1:11" ht="25.5" customHeight="1" x14ac:dyDescent="0.3">
      <c r="A37" s="24" t="s">
        <v>110</v>
      </c>
      <c r="B37" s="41">
        <v>0</v>
      </c>
      <c r="C37" s="25">
        <v>0</v>
      </c>
      <c r="D37" s="23"/>
      <c r="E37" s="23"/>
      <c r="F37" s="23"/>
      <c r="G37" s="23"/>
      <c r="H37" s="23"/>
      <c r="I37" s="23"/>
      <c r="J37" s="23"/>
      <c r="K37" s="23"/>
    </row>
    <row r="38" spans="1:11" ht="27.75" customHeight="1" x14ac:dyDescent="0.3">
      <c r="A38" s="26" t="s">
        <v>111</v>
      </c>
      <c r="B38" s="23"/>
      <c r="C38" s="23"/>
      <c r="D38" s="40" t="s">
        <v>166</v>
      </c>
      <c r="E38" s="23"/>
      <c r="F38" s="23"/>
      <c r="G38" s="23"/>
      <c r="H38" s="40" t="s">
        <v>167</v>
      </c>
      <c r="I38" s="40" t="s">
        <v>133</v>
      </c>
      <c r="J38" s="40" t="s">
        <v>168</v>
      </c>
      <c r="K38" s="40" t="s">
        <v>133</v>
      </c>
    </row>
    <row r="39" spans="1:11" ht="10.5" customHeight="1" x14ac:dyDescent="0.3">
      <c r="A39" s="138" t="s">
        <v>112</v>
      </c>
      <c r="B39" s="139"/>
      <c r="C39" s="139"/>
      <c r="D39" s="139"/>
      <c r="E39" s="139"/>
      <c r="F39" s="139"/>
      <c r="G39" s="139"/>
      <c r="H39" s="139"/>
      <c r="I39" s="139"/>
      <c r="J39" s="139"/>
      <c r="K39" s="140"/>
    </row>
    <row r="40" spans="1:11" ht="16.5" customHeight="1" x14ac:dyDescent="0.3">
      <c r="A40" s="191" t="s">
        <v>113</v>
      </c>
      <c r="B40" s="145"/>
      <c r="C40" s="145"/>
      <c r="D40" s="145"/>
      <c r="E40" s="145"/>
      <c r="F40" s="145"/>
      <c r="G40" s="145"/>
      <c r="H40" s="145"/>
      <c r="I40" s="146"/>
      <c r="J40" s="27"/>
      <c r="K40" s="27"/>
    </row>
    <row r="41" spans="1:11" ht="12.9" customHeight="1" x14ac:dyDescent="0.3">
      <c r="A41" s="4" t="s">
        <v>114</v>
      </c>
      <c r="B41" s="174" t="s">
        <v>115</v>
      </c>
      <c r="C41" s="175"/>
      <c r="D41" s="175"/>
      <c r="E41" s="175"/>
      <c r="F41" s="175"/>
      <c r="G41" s="175"/>
      <c r="H41" s="175"/>
      <c r="I41" s="176"/>
      <c r="J41" s="27"/>
      <c r="K41" s="27"/>
    </row>
    <row r="42" spans="1:11" ht="12" customHeight="1" x14ac:dyDescent="0.25">
      <c r="A42" s="4" t="s">
        <v>116</v>
      </c>
      <c r="B42" s="174" t="s">
        <v>117</v>
      </c>
      <c r="C42" s="175"/>
      <c r="D42" s="175"/>
      <c r="E42" s="175"/>
      <c r="F42" s="175"/>
      <c r="G42" s="175"/>
      <c r="H42" s="175"/>
      <c r="I42" s="176"/>
      <c r="J42" s="42"/>
      <c r="K42" s="42"/>
    </row>
    <row r="43" spans="1:11" ht="49.5" customHeight="1" x14ac:dyDescent="0.3">
      <c r="A43" s="4" t="s">
        <v>118</v>
      </c>
      <c r="B43" s="189" t="s">
        <v>32</v>
      </c>
      <c r="C43" s="136"/>
      <c r="D43" s="136"/>
      <c r="E43" s="136"/>
      <c r="F43" s="136"/>
      <c r="G43" s="136"/>
      <c r="H43" s="136"/>
      <c r="I43" s="136"/>
      <c r="J43" s="136"/>
      <c r="K43" s="137"/>
    </row>
    <row r="45" spans="1:11" ht="14.4" x14ac:dyDescent="0.3">
      <c r="E45" s="122"/>
      <c r="G45" s="83"/>
    </row>
    <row r="46" spans="1:11" x14ac:dyDescent="0.3">
      <c r="D46" s="113"/>
      <c r="E46" s="115"/>
      <c r="G46" s="113"/>
    </row>
    <row r="47" spans="1:11" x14ac:dyDescent="0.3">
      <c r="D47" s="113"/>
      <c r="E47" s="83"/>
    </row>
    <row r="48" spans="1:11" x14ac:dyDescent="0.3">
      <c r="D48" s="113"/>
      <c r="E48" s="83"/>
    </row>
    <row r="49" spans="4:5" x14ac:dyDescent="0.3">
      <c r="D49" s="83"/>
      <c r="E49" s="83"/>
    </row>
    <row r="50" spans="4:5" x14ac:dyDescent="0.3">
      <c r="D50" s="83"/>
      <c r="E50" s="83"/>
    </row>
    <row r="51" spans="4:5" x14ac:dyDescent="0.3">
      <c r="D51" s="83"/>
      <c r="E51" s="83"/>
    </row>
    <row r="52" spans="4:5" x14ac:dyDescent="0.3">
      <c r="D52" s="83"/>
      <c r="E52" s="83"/>
    </row>
    <row r="53" spans="4:5" x14ac:dyDescent="0.3">
      <c r="D53" s="83"/>
      <c r="E53" s="83"/>
    </row>
    <row r="54" spans="4:5" x14ac:dyDescent="0.3">
      <c r="D54" s="83"/>
      <c r="E54" s="83"/>
    </row>
    <row r="55" spans="4:5" x14ac:dyDescent="0.3">
      <c r="D55" s="83"/>
      <c r="E55" s="83"/>
    </row>
    <row r="56" spans="4:5" x14ac:dyDescent="0.3">
      <c r="D56" s="83"/>
      <c r="E56" s="83"/>
    </row>
    <row r="57" spans="4:5" x14ac:dyDescent="0.3">
      <c r="D57" s="83"/>
      <c r="E57" s="83"/>
    </row>
  </sheetData>
  <mergeCells count="7">
    <mergeCell ref="B41:I41"/>
    <mergeCell ref="B42:I42"/>
    <mergeCell ref="A1:K1"/>
    <mergeCell ref="B2:C2"/>
    <mergeCell ref="D2:F2"/>
    <mergeCell ref="G2:K2"/>
    <mergeCell ref="G3:K3"/>
  </mergeCells>
  <conditionalFormatting sqref="E45">
    <cfRule type="cellIs" dxfId="0" priority="1" stopIfTrue="1" operator="lessThan">
      <formula>0</formula>
    </cfRule>
  </conditionalFormatting>
  <pageMargins left="0.25" right="0.25" top="0.75" bottom="0.75" header="0.3" footer="0.3"/>
  <pageSetup scale="6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7E77-7D8C-424D-BAD0-00EB60162CD2}">
  <sheetPr>
    <pageSetUpPr fitToPage="1"/>
  </sheetPr>
  <dimension ref="A1:V54"/>
  <sheetViews>
    <sheetView view="pageBreakPreview" zoomScaleNormal="140" zoomScaleSheetLayoutView="100" workbookViewId="0">
      <selection activeCell="A47" sqref="A47"/>
    </sheetView>
  </sheetViews>
  <sheetFormatPr defaultColWidth="9.109375" defaultRowHeight="13.2" x14ac:dyDescent="0.3"/>
  <cols>
    <col min="1" max="1" width="45.44140625" style="82" customWidth="1"/>
    <col min="2" max="2" width="14.109375" style="77" bestFit="1" customWidth="1"/>
    <col min="3" max="3" width="17.44140625" style="77" bestFit="1" customWidth="1"/>
    <col min="4" max="4" width="15.109375" style="77" customWidth="1"/>
    <col min="5" max="5" width="14.109375" style="77" bestFit="1" customWidth="1"/>
    <col min="6" max="6" width="10.88671875" style="77" customWidth="1"/>
    <col min="7" max="7" width="13" style="77" customWidth="1"/>
    <col min="8" max="8" width="18.88671875" style="77" customWidth="1"/>
    <col min="9" max="9" width="16.88671875" style="77" customWidth="1"/>
    <col min="10" max="10" width="13.88671875" style="77" customWidth="1"/>
    <col min="11" max="11" width="15.109375" style="77" customWidth="1"/>
    <col min="12" max="13" width="9.109375" style="77"/>
    <col min="14" max="14" width="16.88671875" style="77" customWidth="1"/>
    <col min="15" max="15" width="9.109375" style="77"/>
    <col min="16" max="16" width="15.88671875" style="77" customWidth="1"/>
    <col min="17" max="17" width="9.109375" style="77"/>
    <col min="18" max="18" width="13.88671875" style="77" bestFit="1" customWidth="1"/>
    <col min="19" max="21" width="9.109375" style="77"/>
    <col min="22" max="22" width="14.6640625" style="77" bestFit="1" customWidth="1"/>
    <col min="23" max="16384" width="9.109375" style="77"/>
  </cols>
  <sheetData>
    <row r="1" spans="1:19" ht="15" customHeight="1" x14ac:dyDescent="0.3">
      <c r="A1" s="164" t="s">
        <v>66</v>
      </c>
      <c r="B1" s="165"/>
      <c r="C1" s="165"/>
      <c r="D1" s="165"/>
      <c r="E1" s="165"/>
      <c r="F1" s="165"/>
      <c r="G1" s="165"/>
      <c r="H1" s="165"/>
      <c r="I1" s="165"/>
      <c r="J1" s="165"/>
      <c r="K1" s="166"/>
      <c r="N1" s="102"/>
      <c r="P1" s="102"/>
      <c r="R1" s="103"/>
    </row>
    <row r="2" spans="1:19" ht="24" customHeight="1" x14ac:dyDescent="0.3">
      <c r="A2" s="1" t="s">
        <v>67</v>
      </c>
      <c r="B2" s="180" t="s">
        <v>148</v>
      </c>
      <c r="C2" s="181"/>
      <c r="D2" s="182" t="s">
        <v>149</v>
      </c>
      <c r="E2" s="183"/>
      <c r="F2" s="181"/>
      <c r="G2" s="184" t="s">
        <v>169</v>
      </c>
      <c r="H2" s="185"/>
      <c r="I2" s="185"/>
      <c r="J2" s="185"/>
      <c r="K2" s="186"/>
      <c r="N2" s="121"/>
      <c r="P2" s="102"/>
      <c r="R2" s="102"/>
    </row>
    <row r="3" spans="1:19" ht="15" customHeight="1" x14ac:dyDescent="0.3">
      <c r="A3" s="2"/>
      <c r="B3" s="190" t="s">
        <v>151</v>
      </c>
      <c r="C3" s="159"/>
      <c r="D3" s="159"/>
      <c r="E3" s="159"/>
      <c r="F3" s="160"/>
      <c r="G3" s="184" t="s">
        <v>170</v>
      </c>
      <c r="H3" s="185"/>
      <c r="I3" s="185"/>
      <c r="J3" s="185"/>
      <c r="K3" s="186"/>
      <c r="N3" s="102"/>
      <c r="P3" s="102"/>
      <c r="R3" s="102"/>
      <c r="S3" s="104"/>
    </row>
    <row r="4" spans="1:19" ht="9.9" customHeight="1" x14ac:dyDescent="0.25">
      <c r="A4" s="138" t="s">
        <v>71</v>
      </c>
      <c r="B4" s="139"/>
      <c r="C4" s="139"/>
      <c r="D4" s="139"/>
      <c r="E4" s="139"/>
      <c r="F4" s="139"/>
      <c r="G4" s="139"/>
      <c r="H4" s="140"/>
      <c r="I4" s="3"/>
      <c r="J4" s="3"/>
      <c r="K4" s="3"/>
      <c r="N4" s="102"/>
      <c r="P4" s="102"/>
    </row>
    <row r="5" spans="1:19" ht="51" customHeight="1" x14ac:dyDescent="0.3">
      <c r="A5" s="4"/>
      <c r="B5" s="46" t="s">
        <v>2</v>
      </c>
      <c r="C5" s="46" t="s">
        <v>72</v>
      </c>
      <c r="D5" s="5" t="s">
        <v>73</v>
      </c>
      <c r="E5" s="47" t="s">
        <v>74</v>
      </c>
      <c r="F5" s="5" t="s">
        <v>75</v>
      </c>
      <c r="G5" s="5" t="s">
        <v>76</v>
      </c>
      <c r="H5" s="5" t="s">
        <v>77</v>
      </c>
      <c r="I5" s="5" t="s">
        <v>78</v>
      </c>
      <c r="J5" s="6" t="s">
        <v>79</v>
      </c>
      <c r="K5" s="6" t="s">
        <v>80</v>
      </c>
    </row>
    <row r="6" spans="1:19" ht="11.25" customHeight="1" x14ac:dyDescent="0.25">
      <c r="A6" s="7" t="s">
        <v>4</v>
      </c>
      <c r="B6" s="8">
        <v>31312199.18</v>
      </c>
      <c r="C6" s="8">
        <v>120590148.35000001</v>
      </c>
      <c r="D6" s="8">
        <v>60974004.040000007</v>
      </c>
      <c r="E6" s="8">
        <v>32186737.029999997</v>
      </c>
      <c r="F6" s="8">
        <f t="shared" ref="F6:K6" si="0">SUM(F7:F11)</f>
        <v>0</v>
      </c>
      <c r="G6" s="32">
        <f t="shared" si="0"/>
        <v>0</v>
      </c>
      <c r="H6" s="32">
        <f t="shared" si="0"/>
        <v>0</v>
      </c>
      <c r="I6" s="32">
        <f t="shared" si="0"/>
        <v>0</v>
      </c>
      <c r="J6" s="32">
        <f t="shared" si="0"/>
        <v>0</v>
      </c>
      <c r="K6" s="32">
        <f t="shared" si="0"/>
        <v>0</v>
      </c>
    </row>
    <row r="7" spans="1:19" ht="10.5" customHeight="1" x14ac:dyDescent="0.25">
      <c r="A7" s="9" t="s">
        <v>5</v>
      </c>
      <c r="B7" s="78">
        <v>577033.94999999995</v>
      </c>
      <c r="C7" s="78">
        <v>1995182.48</v>
      </c>
      <c r="D7" s="78">
        <v>3360441.33</v>
      </c>
      <c r="E7" s="78">
        <v>523325.22</v>
      </c>
      <c r="F7" s="11"/>
      <c r="G7" s="33"/>
      <c r="H7" s="33"/>
      <c r="I7" s="79">
        <f>'[4]2022'!L71</f>
        <v>0</v>
      </c>
      <c r="J7" s="79">
        <f>'[4]2022'!N71</f>
        <v>0</v>
      </c>
      <c r="K7" s="34"/>
    </row>
    <row r="8" spans="1:19" ht="18.75" customHeight="1" x14ac:dyDescent="0.25">
      <c r="A8" s="4" t="s">
        <v>85</v>
      </c>
      <c r="B8" s="13"/>
      <c r="C8" s="78">
        <v>4460362.2700000005</v>
      </c>
      <c r="D8" s="78">
        <v>11572804.109999999</v>
      </c>
      <c r="E8" s="13"/>
      <c r="F8" s="14"/>
      <c r="G8" s="35"/>
      <c r="H8" s="35"/>
      <c r="I8" s="79">
        <f>'[4]2022'!L72</f>
        <v>0</v>
      </c>
      <c r="J8" s="79">
        <f>'[4]2022'!N72</f>
        <v>0</v>
      </c>
      <c r="K8" s="20"/>
    </row>
    <row r="9" spans="1:19" ht="10.5" customHeight="1" x14ac:dyDescent="0.25">
      <c r="A9" s="9" t="s">
        <v>6</v>
      </c>
      <c r="B9" s="78">
        <v>0</v>
      </c>
      <c r="C9" s="78">
        <v>819863</v>
      </c>
      <c r="D9" s="78">
        <v>3124976.36</v>
      </c>
      <c r="E9" s="78">
        <v>0</v>
      </c>
      <c r="F9" s="11"/>
      <c r="G9" s="33"/>
      <c r="H9" s="33"/>
      <c r="I9" s="79">
        <f>'[4]2021'!L75</f>
        <v>0</v>
      </c>
      <c r="J9" s="79">
        <f>'[4]2022'!N73</f>
        <v>0</v>
      </c>
      <c r="K9" s="34"/>
    </row>
    <row r="10" spans="1:19" ht="13.5" customHeight="1" x14ac:dyDescent="0.25">
      <c r="A10" s="9" t="s">
        <v>7</v>
      </c>
      <c r="B10" s="78">
        <v>28348488.949999999</v>
      </c>
      <c r="C10" s="78">
        <v>104868900.09</v>
      </c>
      <c r="D10" s="78">
        <v>38318111.93</v>
      </c>
      <c r="E10" s="78">
        <v>29616566.829999998</v>
      </c>
      <c r="F10" s="11"/>
      <c r="G10" s="33"/>
      <c r="H10" s="33"/>
      <c r="I10" s="79">
        <f>ROUND('[4]2022'!L77,2)</f>
        <v>0</v>
      </c>
      <c r="J10" s="79">
        <f>ROUND('[4]2022'!N77,0)</f>
        <v>0</v>
      </c>
      <c r="K10" s="34"/>
    </row>
    <row r="11" spans="1:19" ht="10.5" customHeight="1" x14ac:dyDescent="0.25">
      <c r="A11" s="7" t="s">
        <v>8</v>
      </c>
      <c r="B11" s="8">
        <v>2386676.2799999998</v>
      </c>
      <c r="C11" s="8">
        <v>8445840.5099999998</v>
      </c>
      <c r="D11" s="8">
        <v>4597670.3099999996</v>
      </c>
      <c r="E11" s="8">
        <v>2046844.98</v>
      </c>
      <c r="F11" s="8">
        <f t="shared" ref="F11:J11" si="1">SUM(F12:F15)</f>
        <v>0</v>
      </c>
      <c r="G11" s="32">
        <f t="shared" si="1"/>
        <v>0</v>
      </c>
      <c r="H11" s="32">
        <f t="shared" si="1"/>
        <v>0</v>
      </c>
      <c r="I11" s="32">
        <f t="shared" si="1"/>
        <v>0</v>
      </c>
      <c r="J11" s="32">
        <f t="shared" si="1"/>
        <v>0</v>
      </c>
      <c r="K11" s="34"/>
    </row>
    <row r="12" spans="1:19" ht="10.5" customHeight="1" x14ac:dyDescent="0.25">
      <c r="A12" s="15" t="s">
        <v>9</v>
      </c>
      <c r="B12" s="78">
        <v>172266.69</v>
      </c>
      <c r="C12" s="78">
        <v>316544.16000000003</v>
      </c>
      <c r="D12" s="78">
        <v>2067889.15</v>
      </c>
      <c r="E12" s="78">
        <v>136422.06</v>
      </c>
      <c r="F12" s="11"/>
      <c r="G12" s="33"/>
      <c r="H12" s="33"/>
      <c r="I12" s="79">
        <f>ROUND('[4]2022'!L78,2)</f>
        <v>0</v>
      </c>
      <c r="J12" s="79">
        <v>0</v>
      </c>
      <c r="K12" s="34"/>
    </row>
    <row r="13" spans="1:19" ht="11.25" customHeight="1" x14ac:dyDescent="0.25">
      <c r="A13" s="15" t="s">
        <v>10</v>
      </c>
      <c r="B13" s="78">
        <v>2214409.59</v>
      </c>
      <c r="C13" s="78">
        <v>8129296.3499999996</v>
      </c>
      <c r="D13" s="78">
        <v>1323126.57</v>
      </c>
      <c r="E13" s="78">
        <v>1910422.92</v>
      </c>
      <c r="F13" s="11"/>
      <c r="G13" s="33"/>
      <c r="H13" s="33"/>
      <c r="I13" s="79">
        <f>ROUND('[4]2022'!L79,2)</f>
        <v>0</v>
      </c>
      <c r="J13" s="79">
        <v>0</v>
      </c>
      <c r="K13" s="34"/>
    </row>
    <row r="14" spans="1:19" ht="12" customHeight="1" x14ac:dyDescent="0.25">
      <c r="A14" s="15" t="s">
        <v>11</v>
      </c>
      <c r="B14" s="78">
        <v>0</v>
      </c>
      <c r="C14" s="78">
        <v>0</v>
      </c>
      <c r="D14" s="78">
        <v>1206654.5900000001</v>
      </c>
      <c r="E14" s="78">
        <v>0</v>
      </c>
      <c r="F14" s="11"/>
      <c r="G14" s="33"/>
      <c r="H14" s="33"/>
      <c r="I14" s="79">
        <f>'[4]2022'!L80</f>
        <v>0</v>
      </c>
      <c r="J14" s="37"/>
      <c r="K14" s="34"/>
    </row>
    <row r="15" spans="1:19" ht="9.75" customHeight="1" x14ac:dyDescent="0.25">
      <c r="A15" s="15" t="s">
        <v>12</v>
      </c>
      <c r="B15" s="80"/>
      <c r="C15" s="80"/>
      <c r="D15" s="80"/>
      <c r="E15" s="80"/>
      <c r="F15" s="12"/>
      <c r="G15" s="33"/>
      <c r="H15" s="34"/>
      <c r="I15" s="34"/>
      <c r="J15" s="34"/>
      <c r="K15" s="34"/>
    </row>
    <row r="16" spans="1:19" x14ac:dyDescent="0.25">
      <c r="A16" s="9" t="s">
        <v>13</v>
      </c>
      <c r="B16" s="80"/>
      <c r="C16" s="8">
        <v>39794749</v>
      </c>
      <c r="D16" s="80"/>
      <c r="E16" s="8">
        <v>32186737.030000001</v>
      </c>
      <c r="F16" s="12"/>
      <c r="G16" s="34"/>
      <c r="H16" s="34"/>
      <c r="I16" s="34"/>
      <c r="J16" s="34"/>
      <c r="K16" s="34"/>
    </row>
    <row r="17" spans="1:22" x14ac:dyDescent="0.25">
      <c r="A17" s="9" t="s">
        <v>14</v>
      </c>
      <c r="B17" s="12"/>
      <c r="C17" s="78">
        <v>39763749</v>
      </c>
      <c r="D17" s="80"/>
      <c r="E17" s="78">
        <v>25749394.030000001</v>
      </c>
      <c r="F17" s="12"/>
      <c r="G17" s="34"/>
      <c r="H17" s="34"/>
      <c r="I17" s="34"/>
      <c r="J17" s="34"/>
      <c r="K17" s="34"/>
    </row>
    <row r="18" spans="1:22" ht="12.75" customHeight="1" x14ac:dyDescent="0.25">
      <c r="A18" s="9" t="s">
        <v>15</v>
      </c>
      <c r="B18" s="12"/>
      <c r="C18" s="78">
        <v>31000</v>
      </c>
      <c r="D18" s="80"/>
      <c r="E18" s="78">
        <v>0</v>
      </c>
      <c r="F18" s="12"/>
      <c r="G18" s="34"/>
      <c r="H18" s="34"/>
      <c r="I18" s="34"/>
      <c r="J18" s="34"/>
      <c r="K18" s="34"/>
    </row>
    <row r="19" spans="1:22" x14ac:dyDescent="0.25">
      <c r="A19" s="9" t="s">
        <v>16</v>
      </c>
      <c r="B19" s="12"/>
      <c r="C19" s="78">
        <v>0</v>
      </c>
      <c r="D19" s="80"/>
      <c r="E19" s="78">
        <v>6437343</v>
      </c>
      <c r="F19" s="12"/>
      <c r="G19" s="34"/>
      <c r="H19" s="34"/>
      <c r="I19" s="34"/>
      <c r="J19" s="34"/>
      <c r="K19" s="34"/>
      <c r="V19" s="113"/>
    </row>
    <row r="20" spans="1:22" ht="9.75" customHeight="1" x14ac:dyDescent="0.25">
      <c r="A20" s="17" t="s">
        <v>17</v>
      </c>
      <c r="B20" s="12"/>
      <c r="C20" s="12"/>
      <c r="D20" s="12"/>
      <c r="E20" s="12"/>
      <c r="F20" s="12"/>
      <c r="G20" s="34"/>
      <c r="H20" s="34"/>
      <c r="I20" s="34"/>
      <c r="J20" s="34"/>
      <c r="K20" s="33"/>
    </row>
    <row r="21" spans="1:22" ht="9.75" customHeight="1" x14ac:dyDescent="0.25">
      <c r="A21" s="17" t="s">
        <v>18</v>
      </c>
      <c r="B21" s="12"/>
      <c r="C21" s="12"/>
      <c r="D21" s="12"/>
      <c r="E21" s="12"/>
      <c r="F21" s="12"/>
      <c r="G21" s="34"/>
      <c r="H21" s="34"/>
      <c r="I21" s="34"/>
      <c r="J21" s="34"/>
      <c r="K21" s="79"/>
    </row>
    <row r="22" spans="1:22" ht="9.75" customHeight="1" x14ac:dyDescent="0.25">
      <c r="A22" s="17" t="s">
        <v>19</v>
      </c>
      <c r="B22" s="12"/>
      <c r="C22" s="12"/>
      <c r="D22" s="12"/>
      <c r="E22" s="12"/>
      <c r="F22" s="12"/>
      <c r="G22" s="34"/>
      <c r="H22" s="34"/>
      <c r="I22" s="34"/>
      <c r="J22" s="34"/>
      <c r="K22" s="79"/>
    </row>
    <row r="23" spans="1:22" ht="9.75" customHeight="1" x14ac:dyDescent="0.25">
      <c r="A23" s="17" t="s">
        <v>20</v>
      </c>
      <c r="B23" s="12"/>
      <c r="C23" s="12"/>
      <c r="D23" s="12"/>
      <c r="E23" s="12"/>
      <c r="F23" s="12"/>
      <c r="G23" s="34"/>
      <c r="H23" s="34"/>
      <c r="I23" s="34"/>
      <c r="J23" s="34"/>
      <c r="K23" s="79"/>
    </row>
    <row r="24" spans="1:22" x14ac:dyDescent="0.25">
      <c r="A24" s="17" t="s">
        <v>21</v>
      </c>
      <c r="B24" s="12"/>
      <c r="C24" s="12"/>
      <c r="D24" s="12"/>
      <c r="E24" s="12"/>
      <c r="F24" s="12"/>
      <c r="G24" s="34"/>
      <c r="H24" s="34"/>
      <c r="I24" s="34"/>
      <c r="J24" s="34"/>
      <c r="K24" s="79">
        <f>'[4]2021'!N86</f>
        <v>0</v>
      </c>
    </row>
    <row r="25" spans="1:22" x14ac:dyDescent="0.25">
      <c r="A25" s="17" t="s">
        <v>22</v>
      </c>
      <c r="B25" s="12"/>
      <c r="C25" s="12"/>
      <c r="D25" s="12"/>
      <c r="E25" s="12"/>
      <c r="F25" s="12"/>
      <c r="G25" s="34"/>
      <c r="H25" s="34"/>
      <c r="I25" s="34"/>
      <c r="J25" s="34"/>
      <c r="K25" s="79">
        <f>'[4]2021'!N87</f>
        <v>0</v>
      </c>
    </row>
    <row r="26" spans="1:22" x14ac:dyDescent="0.25">
      <c r="A26" s="17" t="s">
        <v>23</v>
      </c>
      <c r="B26" s="12"/>
      <c r="C26" s="12"/>
      <c r="D26" s="12"/>
      <c r="E26" s="12"/>
      <c r="F26" s="12"/>
      <c r="G26" s="34"/>
      <c r="H26" s="34"/>
      <c r="I26" s="34"/>
      <c r="J26" s="34"/>
      <c r="K26" s="79"/>
    </row>
    <row r="27" spans="1:22" x14ac:dyDescent="0.25">
      <c r="A27" s="17" t="s">
        <v>24</v>
      </c>
      <c r="B27" s="12"/>
      <c r="C27" s="12"/>
      <c r="D27" s="12"/>
      <c r="E27" s="12"/>
      <c r="F27" s="12"/>
      <c r="G27" s="34"/>
      <c r="H27" s="34"/>
      <c r="I27" s="34"/>
      <c r="J27" s="34"/>
      <c r="K27" s="79"/>
    </row>
    <row r="28" spans="1:22" ht="12" customHeight="1" x14ac:dyDescent="0.25">
      <c r="A28" s="7" t="s">
        <v>25</v>
      </c>
      <c r="B28" s="8">
        <v>31312199.18</v>
      </c>
      <c r="C28" s="8">
        <v>80795399.350000009</v>
      </c>
      <c r="D28" s="8">
        <v>60974004.039999992</v>
      </c>
      <c r="E28" s="12"/>
      <c r="F28" s="18"/>
      <c r="G28" s="39"/>
      <c r="H28" s="39"/>
      <c r="I28" s="32"/>
      <c r="J28" s="39"/>
      <c r="K28" s="32"/>
    </row>
    <row r="29" spans="1:22" ht="12" customHeight="1" x14ac:dyDescent="0.25">
      <c r="A29" s="4" t="s">
        <v>99</v>
      </c>
      <c r="B29" s="78">
        <v>10578690.82</v>
      </c>
      <c r="C29" s="78">
        <v>74625084.649999991</v>
      </c>
      <c r="D29" s="78">
        <v>179953319.96000001</v>
      </c>
      <c r="E29" s="12"/>
      <c r="F29" s="11"/>
      <c r="G29" s="33"/>
      <c r="H29" s="33"/>
      <c r="I29" s="79"/>
      <c r="J29" s="33"/>
      <c r="K29" s="79"/>
    </row>
    <row r="30" spans="1:22" ht="15" customHeight="1" x14ac:dyDescent="0.25">
      <c r="A30" s="7" t="s">
        <v>26</v>
      </c>
      <c r="B30" s="8">
        <v>41890890</v>
      </c>
      <c r="C30" s="8">
        <v>155420484</v>
      </c>
      <c r="D30" s="8">
        <v>240927324</v>
      </c>
      <c r="E30" s="12"/>
      <c r="F30" s="18"/>
      <c r="G30" s="39"/>
      <c r="H30" s="39"/>
      <c r="I30" s="32"/>
      <c r="J30" s="39"/>
      <c r="K30" s="32"/>
    </row>
    <row r="31" spans="1:22" ht="12.75" customHeight="1" x14ac:dyDescent="0.25">
      <c r="A31" s="4" t="s">
        <v>102</v>
      </c>
      <c r="B31" s="12"/>
      <c r="C31" s="12"/>
      <c r="D31" s="34"/>
      <c r="E31" s="12"/>
      <c r="F31" s="12"/>
      <c r="G31" s="34"/>
      <c r="H31" s="34"/>
      <c r="I31" s="34"/>
      <c r="J31" s="34"/>
      <c r="K31" s="34"/>
    </row>
    <row r="32" spans="1:22" ht="15" customHeight="1" x14ac:dyDescent="0.25">
      <c r="A32" s="7" t="s">
        <v>27</v>
      </c>
      <c r="B32" s="18"/>
      <c r="C32" s="18"/>
      <c r="D32" s="8"/>
      <c r="E32" s="12"/>
      <c r="F32" s="18"/>
      <c r="G32" s="39"/>
      <c r="H32" s="39"/>
      <c r="I32" s="32"/>
      <c r="J32" s="39"/>
      <c r="K32" s="32"/>
    </row>
    <row r="33" spans="1:11" ht="20.399999999999999" x14ac:dyDescent="0.3">
      <c r="A33" s="19" t="s">
        <v>28</v>
      </c>
      <c r="B33" s="20"/>
      <c r="C33" s="20"/>
      <c r="D33" s="20"/>
      <c r="E33" s="20"/>
      <c r="F33" s="20"/>
      <c r="G33" s="20"/>
      <c r="H33" s="20"/>
      <c r="I33" s="20"/>
      <c r="J33" s="20"/>
      <c r="K33" s="40" t="s">
        <v>164</v>
      </c>
    </row>
    <row r="34" spans="1:11" ht="20.399999999999999" x14ac:dyDescent="0.2">
      <c r="A34" s="4" t="s">
        <v>105</v>
      </c>
      <c r="B34" s="79">
        <v>8976620</v>
      </c>
      <c r="C34" s="79">
        <v>33056565</v>
      </c>
      <c r="D34" s="79">
        <v>96231926</v>
      </c>
      <c r="E34" s="20"/>
      <c r="F34" s="20"/>
      <c r="G34" s="20"/>
      <c r="H34" s="20"/>
      <c r="I34" s="20"/>
      <c r="J34" s="20"/>
      <c r="K34" s="20"/>
    </row>
    <row r="35" spans="1:11" x14ac:dyDescent="0.3">
      <c r="A35" s="155" t="s">
        <v>107</v>
      </c>
      <c r="B35" s="156"/>
      <c r="C35" s="156"/>
      <c r="D35" s="156"/>
      <c r="E35" s="156"/>
      <c r="F35" s="156"/>
      <c r="G35" s="156"/>
      <c r="H35" s="156"/>
      <c r="I35" s="156"/>
      <c r="J35" s="156"/>
      <c r="K35" s="157"/>
    </row>
    <row r="36" spans="1:11" ht="30.6" x14ac:dyDescent="0.3">
      <c r="A36" s="4" t="s">
        <v>108</v>
      </c>
      <c r="B36" s="45" t="s">
        <v>133</v>
      </c>
      <c r="C36" s="40" t="s">
        <v>165</v>
      </c>
      <c r="D36" s="23"/>
      <c r="E36" s="23"/>
      <c r="F36" s="23"/>
      <c r="G36" s="23"/>
      <c r="H36" s="23"/>
      <c r="I36" s="23"/>
      <c r="J36" s="23"/>
      <c r="K36" s="23"/>
    </row>
    <row r="37" spans="1:11" ht="25.5" customHeight="1" x14ac:dyDescent="0.3">
      <c r="A37" s="24" t="s">
        <v>110</v>
      </c>
      <c r="B37" s="41">
        <v>0</v>
      </c>
      <c r="C37" s="25">
        <v>0</v>
      </c>
      <c r="D37" s="23"/>
      <c r="E37" s="23"/>
      <c r="F37" s="23"/>
      <c r="G37" s="23"/>
      <c r="H37" s="23"/>
      <c r="I37" s="23"/>
      <c r="J37" s="23"/>
      <c r="K37" s="23"/>
    </row>
    <row r="38" spans="1:11" ht="27.75" customHeight="1" x14ac:dyDescent="0.3">
      <c r="A38" s="26" t="s">
        <v>111</v>
      </c>
      <c r="B38" s="23"/>
      <c r="C38" s="23"/>
      <c r="D38" s="40" t="s">
        <v>166</v>
      </c>
      <c r="E38" s="23"/>
      <c r="F38" s="23"/>
      <c r="G38" s="23"/>
      <c r="H38" s="40" t="s">
        <v>167</v>
      </c>
      <c r="I38" s="40" t="s">
        <v>133</v>
      </c>
      <c r="J38" s="40" t="s">
        <v>168</v>
      </c>
      <c r="K38" s="40" t="s">
        <v>133</v>
      </c>
    </row>
    <row r="39" spans="1:11" ht="10.5" customHeight="1" x14ac:dyDescent="0.3">
      <c r="A39" s="138" t="s">
        <v>112</v>
      </c>
      <c r="B39" s="139"/>
      <c r="C39" s="139"/>
      <c r="D39" s="139"/>
      <c r="E39" s="139"/>
      <c r="F39" s="139"/>
      <c r="G39" s="139"/>
      <c r="H39" s="139"/>
      <c r="I39" s="139"/>
      <c r="J39" s="139"/>
      <c r="K39" s="140"/>
    </row>
    <row r="40" spans="1:11" ht="16.5" customHeight="1" x14ac:dyDescent="0.3">
      <c r="A40" s="191" t="s">
        <v>113</v>
      </c>
      <c r="B40" s="145"/>
      <c r="C40" s="145"/>
      <c r="D40" s="145"/>
      <c r="E40" s="145"/>
      <c r="F40" s="145"/>
      <c r="G40" s="145"/>
      <c r="H40" s="145"/>
      <c r="I40" s="146"/>
      <c r="J40" s="27"/>
      <c r="K40" s="27"/>
    </row>
    <row r="41" spans="1:11" ht="12.9" customHeight="1" x14ac:dyDescent="0.3">
      <c r="A41" s="4" t="s">
        <v>114</v>
      </c>
      <c r="B41" s="174" t="s">
        <v>115</v>
      </c>
      <c r="C41" s="175"/>
      <c r="D41" s="175"/>
      <c r="E41" s="175"/>
      <c r="F41" s="175"/>
      <c r="G41" s="175"/>
      <c r="H41" s="175"/>
      <c r="I41" s="176"/>
      <c r="J41" s="27"/>
      <c r="K41" s="27"/>
    </row>
    <row r="42" spans="1:11" ht="12" customHeight="1" x14ac:dyDescent="0.25">
      <c r="A42" s="4" t="s">
        <v>116</v>
      </c>
      <c r="B42" s="174" t="s">
        <v>117</v>
      </c>
      <c r="C42" s="175"/>
      <c r="D42" s="175"/>
      <c r="E42" s="175"/>
      <c r="F42" s="175"/>
      <c r="G42" s="175"/>
      <c r="H42" s="175"/>
      <c r="I42" s="176"/>
      <c r="J42" s="42"/>
      <c r="K42" s="42"/>
    </row>
    <row r="43" spans="1:11" ht="19.5" customHeight="1" x14ac:dyDescent="0.3">
      <c r="A43" s="4" t="s">
        <v>118</v>
      </c>
      <c r="B43" s="161" t="s">
        <v>119</v>
      </c>
      <c r="C43" s="162"/>
      <c r="D43" s="162"/>
      <c r="E43" s="162"/>
      <c r="F43" s="162"/>
      <c r="G43" s="162"/>
      <c r="H43" s="162"/>
      <c r="I43" s="162"/>
      <c r="J43" s="162"/>
      <c r="K43" s="163"/>
    </row>
    <row r="44" spans="1:11" x14ac:dyDescent="0.3">
      <c r="E44" s="83"/>
    </row>
    <row r="45" spans="1:11" x14ac:dyDescent="0.3">
      <c r="E45" s="83"/>
    </row>
    <row r="46" spans="1:11" x14ac:dyDescent="0.3">
      <c r="D46" s="83"/>
      <c r="E46" s="83"/>
    </row>
    <row r="47" spans="1:11" x14ac:dyDescent="0.3">
      <c r="D47" s="83"/>
      <c r="E47" s="83"/>
    </row>
    <row r="48" spans="1:11" x14ac:dyDescent="0.3">
      <c r="D48" s="83"/>
      <c r="E48" s="83"/>
    </row>
    <row r="49" spans="4:5" x14ac:dyDescent="0.3">
      <c r="D49" s="83"/>
      <c r="E49" s="83"/>
    </row>
    <row r="50" spans="4:5" x14ac:dyDescent="0.3">
      <c r="D50" s="83"/>
      <c r="E50" s="83"/>
    </row>
    <row r="51" spans="4:5" x14ac:dyDescent="0.3">
      <c r="D51" s="83"/>
      <c r="E51" s="83"/>
    </row>
    <row r="52" spans="4:5" x14ac:dyDescent="0.3">
      <c r="D52" s="83"/>
      <c r="E52" s="83"/>
    </row>
    <row r="53" spans="4:5" x14ac:dyDescent="0.3">
      <c r="D53" s="83"/>
      <c r="E53" s="83"/>
    </row>
    <row r="54" spans="4:5" x14ac:dyDescent="0.3">
      <c r="D54" s="83"/>
      <c r="E54" s="83"/>
    </row>
  </sheetData>
  <mergeCells count="7">
    <mergeCell ref="B41:I41"/>
    <mergeCell ref="B42:I42"/>
    <mergeCell ref="A1:K1"/>
    <mergeCell ref="B2:C2"/>
    <mergeCell ref="D2:F2"/>
    <mergeCell ref="G2:K2"/>
    <mergeCell ref="G3:K3"/>
  </mergeCells>
  <pageMargins left="0.7" right="0.7" top="0.75" bottom="0.75" header="0.3" footer="0.3"/>
  <pageSetup scale="6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B846-B163-4F2F-B0FE-FBC90A7FC2D9}">
  <sheetPr>
    <pageSetUpPr fitToPage="1"/>
  </sheetPr>
  <dimension ref="A1:K57"/>
  <sheetViews>
    <sheetView view="pageBreakPreview" zoomScale="110" zoomScaleNormal="140" zoomScaleSheetLayoutView="110" workbookViewId="0">
      <selection activeCell="A40" sqref="A40"/>
    </sheetView>
  </sheetViews>
  <sheetFormatPr defaultColWidth="9.109375" defaultRowHeight="13.8" x14ac:dyDescent="0.3"/>
  <cols>
    <col min="1" max="1" width="29" style="134" customWidth="1"/>
    <col min="2" max="2" width="14.109375" style="77" bestFit="1" customWidth="1"/>
    <col min="3" max="3" width="17.44140625" style="77" bestFit="1" customWidth="1"/>
    <col min="4" max="4" width="15.109375" style="77" customWidth="1"/>
    <col min="5" max="5" width="14.109375" style="77" bestFit="1" customWidth="1"/>
    <col min="6" max="6" width="10.88671875" style="77" customWidth="1"/>
    <col min="7" max="7" width="13" style="77" customWidth="1"/>
    <col min="8" max="8" width="13.88671875" style="77" bestFit="1" customWidth="1"/>
    <col min="9" max="9" width="16.88671875" style="77" bestFit="1" customWidth="1"/>
    <col min="10" max="10" width="13.88671875" style="77" bestFit="1" customWidth="1"/>
    <col min="11" max="11" width="15.109375" style="77" customWidth="1"/>
    <col min="12" max="16384" width="9.109375" style="77"/>
  </cols>
  <sheetData>
    <row r="1" spans="1:11" ht="15" customHeight="1" x14ac:dyDescent="0.3">
      <c r="A1" s="164" t="s">
        <v>66</v>
      </c>
      <c r="B1" s="165"/>
      <c r="C1" s="165"/>
      <c r="D1" s="165"/>
      <c r="E1" s="165"/>
      <c r="F1" s="165"/>
      <c r="G1" s="165"/>
      <c r="H1" s="165"/>
      <c r="I1" s="165"/>
      <c r="J1" s="165"/>
      <c r="K1" s="166"/>
    </row>
    <row r="2" spans="1:11" ht="21" customHeight="1" x14ac:dyDescent="0.3">
      <c r="A2" s="1" t="s">
        <v>67</v>
      </c>
      <c r="B2" s="180" t="s">
        <v>148</v>
      </c>
      <c r="C2" s="181"/>
      <c r="D2" s="182" t="s">
        <v>149</v>
      </c>
      <c r="E2" s="183"/>
      <c r="F2" s="181"/>
      <c r="G2" s="184" t="s">
        <v>171</v>
      </c>
      <c r="H2" s="185"/>
      <c r="I2" s="185"/>
      <c r="J2" s="185"/>
      <c r="K2" s="186"/>
    </row>
    <row r="3" spans="1:11" ht="15" customHeight="1" x14ac:dyDescent="0.3">
      <c r="A3" s="123"/>
      <c r="B3" s="190" t="s">
        <v>151</v>
      </c>
      <c r="C3" s="159"/>
      <c r="D3" s="159"/>
      <c r="E3" s="159"/>
      <c r="F3" s="160"/>
      <c r="G3" s="184" t="s">
        <v>172</v>
      </c>
      <c r="H3" s="185"/>
      <c r="I3" s="185"/>
      <c r="J3" s="185"/>
      <c r="K3" s="186"/>
    </row>
    <row r="4" spans="1:11" ht="9.9" customHeight="1" x14ac:dyDescent="0.25">
      <c r="A4" s="138" t="s">
        <v>71</v>
      </c>
      <c r="B4" s="139"/>
      <c r="C4" s="139"/>
      <c r="D4" s="139"/>
      <c r="E4" s="139"/>
      <c r="F4" s="139"/>
      <c r="G4" s="139"/>
      <c r="H4" s="140"/>
      <c r="I4" s="3"/>
      <c r="J4" s="3"/>
      <c r="K4" s="3"/>
    </row>
    <row r="5" spans="1:11" ht="51" customHeight="1" x14ac:dyDescent="0.3">
      <c r="A5" s="124"/>
      <c r="B5" s="46" t="s">
        <v>2</v>
      </c>
      <c r="C5" s="46" t="s">
        <v>72</v>
      </c>
      <c r="D5" s="5" t="s">
        <v>73</v>
      </c>
      <c r="E5" s="47" t="s">
        <v>74</v>
      </c>
      <c r="F5" s="5" t="s">
        <v>75</v>
      </c>
      <c r="G5" s="5" t="s">
        <v>76</v>
      </c>
      <c r="H5" s="5" t="s">
        <v>77</v>
      </c>
      <c r="I5" s="5" t="s">
        <v>78</v>
      </c>
      <c r="J5" s="6" t="s">
        <v>79</v>
      </c>
      <c r="K5" s="6" t="s">
        <v>80</v>
      </c>
    </row>
    <row r="6" spans="1:11" ht="11.25" customHeight="1" x14ac:dyDescent="0.2">
      <c r="A6" s="125" t="s">
        <v>4</v>
      </c>
      <c r="B6" s="32">
        <v>12623586.699999999</v>
      </c>
      <c r="C6" s="32">
        <v>57861707.190000013</v>
      </c>
      <c r="D6" s="32">
        <v>22766880.719999999</v>
      </c>
      <c r="E6" s="32">
        <v>14631425.810000001</v>
      </c>
      <c r="F6" s="32">
        <f t="shared" ref="F6:K6" si="0">SUM(F7:F11)</f>
        <v>0</v>
      </c>
      <c r="G6" s="32">
        <f t="shared" si="0"/>
        <v>0</v>
      </c>
      <c r="H6" s="32">
        <f t="shared" si="0"/>
        <v>0</v>
      </c>
      <c r="I6" s="32">
        <f t="shared" si="0"/>
        <v>0</v>
      </c>
      <c r="J6" s="32">
        <f t="shared" si="0"/>
        <v>0</v>
      </c>
      <c r="K6" s="32">
        <f t="shared" si="0"/>
        <v>0</v>
      </c>
    </row>
    <row r="7" spans="1:11" ht="10.5" customHeight="1" x14ac:dyDescent="0.2">
      <c r="A7" s="126" t="s">
        <v>5</v>
      </c>
      <c r="B7" s="79">
        <v>231905.52</v>
      </c>
      <c r="C7" s="79">
        <v>853072.2</v>
      </c>
      <c r="D7" s="79">
        <v>1368924.18</v>
      </c>
      <c r="E7" s="79">
        <v>215002.49</v>
      </c>
      <c r="F7" s="33"/>
      <c r="G7" s="33"/>
      <c r="H7" s="33"/>
      <c r="I7" s="79">
        <f>'[5]2022'!L71</f>
        <v>0</v>
      </c>
      <c r="J7" s="79">
        <f>'[5]2022'!N71</f>
        <v>0</v>
      </c>
      <c r="K7" s="34"/>
    </row>
    <row r="8" spans="1:11" ht="18.75" customHeight="1" x14ac:dyDescent="0.2">
      <c r="A8" s="127" t="s">
        <v>173</v>
      </c>
      <c r="B8" s="37"/>
      <c r="C8" s="79">
        <v>0</v>
      </c>
      <c r="D8" s="79">
        <v>5258765.05</v>
      </c>
      <c r="E8" s="37"/>
      <c r="F8" s="35"/>
      <c r="G8" s="35"/>
      <c r="H8" s="35"/>
      <c r="I8" s="79">
        <f>'[5]2022'!L72</f>
        <v>0</v>
      </c>
      <c r="J8" s="79">
        <f>'[5]2022'!N72</f>
        <v>0</v>
      </c>
      <c r="K8" s="20"/>
    </row>
    <row r="9" spans="1:11" ht="10.5" customHeight="1" x14ac:dyDescent="0.2">
      <c r="A9" s="126" t="s">
        <v>6</v>
      </c>
      <c r="B9" s="79">
        <v>0</v>
      </c>
      <c r="C9" s="79">
        <v>0</v>
      </c>
      <c r="D9" s="79">
        <v>1381411.34</v>
      </c>
      <c r="E9" s="79">
        <v>0</v>
      </c>
      <c r="F9" s="33"/>
      <c r="G9" s="33"/>
      <c r="H9" s="33"/>
      <c r="I9" s="79">
        <f>'[5]2021'!L73</f>
        <v>0</v>
      </c>
      <c r="J9" s="79">
        <f>'[5]2022'!N73</f>
        <v>0</v>
      </c>
      <c r="K9" s="34"/>
    </row>
    <row r="10" spans="1:11" ht="13.5" customHeight="1" x14ac:dyDescent="0.2">
      <c r="A10" s="126" t="s">
        <v>7</v>
      </c>
      <c r="B10" s="79">
        <v>11629172.390000001</v>
      </c>
      <c r="C10" s="79">
        <v>53633650.040000007</v>
      </c>
      <c r="D10" s="79">
        <v>13351686.93</v>
      </c>
      <c r="E10" s="79">
        <v>13709389.75</v>
      </c>
      <c r="F10" s="33"/>
      <c r="G10" s="33"/>
      <c r="H10" s="33"/>
      <c r="I10" s="79">
        <f>ROUND('[5]2022'!L77,2)</f>
        <v>0</v>
      </c>
      <c r="J10" s="79">
        <f>ROUND('[5]2022'!N77,0)</f>
        <v>0</v>
      </c>
      <c r="K10" s="34"/>
    </row>
    <row r="11" spans="1:11" ht="10.5" customHeight="1" x14ac:dyDescent="0.2">
      <c r="A11" s="125" t="s">
        <v>8</v>
      </c>
      <c r="B11" s="32">
        <v>762508.79</v>
      </c>
      <c r="C11" s="32">
        <v>3374984.95</v>
      </c>
      <c r="D11" s="32">
        <v>1406093.23</v>
      </c>
      <c r="E11" s="32">
        <v>707033.57000000007</v>
      </c>
      <c r="F11" s="32">
        <f t="shared" ref="F11:J11" si="1">SUM(F12:F15)</f>
        <v>0</v>
      </c>
      <c r="G11" s="32">
        <f t="shared" si="1"/>
        <v>0</v>
      </c>
      <c r="H11" s="32">
        <f t="shared" si="1"/>
        <v>0</v>
      </c>
      <c r="I11" s="32">
        <f t="shared" si="1"/>
        <v>0</v>
      </c>
      <c r="J11" s="32">
        <f t="shared" si="1"/>
        <v>0</v>
      </c>
      <c r="K11" s="34"/>
    </row>
    <row r="12" spans="1:11" ht="10.5" customHeight="1" x14ac:dyDescent="0.2">
      <c r="A12" s="128" t="s">
        <v>9</v>
      </c>
      <c r="B12" s="79">
        <v>81298.559999999998</v>
      </c>
      <c r="C12" s="79">
        <v>168072.13</v>
      </c>
      <c r="D12" s="79">
        <v>820786.66999999993</v>
      </c>
      <c r="E12" s="79">
        <v>75383.81</v>
      </c>
      <c r="F12" s="33"/>
      <c r="G12" s="33"/>
      <c r="H12" s="33"/>
      <c r="I12" s="79">
        <f>ROUND('[5]2022'!L78,2)</f>
        <v>0</v>
      </c>
      <c r="J12" s="79">
        <v>0</v>
      </c>
      <c r="K12" s="34"/>
    </row>
    <row r="13" spans="1:11" ht="11.25" customHeight="1" x14ac:dyDescent="0.2">
      <c r="A13" s="128" t="s">
        <v>10</v>
      </c>
      <c r="B13" s="79">
        <v>681210.23</v>
      </c>
      <c r="C13" s="79">
        <v>3206912.8200000003</v>
      </c>
      <c r="D13" s="79">
        <v>0</v>
      </c>
      <c r="E13" s="79">
        <v>631649.76</v>
      </c>
      <c r="F13" s="33"/>
      <c r="G13" s="33"/>
      <c r="H13" s="33"/>
      <c r="I13" s="79">
        <f>ROUND('[5]2022'!L79,2)</f>
        <v>0</v>
      </c>
      <c r="J13" s="79">
        <v>0</v>
      </c>
      <c r="K13" s="34"/>
    </row>
    <row r="14" spans="1:11" ht="12" customHeight="1" x14ac:dyDescent="0.2">
      <c r="A14" s="128" t="s">
        <v>11</v>
      </c>
      <c r="B14" s="79">
        <v>0</v>
      </c>
      <c r="C14" s="79">
        <v>0</v>
      </c>
      <c r="D14" s="79">
        <v>585306.55999999994</v>
      </c>
      <c r="E14" s="79">
        <v>0</v>
      </c>
      <c r="F14" s="33"/>
      <c r="G14" s="33"/>
      <c r="H14" s="33"/>
      <c r="I14" s="79">
        <f>'[5]2022'!L80</f>
        <v>0</v>
      </c>
      <c r="J14" s="37"/>
      <c r="K14" s="34"/>
    </row>
    <row r="15" spans="1:11" ht="9.75" customHeight="1" x14ac:dyDescent="0.2">
      <c r="A15" s="128" t="s">
        <v>12</v>
      </c>
      <c r="B15" s="129"/>
      <c r="C15" s="129"/>
      <c r="D15" s="129"/>
      <c r="E15" s="129"/>
      <c r="F15" s="34"/>
      <c r="G15" s="33"/>
      <c r="H15" s="34"/>
      <c r="I15" s="34"/>
      <c r="J15" s="34"/>
      <c r="K15" s="34"/>
    </row>
    <row r="16" spans="1:11" ht="13.2" x14ac:dyDescent="0.2">
      <c r="A16" s="126" t="s">
        <v>13</v>
      </c>
      <c r="B16" s="129"/>
      <c r="C16" s="32">
        <v>19094364</v>
      </c>
      <c r="D16" s="129"/>
      <c r="E16" s="32">
        <v>14631425.810000001</v>
      </c>
      <c r="F16" s="34"/>
      <c r="G16" s="34"/>
      <c r="H16" s="34"/>
      <c r="I16" s="34"/>
      <c r="J16" s="34"/>
      <c r="K16" s="34"/>
    </row>
    <row r="17" spans="1:11" ht="13.2" x14ac:dyDescent="0.2">
      <c r="A17" s="126" t="s">
        <v>14</v>
      </c>
      <c r="B17" s="34"/>
      <c r="C17" s="81">
        <v>19094364</v>
      </c>
      <c r="D17" s="129"/>
      <c r="E17" s="79">
        <v>11705144.810000001</v>
      </c>
      <c r="F17" s="34"/>
      <c r="G17" s="34"/>
      <c r="H17" s="34"/>
      <c r="I17" s="34"/>
      <c r="J17" s="34"/>
      <c r="K17" s="34"/>
    </row>
    <row r="18" spans="1:11" ht="8.25" customHeight="1" x14ac:dyDescent="0.2">
      <c r="A18" s="126" t="s">
        <v>15</v>
      </c>
      <c r="B18" s="34"/>
      <c r="C18" s="79">
        <v>0</v>
      </c>
      <c r="D18" s="129"/>
      <c r="E18" s="79">
        <v>0</v>
      </c>
      <c r="F18" s="34"/>
      <c r="G18" s="34"/>
      <c r="H18" s="34"/>
      <c r="I18" s="34"/>
      <c r="J18" s="34"/>
      <c r="K18" s="34"/>
    </row>
    <row r="19" spans="1:11" ht="13.2" x14ac:dyDescent="0.2">
      <c r="A19" s="126" t="s">
        <v>16</v>
      </c>
      <c r="B19" s="34"/>
      <c r="C19" s="79">
        <v>0</v>
      </c>
      <c r="D19" s="129"/>
      <c r="E19" s="79">
        <v>2926281</v>
      </c>
      <c r="F19" s="34"/>
      <c r="G19" s="34"/>
      <c r="H19" s="34"/>
      <c r="I19" s="34"/>
      <c r="J19" s="34"/>
      <c r="K19" s="34"/>
    </row>
    <row r="20" spans="1:11" ht="9.75" customHeight="1" x14ac:dyDescent="0.2">
      <c r="A20" s="130" t="s">
        <v>17</v>
      </c>
      <c r="B20" s="34"/>
      <c r="C20" s="34"/>
      <c r="D20" s="34"/>
      <c r="E20" s="34"/>
      <c r="F20" s="34"/>
      <c r="G20" s="34"/>
      <c r="H20" s="34"/>
      <c r="I20" s="34"/>
      <c r="J20" s="34"/>
      <c r="K20" s="33"/>
    </row>
    <row r="21" spans="1:11" ht="9.75" customHeight="1" x14ac:dyDescent="0.2">
      <c r="A21" s="130" t="s">
        <v>18</v>
      </c>
      <c r="B21" s="34"/>
      <c r="C21" s="34"/>
      <c r="D21" s="34"/>
      <c r="E21" s="34"/>
      <c r="F21" s="34"/>
      <c r="G21" s="34"/>
      <c r="H21" s="34"/>
      <c r="I21" s="34"/>
      <c r="J21" s="34"/>
      <c r="K21" s="79"/>
    </row>
    <row r="22" spans="1:11" ht="9.75" customHeight="1" x14ac:dyDescent="0.2">
      <c r="A22" s="130" t="s">
        <v>19</v>
      </c>
      <c r="B22" s="34"/>
      <c r="C22" s="34"/>
      <c r="D22" s="34"/>
      <c r="E22" s="34"/>
      <c r="F22" s="34"/>
      <c r="G22" s="34"/>
      <c r="H22" s="34"/>
      <c r="I22" s="34"/>
      <c r="J22" s="34"/>
      <c r="K22" s="79">
        <f>'[5]2021'!N81</f>
        <v>0</v>
      </c>
    </row>
    <row r="23" spans="1:11" ht="9.75" customHeight="1" x14ac:dyDescent="0.2">
      <c r="A23" s="130" t="s">
        <v>20</v>
      </c>
      <c r="B23" s="34"/>
      <c r="C23" s="34"/>
      <c r="D23" s="34"/>
      <c r="E23" s="34"/>
      <c r="F23" s="34"/>
      <c r="G23" s="34"/>
      <c r="H23" s="34"/>
      <c r="I23" s="34"/>
      <c r="J23" s="34"/>
      <c r="K23" s="79">
        <f>'[5]2021'!N82</f>
        <v>0</v>
      </c>
    </row>
    <row r="24" spans="1:11" ht="13.2" x14ac:dyDescent="0.2">
      <c r="A24" s="130" t="s">
        <v>21</v>
      </c>
      <c r="B24" s="34"/>
      <c r="C24" s="34"/>
      <c r="D24" s="34"/>
      <c r="E24" s="34"/>
      <c r="F24" s="34"/>
      <c r="G24" s="34"/>
      <c r="H24" s="34"/>
      <c r="I24" s="34"/>
      <c r="J24" s="34"/>
      <c r="K24" s="79">
        <f>'[5]2021'!N83</f>
        <v>0</v>
      </c>
    </row>
    <row r="25" spans="1:11" ht="13.2" x14ac:dyDescent="0.2">
      <c r="A25" s="130" t="s">
        <v>22</v>
      </c>
      <c r="B25" s="34"/>
      <c r="C25" s="34"/>
      <c r="D25" s="34"/>
      <c r="E25" s="34"/>
      <c r="F25" s="34"/>
      <c r="G25" s="34"/>
      <c r="H25" s="34"/>
      <c r="I25" s="34"/>
      <c r="J25" s="34"/>
      <c r="K25" s="79">
        <f>'[5]2021'!N84</f>
        <v>0</v>
      </c>
    </row>
    <row r="26" spans="1:11" ht="13.2" x14ac:dyDescent="0.2">
      <c r="A26" s="130" t="s">
        <v>23</v>
      </c>
      <c r="B26" s="34"/>
      <c r="C26" s="34"/>
      <c r="D26" s="34"/>
      <c r="E26" s="34"/>
      <c r="F26" s="34"/>
      <c r="G26" s="34"/>
      <c r="H26" s="34"/>
      <c r="I26" s="34"/>
      <c r="J26" s="34"/>
      <c r="K26" s="79"/>
    </row>
    <row r="27" spans="1:11" ht="13.2" x14ac:dyDescent="0.2">
      <c r="A27" s="130" t="s">
        <v>24</v>
      </c>
      <c r="B27" s="34"/>
      <c r="C27" s="34"/>
      <c r="D27" s="34"/>
      <c r="E27" s="34"/>
      <c r="F27" s="34"/>
      <c r="G27" s="34"/>
      <c r="H27" s="34"/>
      <c r="I27" s="34"/>
      <c r="J27" s="34"/>
      <c r="K27" s="79"/>
    </row>
    <row r="28" spans="1:11" ht="12" customHeight="1" x14ac:dyDescent="0.2">
      <c r="A28" s="125" t="s">
        <v>25</v>
      </c>
      <c r="B28" s="32">
        <v>12623586.699999999</v>
      </c>
      <c r="C28" s="32">
        <v>38767343.189999998</v>
      </c>
      <c r="D28" s="32">
        <v>22766880.729999997</v>
      </c>
      <c r="E28" s="34"/>
      <c r="F28" s="39"/>
      <c r="G28" s="39"/>
      <c r="H28" s="39"/>
      <c r="I28" s="32"/>
      <c r="J28" s="39"/>
      <c r="K28" s="32"/>
    </row>
    <row r="29" spans="1:11" ht="12" customHeight="1" x14ac:dyDescent="0.2">
      <c r="A29" s="127" t="s">
        <v>174</v>
      </c>
      <c r="B29" s="79">
        <v>8321858.3000000007</v>
      </c>
      <c r="C29" s="79">
        <v>38942898.810000002</v>
      </c>
      <c r="D29" s="79">
        <v>218160443.27000001</v>
      </c>
      <c r="E29" s="34"/>
      <c r="F29" s="33"/>
      <c r="G29" s="33"/>
      <c r="H29" s="33"/>
      <c r="I29" s="79"/>
      <c r="J29" s="33"/>
      <c r="K29" s="79"/>
    </row>
    <row r="30" spans="1:11" ht="15" customHeight="1" x14ac:dyDescent="0.2">
      <c r="A30" s="125" t="s">
        <v>26</v>
      </c>
      <c r="B30" s="32">
        <v>20945445</v>
      </c>
      <c r="C30" s="32">
        <v>77710242</v>
      </c>
      <c r="D30" s="32">
        <v>240927324</v>
      </c>
      <c r="E30" s="34"/>
      <c r="F30" s="39"/>
      <c r="G30" s="39"/>
      <c r="H30" s="39"/>
      <c r="I30" s="32"/>
      <c r="J30" s="39"/>
      <c r="K30" s="32"/>
    </row>
    <row r="31" spans="1:11" ht="13.2" x14ac:dyDescent="0.2">
      <c r="A31" s="127" t="s">
        <v>175</v>
      </c>
      <c r="B31" s="34"/>
      <c r="C31" s="34"/>
      <c r="D31" s="34"/>
      <c r="E31" s="34"/>
      <c r="F31" s="34"/>
      <c r="G31" s="34"/>
      <c r="H31" s="34"/>
      <c r="I31" s="34"/>
      <c r="J31" s="34"/>
      <c r="K31" s="34"/>
    </row>
    <row r="32" spans="1:11" ht="15" customHeight="1" x14ac:dyDescent="0.2">
      <c r="A32" s="125" t="s">
        <v>27</v>
      </c>
      <c r="B32" s="39"/>
      <c r="C32" s="39"/>
      <c r="D32" s="32"/>
      <c r="E32" s="34"/>
      <c r="F32" s="39"/>
      <c r="G32" s="39"/>
      <c r="H32" s="39"/>
      <c r="I32" s="32"/>
      <c r="J32" s="39"/>
      <c r="K32" s="32"/>
    </row>
    <row r="33" spans="1:11" ht="27.75" customHeight="1" x14ac:dyDescent="0.3">
      <c r="A33" s="131" t="s">
        <v>28</v>
      </c>
      <c r="B33" s="20"/>
      <c r="C33" s="20"/>
      <c r="D33" s="20"/>
      <c r="E33" s="20"/>
      <c r="F33" s="20"/>
      <c r="G33" s="20"/>
      <c r="H33" s="20"/>
      <c r="I33" s="20"/>
      <c r="J33" s="20"/>
      <c r="K33" s="40" t="s">
        <v>176</v>
      </c>
    </row>
    <row r="34" spans="1:11" ht="18.75" customHeight="1" x14ac:dyDescent="0.2">
      <c r="A34" s="127" t="s">
        <v>177</v>
      </c>
      <c r="B34" s="79">
        <v>8976619</v>
      </c>
      <c r="C34" s="79">
        <v>33056565</v>
      </c>
      <c r="D34" s="79">
        <v>96231926</v>
      </c>
      <c r="E34" s="20"/>
      <c r="F34" s="20"/>
      <c r="G34" s="20"/>
      <c r="H34" s="20"/>
      <c r="I34" s="20"/>
      <c r="J34" s="20"/>
      <c r="K34" s="20"/>
    </row>
    <row r="35" spans="1:11" ht="19.5" customHeight="1" x14ac:dyDescent="0.3">
      <c r="A35" s="155" t="s">
        <v>107</v>
      </c>
      <c r="B35" s="156"/>
      <c r="C35" s="156"/>
      <c r="D35" s="156"/>
      <c r="E35" s="156"/>
      <c r="F35" s="156"/>
      <c r="G35" s="156"/>
      <c r="H35" s="156"/>
      <c r="I35" s="156"/>
      <c r="J35" s="156"/>
      <c r="K35" s="157"/>
    </row>
    <row r="36" spans="1:11" ht="27.75" customHeight="1" x14ac:dyDescent="0.3">
      <c r="A36" s="127" t="s">
        <v>178</v>
      </c>
      <c r="B36" s="21" t="s">
        <v>179</v>
      </c>
      <c r="C36" s="40" t="s">
        <v>180</v>
      </c>
      <c r="D36" s="23"/>
      <c r="E36" s="23"/>
      <c r="F36" s="23"/>
      <c r="G36" s="23"/>
      <c r="H36" s="23"/>
      <c r="I36" s="23"/>
      <c r="J36" s="23"/>
      <c r="K36" s="23"/>
    </row>
    <row r="37" spans="1:11" ht="20.25" customHeight="1" x14ac:dyDescent="0.3">
      <c r="A37" s="132" t="s">
        <v>181</v>
      </c>
      <c r="B37" s="41">
        <v>0</v>
      </c>
      <c r="C37" s="25">
        <v>0</v>
      </c>
      <c r="D37" s="23"/>
      <c r="E37" s="23"/>
      <c r="F37" s="23"/>
      <c r="G37" s="23"/>
      <c r="H37" s="23"/>
      <c r="I37" s="23"/>
      <c r="J37" s="23"/>
      <c r="K37" s="23"/>
    </row>
    <row r="38" spans="1:11" ht="16.5" customHeight="1" x14ac:dyDescent="0.3">
      <c r="A38" s="133" t="s">
        <v>182</v>
      </c>
      <c r="B38" s="23"/>
      <c r="C38" s="23"/>
      <c r="D38" s="40" t="s">
        <v>31</v>
      </c>
      <c r="E38" s="23"/>
      <c r="F38" s="23"/>
      <c r="G38" s="23"/>
      <c r="H38" s="40" t="s">
        <v>31</v>
      </c>
      <c r="I38" s="40" t="s">
        <v>31</v>
      </c>
      <c r="J38" s="40" t="s">
        <v>31</v>
      </c>
      <c r="K38" s="40" t="s">
        <v>31</v>
      </c>
    </row>
    <row r="39" spans="1:11" ht="10.5" customHeight="1" x14ac:dyDescent="0.3">
      <c r="A39" s="138" t="s">
        <v>112</v>
      </c>
      <c r="B39" s="139"/>
      <c r="C39" s="139"/>
      <c r="D39" s="139"/>
      <c r="E39" s="139"/>
      <c r="F39" s="139"/>
      <c r="G39" s="139"/>
      <c r="H39" s="139"/>
      <c r="I39" s="139"/>
      <c r="J39" s="139"/>
      <c r="K39" s="140"/>
    </row>
    <row r="40" spans="1:11" ht="16.5" customHeight="1" x14ac:dyDescent="0.3">
      <c r="A40" s="191" t="s">
        <v>113</v>
      </c>
      <c r="B40" s="145"/>
      <c r="C40" s="145"/>
      <c r="D40" s="145"/>
      <c r="E40" s="145"/>
      <c r="F40" s="145"/>
      <c r="G40" s="145"/>
      <c r="H40" s="145"/>
      <c r="I40" s="146"/>
      <c r="J40" s="27"/>
      <c r="K40" s="27"/>
    </row>
    <row r="41" spans="1:11" ht="12.9" customHeight="1" x14ac:dyDescent="0.3">
      <c r="A41" s="124" t="s">
        <v>183</v>
      </c>
      <c r="B41" s="174" t="s">
        <v>115</v>
      </c>
      <c r="C41" s="175"/>
      <c r="D41" s="175"/>
      <c r="E41" s="175"/>
      <c r="F41" s="175"/>
      <c r="G41" s="175"/>
      <c r="H41" s="175"/>
      <c r="I41" s="176"/>
      <c r="J41" s="27"/>
      <c r="K41" s="27"/>
    </row>
    <row r="42" spans="1:11" ht="12" customHeight="1" x14ac:dyDescent="0.25">
      <c r="A42" s="124" t="s">
        <v>184</v>
      </c>
      <c r="B42" s="174" t="s">
        <v>117</v>
      </c>
      <c r="C42" s="175"/>
      <c r="D42" s="175"/>
      <c r="E42" s="175"/>
      <c r="F42" s="175"/>
      <c r="G42" s="175"/>
      <c r="H42" s="175"/>
      <c r="I42" s="176"/>
      <c r="J42" s="42"/>
      <c r="K42" s="42"/>
    </row>
    <row r="43" spans="1:11" ht="19.5" customHeight="1" x14ac:dyDescent="0.3">
      <c r="A43" s="124" t="s">
        <v>185</v>
      </c>
      <c r="B43" s="161" t="s">
        <v>119</v>
      </c>
      <c r="C43" s="162"/>
      <c r="D43" s="162"/>
      <c r="E43" s="162"/>
      <c r="F43" s="162"/>
      <c r="G43" s="162"/>
      <c r="H43" s="162"/>
      <c r="I43" s="162"/>
      <c r="J43" s="162"/>
      <c r="K43" s="163"/>
    </row>
    <row r="46" spans="1:11" x14ac:dyDescent="0.25">
      <c r="C46" s="116"/>
    </row>
    <row r="47" spans="1:11" x14ac:dyDescent="0.25">
      <c r="C47" s="116"/>
      <c r="D47" s="83"/>
      <c r="E47" s="83"/>
    </row>
    <row r="48" spans="1:11" x14ac:dyDescent="0.25">
      <c r="C48" s="116"/>
      <c r="D48" s="83"/>
      <c r="E48" s="83"/>
    </row>
    <row r="49" spans="4:5" x14ac:dyDescent="0.3">
      <c r="D49" s="83"/>
      <c r="E49" s="83"/>
    </row>
    <row r="50" spans="4:5" x14ac:dyDescent="0.3">
      <c r="D50" s="83"/>
      <c r="E50" s="83"/>
    </row>
    <row r="51" spans="4:5" x14ac:dyDescent="0.3">
      <c r="D51" s="83"/>
      <c r="E51" s="83"/>
    </row>
    <row r="52" spans="4:5" x14ac:dyDescent="0.3">
      <c r="D52" s="83"/>
      <c r="E52" s="83"/>
    </row>
    <row r="53" spans="4:5" x14ac:dyDescent="0.3">
      <c r="D53" s="83"/>
      <c r="E53" s="83"/>
    </row>
    <row r="54" spans="4:5" x14ac:dyDescent="0.3">
      <c r="D54" s="83"/>
      <c r="E54" s="83"/>
    </row>
    <row r="55" spans="4:5" x14ac:dyDescent="0.3">
      <c r="D55" s="83"/>
      <c r="E55" s="83"/>
    </row>
    <row r="56" spans="4:5" x14ac:dyDescent="0.3">
      <c r="D56" s="83"/>
      <c r="E56" s="83"/>
    </row>
    <row r="57" spans="4:5" x14ac:dyDescent="0.3">
      <c r="D57" s="83"/>
      <c r="E57" s="83"/>
    </row>
  </sheetData>
  <mergeCells count="7">
    <mergeCell ref="B41:I41"/>
    <mergeCell ref="B42:I42"/>
    <mergeCell ref="A1:K1"/>
    <mergeCell ref="B2:C2"/>
    <mergeCell ref="D2:F2"/>
    <mergeCell ref="G2:K2"/>
    <mergeCell ref="G3:K3"/>
  </mergeCells>
  <pageMargins left="0.7" right="0.7" top="0.75" bottom="0.75" header="0.3" footer="0.3"/>
  <pageSetup scale="71"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30" ma:contentTypeDescription="Create a new document." ma:contentTypeScope="" ma:versionID="5e33f8c635a79f0ca9f31259f0ea4500">
  <xsd:schema xmlns:xsd="http://www.w3.org/2001/XMLSchema" xmlns:xs="http://www.w3.org/2001/XMLSchema" xmlns:p="http://schemas.microsoft.com/office/2006/metadata/properties" xmlns:ns1="474a6763-ac05-4e28-9ae1-4058cad3e94b" xmlns:ns3="d75cc3ea-6d34-48b9-955f-209672471296" targetNamespace="http://schemas.microsoft.com/office/2006/metadata/properties" ma:root="true" ma:fieldsID="a0651ba51fddb864179c05de851fdeee" ns1:_="" ns3:_="">
    <xsd:import namespace="474a6763-ac05-4e28-9ae1-4058cad3e94b"/>
    <xsd:import namespace="d75cc3ea-6d34-48b9-955f-209672471296"/>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element ref="ns1:lcf76f155ced4ddcb4097134ff3c332f" minOccurs="0"/>
                <xsd:element ref="ns3:TaxCatchAll" minOccurs="0"/>
                <xsd:element ref="ns1:MediaServiceDateTaken" minOccurs="0"/>
                <xsd:element ref="ns1:MediaServiceObjectDetectorVersions" minOccurs="0"/>
                <xsd:element ref="ns1:MediaServiceOCR" minOccurs="0"/>
                <xsd:element ref="ns1:MediaServiceGenerationTime" minOccurs="0"/>
                <xsd:element ref="ns1:MediaServiceEventHashCode" minOccurs="0"/>
                <xsd:element ref="ns1:Web_x0020_P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Image"/>
          <xsd:enumeration value="Pages"/>
        </xsd:restriction>
      </xsd:simpleType>
    </xsd:element>
    <xsd:element name="URL_x0020_Node" ma:index="3" nillable="true" ma:displayName="URL Node (Old)" ma:internalName="URL_x0020_Node">
      <xsd:simpleType>
        <xsd:restriction base="dms:Text">
          <xsd:maxLength value="255"/>
        </xsd:restriction>
      </xsd:simpleType>
    </xsd:element>
    <xsd:element name="URL_x0020_Web_x0020_Page" ma:index="4" nillable="true" ma:displayName="URL Web Page (Old)" ma:format="Dropdown" ma:internalName="URL_x0020_Web_x0020_Page">
      <xsd:simpleType>
        <xsd:restriction base="dms:Choice">
          <xsd:enumeration value="Unknown"/>
        </xsd:restriction>
      </xsd:simpleType>
    </xsd:element>
    <xsd:element name="Other_x0020_URL_x0020_Web_x0020_Page" ma:index="5" nillable="true" ma:displayName="Other URL Web Page (Old)"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d from Web" ma:default="0" ma:format="Dropdown" ma:internalName="Remove_x0020_from_x0020_Web">
      <xsd:simpleType>
        <xsd:restriction base="dms:Boolean"/>
      </xsd:simpleType>
    </xsd:element>
    <xsd:element name="CCEL_x0020_Home_x0020_Page_x0020_Section" ma:index="9" nillable="true" ma:displayName="CCEL Home Page Section (Old)"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Web_x0020_Page" ma:index="26" nillable="true" ma:displayName="Web Page" ma:internalName="Web_x0020_Page">
      <xsd:complexType>
        <xsd:complexContent>
          <xsd:extension base="dms:MultiChoice">
            <xsd:sequence>
              <xsd:element name="Value" maxOccurs="unbounded" minOccurs="0" nillable="true">
                <xsd:simpleType>
                  <xsd:restriction base="dms:Choice">
                    <xsd:enumeration value="Child Care &amp; Early Learning Program"/>
                    <xsd:enumeration value="Child Care by the Numbers"/>
                    <xsd:enumeration value="Child Care Data, Reports &amp; Plans"/>
                    <xsd:enumeration value="Child Care Guide"/>
                    <xsd:enumeration value="Child Care Information for Parents"/>
                    <xsd:enumeration value="Child Care Information for Providers"/>
                    <xsd:enumeration value="Child Care Investments Partnership"/>
                    <xsd:enumeration value="Child Care Relief Funding 2022"/>
                    <xsd:enumeration value="Child Care Services &amp; Children with Disabilities"/>
                    <xsd:enumeration value="Child Care Stimulus Resources"/>
                    <xsd:enumeration value="Find Child Care"/>
                    <xsd:enumeration value="Shared Services Alliances"/>
                    <xsd:enumeration value="Texas Preschool Development Grant Birth Through 5 (PDG B-5)"/>
                    <xsd:enumeration value="Texas Rising Star Program"/>
                    <xsd:enumeration value="Texas Rising Star Workgroup - 2019"/>
                    <xsd:enumeration value="Texas Rising Star Workgroup - 2023"/>
                    <xsd:enumeration value="TWC Prekindergarten Partnerships"/>
                    <xsd:enumeration value="Work-Based Learning Staffing Initiatives"/>
                    <xsd:enumeration value="Unknown"/>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E68272-224D-4073-BEB4-E3F08E0FBF77}"/>
</file>

<file path=customXml/itemProps2.xml><?xml version="1.0" encoding="utf-8"?>
<ds:datastoreItem xmlns:ds="http://schemas.openxmlformats.org/officeDocument/2006/customXml" ds:itemID="{449AD771-AC82-49A3-9B5F-93BE900673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Qtr 12.31.23</vt:lpstr>
      <vt:lpstr>Qtr 09.30.23</vt:lpstr>
      <vt:lpstr>Qtr 06.30.23</vt:lpstr>
      <vt:lpstr>Qtr 03.31.23</vt:lpstr>
      <vt:lpstr>Qtr 12.31.22</vt:lpstr>
      <vt:lpstr>Qtr 09.30.22</vt:lpstr>
      <vt:lpstr>Qtr 06.30.22</vt:lpstr>
      <vt:lpstr>Qtr 03.31.22</vt:lpstr>
      <vt:lpstr>Qtr 12.31.21</vt:lpstr>
      <vt:lpstr>'Qtr 03.31.22'!Print_Area</vt:lpstr>
      <vt:lpstr>'Qtr 03.31.23'!Print_Area</vt:lpstr>
      <vt:lpstr>'Qtr 06.30.22'!Print_Area</vt:lpstr>
      <vt:lpstr>'Qtr 06.30.23'!Print_Area</vt:lpstr>
      <vt:lpstr>'Qtr 09.30.22'!Print_Area</vt:lpstr>
      <vt:lpstr>'Qtr 12.31.21'!Print_Area</vt:lpstr>
      <vt:lpstr>'Qtr 12.31.22'!Print_Area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Sanchez,Gabriela</dc:creator>
  <cp:lastModifiedBy>Warner,Philip</cp:lastModifiedBy>
  <dcterms:created xsi:type="dcterms:W3CDTF">2024-01-29T22:26:08Z</dcterms:created>
  <dcterms:modified xsi:type="dcterms:W3CDTF">2024-01-30T22:15:59Z</dcterms:modified>
</cp:coreProperties>
</file>