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wcgov.sharepoint.com/sites/ccel/ppqi/Shared Documents/Income and Parent Share of Cost Charts/BCY2025/"/>
    </mc:Choice>
  </mc:AlternateContent>
  <xr:revisionPtr revIDLastSave="875" documentId="8_{85BA0045-449F-4C26-804C-44D64B72F5C1}" xr6:coauthVersionLast="47" xr6:coauthVersionMax="47" xr10:uidLastSave="{80B88B4D-2D31-47B4-A514-359B4E93E4A4}"/>
  <workbookProtection lockStructure="1"/>
  <bookViews>
    <workbookView xWindow="36" yWindow="60" windowWidth="13956" windowHeight="12300" xr2:uid="{950ADEC4-DB00-48A4-AEDD-6D8D0C62D277}"/>
  </bookViews>
  <sheets>
    <sheet name="FFY25 PSoC Calculator" sheetId="4" r:id="rId1"/>
    <sheet name="PSoC Chart" sheetId="6" state="hidden" r:id="rId2"/>
    <sheet name="Calculations" sheetId="2" state="hidden" r:id="rId3"/>
    <sheet name="FFY25SMI" sheetId="3" state="hidden" r:id="rId4"/>
  </sheets>
  <definedNames>
    <definedName name="SMIRang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6" l="1"/>
  <c r="D32" i="6"/>
  <c r="D33" i="6" s="1"/>
  <c r="E32" i="6"/>
  <c r="F32" i="6"/>
  <c r="F33" i="6" s="1"/>
  <c r="G32" i="6"/>
  <c r="H32" i="6"/>
  <c r="I32" i="6"/>
  <c r="I33" i="6" s="1"/>
  <c r="I34" i="6" s="1"/>
  <c r="J32" i="6"/>
  <c r="K32" i="6"/>
  <c r="L32" i="6"/>
  <c r="M32" i="6"/>
  <c r="N32" i="6"/>
  <c r="O32" i="6"/>
  <c r="O33" i="6" s="1"/>
  <c r="P32" i="6"/>
  <c r="Q47" i="6"/>
  <c r="R47" i="6" s="1"/>
  <c r="R48" i="6" s="1"/>
  <c r="S7" i="6"/>
  <c r="S10" i="6" s="1"/>
  <c r="S47" i="6"/>
  <c r="S48" i="6" s="1"/>
  <c r="C2" i="6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B2" i="6"/>
  <c r="B7" i="6"/>
  <c r="B10" i="6" s="1"/>
  <c r="O47" i="6"/>
  <c r="O48" i="6" s="1"/>
  <c r="M47" i="6"/>
  <c r="N47" i="6" s="1"/>
  <c r="N48" i="6" s="1"/>
  <c r="N52" i="6" s="1"/>
  <c r="K47" i="6"/>
  <c r="K50" i="6" s="1"/>
  <c r="I47" i="6"/>
  <c r="G47" i="6"/>
  <c r="E47" i="6"/>
  <c r="F47" i="6" s="1"/>
  <c r="F48" i="6" s="1"/>
  <c r="F52" i="6" s="1"/>
  <c r="C47" i="6"/>
  <c r="D47" i="6" s="1"/>
  <c r="D48" i="6" s="1"/>
  <c r="B47" i="6"/>
  <c r="B48" i="6" s="1"/>
  <c r="B52" i="6" s="1"/>
  <c r="S32" i="6"/>
  <c r="S33" i="6" s="1"/>
  <c r="Q32" i="6"/>
  <c r="R32" i="6" s="1"/>
  <c r="R33" i="6" s="1"/>
  <c r="B32" i="6"/>
  <c r="B33" i="6" s="1"/>
  <c r="B37" i="6" s="1"/>
  <c r="S17" i="6"/>
  <c r="S18" i="6" s="1"/>
  <c r="Q17" i="6"/>
  <c r="O17" i="6"/>
  <c r="M17" i="6"/>
  <c r="M18" i="6" s="1"/>
  <c r="M22" i="6" s="1"/>
  <c r="K17" i="6"/>
  <c r="K18" i="6" s="1"/>
  <c r="I17" i="6"/>
  <c r="I18" i="6" s="1"/>
  <c r="G17" i="6"/>
  <c r="G18" i="6" s="1"/>
  <c r="E17" i="6"/>
  <c r="F17" i="6" s="1"/>
  <c r="F20" i="6" s="1"/>
  <c r="C17" i="6"/>
  <c r="D17" i="6" s="1"/>
  <c r="D20" i="6" s="1"/>
  <c r="B17" i="6"/>
  <c r="B20" i="6" s="1"/>
  <c r="Q7" i="6"/>
  <c r="Q8" i="6" s="1"/>
  <c r="Q9" i="6" s="1"/>
  <c r="Q3" i="6" s="1"/>
  <c r="O7" i="6"/>
  <c r="M7" i="6"/>
  <c r="M8" i="6" s="1"/>
  <c r="M9" i="6" s="1"/>
  <c r="M3" i="6" s="1"/>
  <c r="K7" i="6"/>
  <c r="K8" i="6" s="1"/>
  <c r="K9" i="6" s="1"/>
  <c r="K3" i="6" s="1"/>
  <c r="I7" i="6"/>
  <c r="I8" i="6" s="1"/>
  <c r="I9" i="6" s="1"/>
  <c r="I11" i="6" s="1"/>
  <c r="G7" i="6"/>
  <c r="H7" i="6" s="1"/>
  <c r="H8" i="6" s="1"/>
  <c r="H9" i="6" s="1"/>
  <c r="H12" i="6" s="1"/>
  <c r="E7" i="6"/>
  <c r="E8" i="6" s="1"/>
  <c r="E9" i="6" s="1"/>
  <c r="E3" i="6" s="1"/>
  <c r="C7" i="6"/>
  <c r="C8" i="6" s="1"/>
  <c r="C9" i="6" s="1"/>
  <c r="C3" i="6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2" i="3"/>
  <c r="I3" i="6" l="1"/>
  <c r="H3" i="6"/>
  <c r="S35" i="6"/>
  <c r="B50" i="6"/>
  <c r="E20" i="6"/>
  <c r="C20" i="6"/>
  <c r="F18" i="6"/>
  <c r="F22" i="6" s="1"/>
  <c r="G35" i="6"/>
  <c r="K48" i="6"/>
  <c r="K52" i="6" s="1"/>
  <c r="R35" i="6"/>
  <c r="F35" i="6"/>
  <c r="S50" i="6"/>
  <c r="G8" i="6"/>
  <c r="G9" i="6" s="1"/>
  <c r="E50" i="6"/>
  <c r="E35" i="6"/>
  <c r="C10" i="6"/>
  <c r="F50" i="6"/>
  <c r="F49" i="6"/>
  <c r="F53" i="6" s="1"/>
  <c r="F54" i="6" s="1"/>
  <c r="F57" i="6" s="1"/>
  <c r="S37" i="6"/>
  <c r="S34" i="6"/>
  <c r="S36" i="6" s="1"/>
  <c r="R52" i="6"/>
  <c r="R49" i="6"/>
  <c r="M20" i="6"/>
  <c r="M10" i="6"/>
  <c r="I20" i="6"/>
  <c r="H10" i="6"/>
  <c r="G10" i="6"/>
  <c r="E10" i="6"/>
  <c r="E18" i="6"/>
  <c r="E22" i="6" s="1"/>
  <c r="R50" i="6"/>
  <c r="S8" i="6"/>
  <c r="S9" i="6" s="1"/>
  <c r="D18" i="6"/>
  <c r="D19" i="6" s="1"/>
  <c r="Q33" i="6"/>
  <c r="Q34" i="6" s="1"/>
  <c r="Q36" i="6" s="1"/>
  <c r="Q50" i="6"/>
  <c r="N17" i="6"/>
  <c r="N20" i="6" s="1"/>
  <c r="K20" i="6"/>
  <c r="Q35" i="6"/>
  <c r="C18" i="6"/>
  <c r="E33" i="6"/>
  <c r="Q11" i="6"/>
  <c r="Q12" i="6"/>
  <c r="O34" i="6"/>
  <c r="O37" i="6"/>
  <c r="R34" i="6"/>
  <c r="R36" i="6" s="1"/>
  <c r="R37" i="6"/>
  <c r="R38" i="6" s="1"/>
  <c r="R39" i="6" s="1"/>
  <c r="R42" i="6" s="1"/>
  <c r="R17" i="6"/>
  <c r="Q20" i="6"/>
  <c r="Q18" i="6"/>
  <c r="S19" i="6"/>
  <c r="S22" i="6"/>
  <c r="G48" i="6"/>
  <c r="G50" i="6"/>
  <c r="I22" i="6"/>
  <c r="I19" i="6"/>
  <c r="I21" i="6" s="1"/>
  <c r="M33" i="6"/>
  <c r="M37" i="6" s="1"/>
  <c r="M35" i="6"/>
  <c r="O49" i="6"/>
  <c r="O51" i="6" s="1"/>
  <c r="O52" i="6"/>
  <c r="S52" i="6"/>
  <c r="S49" i="6"/>
  <c r="S51" i="6" s="1"/>
  <c r="I35" i="6"/>
  <c r="I37" i="6"/>
  <c r="I38" i="6" s="1"/>
  <c r="I39" i="6" s="1"/>
  <c r="I42" i="6" s="1"/>
  <c r="G22" i="6"/>
  <c r="G19" i="6"/>
  <c r="K35" i="6"/>
  <c r="K33" i="6"/>
  <c r="K19" i="6"/>
  <c r="K21" i="6" s="1"/>
  <c r="K22" i="6"/>
  <c r="O20" i="6"/>
  <c r="O18" i="6"/>
  <c r="P7" i="6"/>
  <c r="O8" i="6"/>
  <c r="O9" i="6" s="1"/>
  <c r="R7" i="6"/>
  <c r="Q10" i="6"/>
  <c r="D49" i="6"/>
  <c r="D51" i="6" s="1"/>
  <c r="D52" i="6"/>
  <c r="D37" i="6"/>
  <c r="D34" i="6"/>
  <c r="D36" i="6" s="1"/>
  <c r="F34" i="6"/>
  <c r="F36" i="6" s="1"/>
  <c r="F37" i="6"/>
  <c r="H47" i="6"/>
  <c r="O10" i="6"/>
  <c r="H33" i="6"/>
  <c r="H35" i="6"/>
  <c r="I50" i="6"/>
  <c r="I48" i="6"/>
  <c r="E11" i="6"/>
  <c r="E12" i="6"/>
  <c r="B18" i="6"/>
  <c r="K10" i="6"/>
  <c r="D50" i="6"/>
  <c r="D35" i="6"/>
  <c r="G33" i="6"/>
  <c r="O50" i="6"/>
  <c r="C50" i="6"/>
  <c r="I10" i="6"/>
  <c r="I13" i="6" s="1"/>
  <c r="I14" i="6" s="1"/>
  <c r="S20" i="6"/>
  <c r="G20" i="6"/>
  <c r="O35" i="6"/>
  <c r="C35" i="6"/>
  <c r="N50" i="6"/>
  <c r="Q48" i="6"/>
  <c r="E48" i="6"/>
  <c r="B34" i="6"/>
  <c r="B36" i="6" s="1"/>
  <c r="M50" i="6"/>
  <c r="H17" i="6"/>
  <c r="B35" i="6"/>
  <c r="C48" i="6"/>
  <c r="C33" i="6"/>
  <c r="M48" i="6"/>
  <c r="N49" i="6"/>
  <c r="I36" i="6"/>
  <c r="M19" i="6"/>
  <c r="C12" i="6"/>
  <c r="C11" i="6"/>
  <c r="M11" i="6"/>
  <c r="M12" i="6"/>
  <c r="K11" i="6"/>
  <c r="K12" i="6"/>
  <c r="H11" i="6"/>
  <c r="I12" i="6"/>
  <c r="J7" i="6"/>
  <c r="J47" i="6"/>
  <c r="N7" i="6"/>
  <c r="L47" i="6"/>
  <c r="L7" i="6"/>
  <c r="J17" i="6"/>
  <c r="B8" i="6"/>
  <c r="B9" i="6" s="1"/>
  <c r="B3" i="6" s="1"/>
  <c r="L17" i="6"/>
  <c r="B49" i="6"/>
  <c r="B51" i="6" s="1"/>
  <c r="P47" i="6"/>
  <c r="D7" i="6"/>
  <c r="P17" i="6"/>
  <c r="F7" i="6"/>
  <c r="G23" i="6" l="1"/>
  <c r="G24" i="6" s="1"/>
  <c r="G27" i="6" s="1"/>
  <c r="F40" i="6"/>
  <c r="F43" i="6" s="1"/>
  <c r="R53" i="6"/>
  <c r="R54" i="6" s="1"/>
  <c r="R57" i="6" s="1"/>
  <c r="F19" i="6"/>
  <c r="F21" i="6" s="1"/>
  <c r="F25" i="6" s="1"/>
  <c r="F28" i="6" s="1"/>
  <c r="K49" i="6"/>
  <c r="K51" i="6" s="1"/>
  <c r="K55" i="6" s="1"/>
  <c r="K58" i="6" s="1"/>
  <c r="S55" i="6"/>
  <c r="S58" i="6" s="1"/>
  <c r="B11" i="6"/>
  <c r="B13" i="6" s="1"/>
  <c r="B14" i="6" s="1"/>
  <c r="K25" i="6"/>
  <c r="K28" i="6" s="1"/>
  <c r="O12" i="6"/>
  <c r="O3" i="6"/>
  <c r="G12" i="6"/>
  <c r="G3" i="6"/>
  <c r="S11" i="6"/>
  <c r="S13" i="6" s="1"/>
  <c r="S14" i="6" s="1"/>
  <c r="S3" i="6"/>
  <c r="S40" i="6"/>
  <c r="S43" i="6" s="1"/>
  <c r="G11" i="6"/>
  <c r="G13" i="6" s="1"/>
  <c r="G14" i="6" s="1"/>
  <c r="Q37" i="6"/>
  <c r="Q38" i="6" s="1"/>
  <c r="Q39" i="6" s="1"/>
  <c r="Q42" i="6" s="1"/>
  <c r="F38" i="6"/>
  <c r="F39" i="6" s="1"/>
  <c r="F42" i="6" s="1"/>
  <c r="N18" i="6"/>
  <c r="N22" i="6" s="1"/>
  <c r="F51" i="6"/>
  <c r="F55" i="6" s="1"/>
  <c r="R40" i="6"/>
  <c r="B55" i="6"/>
  <c r="B58" i="6" s="1"/>
  <c r="S12" i="6"/>
  <c r="D22" i="6"/>
  <c r="D23" i="6" s="1"/>
  <c r="D24" i="6" s="1"/>
  <c r="D27" i="6" s="1"/>
  <c r="H13" i="6"/>
  <c r="H14" i="6" s="1"/>
  <c r="E13" i="6"/>
  <c r="E14" i="6" s="1"/>
  <c r="C13" i="6"/>
  <c r="C14" i="6" s="1"/>
  <c r="R51" i="6"/>
  <c r="R55" i="6" s="1"/>
  <c r="R58" i="6" s="1"/>
  <c r="O38" i="6"/>
  <c r="O39" i="6" s="1"/>
  <c r="O42" i="6" s="1"/>
  <c r="O36" i="6"/>
  <c r="O40" i="6" s="1"/>
  <c r="O43" i="6" s="1"/>
  <c r="O44" i="6" s="1"/>
  <c r="D38" i="6"/>
  <c r="D39" i="6" s="1"/>
  <c r="D42" i="6" s="1"/>
  <c r="S38" i="6"/>
  <c r="S39" i="6" s="1"/>
  <c r="S42" i="6" s="1"/>
  <c r="K23" i="6"/>
  <c r="K24" i="6" s="1"/>
  <c r="K27" i="6" s="1"/>
  <c r="D21" i="6"/>
  <c r="D25" i="6" s="1"/>
  <c r="D28" i="6" s="1"/>
  <c r="E37" i="6"/>
  <c r="E34" i="6"/>
  <c r="O55" i="6"/>
  <c r="O58" i="6" s="1"/>
  <c r="M13" i="6"/>
  <c r="M14" i="6" s="1"/>
  <c r="I25" i="6"/>
  <c r="I28" i="6" s="1"/>
  <c r="I40" i="6"/>
  <c r="Q40" i="6"/>
  <c r="Q43" i="6" s="1"/>
  <c r="Q44" i="6" s="1"/>
  <c r="E19" i="6"/>
  <c r="Q13" i="6"/>
  <c r="Q14" i="6" s="1"/>
  <c r="S23" i="6"/>
  <c r="S24" i="6" s="1"/>
  <c r="S27" i="6" s="1"/>
  <c r="S29" i="6" s="1"/>
  <c r="C19" i="6"/>
  <c r="C22" i="6"/>
  <c r="D53" i="6"/>
  <c r="D54" i="6" s="1"/>
  <c r="D57" i="6" s="1"/>
  <c r="P33" i="6"/>
  <c r="P35" i="6"/>
  <c r="H37" i="6"/>
  <c r="H34" i="6"/>
  <c r="H48" i="6"/>
  <c r="H50" i="6"/>
  <c r="R20" i="6"/>
  <c r="R18" i="6"/>
  <c r="I23" i="6"/>
  <c r="I24" i="6" s="1"/>
  <c r="I27" i="6" s="1"/>
  <c r="I29" i="6" s="1"/>
  <c r="B19" i="6"/>
  <c r="B22" i="6"/>
  <c r="B38" i="6"/>
  <c r="B39" i="6" s="1"/>
  <c r="B42" i="6" s="1"/>
  <c r="M34" i="6"/>
  <c r="M36" i="6" s="1"/>
  <c r="M40" i="6" s="1"/>
  <c r="M43" i="6" s="1"/>
  <c r="M49" i="6"/>
  <c r="M52" i="6"/>
  <c r="G52" i="6"/>
  <c r="G49" i="6"/>
  <c r="P48" i="6"/>
  <c r="P50" i="6"/>
  <c r="P10" i="6"/>
  <c r="P8" i="6"/>
  <c r="P9" i="6" s="1"/>
  <c r="P3" i="6" s="1"/>
  <c r="N33" i="6"/>
  <c r="N35" i="6"/>
  <c r="O53" i="6"/>
  <c r="O54" i="6" s="1"/>
  <c r="O57" i="6" s="1"/>
  <c r="E52" i="6"/>
  <c r="E49" i="6"/>
  <c r="L8" i="6"/>
  <c r="L9" i="6" s="1"/>
  <c r="L3" i="6" s="1"/>
  <c r="L10" i="6"/>
  <c r="G21" i="6"/>
  <c r="J35" i="6"/>
  <c r="J33" i="6"/>
  <c r="S21" i="6"/>
  <c r="S25" i="6" s="1"/>
  <c r="S28" i="6" s="1"/>
  <c r="L48" i="6"/>
  <c r="L50" i="6"/>
  <c r="K13" i="6"/>
  <c r="K14" i="6" s="1"/>
  <c r="D55" i="6"/>
  <c r="C34" i="6"/>
  <c r="C37" i="6"/>
  <c r="K34" i="6"/>
  <c r="K37" i="6"/>
  <c r="H18" i="6"/>
  <c r="H20" i="6"/>
  <c r="G37" i="6"/>
  <c r="G34" i="6"/>
  <c r="O19" i="6"/>
  <c r="O22" i="6"/>
  <c r="J18" i="6"/>
  <c r="J20" i="6"/>
  <c r="Q52" i="6"/>
  <c r="Q49" i="6"/>
  <c r="O11" i="6"/>
  <c r="O13" i="6" s="1"/>
  <c r="O14" i="6" s="1"/>
  <c r="D40" i="6"/>
  <c r="D43" i="6" s="1"/>
  <c r="F10" i="6"/>
  <c r="F8" i="6"/>
  <c r="F9" i="6" s="1"/>
  <c r="F3" i="6" s="1"/>
  <c r="N8" i="6"/>
  <c r="N9" i="6" s="1"/>
  <c r="N3" i="6" s="1"/>
  <c r="N10" i="6"/>
  <c r="P20" i="6"/>
  <c r="P18" i="6"/>
  <c r="J50" i="6"/>
  <c r="J48" i="6"/>
  <c r="C49" i="6"/>
  <c r="C52" i="6"/>
  <c r="I49" i="6"/>
  <c r="I52" i="6"/>
  <c r="S53" i="6"/>
  <c r="S54" i="6" s="1"/>
  <c r="S57" i="6" s="1"/>
  <c r="Q22" i="6"/>
  <c r="Q19" i="6"/>
  <c r="L18" i="6"/>
  <c r="L20" i="6"/>
  <c r="B40" i="6"/>
  <c r="B43" i="6" s="1"/>
  <c r="D10" i="6"/>
  <c r="D8" i="6"/>
  <c r="D9" i="6" s="1"/>
  <c r="D3" i="6" s="1"/>
  <c r="J8" i="6"/>
  <c r="J9" i="6" s="1"/>
  <c r="J3" i="6" s="1"/>
  <c r="J10" i="6"/>
  <c r="R10" i="6"/>
  <c r="R8" i="6"/>
  <c r="R9" i="6" s="1"/>
  <c r="R3" i="6" s="1"/>
  <c r="L35" i="6"/>
  <c r="L33" i="6"/>
  <c r="N51" i="6"/>
  <c r="N55" i="6" s="1"/>
  <c r="N58" i="6" s="1"/>
  <c r="N53" i="6"/>
  <c r="N54" i="6" s="1"/>
  <c r="N57" i="6" s="1"/>
  <c r="M21" i="6"/>
  <c r="M25" i="6" s="1"/>
  <c r="M28" i="6" s="1"/>
  <c r="M23" i="6"/>
  <c r="M24" i="6" s="1"/>
  <c r="M27" i="6" s="1"/>
  <c r="B53" i="6"/>
  <c r="B54" i="6" s="1"/>
  <c r="B57" i="6" s="1"/>
  <c r="B12" i="6"/>
  <c r="B3" i="2"/>
  <c r="M29" i="6" l="1"/>
  <c r="K29" i="6"/>
  <c r="S44" i="6"/>
  <c r="O59" i="6"/>
  <c r="B59" i="6"/>
  <c r="F56" i="6"/>
  <c r="F58" i="6"/>
  <c r="F59" i="6" s="1"/>
  <c r="N56" i="6"/>
  <c r="N59" i="6"/>
  <c r="R59" i="6"/>
  <c r="D56" i="6"/>
  <c r="D58" i="6"/>
  <c r="D59" i="6" s="1"/>
  <c r="B44" i="6"/>
  <c r="F44" i="6"/>
  <c r="S59" i="6"/>
  <c r="R41" i="6"/>
  <c r="R43" i="6"/>
  <c r="R44" i="6" s="1"/>
  <c r="I41" i="6"/>
  <c r="I43" i="6"/>
  <c r="I44" i="6" s="1"/>
  <c r="D44" i="6"/>
  <c r="D29" i="6"/>
  <c r="M26" i="6"/>
  <c r="F41" i="6"/>
  <c r="R56" i="6"/>
  <c r="K53" i="6"/>
  <c r="K54" i="6" s="1"/>
  <c r="K57" i="6" s="1"/>
  <c r="F23" i="6"/>
  <c r="F24" i="6" s="1"/>
  <c r="F27" i="6" s="1"/>
  <c r="F29" i="6" s="1"/>
  <c r="S56" i="6"/>
  <c r="O56" i="6"/>
  <c r="K26" i="6"/>
  <c r="S41" i="6"/>
  <c r="Q41" i="6"/>
  <c r="N19" i="6"/>
  <c r="N23" i="6" s="1"/>
  <c r="N24" i="6" s="1"/>
  <c r="N27" i="6" s="1"/>
  <c r="D41" i="6"/>
  <c r="O41" i="6"/>
  <c r="M38" i="6"/>
  <c r="M39" i="6" s="1"/>
  <c r="M42" i="6" s="1"/>
  <c r="M41" i="6" s="1"/>
  <c r="C23" i="6"/>
  <c r="C24" i="6" s="1"/>
  <c r="C27" i="6" s="1"/>
  <c r="C21" i="6"/>
  <c r="C25" i="6" s="1"/>
  <c r="C28" i="6" s="1"/>
  <c r="E38" i="6"/>
  <c r="E39" i="6" s="1"/>
  <c r="E42" i="6" s="1"/>
  <c r="E36" i="6"/>
  <c r="E40" i="6" s="1"/>
  <c r="E43" i="6" s="1"/>
  <c r="I26" i="6"/>
  <c r="E21" i="6"/>
  <c r="E25" i="6" s="1"/>
  <c r="E28" i="6" s="1"/>
  <c r="E23" i="6"/>
  <c r="E24" i="6" s="1"/>
  <c r="E27" i="6" s="1"/>
  <c r="D26" i="6"/>
  <c r="L34" i="6"/>
  <c r="L37" i="6"/>
  <c r="N11" i="6"/>
  <c r="N13" i="6" s="1"/>
  <c r="N14" i="6" s="1"/>
  <c r="N12" i="6"/>
  <c r="N34" i="6"/>
  <c r="N37" i="6"/>
  <c r="F11" i="6"/>
  <c r="F13" i="6" s="1"/>
  <c r="F14" i="6" s="1"/>
  <c r="F12" i="6"/>
  <c r="P11" i="6"/>
  <c r="P13" i="6" s="1"/>
  <c r="P14" i="6" s="1"/>
  <c r="P12" i="6"/>
  <c r="H22" i="6"/>
  <c r="H19" i="6"/>
  <c r="I53" i="6"/>
  <c r="I54" i="6" s="1"/>
  <c r="I57" i="6" s="1"/>
  <c r="I51" i="6"/>
  <c r="I55" i="6" s="1"/>
  <c r="I58" i="6" s="1"/>
  <c r="K36" i="6"/>
  <c r="K40" i="6" s="1"/>
  <c r="K43" i="6" s="1"/>
  <c r="K38" i="6"/>
  <c r="K39" i="6" s="1"/>
  <c r="K42" i="6" s="1"/>
  <c r="K44" i="6" s="1"/>
  <c r="P52" i="6"/>
  <c r="P49" i="6"/>
  <c r="L11" i="6"/>
  <c r="L13" i="6" s="1"/>
  <c r="L14" i="6" s="1"/>
  <c r="L12" i="6"/>
  <c r="C53" i="6"/>
  <c r="C54" i="6" s="1"/>
  <c r="C57" i="6" s="1"/>
  <c r="C51" i="6"/>
  <c r="C55" i="6" s="1"/>
  <c r="C58" i="6" s="1"/>
  <c r="C36" i="6"/>
  <c r="C40" i="6" s="1"/>
  <c r="C43" i="6" s="1"/>
  <c r="C38" i="6"/>
  <c r="C39" i="6" s="1"/>
  <c r="C42" i="6" s="1"/>
  <c r="E51" i="6"/>
  <c r="E55" i="6" s="1"/>
  <c r="E58" i="6" s="1"/>
  <c r="E53" i="6"/>
  <c r="E54" i="6" s="1"/>
  <c r="E57" i="6" s="1"/>
  <c r="D11" i="6"/>
  <c r="D13" i="6" s="1"/>
  <c r="D14" i="6" s="1"/>
  <c r="D12" i="6"/>
  <c r="P34" i="6"/>
  <c r="P37" i="6"/>
  <c r="Q23" i="6"/>
  <c r="Q24" i="6" s="1"/>
  <c r="Q27" i="6" s="1"/>
  <c r="Q21" i="6"/>
  <c r="Q25" i="6" s="1"/>
  <c r="Q28" i="6" s="1"/>
  <c r="B21" i="6"/>
  <c r="B25" i="6" s="1"/>
  <c r="B28" i="6" s="1"/>
  <c r="B23" i="6"/>
  <c r="B24" i="6" s="1"/>
  <c r="B27" i="6" s="1"/>
  <c r="J34" i="6"/>
  <c r="J37" i="6"/>
  <c r="R11" i="6"/>
  <c r="R13" i="6" s="1"/>
  <c r="R14" i="6" s="1"/>
  <c r="R12" i="6"/>
  <c r="G25" i="6"/>
  <c r="R22" i="6"/>
  <c r="R19" i="6"/>
  <c r="Q53" i="6"/>
  <c r="Q54" i="6" s="1"/>
  <c r="Q57" i="6" s="1"/>
  <c r="Q51" i="6"/>
  <c r="Q55" i="6" s="1"/>
  <c r="Q58" i="6" s="1"/>
  <c r="G53" i="6"/>
  <c r="G54" i="6" s="1"/>
  <c r="G57" i="6" s="1"/>
  <c r="G51" i="6"/>
  <c r="G55" i="6" s="1"/>
  <c r="G58" i="6" s="1"/>
  <c r="J12" i="6"/>
  <c r="J11" i="6"/>
  <c r="J13" i="6" s="1"/>
  <c r="J14" i="6" s="1"/>
  <c r="H52" i="6"/>
  <c r="H49" i="6"/>
  <c r="J49" i="6"/>
  <c r="J52" i="6"/>
  <c r="H36" i="6"/>
  <c r="H40" i="6" s="1"/>
  <c r="H43" i="6" s="1"/>
  <c r="H38" i="6"/>
  <c r="H39" i="6" s="1"/>
  <c r="H42" i="6" s="1"/>
  <c r="H44" i="6" s="1"/>
  <c r="J19" i="6"/>
  <c r="J22" i="6"/>
  <c r="M53" i="6"/>
  <c r="M54" i="6" s="1"/>
  <c r="M57" i="6" s="1"/>
  <c r="M51" i="6"/>
  <c r="M55" i="6" s="1"/>
  <c r="M58" i="6" s="1"/>
  <c r="P22" i="6"/>
  <c r="P19" i="6"/>
  <c r="O23" i="6"/>
  <c r="O24" i="6" s="1"/>
  <c r="O27" i="6" s="1"/>
  <c r="O21" i="6"/>
  <c r="L19" i="6"/>
  <c r="L22" i="6"/>
  <c r="G38" i="6"/>
  <c r="G39" i="6" s="1"/>
  <c r="G42" i="6" s="1"/>
  <c r="G36" i="6"/>
  <c r="G40" i="6" s="1"/>
  <c r="G43" i="6" s="1"/>
  <c r="L49" i="6"/>
  <c r="L52" i="6"/>
  <c r="B56" i="6"/>
  <c r="E59" i="6" l="1"/>
  <c r="M59" i="6"/>
  <c r="G59" i="6"/>
  <c r="E29" i="6"/>
  <c r="K56" i="6"/>
  <c r="K59" i="6"/>
  <c r="I59" i="6"/>
  <c r="C59" i="6"/>
  <c r="Q59" i="6"/>
  <c r="B29" i="6"/>
  <c r="G44" i="6"/>
  <c r="M44" i="6"/>
  <c r="C44" i="6"/>
  <c r="E44" i="6"/>
  <c r="Q29" i="6"/>
  <c r="C29" i="6"/>
  <c r="G26" i="6"/>
  <c r="G28" i="6"/>
  <c r="G29" i="6" s="1"/>
  <c r="F26" i="6"/>
  <c r="G56" i="6"/>
  <c r="E41" i="6"/>
  <c r="N21" i="6"/>
  <c r="N25" i="6" s="1"/>
  <c r="C41" i="6"/>
  <c r="B26" i="6"/>
  <c r="I56" i="6"/>
  <c r="E26" i="6"/>
  <c r="K41" i="6"/>
  <c r="C26" i="6"/>
  <c r="P23" i="6"/>
  <c r="P24" i="6" s="1"/>
  <c r="P27" i="6" s="1"/>
  <c r="P21" i="6"/>
  <c r="M56" i="6"/>
  <c r="C56" i="6"/>
  <c r="Q56" i="6"/>
  <c r="G41" i="6"/>
  <c r="P36" i="6"/>
  <c r="P40" i="6" s="1"/>
  <c r="P43" i="6" s="1"/>
  <c r="P38" i="6"/>
  <c r="P39" i="6" s="1"/>
  <c r="P42" i="6" s="1"/>
  <c r="N38" i="6"/>
  <c r="N39" i="6" s="1"/>
  <c r="N42" i="6" s="1"/>
  <c r="N36" i="6"/>
  <c r="N40" i="6" s="1"/>
  <c r="N43" i="6" s="1"/>
  <c r="H21" i="6"/>
  <c r="H25" i="6" s="1"/>
  <c r="H28" i="6" s="1"/>
  <c r="H23" i="6"/>
  <c r="H24" i="6" s="1"/>
  <c r="H27" i="6" s="1"/>
  <c r="J38" i="6"/>
  <c r="J39" i="6" s="1"/>
  <c r="J42" i="6" s="1"/>
  <c r="J36" i="6"/>
  <c r="J40" i="6" s="1"/>
  <c r="J43" i="6" s="1"/>
  <c r="J21" i="6"/>
  <c r="J25" i="6" s="1"/>
  <c r="J28" i="6" s="1"/>
  <c r="J23" i="6"/>
  <c r="J24" i="6" s="1"/>
  <c r="J27" i="6" s="1"/>
  <c r="R21" i="6"/>
  <c r="R25" i="6" s="1"/>
  <c r="R28" i="6" s="1"/>
  <c r="R23" i="6"/>
  <c r="R24" i="6" s="1"/>
  <c r="R27" i="6" s="1"/>
  <c r="R29" i="6" s="1"/>
  <c r="P53" i="6"/>
  <c r="P54" i="6" s="1"/>
  <c r="P57" i="6" s="1"/>
  <c r="P51" i="6"/>
  <c r="P55" i="6" s="1"/>
  <c r="P58" i="6" s="1"/>
  <c r="J51" i="6"/>
  <c r="J55" i="6" s="1"/>
  <c r="J58" i="6" s="1"/>
  <c r="J53" i="6"/>
  <c r="J54" i="6" s="1"/>
  <c r="J57" i="6" s="1"/>
  <c r="L53" i="6"/>
  <c r="L54" i="6" s="1"/>
  <c r="L57" i="6" s="1"/>
  <c r="L51" i="6"/>
  <c r="L55" i="6" s="1"/>
  <c r="L58" i="6" s="1"/>
  <c r="H41" i="6"/>
  <c r="L21" i="6"/>
  <c r="L25" i="6" s="1"/>
  <c r="L28" i="6" s="1"/>
  <c r="L23" i="6"/>
  <c r="L24" i="6" s="1"/>
  <c r="L27" i="6" s="1"/>
  <c r="L29" i="6" s="1"/>
  <c r="O25" i="6"/>
  <c r="H51" i="6"/>
  <c r="H55" i="6" s="1"/>
  <c r="H58" i="6" s="1"/>
  <c r="H53" i="6"/>
  <c r="H54" i="6" s="1"/>
  <c r="H57" i="6" s="1"/>
  <c r="E56" i="6"/>
  <c r="L38" i="6"/>
  <c r="L39" i="6" s="1"/>
  <c r="L42" i="6" s="1"/>
  <c r="L36" i="6"/>
  <c r="L40" i="6" s="1"/>
  <c r="L43" i="6" s="1"/>
  <c r="B4" i="2"/>
  <c r="B2" i="2"/>
  <c r="H59" i="6" l="1"/>
  <c r="J59" i="6"/>
  <c r="N44" i="6"/>
  <c r="L59" i="6"/>
  <c r="P59" i="6"/>
  <c r="B5" i="2"/>
  <c r="B6" i="2" s="1"/>
  <c r="A21" i="2"/>
  <c r="J29" i="6"/>
  <c r="J44" i="6"/>
  <c r="H29" i="6"/>
  <c r="L44" i="6"/>
  <c r="P44" i="6"/>
  <c r="N26" i="6"/>
  <c r="N28" i="6"/>
  <c r="N29" i="6" s="1"/>
  <c r="O26" i="6"/>
  <c r="O28" i="6"/>
  <c r="O29" i="6" s="1"/>
  <c r="H26" i="6"/>
  <c r="J26" i="6"/>
  <c r="L26" i="6"/>
  <c r="H56" i="6"/>
  <c r="P41" i="6"/>
  <c r="J56" i="6"/>
  <c r="J41" i="6"/>
  <c r="L56" i="6"/>
  <c r="N41" i="6"/>
  <c r="P25" i="6"/>
  <c r="L41" i="6"/>
  <c r="P56" i="6"/>
  <c r="C4" i="2"/>
  <c r="D7" i="2" l="1"/>
  <c r="P26" i="6"/>
  <c r="P28" i="6"/>
  <c r="P29" i="6" s="1"/>
  <c r="B6" i="4"/>
  <c r="B9" i="2" l="1"/>
  <c r="B12" i="4" s="1"/>
  <c r="E7" i="2"/>
  <c r="F7" i="2" s="1"/>
  <c r="B7" i="4"/>
  <c r="D10" i="2" l="1"/>
  <c r="B7" i="2"/>
  <c r="B8" i="2" l="1"/>
  <c r="B9" i="4" s="1"/>
  <c r="B10" i="2"/>
  <c r="D12" i="2" s="1"/>
  <c r="E12" i="2" s="1"/>
  <c r="B12" i="2" s="1"/>
  <c r="B10" i="4"/>
  <c r="B13" i="2" l="1"/>
  <c r="B11" i="2" s="1"/>
  <c r="B13" i="4" s="1"/>
  <c r="E10" i="2"/>
  <c r="F10" i="2" s="1"/>
  <c r="B14" i="4"/>
  <c r="B18" i="4"/>
  <c r="B16" i="4" l="1"/>
  <c r="B17" i="4" s="1"/>
  <c r="Q26" i="6"/>
  <c r="R26" i="6"/>
  <c r="S26" i="6"/>
  <c r="B41" i="6"/>
</calcChain>
</file>

<file path=xl/sharedStrings.xml><?xml version="1.0" encoding="utf-8"?>
<sst xmlns="http://schemas.openxmlformats.org/spreadsheetml/2006/main" count="109" uniqueCount="76">
  <si>
    <t>More Information</t>
  </si>
  <si>
    <t>1. Enter Household Family Size (Required)</t>
  </si>
  <si>
    <t>What is the definition of Family Size and Household Dependents: §809.2(12)-(13)</t>
  </si>
  <si>
    <t>2. Enter Monthly Income (Required)</t>
  </si>
  <si>
    <t>What income is excluded from family income: §809.44</t>
  </si>
  <si>
    <t>3. Enter Children Receiving Child Care (Required)</t>
  </si>
  <si>
    <t>Number of children receiving care must be less than the family size</t>
  </si>
  <si>
    <t>Percent State Median Income (SMI)</t>
  </si>
  <si>
    <t>Cannot be greater than 85% to be eligible: §809.41</t>
  </si>
  <si>
    <t>Is the Family Eligible?</t>
  </si>
  <si>
    <t xml:space="preserve">PSoC Percent of Income for One Child </t>
  </si>
  <si>
    <t>Cannot be greater than 7% of family income: §809.19</t>
  </si>
  <si>
    <t>Additional Children in Care</t>
  </si>
  <si>
    <t>PSoC Percent of Income for Additional Children</t>
  </si>
  <si>
    <t>Total Monthly PSoC Amount (Est.)</t>
  </si>
  <si>
    <t>Total Weekly PSoC Amount (Est.)</t>
  </si>
  <si>
    <t>Total PSoC as a Percent of Income</t>
  </si>
  <si>
    <t>% State Median Income (SMI)</t>
  </si>
  <si>
    <t>PSOC as a % of Income - 1 Child</t>
  </si>
  <si>
    <t>Add 0.15% for each additional child up to 7% of income</t>
  </si>
  <si>
    <t>FAMILY SIZE:  2</t>
  </si>
  <si>
    <t>Monthly Income</t>
  </si>
  <si>
    <t>% SMI (Calculation)</t>
  </si>
  <si>
    <t>PSoC % of Income (Calculation)</t>
  </si>
  <si>
    <t>PSoC 7% Cap (Calculation)</t>
  </si>
  <si>
    <t>Monthly PSoC (Calculation)</t>
  </si>
  <si>
    <t>Total PSoC 7% Cap (Calculation)</t>
  </si>
  <si>
    <t>Weekly PSoC</t>
  </si>
  <si>
    <t>FAMILY SIZE:  3</t>
  </si>
  <si>
    <t>PSoC - 1st Child(Calculation)</t>
  </si>
  <si>
    <t>PSoC % of Income-2nd Child (Calculation)</t>
  </si>
  <si>
    <t>Total PSoC % of Income (Calculation)</t>
  </si>
  <si>
    <t>Monthly PSoC - 1st Child</t>
  </si>
  <si>
    <t>Monthly PSoC - 2nd Child</t>
  </si>
  <si>
    <t>Weekly PSoC - 1st Child</t>
  </si>
  <si>
    <t>Weekly PSoC - 2nd Child</t>
  </si>
  <si>
    <t>FAMILY SIZE:  4</t>
  </si>
  <si>
    <t>FAMILY SIZE:  5</t>
  </si>
  <si>
    <t>Use the PSoC Calculator to calculate the PSoC amount for your family size, monthly income and the number of children in care.</t>
  </si>
  <si>
    <t>SMI%</t>
  </si>
  <si>
    <t>PARENT SHARE OF COST CALCULATOR</t>
  </si>
  <si>
    <t>Calculations</t>
  </si>
  <si>
    <t>Notes</t>
  </si>
  <si>
    <t>Enter Family Size</t>
  </si>
  <si>
    <t>1. Enter Family Size</t>
  </si>
  <si>
    <t>Enter Monthly Income</t>
  </si>
  <si>
    <t>2. Enter Monthly Income</t>
  </si>
  <si>
    <t>Enter Children In Care</t>
  </si>
  <si>
    <t>3. Enter Children Receiving CCS (must be less than the family size)</t>
  </si>
  <si>
    <t>% SMI</t>
  </si>
  <si>
    <t>4. % SMI for family size and income</t>
  </si>
  <si>
    <t>Family Eligible</t>
  </si>
  <si>
    <t>5. Not eligible if % SMI is greater than 85%</t>
  </si>
  <si>
    <t>PSoC% - 1 Child</t>
  </si>
  <si>
    <t xml:space="preserve">6. If eligible (B6) and income is less than 1% SMI (B8), D7: % SMI minus 1 to get 1% to 0, multiply result by .066%, add 2 percentage points to start scale at 2% of income.E2: if B6 is not eligible, result is null; if eligible, result is D7 calculation; F7: if D7 result is greater than 7%, cap result at 7% of income </t>
  </si>
  <si>
    <t>PSoC - 1 Child</t>
  </si>
  <si>
    <t>7. If eligible (B6), multiply monthly income (B3) by PSoC % income result for the first child (B7), rounded to nearest $</t>
  </si>
  <si>
    <t>Add'l Children</t>
  </si>
  <si>
    <t>8. If eligible (B6), additional children = children in care minus the first child</t>
  </si>
  <si>
    <t>PSoC% Add'l Children</t>
  </si>
  <si>
    <t>9. If eligible (B6), perform calcuation at D10. D10: if % for 1 child is 7%, then no additional amount; if less than 7%, then multiply % SMI (B5) by 1.5% for addt'l child, multiply result by the total number of additional children (B9).  E10: Yes, if total PSoC% (B7+B10) is greater than 7%, No, if less than 7%. F10: if total PSoC% is less than 7%, then result is the additional child calculation at D10</t>
  </si>
  <si>
    <t>PSoC - Add'l Children</t>
  </si>
  <si>
    <t>12. If eligible (B6), subtract the PSoC amount for 1 child (B8) from the total PSoC (B13) to get the amount for additional children</t>
  </si>
  <si>
    <t>Total PSoC %</t>
  </si>
  <si>
    <t>10. If elgibile (B6), D12: add PSoC % for 1 child (B7) , plus the PSoC % for additional children (B10) to get the total PSoC%; E12: if total PSoC% (D12) is greater than 7%, cap the % at 7%.</t>
  </si>
  <si>
    <t>TOTAL PSOC</t>
  </si>
  <si>
    <t>11. If eligible (B6), multiply the total PSoC % (B12) by monthly income (B3) to get the total PSoC amount</t>
  </si>
  <si>
    <t>Family Size</t>
  </si>
  <si>
    <t>100% SMI per Family Size</t>
  </si>
  <si>
    <t>PSoC Monthly Amount for One Child in Care (Est.)</t>
  </si>
  <si>
    <t>PSoC Monthly Amount for the Additional Children (Est.)</t>
  </si>
  <si>
    <t>Parent Share of Cost (PSOC) Sliding Fee Scale (BCY2025)</t>
  </si>
  <si>
    <t>PARENT SHARE OF COST (PSOC) ESTIMATION CALCULATOR (BCY2025)</t>
  </si>
  <si>
    <t>Monthly PSoC</t>
  </si>
  <si>
    <t>Monthly Total PSoC</t>
  </si>
  <si>
    <t>*The amount is for the 2nd child.  For each additional child the estimated additional amount is approximately the amount for the 2nd child plus $1 up to 7% of the monthly income.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</si>
</sst>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"/>
    <numFmt numFmtId="165" formatCode="_(&quot;$&quot;* #,##0_);_(&quot;$&quot;* \(#,##0\);_(&quot;$&quot;* &quot;-&quot;??_);_(@_)"/>
    <numFmt numFmtId="166" formatCode="0.0000%"/>
    <numFmt numFmtId="167" formatCode="0.000%"/>
    <numFmt numFmtId="168" formatCode="&quot;$&quot;#,##0"/>
    <numFmt numFmtId="169" formatCode="&quot;$&quot;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4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  <font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0" fillId="0" borderId="0" xfId="0" applyProtection="1">
      <protection locked="0"/>
    </xf>
    <xf numFmtId="10" fontId="0" fillId="0" borderId="0" xfId="2" applyNumberFormat="1" applyFont="1" applyProtection="1">
      <protection locked="0"/>
    </xf>
    <xf numFmtId="0" fontId="2" fillId="0" borderId="0" xfId="0" applyFont="1" applyProtection="1"/>
    <xf numFmtId="0" fontId="0" fillId="0" borderId="0" xfId="0" applyProtection="1"/>
    <xf numFmtId="2" fontId="0" fillId="0" borderId="0" xfId="0" applyNumberFormat="1" applyProtection="1"/>
    <xf numFmtId="10" fontId="0" fillId="0" borderId="0" xfId="0" applyNumberFormat="1" applyProtection="1"/>
    <xf numFmtId="44" fontId="0" fillId="0" borderId="0" xfId="0" applyNumberFormat="1" applyProtection="1"/>
    <xf numFmtId="164" fontId="0" fillId="0" borderId="0" xfId="0" quotePrefix="1" applyNumberFormat="1" applyProtection="1"/>
    <xf numFmtId="0" fontId="0" fillId="0" borderId="0" xfId="0" quotePrefix="1" applyProtection="1"/>
    <xf numFmtId="166" fontId="0" fillId="0" borderId="0" xfId="2" applyNumberFormat="1" applyFont="1" applyProtection="1">
      <protection locked="0"/>
    </xf>
    <xf numFmtId="0" fontId="3" fillId="0" borderId="0" xfId="0" applyFont="1" applyProtection="1"/>
    <xf numFmtId="0" fontId="5" fillId="0" borderId="0" xfId="0" applyFont="1" applyProtection="1"/>
    <xf numFmtId="0" fontId="6" fillId="0" borderId="0" xfId="0" applyFont="1" applyProtection="1"/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5" fillId="0" borderId="6" xfId="0" applyFont="1" applyBorder="1" applyAlignment="1" applyProtection="1">
      <alignment horizontal="left" vertical="center"/>
    </xf>
    <xf numFmtId="0" fontId="5" fillId="0" borderId="2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/>
    </xf>
    <xf numFmtId="0" fontId="5" fillId="0" borderId="9" xfId="0" applyFont="1" applyBorder="1" applyAlignment="1" applyProtection="1">
      <alignment horizontal="right" vertical="center"/>
    </xf>
    <xf numFmtId="0" fontId="5" fillId="0" borderId="0" xfId="0" applyFont="1" applyBorder="1" applyAlignment="1" applyProtection="1">
      <alignment horizontal="right" vertical="center"/>
    </xf>
    <xf numFmtId="0" fontId="5" fillId="4" borderId="7" xfId="0" applyFont="1" applyFill="1" applyBorder="1" applyAlignment="1" applyProtection="1">
      <alignment horizontal="right" vertical="center"/>
      <protection locked="0"/>
    </xf>
    <xf numFmtId="165" fontId="5" fillId="4" borderId="8" xfId="1" applyNumberFormat="1" applyFont="1" applyFill="1" applyBorder="1" applyAlignment="1" applyProtection="1">
      <alignment horizontal="right" vertical="center"/>
      <protection locked="0"/>
    </xf>
    <xf numFmtId="0" fontId="5" fillId="4" borderId="9" xfId="0" applyFont="1" applyFill="1" applyBorder="1" applyAlignment="1" applyProtection="1">
      <alignment horizontal="right" vertical="center"/>
      <protection locked="0"/>
    </xf>
    <xf numFmtId="10" fontId="5" fillId="0" borderId="7" xfId="2" applyNumberFormat="1" applyFont="1" applyBorder="1" applyAlignment="1" applyProtection="1">
      <alignment horizontal="right" vertical="center"/>
    </xf>
    <xf numFmtId="44" fontId="5" fillId="3" borderId="7" xfId="1" applyFont="1" applyFill="1" applyBorder="1" applyAlignment="1" applyProtection="1">
      <alignment horizontal="right" vertical="center"/>
    </xf>
    <xf numFmtId="10" fontId="5" fillId="0" borderId="9" xfId="2" applyNumberFormat="1" applyFont="1" applyBorder="1" applyAlignment="1" applyProtection="1">
      <alignment horizontal="right" vertical="center"/>
    </xf>
    <xf numFmtId="0" fontId="5" fillId="0" borderId="7" xfId="0" applyFont="1" applyBorder="1" applyAlignment="1" applyProtection="1">
      <alignment horizontal="right" vertical="center"/>
    </xf>
    <xf numFmtId="44" fontId="5" fillId="3" borderId="8" xfId="0" applyNumberFormat="1" applyFont="1" applyFill="1" applyBorder="1" applyAlignment="1" applyProtection="1">
      <alignment horizontal="right" vertical="center"/>
    </xf>
    <xf numFmtId="44" fontId="5" fillId="0" borderId="0" xfId="0" applyNumberFormat="1" applyFont="1" applyFill="1" applyBorder="1" applyAlignment="1" applyProtection="1">
      <alignment horizontal="right" vertical="center"/>
    </xf>
    <xf numFmtId="44" fontId="5" fillId="2" borderId="7" xfId="0" applyNumberFormat="1" applyFont="1" applyFill="1" applyBorder="1" applyAlignment="1" applyProtection="1">
      <alignment horizontal="right" vertical="center"/>
    </xf>
    <xf numFmtId="0" fontId="5" fillId="0" borderId="0" xfId="0" applyFont="1" applyAlignment="1" applyProtection="1">
      <alignment horizontal="right" vertical="center"/>
    </xf>
    <xf numFmtId="0" fontId="5" fillId="0" borderId="0" xfId="0" applyFont="1" applyAlignment="1" applyProtection="1">
      <alignment horizontal="left" vertical="center"/>
    </xf>
    <xf numFmtId="0" fontId="8" fillId="0" borderId="1" xfId="3" applyBorder="1" applyAlignment="1" applyProtection="1">
      <alignment horizontal="left" vertical="center" wrapText="1"/>
    </xf>
    <xf numFmtId="0" fontId="5" fillId="0" borderId="3" xfId="0" applyFont="1" applyFill="1" applyBorder="1" applyAlignment="1" applyProtection="1">
      <alignment horizontal="right" vertical="center"/>
    </xf>
    <xf numFmtId="0" fontId="7" fillId="0" borderId="0" xfId="0" applyFont="1" applyAlignment="1" applyProtection="1">
      <alignment horizontal="left" vertical="center"/>
    </xf>
    <xf numFmtId="10" fontId="5" fillId="0" borderId="0" xfId="2" applyNumberFormat="1" applyFont="1" applyProtection="1"/>
    <xf numFmtId="166" fontId="5" fillId="0" borderId="0" xfId="2" applyNumberFormat="1" applyFont="1" applyProtection="1"/>
    <xf numFmtId="10" fontId="5" fillId="0" borderId="0" xfId="2" applyNumberFormat="1" applyFont="1" applyAlignment="1" applyProtection="1">
      <alignment horizontal="right" vertical="center"/>
    </xf>
    <xf numFmtId="0" fontId="0" fillId="0" borderId="1" xfId="0" applyFont="1" applyBorder="1" applyAlignment="1" applyProtection="1">
      <alignment horizontal="left" vertical="center" wrapText="1"/>
    </xf>
    <xf numFmtId="0" fontId="2" fillId="0" borderId="0" xfId="0" applyFont="1" applyBorder="1" applyAlignment="1">
      <alignment horizontal="right" vertical="center"/>
    </xf>
    <xf numFmtId="0" fontId="0" fillId="0" borderId="0" xfId="0" applyBorder="1" applyProtection="1"/>
    <xf numFmtId="0" fontId="0" fillId="0" borderId="0" xfId="0" applyFill="1" applyBorder="1" applyProtection="1">
      <protection locked="0"/>
    </xf>
    <xf numFmtId="167" fontId="0" fillId="0" borderId="0" xfId="2" applyNumberFormat="1" applyFont="1" applyFill="1" applyBorder="1" applyProtection="1"/>
    <xf numFmtId="0" fontId="0" fillId="0" borderId="0" xfId="0" applyFill="1" applyBorder="1" applyAlignment="1" applyProtection="1">
      <alignment horizontal="right"/>
    </xf>
    <xf numFmtId="10" fontId="0" fillId="0" borderId="0" xfId="2" applyNumberFormat="1" applyFont="1" applyFill="1" applyBorder="1" applyProtection="1"/>
    <xf numFmtId="44" fontId="0" fillId="0" borderId="0" xfId="1" applyFont="1" applyFill="1" applyBorder="1" applyProtection="1"/>
    <xf numFmtId="0" fontId="0" fillId="0" borderId="0" xfId="0" applyFill="1" applyBorder="1" applyProtection="1"/>
    <xf numFmtId="44" fontId="0" fillId="0" borderId="0" xfId="0" applyNumberFormat="1" applyFill="1" applyBorder="1" applyProtection="1"/>
    <xf numFmtId="0" fontId="1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0" fillId="0" borderId="0" xfId="0" applyBorder="1"/>
    <xf numFmtId="0" fontId="13" fillId="0" borderId="0" xfId="0" applyFont="1" applyBorder="1" applyAlignment="1">
      <alignment horizontal="right"/>
    </xf>
    <xf numFmtId="168" fontId="13" fillId="0" borderId="0" xfId="1" applyNumberFormat="1" applyFont="1" applyFill="1" applyBorder="1" applyProtection="1"/>
    <xf numFmtId="168" fontId="0" fillId="0" borderId="0" xfId="1" applyNumberFormat="1" applyFont="1" applyFill="1" applyBorder="1" applyProtection="1"/>
    <xf numFmtId="9" fontId="0" fillId="0" borderId="0" xfId="2" applyFont="1" applyProtection="1">
      <protection locked="0"/>
    </xf>
    <xf numFmtId="0" fontId="13" fillId="6" borderId="0" xfId="0" applyFont="1" applyFill="1" applyBorder="1" applyAlignment="1">
      <alignment horizontal="right"/>
    </xf>
    <xf numFmtId="0" fontId="2" fillId="0" borderId="0" xfId="0" applyFont="1" applyBorder="1" applyAlignment="1">
      <alignment horizontal="right"/>
    </xf>
    <xf numFmtId="1" fontId="0" fillId="0" borderId="0" xfId="0" applyNumberFormat="1"/>
    <xf numFmtId="0" fontId="13" fillId="0" borderId="0" xfId="0" applyFont="1" applyFill="1" applyBorder="1" applyAlignment="1">
      <alignment horizontal="right"/>
    </xf>
    <xf numFmtId="0" fontId="0" fillId="0" borderId="0" xfId="0" applyFill="1" applyBorder="1"/>
    <xf numFmtId="167" fontId="0" fillId="0" borderId="0" xfId="2" applyNumberFormat="1" applyFont="1" applyProtection="1"/>
    <xf numFmtId="0" fontId="13" fillId="0" borderId="0" xfId="0" applyFont="1" applyBorder="1"/>
    <xf numFmtId="167" fontId="13" fillId="6" borderId="1" xfId="2" applyNumberFormat="1" applyFont="1" applyFill="1" applyBorder="1" applyProtection="1"/>
    <xf numFmtId="169" fontId="13" fillId="6" borderId="1" xfId="1" applyNumberFormat="1" applyFont="1" applyFill="1" applyBorder="1" applyProtection="1"/>
    <xf numFmtId="167" fontId="13" fillId="6" borderId="1" xfId="2" applyNumberFormat="1" applyFont="1" applyFill="1" applyBorder="1"/>
    <xf numFmtId="10" fontId="10" fillId="0" borderId="0" xfId="2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right" vertical="center" wrapText="1"/>
    </xf>
    <xf numFmtId="9" fontId="10" fillId="0" borderId="1" xfId="0" applyNumberFormat="1" applyFont="1" applyBorder="1" applyAlignment="1">
      <alignment horizontal="center" vertical="center"/>
    </xf>
    <xf numFmtId="10" fontId="10" fillId="0" borderId="1" xfId="2" applyNumberFormat="1" applyFont="1" applyBorder="1" applyAlignment="1">
      <alignment horizontal="center" vertical="center"/>
    </xf>
    <xf numFmtId="10" fontId="14" fillId="0" borderId="0" xfId="2" applyNumberFormat="1" applyFont="1" applyBorder="1" applyAlignment="1">
      <alignment horizontal="left" vertical="center"/>
    </xf>
    <xf numFmtId="167" fontId="13" fillId="6" borderId="10" xfId="2" applyNumberFormat="1" applyFont="1" applyFill="1" applyBorder="1" applyProtection="1"/>
    <xf numFmtId="167" fontId="13" fillId="6" borderId="11" xfId="2" applyNumberFormat="1" applyFont="1" applyFill="1" applyBorder="1" applyProtection="1"/>
    <xf numFmtId="169" fontId="13" fillId="6" borderId="10" xfId="1" applyNumberFormat="1" applyFont="1" applyFill="1" applyBorder="1" applyProtection="1"/>
    <xf numFmtId="169" fontId="13" fillId="6" borderId="11" xfId="1" applyNumberFormat="1" applyFont="1" applyFill="1" applyBorder="1" applyProtection="1"/>
    <xf numFmtId="169" fontId="13" fillId="0" borderId="12" xfId="4" applyNumberFormat="1" applyFont="1" applyBorder="1"/>
    <xf numFmtId="169" fontId="13" fillId="0" borderId="13" xfId="4" applyNumberFormat="1" applyFont="1" applyBorder="1"/>
    <xf numFmtId="169" fontId="13" fillId="0" borderId="14" xfId="4" applyNumberFormat="1" applyFont="1" applyBorder="1"/>
    <xf numFmtId="167" fontId="13" fillId="6" borderId="10" xfId="2" applyNumberFormat="1" applyFont="1" applyFill="1" applyBorder="1"/>
    <xf numFmtId="167" fontId="13" fillId="6" borderId="11" xfId="2" applyNumberFormat="1" applyFont="1" applyFill="1" applyBorder="1"/>
    <xf numFmtId="0" fontId="9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44" fontId="5" fillId="0" borderId="0" xfId="0" applyNumberFormat="1" applyFont="1" applyAlignment="1" applyProtection="1">
      <alignment horizontal="right" vertical="center"/>
    </xf>
    <xf numFmtId="44" fontId="5" fillId="0" borderId="0" xfId="0" applyNumberFormat="1" applyFont="1" applyProtection="1"/>
    <xf numFmtId="0" fontId="5" fillId="0" borderId="15" xfId="0" applyFont="1" applyBorder="1" applyAlignment="1" applyProtection="1">
      <alignment horizontal="left" vertical="center"/>
    </xf>
    <xf numFmtId="44" fontId="5" fillId="2" borderId="16" xfId="0" applyNumberFormat="1" applyFont="1" applyFill="1" applyBorder="1" applyAlignment="1" applyProtection="1">
      <alignment horizontal="right" vertical="center"/>
    </xf>
    <xf numFmtId="0" fontId="4" fillId="0" borderId="0" xfId="0" applyFont="1" applyAlignment="1" applyProtection="1">
      <alignment horizontal="left" vertical="center" wrapText="1"/>
    </xf>
    <xf numFmtId="0" fontId="12" fillId="5" borderId="17" xfId="0" applyFont="1" applyFill="1" applyBorder="1" applyAlignment="1">
      <alignment horizontal="left" vertical="center"/>
    </xf>
    <xf numFmtId="0" fontId="12" fillId="5" borderId="18" xfId="0" applyFont="1" applyFill="1" applyBorder="1" applyAlignment="1">
      <alignment horizontal="left" vertical="center"/>
    </xf>
    <xf numFmtId="0" fontId="12" fillId="5" borderId="19" xfId="0" applyFont="1" applyFill="1" applyBorder="1" applyAlignment="1">
      <alignment horizontal="left" vertical="center"/>
    </xf>
    <xf numFmtId="168" fontId="2" fillId="0" borderId="20" xfId="1" applyNumberFormat="1" applyFont="1" applyFill="1" applyBorder="1" applyProtection="1"/>
    <xf numFmtId="168" fontId="2" fillId="0" borderId="21" xfId="1" applyNumberFormat="1" applyFont="1" applyFill="1" applyBorder="1" applyProtection="1"/>
    <xf numFmtId="168" fontId="2" fillId="0" borderId="22" xfId="1" applyNumberFormat="1" applyFont="1" applyFill="1" applyBorder="1" applyProtection="1"/>
    <xf numFmtId="169" fontId="13" fillId="6" borderId="10" xfId="4" applyNumberFormat="1" applyFont="1" applyFill="1" applyBorder="1"/>
    <xf numFmtId="169" fontId="13" fillId="6" borderId="1" xfId="4" applyNumberFormat="1" applyFont="1" applyFill="1" applyBorder="1"/>
    <xf numFmtId="169" fontId="13" fillId="6" borderId="11" xfId="4" applyNumberFormat="1" applyFont="1" applyFill="1" applyBorder="1"/>
    <xf numFmtId="169" fontId="13" fillId="0" borderId="1" xfId="0" applyNumberFormat="1" applyFont="1" applyFill="1" applyBorder="1"/>
    <xf numFmtId="169" fontId="13" fillId="0" borderId="12" xfId="0" applyNumberFormat="1" applyFont="1" applyFill="1" applyBorder="1"/>
    <xf numFmtId="169" fontId="13" fillId="0" borderId="13" xfId="0" applyNumberFormat="1" applyFont="1" applyFill="1" applyBorder="1"/>
    <xf numFmtId="169" fontId="13" fillId="0" borderId="14" xfId="0" applyNumberFormat="1" applyFont="1" applyFill="1" applyBorder="1"/>
    <xf numFmtId="169" fontId="13" fillId="0" borderId="10" xfId="0" applyNumberFormat="1" applyFont="1" applyFill="1" applyBorder="1"/>
    <xf numFmtId="169" fontId="13" fillId="0" borderId="11" xfId="0" applyNumberFormat="1" applyFont="1" applyFill="1" applyBorder="1"/>
    <xf numFmtId="169" fontId="13" fillId="0" borderId="10" xfId="1" applyNumberFormat="1" applyFont="1" applyFill="1" applyBorder="1"/>
    <xf numFmtId="169" fontId="13" fillId="0" borderId="1" xfId="1" applyNumberFormat="1" applyFont="1" applyFill="1" applyBorder="1"/>
    <xf numFmtId="169" fontId="13" fillId="0" borderId="11" xfId="1" applyNumberFormat="1" applyFont="1" applyFill="1" applyBorder="1"/>
    <xf numFmtId="169" fontId="13" fillId="0" borderId="10" xfId="4" applyNumberFormat="1" applyFont="1" applyFill="1" applyBorder="1"/>
    <xf numFmtId="169" fontId="13" fillId="0" borderId="1" xfId="4" applyNumberFormat="1" applyFont="1" applyFill="1" applyBorder="1"/>
    <xf numFmtId="169" fontId="13" fillId="0" borderId="11" xfId="4" applyNumberFormat="1" applyFont="1" applyFill="1" applyBorder="1"/>
    <xf numFmtId="0" fontId="0" fillId="0" borderId="0" xfId="0" applyBorder="1" applyAlignment="1">
      <alignment horizontal="left" wrapText="1"/>
    </xf>
  </cellXfs>
  <cellStyles count="5">
    <cellStyle name="Comma" xfId="4" builtinId="3"/>
    <cellStyle name="Currency" xfId="1" builtinId="4"/>
    <cellStyle name="Hyperlink" xfId="3" builtinId="8"/>
    <cellStyle name="Normal" xfId="0" builtinId="0"/>
    <cellStyle name="Percent" xfId="2" builtinId="5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BC2789-9CE1-4248-857C-FB985A4BDCE7}" name="SMI" displayName="SMI" ref="A1:B16" totalsRowShown="0">
  <autoFilter ref="A1:B16" xr:uid="{D2E88AB2-484E-4435-B267-5635F1F8A2A7}"/>
  <tableColumns count="2">
    <tableColumn id="1" xr3:uid="{D6ADCAFB-F31C-41F9-A2ED-E9C6CD02271C}" name="Family Size"/>
    <tableColumn id="2" xr3:uid="{2EAAC4F6-2D6E-400F-84DE-3BDCE418FBAC}" name="100% SMI per Family Size" dataDxfId="2" dataCellStyle="Currenc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exreg.sos.state.tx.us/public/readtac$ext.TacPage?sl=R&amp;app=9&amp;p_dir=&amp;p_rloc=&amp;p_tloc=&amp;p_ploc=&amp;pg=1&amp;p_tac=&amp;ti=40&amp;pt=20&amp;ch=809&amp;rl=41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texreg.sos.state.tx.us/public/readtac$ext.TacPage?sl=R&amp;app=9&amp;p_dir=&amp;p_rloc=&amp;p_tloc=&amp;p_ploc=&amp;pg=1&amp;p_tac=&amp;ti=40&amp;pt=20&amp;ch=809&amp;rl=44" TargetMode="External"/><Relationship Id="rId1" Type="http://schemas.openxmlformats.org/officeDocument/2006/relationships/hyperlink" Target="https://texreg.sos.state.tx.us/public/readtac$ext.TacPage?sl=R&amp;app=9&amp;p_dir=&amp;p_rloc=&amp;p_tloc=&amp;p_ploc=&amp;pg=1&amp;p_tac=&amp;ti=40&amp;pt=20&amp;ch=809&amp;rl=21" TargetMode="External"/><Relationship Id="rId6" Type="http://schemas.openxmlformats.org/officeDocument/2006/relationships/hyperlink" Target="https://texreg.sos.state.tx.us/public/readtac$ext.TacPage?sl=R&amp;app=9&amp;p_dir=&amp;p_rloc=&amp;p_tloc=&amp;p_ploc=&amp;pg=1&amp;p_tac=&amp;ti=40&amp;pt=20&amp;ch=809&amp;rl=19" TargetMode="External"/><Relationship Id="rId5" Type="http://schemas.openxmlformats.org/officeDocument/2006/relationships/hyperlink" Target="https://texreg.sos.state.tx.us/public/readtac$ext.TacPage?sl=R&amp;app=9&amp;p_dir=&amp;p_rloc=&amp;p_tloc=&amp;p_ploc=&amp;pg=1&amp;p_tac=&amp;ti=40&amp;pt=20&amp;ch=809&amp;rl=19" TargetMode="External"/><Relationship Id="rId4" Type="http://schemas.openxmlformats.org/officeDocument/2006/relationships/hyperlink" Target="https://texreg.sos.state.tx.us/public/readtac$ext.TacPage?sl=R&amp;app=9&amp;p_dir=&amp;p_rloc=&amp;p_tloc=&amp;p_ploc=&amp;pg=1&amp;p_tac=&amp;ti=40&amp;pt=20&amp;ch=809&amp;rl=1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C4907-057D-4C58-88CF-C2D0EDF3769B}">
  <dimension ref="A1:J24"/>
  <sheetViews>
    <sheetView tabSelected="1" zoomScale="80" zoomScaleNormal="80" workbookViewId="0">
      <selection activeCell="B2" sqref="B2:B4"/>
    </sheetView>
  </sheetViews>
  <sheetFormatPr defaultColWidth="8.88671875" defaultRowHeight="30" customHeight="1" x14ac:dyDescent="0.4"/>
  <cols>
    <col min="1" max="1" width="67.44140625" style="32" customWidth="1"/>
    <col min="2" max="2" width="15.6640625" style="31" bestFit="1" customWidth="1"/>
    <col min="3" max="3" width="2.5546875" style="12" customWidth="1"/>
    <col min="4" max="4" width="47.109375" style="12" customWidth="1"/>
    <col min="5" max="5" width="8.88671875" style="12"/>
    <col min="6" max="6" width="15.6640625" style="12" bestFit="1" customWidth="1"/>
    <col min="7" max="16384" width="8.88671875" style="12"/>
  </cols>
  <sheetData>
    <row r="1" spans="1:10" ht="45.6" customHeight="1" thickBot="1" x14ac:dyDescent="0.45">
      <c r="A1" s="87" t="s">
        <v>72</v>
      </c>
      <c r="D1" s="32" t="s">
        <v>0</v>
      </c>
    </row>
    <row r="2" spans="1:10" ht="30" customHeight="1" x14ac:dyDescent="0.4">
      <c r="A2" s="14" t="s">
        <v>1</v>
      </c>
      <c r="B2" s="21"/>
      <c r="D2" s="33" t="s">
        <v>2</v>
      </c>
    </row>
    <row r="3" spans="1:10" ht="30" customHeight="1" x14ac:dyDescent="0.4">
      <c r="A3" s="15" t="s">
        <v>3</v>
      </c>
      <c r="B3" s="22"/>
      <c r="D3" s="33" t="s">
        <v>4</v>
      </c>
      <c r="F3" s="84"/>
    </row>
    <row r="4" spans="1:10" ht="30" customHeight="1" thickBot="1" x14ac:dyDescent="0.45">
      <c r="A4" s="16" t="s">
        <v>5</v>
      </c>
      <c r="B4" s="23"/>
      <c r="C4" s="13"/>
      <c r="D4" s="39" t="s">
        <v>6</v>
      </c>
    </row>
    <row r="5" spans="1:10" ht="10.199999999999999" customHeight="1" thickBot="1" x14ac:dyDescent="0.45">
      <c r="A5" s="17"/>
      <c r="B5" s="34"/>
      <c r="C5" s="13"/>
      <c r="D5" s="32"/>
    </row>
    <row r="6" spans="1:10" ht="30" customHeight="1" x14ac:dyDescent="0.4">
      <c r="A6" s="14" t="s">
        <v>7</v>
      </c>
      <c r="B6" s="24">
        <f>Calculations!B5</f>
        <v>0</v>
      </c>
      <c r="D6" s="33" t="s">
        <v>8</v>
      </c>
    </row>
    <row r="7" spans="1:10" ht="30" customHeight="1" thickBot="1" x14ac:dyDescent="0.45">
      <c r="A7" s="16" t="s">
        <v>9</v>
      </c>
      <c r="B7" s="19" t="str">
        <f>Calculations!B6</f>
        <v>Yes</v>
      </c>
      <c r="D7" s="32"/>
    </row>
    <row r="8" spans="1:10" ht="10.199999999999999" customHeight="1" thickBot="1" x14ac:dyDescent="0.45">
      <c r="A8" s="18"/>
      <c r="B8" s="20"/>
      <c r="D8" s="32"/>
    </row>
    <row r="9" spans="1:10" ht="30" customHeight="1" x14ac:dyDescent="0.4">
      <c r="A9" s="14" t="s">
        <v>69</v>
      </c>
      <c r="B9" s="25">
        <f>Calculations!B8</f>
        <v>0</v>
      </c>
      <c r="D9" s="35"/>
    </row>
    <row r="10" spans="1:10" ht="30" customHeight="1" thickBot="1" x14ac:dyDescent="0.45">
      <c r="A10" s="16" t="s">
        <v>10</v>
      </c>
      <c r="B10" s="26">
        <f>Calculations!B7</f>
        <v>0</v>
      </c>
      <c r="D10" s="33" t="s">
        <v>11</v>
      </c>
      <c r="E10" s="36"/>
      <c r="J10" s="37"/>
    </row>
    <row r="11" spans="1:10" ht="10.199999999999999" customHeight="1" thickBot="1" x14ac:dyDescent="0.45">
      <c r="D11" s="35"/>
    </row>
    <row r="12" spans="1:10" ht="30" customHeight="1" x14ac:dyDescent="0.4">
      <c r="A12" s="14" t="s">
        <v>12</v>
      </c>
      <c r="B12" s="27">
        <f>IF(Calculations!B9=-1,0,Calculations!B9)</f>
        <v>0</v>
      </c>
      <c r="D12" s="35"/>
    </row>
    <row r="13" spans="1:10" ht="30" customHeight="1" x14ac:dyDescent="0.4">
      <c r="A13" s="15" t="s">
        <v>70</v>
      </c>
      <c r="B13" s="28">
        <f>Calculations!B11</f>
        <v>0</v>
      </c>
      <c r="D13" s="35"/>
    </row>
    <row r="14" spans="1:10" ht="30" customHeight="1" thickBot="1" x14ac:dyDescent="0.45">
      <c r="A14" s="16" t="s">
        <v>13</v>
      </c>
      <c r="B14" s="26">
        <f>Calculations!B10</f>
        <v>0</v>
      </c>
      <c r="D14" s="33" t="s">
        <v>11</v>
      </c>
    </row>
    <row r="15" spans="1:10" ht="10.199999999999999" customHeight="1" thickBot="1" x14ac:dyDescent="0.45">
      <c r="A15" s="18"/>
      <c r="B15" s="29"/>
      <c r="D15" s="35"/>
    </row>
    <row r="16" spans="1:10" ht="30" customHeight="1" x14ac:dyDescent="0.4">
      <c r="A16" s="14" t="s">
        <v>14</v>
      </c>
      <c r="B16" s="30">
        <f>Calculations!B13</f>
        <v>0</v>
      </c>
      <c r="D16" s="35"/>
    </row>
    <row r="17" spans="1:6" ht="30" customHeight="1" x14ac:dyDescent="0.4">
      <c r="A17" s="85" t="s">
        <v>15</v>
      </c>
      <c r="B17" s="86">
        <f>ROUND((B16/22)*5,0)</f>
        <v>0</v>
      </c>
      <c r="D17" s="35"/>
    </row>
    <row r="18" spans="1:6" ht="30" customHeight="1" thickBot="1" x14ac:dyDescent="0.45">
      <c r="A18" s="16" t="s">
        <v>16</v>
      </c>
      <c r="B18" s="26">
        <f>Calculations!B12</f>
        <v>0</v>
      </c>
      <c r="D18" s="33" t="s">
        <v>11</v>
      </c>
    </row>
    <row r="19" spans="1:6" ht="30" customHeight="1" x14ac:dyDescent="0.4">
      <c r="B19" s="38"/>
    </row>
    <row r="20" spans="1:6" ht="30" customHeight="1" x14ac:dyDescent="0.4">
      <c r="B20" s="83"/>
      <c r="D20" s="84"/>
      <c r="F20" s="36"/>
    </row>
    <row r="21" spans="1:6" ht="30" customHeight="1" x14ac:dyDescent="0.4">
      <c r="B21" s="83"/>
      <c r="D21" s="84"/>
    </row>
    <row r="22" spans="1:6" ht="30" customHeight="1" x14ac:dyDescent="0.4">
      <c r="B22" s="83"/>
    </row>
    <row r="23" spans="1:6" ht="30" customHeight="1" x14ac:dyDescent="0.4">
      <c r="B23" s="83"/>
    </row>
    <row r="24" spans="1:6" ht="30" customHeight="1" x14ac:dyDescent="0.4">
      <c r="B24" s="83"/>
    </row>
  </sheetData>
  <sheetProtection sheet="1" objects="1" scenarios="1"/>
  <conditionalFormatting sqref="B7:B9">
    <cfRule type="containsText" dxfId="1" priority="2" operator="containsText" text="No">
      <formula>NOT(ISERROR(SEARCH("No",B7)))</formula>
    </cfRule>
  </conditionalFormatting>
  <dataValidations xWindow="739" yWindow="309" count="3">
    <dataValidation type="whole" operator="lessThan" showInputMessage="1" showErrorMessage="1" errorTitle="Error" error="Number of children in care must be less than the family size" promptTitle="Children Recieving Care" prompt="Enter the number of children receiving child care.  This number must be lower than the Family Size." sqref="B4" xr:uid="{15E98EC1-55D5-47DF-8743-E8E775DA2527}">
      <formula1>B2</formula1>
    </dataValidation>
    <dataValidation allowBlank="1" showInputMessage="1" showErrorMessage="1" promptTitle="Family Size" prompt="Enter the number of all household residents: this includes the parent or parents, plus all household dependents, including dependents not receiving child care." sqref="B2" xr:uid="{57737D77-6D18-4938-AD6B-D7AD5CE99496}"/>
    <dataValidation allowBlank="1" showInputMessage="1" showErrorMessage="1" promptTitle="Monthly Income" prompt="Enter the family monthly income amount." sqref="B3" xr:uid="{1C83D54F-46A6-4405-9644-8FBCAD73BCF0}"/>
  </dataValidations>
  <hyperlinks>
    <hyperlink ref="D2" r:id="rId1" display="Child Care Rules: §809.2(12)-(13)" xr:uid="{7C5753FA-B3C4-432A-AD62-6D946835987B}"/>
    <hyperlink ref="D3" r:id="rId2" display="What income is included and excluded: §809.44" xr:uid="{567CBE4B-82E8-4E12-849F-99D320DDCB10}"/>
    <hyperlink ref="D6" r:id="rId3" xr:uid="{29E03A3E-79EF-4FF4-8E2B-E09B96BC4FA0}"/>
    <hyperlink ref="D10" r:id="rId4" xr:uid="{041AAC7E-72F1-4084-826B-F452B0F1BD0B}"/>
    <hyperlink ref="D14" r:id="rId5" xr:uid="{8C4FF3C4-195A-4279-95AA-711132D52826}"/>
    <hyperlink ref="D18" r:id="rId6" xr:uid="{283CE2CF-0728-495A-9D8A-A035FFECA1F5}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00BA6-D60E-4939-8781-87731A4BE5B2}">
  <sheetPr>
    <pageSetUpPr fitToPage="1"/>
  </sheetPr>
  <dimension ref="A1:S63"/>
  <sheetViews>
    <sheetView workbookViewId="0">
      <selection activeCell="B7" sqref="B7"/>
    </sheetView>
  </sheetViews>
  <sheetFormatPr defaultColWidth="8.88671875" defaultRowHeight="14.4" x14ac:dyDescent="0.3"/>
  <cols>
    <col min="1" max="1" width="21.6640625" style="52" customWidth="1"/>
    <col min="2" max="2" width="10" style="52" customWidth="1"/>
    <col min="3" max="3" width="10.44140625" style="52" bestFit="1" customWidth="1"/>
    <col min="4" max="4" width="10.44140625" style="52" hidden="1" customWidth="1"/>
    <col min="5" max="5" width="10.44140625" style="52" bestFit="1" customWidth="1"/>
    <col min="6" max="6" width="10.44140625" style="52" hidden="1" customWidth="1"/>
    <col min="7" max="7" width="10.44140625" style="52" bestFit="1" customWidth="1"/>
    <col min="8" max="8" width="10.44140625" style="52" hidden="1" customWidth="1"/>
    <col min="9" max="9" width="10.44140625" style="52" bestFit="1" customWidth="1"/>
    <col min="10" max="10" width="10.44140625" style="52" hidden="1" customWidth="1"/>
    <col min="11" max="11" width="10.44140625" style="52" bestFit="1" customWidth="1"/>
    <col min="12" max="12" width="10.44140625" style="52" hidden="1" customWidth="1"/>
    <col min="13" max="13" width="10.44140625" style="52" bestFit="1" customWidth="1"/>
    <col min="14" max="14" width="10.44140625" style="52" hidden="1" customWidth="1"/>
    <col min="15" max="15" width="10.44140625" style="52" bestFit="1" customWidth="1"/>
    <col min="16" max="16" width="10.44140625" style="52" hidden="1" customWidth="1"/>
    <col min="17" max="17" width="10.44140625" style="52" bestFit="1" customWidth="1"/>
    <col min="18" max="18" width="10.44140625" style="52" hidden="1" customWidth="1"/>
    <col min="19" max="19" width="10.44140625" style="52" bestFit="1" customWidth="1"/>
    <col min="20" max="16384" width="8.88671875" style="52"/>
  </cols>
  <sheetData>
    <row r="1" spans="1:19" ht="18" x14ac:dyDescent="0.35">
      <c r="B1" s="82" t="s">
        <v>71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</row>
    <row r="2" spans="1:19" ht="27" customHeight="1" x14ac:dyDescent="0.3">
      <c r="A2" s="68" t="s">
        <v>17</v>
      </c>
      <c r="B2" s="69">
        <f>B63</f>
        <v>0.05</v>
      </c>
      <c r="C2" s="69">
        <f t="shared" ref="C2:S2" si="0">C63</f>
        <v>0.2</v>
      </c>
      <c r="D2" s="69">
        <f t="shared" si="0"/>
        <v>0.2</v>
      </c>
      <c r="E2" s="69">
        <f t="shared" si="0"/>
        <v>0.3</v>
      </c>
      <c r="F2" s="69">
        <f t="shared" si="0"/>
        <v>0.3</v>
      </c>
      <c r="G2" s="69">
        <f t="shared" si="0"/>
        <v>0.4</v>
      </c>
      <c r="H2" s="69">
        <f t="shared" si="0"/>
        <v>0.4</v>
      </c>
      <c r="I2" s="69">
        <f t="shared" si="0"/>
        <v>0.5</v>
      </c>
      <c r="J2" s="69">
        <f t="shared" si="0"/>
        <v>0.5</v>
      </c>
      <c r="K2" s="69">
        <f t="shared" si="0"/>
        <v>0.6</v>
      </c>
      <c r="L2" s="69">
        <f t="shared" si="0"/>
        <v>0.6</v>
      </c>
      <c r="M2" s="69">
        <f t="shared" si="0"/>
        <v>0.7</v>
      </c>
      <c r="N2" s="69">
        <f t="shared" si="0"/>
        <v>0.7</v>
      </c>
      <c r="O2" s="69">
        <f t="shared" si="0"/>
        <v>0.75</v>
      </c>
      <c r="P2" s="69">
        <f t="shared" si="0"/>
        <v>0.75</v>
      </c>
      <c r="Q2" s="69">
        <f t="shared" si="0"/>
        <v>0.8</v>
      </c>
      <c r="R2" s="69">
        <f t="shared" si="0"/>
        <v>0.8</v>
      </c>
      <c r="S2" s="69">
        <f t="shared" si="0"/>
        <v>0.85</v>
      </c>
    </row>
    <row r="3" spans="1:19" ht="28.8" x14ac:dyDescent="0.3">
      <c r="A3" s="68" t="s">
        <v>18</v>
      </c>
      <c r="B3" s="70">
        <f>IF(B9&gt;0.07,0.07,B9)</f>
        <v>2.2670660000000002E-2</v>
      </c>
      <c r="C3" s="70">
        <f t="shared" ref="C3:S3" si="1">IF(C9&gt;0.07,0.07,C9)</f>
        <v>3.2656664000000002E-2</v>
      </c>
      <c r="D3" s="70">
        <f t="shared" si="1"/>
        <v>3.2667986000000003E-2</v>
      </c>
      <c r="E3" s="70">
        <f t="shared" si="1"/>
        <v>3.9317996000000001E-2</v>
      </c>
      <c r="F3" s="70">
        <f t="shared" si="1"/>
        <v>3.9329983999999998E-2</v>
      </c>
      <c r="G3" s="70">
        <f t="shared" si="1"/>
        <v>4.5979994000000003E-2</v>
      </c>
      <c r="H3" s="70">
        <f t="shared" si="1"/>
        <v>4.5991316000000004E-2</v>
      </c>
      <c r="I3" s="70">
        <f t="shared" si="1"/>
        <v>5.2641326000000002E-2</v>
      </c>
      <c r="J3" s="70">
        <f t="shared" si="1"/>
        <v>5.2652647999999996E-2</v>
      </c>
      <c r="K3" s="70">
        <f t="shared" si="1"/>
        <v>5.9302658000000008E-2</v>
      </c>
      <c r="L3" s="70">
        <f t="shared" si="1"/>
        <v>5.9313980000000002E-2</v>
      </c>
      <c r="M3" s="70">
        <f t="shared" si="1"/>
        <v>6.596399E-2</v>
      </c>
      <c r="N3" s="70">
        <f t="shared" si="1"/>
        <v>6.5975312000000008E-2</v>
      </c>
      <c r="O3" s="70">
        <f t="shared" si="1"/>
        <v>6.9289327999999997E-2</v>
      </c>
      <c r="P3" s="70">
        <f t="shared" si="1"/>
        <v>6.9300649999999991E-2</v>
      </c>
      <c r="Q3" s="70">
        <f t="shared" si="1"/>
        <v>7.0000000000000007E-2</v>
      </c>
      <c r="R3" s="70">
        <f t="shared" si="1"/>
        <v>7.0000000000000007E-2</v>
      </c>
      <c r="S3" s="70">
        <f t="shared" si="1"/>
        <v>7.0000000000000007E-2</v>
      </c>
    </row>
    <row r="4" spans="1:19" x14ac:dyDescent="0.3">
      <c r="A4" s="68"/>
      <c r="B4" s="71" t="s">
        <v>19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</row>
    <row r="5" spans="1:19" ht="6.6" customHeight="1" thickBot="1" x14ac:dyDescent="0.35">
      <c r="A5" s="40"/>
      <c r="B5" s="49"/>
      <c r="C5" s="50"/>
      <c r="D5" s="49"/>
      <c r="E5" s="50"/>
      <c r="F5" s="49"/>
      <c r="G5" s="50"/>
      <c r="H5" s="49"/>
      <c r="I5" s="50"/>
      <c r="J5" s="49"/>
      <c r="K5" s="50"/>
      <c r="L5" s="49"/>
      <c r="M5" s="50"/>
      <c r="N5" s="49"/>
      <c r="O5" s="50"/>
      <c r="P5" s="49"/>
      <c r="Q5" s="50"/>
      <c r="R5" s="51"/>
      <c r="S5" s="51"/>
    </row>
    <row r="6" spans="1:19" ht="15" thickBot="1" x14ac:dyDescent="0.35">
      <c r="A6" s="58"/>
      <c r="B6" s="88" t="s">
        <v>20</v>
      </c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90"/>
    </row>
    <row r="7" spans="1:19" x14ac:dyDescent="0.3">
      <c r="A7" s="58" t="s">
        <v>21</v>
      </c>
      <c r="B7" s="91">
        <f>ROUNDUP(FFY25SMI!$B3*B$63,0)</f>
        <v>293</v>
      </c>
      <c r="C7" s="92">
        <f>ROUNDUP(FFY25SMI!$B3*C$63,0)</f>
        <v>1170</v>
      </c>
      <c r="D7" s="92">
        <f>C7+1</f>
        <v>1171</v>
      </c>
      <c r="E7" s="92">
        <f>ROUNDUP(FFY25SMI!$B3*E$63,0)</f>
        <v>1755</v>
      </c>
      <c r="F7" s="92">
        <f t="shared" ref="F7" si="2">E7+1</f>
        <v>1756</v>
      </c>
      <c r="G7" s="92">
        <f>ROUNDUP(FFY25SMI!$B3*G$63,0)</f>
        <v>2340</v>
      </c>
      <c r="H7" s="92">
        <f t="shared" ref="H7" si="3">G7+1</f>
        <v>2341</v>
      </c>
      <c r="I7" s="92">
        <f>ROUNDUP(FFY25SMI!$B3*I$63,0)</f>
        <v>2925</v>
      </c>
      <c r="J7" s="92">
        <f t="shared" ref="J7" si="4">I7+1</f>
        <v>2926</v>
      </c>
      <c r="K7" s="92">
        <f>ROUNDUP(FFY25SMI!$B3*K$63,0)</f>
        <v>3510</v>
      </c>
      <c r="L7" s="92">
        <f t="shared" ref="L7" si="5">K7+1</f>
        <v>3511</v>
      </c>
      <c r="M7" s="92">
        <f>ROUNDUP(FFY25SMI!$B3*M$63,0)</f>
        <v>4095</v>
      </c>
      <c r="N7" s="92">
        <f t="shared" ref="N7" si="6">M7+1</f>
        <v>4096</v>
      </c>
      <c r="O7" s="92">
        <f>ROUNDUP(FFY25SMI!$B3*O$63,0)</f>
        <v>4387</v>
      </c>
      <c r="P7" s="92">
        <f t="shared" ref="P7" si="7">O7+1</f>
        <v>4388</v>
      </c>
      <c r="Q7" s="92">
        <f>ROUNDUP(FFY25SMI!$B3*Q$63,0)</f>
        <v>4679</v>
      </c>
      <c r="R7" s="92">
        <f t="shared" ref="R7" si="8">Q7+1</f>
        <v>4680</v>
      </c>
      <c r="S7" s="93">
        <f>ROUND(FFY25SMI!$B3*S$63,0)</f>
        <v>4971</v>
      </c>
    </row>
    <row r="8" spans="1:19" hidden="1" x14ac:dyDescent="0.3">
      <c r="A8" s="57" t="s">
        <v>22</v>
      </c>
      <c r="B8" s="72">
        <f>ROUND(B7/FFY25SMI!$B$3,5)</f>
        <v>5.0099999999999999E-2</v>
      </c>
      <c r="C8" s="64">
        <f>ROUND(C7/FFY25SMI!$B$3,5)</f>
        <v>0.20004</v>
      </c>
      <c r="D8" s="64">
        <f>ROUND(D7/FFY25SMI!$B$3,5)</f>
        <v>0.20021</v>
      </c>
      <c r="E8" s="64">
        <f>ROUND(E7/FFY25SMI!$B$3,5)</f>
        <v>0.30005999999999999</v>
      </c>
      <c r="F8" s="64">
        <f>ROUND(F7/FFY25SMI!$B$3,5)</f>
        <v>0.30024000000000001</v>
      </c>
      <c r="G8" s="64">
        <f>ROUND(G7/FFY25SMI!$B$3,5)</f>
        <v>0.40009</v>
      </c>
      <c r="H8" s="64">
        <f>ROUND(H7/FFY25SMI!$B$3,5)</f>
        <v>0.40026</v>
      </c>
      <c r="I8" s="64">
        <f>ROUND(I7/FFY25SMI!$B$3,5)</f>
        <v>0.50011000000000005</v>
      </c>
      <c r="J8" s="64">
        <f>ROUND(J7/FFY25SMI!$B$3,5)</f>
        <v>0.50027999999999995</v>
      </c>
      <c r="K8" s="64">
        <f>ROUND(K7/FFY25SMI!$B$3,5)</f>
        <v>0.60013000000000005</v>
      </c>
      <c r="L8" s="64">
        <f>ROUND(L7/FFY25SMI!$B$3,5)</f>
        <v>0.60029999999999994</v>
      </c>
      <c r="M8" s="64">
        <f>ROUND(M7/FFY25SMI!$B$3,5)</f>
        <v>0.70015000000000005</v>
      </c>
      <c r="N8" s="64">
        <f>ROUND(N7/FFY25SMI!$B$3,5)</f>
        <v>0.70032000000000005</v>
      </c>
      <c r="O8" s="64">
        <f>ROUND(O7/FFY25SMI!$B$3,5)</f>
        <v>0.75007999999999997</v>
      </c>
      <c r="P8" s="64">
        <f>ROUND(P7/FFY25SMI!$B$3,5)</f>
        <v>0.75024999999999997</v>
      </c>
      <c r="Q8" s="64">
        <f>ROUND(Q7/FFY25SMI!$B$3,5)</f>
        <v>0.8</v>
      </c>
      <c r="R8" s="64">
        <f>ROUND(R7/FFY25SMI!$B$3,5)</f>
        <v>0.80017000000000005</v>
      </c>
      <c r="S8" s="73">
        <f>ROUND(S7/FFY25SMI!$B$3,5)</f>
        <v>0.84992999999999996</v>
      </c>
    </row>
    <row r="9" spans="1:19" s="61" customFormat="1" hidden="1" x14ac:dyDescent="0.3">
      <c r="A9" s="57" t="s">
        <v>23</v>
      </c>
      <c r="B9" s="72">
        <f>IF(B8&lt;0.01,0,(((B8*100)-1)*0.000666)+0.02)</f>
        <v>2.2670660000000002E-2</v>
      </c>
      <c r="C9" s="64">
        <f t="shared" ref="C9:S9" si="9">IF(C8&lt;0.01,0,(((C8*100)-1)*0.000666)+0.02)</f>
        <v>3.2656664000000002E-2</v>
      </c>
      <c r="D9" s="64">
        <f t="shared" si="9"/>
        <v>3.2667986000000003E-2</v>
      </c>
      <c r="E9" s="64">
        <f t="shared" si="9"/>
        <v>3.9317996000000001E-2</v>
      </c>
      <c r="F9" s="64">
        <f t="shared" si="9"/>
        <v>3.9329983999999998E-2</v>
      </c>
      <c r="G9" s="64">
        <f t="shared" si="9"/>
        <v>4.5979994000000003E-2</v>
      </c>
      <c r="H9" s="64">
        <f t="shared" si="9"/>
        <v>4.5991316000000004E-2</v>
      </c>
      <c r="I9" s="64">
        <f t="shared" si="9"/>
        <v>5.2641326000000002E-2</v>
      </c>
      <c r="J9" s="64">
        <f t="shared" si="9"/>
        <v>5.2652647999999996E-2</v>
      </c>
      <c r="K9" s="64">
        <f t="shared" si="9"/>
        <v>5.9302658000000008E-2</v>
      </c>
      <c r="L9" s="64">
        <f t="shared" si="9"/>
        <v>5.9313980000000002E-2</v>
      </c>
      <c r="M9" s="64">
        <f t="shared" si="9"/>
        <v>6.596399E-2</v>
      </c>
      <c r="N9" s="64">
        <f t="shared" si="9"/>
        <v>6.5975312000000008E-2</v>
      </c>
      <c r="O9" s="64">
        <f t="shared" si="9"/>
        <v>6.9289327999999997E-2</v>
      </c>
      <c r="P9" s="64">
        <f t="shared" si="9"/>
        <v>6.9300649999999991E-2</v>
      </c>
      <c r="Q9" s="64">
        <f t="shared" si="9"/>
        <v>7.2613999999999998E-2</v>
      </c>
      <c r="R9" s="64">
        <f t="shared" si="9"/>
        <v>7.2625322000000006E-2</v>
      </c>
      <c r="S9" s="73">
        <f t="shared" si="9"/>
        <v>7.5939337999999995E-2</v>
      </c>
    </row>
    <row r="10" spans="1:19" hidden="1" x14ac:dyDescent="0.3">
      <c r="A10" s="57" t="s">
        <v>24</v>
      </c>
      <c r="B10" s="74">
        <f t="shared" ref="B10" si="10">ROUND(B7*0.07,0)</f>
        <v>21</v>
      </c>
      <c r="C10" s="65">
        <f t="shared" ref="C10:S10" si="11">ROUND(C7*0.07,0)</f>
        <v>82</v>
      </c>
      <c r="D10" s="65">
        <f t="shared" si="11"/>
        <v>82</v>
      </c>
      <c r="E10" s="65">
        <f t="shared" si="11"/>
        <v>123</v>
      </c>
      <c r="F10" s="65">
        <f t="shared" si="11"/>
        <v>123</v>
      </c>
      <c r="G10" s="65">
        <f t="shared" si="11"/>
        <v>164</v>
      </c>
      <c r="H10" s="65">
        <f t="shared" si="11"/>
        <v>164</v>
      </c>
      <c r="I10" s="65">
        <f t="shared" si="11"/>
        <v>205</v>
      </c>
      <c r="J10" s="65">
        <f t="shared" si="11"/>
        <v>205</v>
      </c>
      <c r="K10" s="65">
        <f t="shared" si="11"/>
        <v>246</v>
      </c>
      <c r="L10" s="65">
        <f t="shared" si="11"/>
        <v>246</v>
      </c>
      <c r="M10" s="65">
        <f t="shared" si="11"/>
        <v>287</v>
      </c>
      <c r="N10" s="65">
        <f t="shared" si="11"/>
        <v>287</v>
      </c>
      <c r="O10" s="65">
        <f t="shared" si="11"/>
        <v>307</v>
      </c>
      <c r="P10" s="65">
        <f t="shared" si="11"/>
        <v>307</v>
      </c>
      <c r="Q10" s="65">
        <f t="shared" si="11"/>
        <v>328</v>
      </c>
      <c r="R10" s="65">
        <f t="shared" si="11"/>
        <v>328</v>
      </c>
      <c r="S10" s="75">
        <f t="shared" si="11"/>
        <v>348</v>
      </c>
    </row>
    <row r="11" spans="1:19" hidden="1" x14ac:dyDescent="0.3">
      <c r="A11" s="57" t="s">
        <v>25</v>
      </c>
      <c r="B11" s="74">
        <f>B9*B7</f>
        <v>6.6425033800000008</v>
      </c>
      <c r="C11" s="65">
        <f t="shared" ref="C11:S11" si="12">C9*C7</f>
        <v>38.208296879999999</v>
      </c>
      <c r="D11" s="65">
        <f t="shared" si="12"/>
        <v>38.254211606000005</v>
      </c>
      <c r="E11" s="65">
        <f t="shared" si="12"/>
        <v>69.003082980000002</v>
      </c>
      <c r="F11" s="65">
        <f t="shared" si="12"/>
        <v>69.06345190399999</v>
      </c>
      <c r="G11" s="65">
        <f t="shared" si="12"/>
        <v>107.59318596000001</v>
      </c>
      <c r="H11" s="65">
        <f t="shared" si="12"/>
        <v>107.66567075600001</v>
      </c>
      <c r="I11" s="65">
        <f t="shared" si="12"/>
        <v>153.97587855</v>
      </c>
      <c r="J11" s="65">
        <f t="shared" si="12"/>
        <v>154.061648048</v>
      </c>
      <c r="K11" s="65">
        <f t="shared" si="12"/>
        <v>208.15232958000001</v>
      </c>
      <c r="L11" s="65">
        <f t="shared" si="12"/>
        <v>208.25138378</v>
      </c>
      <c r="M11" s="65">
        <f t="shared" si="12"/>
        <v>270.12253905</v>
      </c>
      <c r="N11" s="65">
        <f t="shared" si="12"/>
        <v>270.23487795200003</v>
      </c>
      <c r="O11" s="65">
        <f t="shared" si="12"/>
        <v>303.972281936</v>
      </c>
      <c r="P11" s="65">
        <f t="shared" si="12"/>
        <v>304.09125219999999</v>
      </c>
      <c r="Q11" s="65">
        <f t="shared" si="12"/>
        <v>339.76090599999998</v>
      </c>
      <c r="R11" s="65">
        <f t="shared" si="12"/>
        <v>339.88650696000002</v>
      </c>
      <c r="S11" s="75">
        <f t="shared" si="12"/>
        <v>377.49444919799998</v>
      </c>
    </row>
    <row r="12" spans="1:19" hidden="1" x14ac:dyDescent="0.3">
      <c r="A12" s="57" t="s">
        <v>26</v>
      </c>
      <c r="B12" s="72">
        <f t="shared" ref="B12" si="13">IF(B9&gt;0.07,0.07,B9)</f>
        <v>2.2670660000000002E-2</v>
      </c>
      <c r="C12" s="64">
        <f t="shared" ref="C12:S12" si="14">IF(C9&gt;0.07,0.07,C9)</f>
        <v>3.2656664000000002E-2</v>
      </c>
      <c r="D12" s="64">
        <f t="shared" si="14"/>
        <v>3.2667986000000003E-2</v>
      </c>
      <c r="E12" s="64">
        <f t="shared" si="14"/>
        <v>3.9317996000000001E-2</v>
      </c>
      <c r="F12" s="64">
        <f t="shared" si="14"/>
        <v>3.9329983999999998E-2</v>
      </c>
      <c r="G12" s="64">
        <f t="shared" si="14"/>
        <v>4.5979994000000003E-2</v>
      </c>
      <c r="H12" s="64">
        <f t="shared" si="14"/>
        <v>4.5991316000000004E-2</v>
      </c>
      <c r="I12" s="64">
        <f t="shared" si="14"/>
        <v>5.2641326000000002E-2</v>
      </c>
      <c r="J12" s="64">
        <f t="shared" si="14"/>
        <v>5.2652647999999996E-2</v>
      </c>
      <c r="K12" s="64">
        <f t="shared" si="14"/>
        <v>5.9302658000000008E-2</v>
      </c>
      <c r="L12" s="64">
        <f t="shared" si="14"/>
        <v>5.9313980000000002E-2</v>
      </c>
      <c r="M12" s="64">
        <f t="shared" si="14"/>
        <v>6.596399E-2</v>
      </c>
      <c r="N12" s="64">
        <f t="shared" si="14"/>
        <v>6.5975312000000008E-2</v>
      </c>
      <c r="O12" s="64">
        <f t="shared" si="14"/>
        <v>6.9289327999999997E-2</v>
      </c>
      <c r="P12" s="64">
        <f t="shared" si="14"/>
        <v>6.9300649999999991E-2</v>
      </c>
      <c r="Q12" s="64">
        <f t="shared" si="14"/>
        <v>7.0000000000000007E-2</v>
      </c>
      <c r="R12" s="64">
        <f t="shared" si="14"/>
        <v>7.0000000000000007E-2</v>
      </c>
      <c r="S12" s="73">
        <f t="shared" si="14"/>
        <v>7.0000000000000007E-2</v>
      </c>
    </row>
    <row r="13" spans="1:19" s="61" customFormat="1" x14ac:dyDescent="0.3">
      <c r="A13" s="60" t="s">
        <v>73</v>
      </c>
      <c r="B13" s="106">
        <f>IF(ROUND(B11,0)&gt;B10,B10,ROUND(B11,0))</f>
        <v>7</v>
      </c>
      <c r="C13" s="107">
        <f t="shared" ref="C13:S13" si="15">IF(ROUND(C11,0)&gt;C10,C10,ROUND(C11,0))</f>
        <v>38</v>
      </c>
      <c r="D13" s="107">
        <f t="shared" si="15"/>
        <v>38</v>
      </c>
      <c r="E13" s="107">
        <f t="shared" si="15"/>
        <v>69</v>
      </c>
      <c r="F13" s="107">
        <f t="shared" si="15"/>
        <v>69</v>
      </c>
      <c r="G13" s="107">
        <f t="shared" si="15"/>
        <v>108</v>
      </c>
      <c r="H13" s="107">
        <f t="shared" si="15"/>
        <v>108</v>
      </c>
      <c r="I13" s="107">
        <f t="shared" si="15"/>
        <v>154</v>
      </c>
      <c r="J13" s="107">
        <f t="shared" si="15"/>
        <v>154</v>
      </c>
      <c r="K13" s="107">
        <f t="shared" si="15"/>
        <v>208</v>
      </c>
      <c r="L13" s="107">
        <f t="shared" si="15"/>
        <v>208</v>
      </c>
      <c r="M13" s="107">
        <f t="shared" si="15"/>
        <v>270</v>
      </c>
      <c r="N13" s="107">
        <f t="shared" si="15"/>
        <v>270</v>
      </c>
      <c r="O13" s="107">
        <f t="shared" si="15"/>
        <v>304</v>
      </c>
      <c r="P13" s="107">
        <f t="shared" si="15"/>
        <v>304</v>
      </c>
      <c r="Q13" s="107">
        <f t="shared" si="15"/>
        <v>328</v>
      </c>
      <c r="R13" s="107">
        <f t="shared" si="15"/>
        <v>328</v>
      </c>
      <c r="S13" s="108">
        <f t="shared" si="15"/>
        <v>348</v>
      </c>
    </row>
    <row r="14" spans="1:19" ht="15" thickBot="1" x14ac:dyDescent="0.35">
      <c r="A14" s="60" t="s">
        <v>27</v>
      </c>
      <c r="B14" s="76">
        <f>ROUND((B13/22)*5,0)</f>
        <v>2</v>
      </c>
      <c r="C14" s="77">
        <f t="shared" ref="C14:S14" si="16">ROUND((C13/22)*5,0)</f>
        <v>9</v>
      </c>
      <c r="D14" s="77">
        <f t="shared" si="16"/>
        <v>9</v>
      </c>
      <c r="E14" s="77">
        <f t="shared" si="16"/>
        <v>16</v>
      </c>
      <c r="F14" s="77">
        <f t="shared" si="16"/>
        <v>16</v>
      </c>
      <c r="G14" s="77">
        <f t="shared" si="16"/>
        <v>25</v>
      </c>
      <c r="H14" s="77">
        <f t="shared" si="16"/>
        <v>25</v>
      </c>
      <c r="I14" s="77">
        <f t="shared" si="16"/>
        <v>35</v>
      </c>
      <c r="J14" s="77">
        <f t="shared" si="16"/>
        <v>35</v>
      </c>
      <c r="K14" s="77">
        <f t="shared" si="16"/>
        <v>47</v>
      </c>
      <c r="L14" s="77">
        <f t="shared" si="16"/>
        <v>47</v>
      </c>
      <c r="M14" s="77">
        <f t="shared" si="16"/>
        <v>61</v>
      </c>
      <c r="N14" s="77">
        <f t="shared" si="16"/>
        <v>61</v>
      </c>
      <c r="O14" s="77">
        <f t="shared" si="16"/>
        <v>69</v>
      </c>
      <c r="P14" s="77">
        <f t="shared" si="16"/>
        <v>69</v>
      </c>
      <c r="Q14" s="77">
        <f t="shared" si="16"/>
        <v>75</v>
      </c>
      <c r="R14" s="77">
        <f t="shared" si="16"/>
        <v>75</v>
      </c>
      <c r="S14" s="78">
        <f t="shared" si="16"/>
        <v>79</v>
      </c>
    </row>
    <row r="15" spans="1:19" ht="6.6" customHeight="1" thickBot="1" x14ac:dyDescent="0.35">
      <c r="A15" s="53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</row>
    <row r="16" spans="1:19" ht="15" thickBot="1" x14ac:dyDescent="0.35">
      <c r="A16" s="58"/>
      <c r="B16" s="88" t="s">
        <v>28</v>
      </c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90"/>
    </row>
    <row r="17" spans="1:19" x14ac:dyDescent="0.3">
      <c r="A17" s="58" t="s">
        <v>21</v>
      </c>
      <c r="B17" s="91">
        <f>ROUNDUP(FFY25SMI!$B4*B$63,0)</f>
        <v>362</v>
      </c>
      <c r="C17" s="92">
        <f>ROUNDUP(FFY25SMI!$B4*C$63,0)</f>
        <v>1445</v>
      </c>
      <c r="D17" s="92">
        <f>C17+1</f>
        <v>1446</v>
      </c>
      <c r="E17" s="92">
        <f>ROUNDUP(FFY25SMI!$B4*E$63,0)</f>
        <v>2168</v>
      </c>
      <c r="F17" s="92">
        <f t="shared" ref="F17" si="17">E17+1</f>
        <v>2169</v>
      </c>
      <c r="G17" s="92">
        <f>ROUNDUP(FFY25SMI!$B4*G$63,0)</f>
        <v>2890</v>
      </c>
      <c r="H17" s="92">
        <f t="shared" ref="H17" si="18">G17+1</f>
        <v>2891</v>
      </c>
      <c r="I17" s="92">
        <f>ROUNDUP(FFY25SMI!$B4*I$63,0)</f>
        <v>3613</v>
      </c>
      <c r="J17" s="92">
        <f t="shared" ref="J17" si="19">I17+1</f>
        <v>3614</v>
      </c>
      <c r="K17" s="92">
        <f>ROUNDUP(FFY25SMI!$B4*K$63,0)</f>
        <v>4335</v>
      </c>
      <c r="L17" s="92">
        <f>K17+1</f>
        <v>4336</v>
      </c>
      <c r="M17" s="92">
        <f>ROUNDUP(FFY25SMI!$B4*M$63,0)</f>
        <v>5058</v>
      </c>
      <c r="N17" s="92">
        <f t="shared" ref="N17" si="20">M17+1</f>
        <v>5059</v>
      </c>
      <c r="O17" s="92">
        <f>ROUNDUP(FFY25SMI!$B4*O$63,0)</f>
        <v>5419</v>
      </c>
      <c r="P17" s="92">
        <f t="shared" ref="P17" si="21">O17+1</f>
        <v>5420</v>
      </c>
      <c r="Q17" s="92">
        <f>ROUNDUP(FFY25SMI!$B4*Q$63,0)</f>
        <v>5780</v>
      </c>
      <c r="R17" s="92">
        <f t="shared" ref="R17" si="22">Q17+1</f>
        <v>5781</v>
      </c>
      <c r="S17" s="93">
        <f>ROUND(FFY25SMI!$B4*S$63,0)</f>
        <v>6141</v>
      </c>
    </row>
    <row r="18" spans="1:19" hidden="1" x14ac:dyDescent="0.3">
      <c r="A18" s="57" t="s">
        <v>22</v>
      </c>
      <c r="B18" s="72">
        <f>ROUND(B17/FFY25SMI!$B$4,5)</f>
        <v>5.0099999999999999E-2</v>
      </c>
      <c r="C18" s="64">
        <f>ROUND(C17/FFY25SMI!$B$4,5)</f>
        <v>0.2</v>
      </c>
      <c r="D18" s="64">
        <f>ROUND(D17/FFY25SMI!$B$4,5)</f>
        <v>0.20014000000000001</v>
      </c>
      <c r="E18" s="64">
        <f>ROUND(E17/FFY25SMI!$B$4,5)</f>
        <v>0.30007</v>
      </c>
      <c r="F18" s="64">
        <f>ROUND(F17/FFY25SMI!$B$4,5)</f>
        <v>0.30020999999999998</v>
      </c>
      <c r="G18" s="64">
        <f>ROUND(G17/FFY25SMI!$B$4,5)</f>
        <v>0.4</v>
      </c>
      <c r="H18" s="64">
        <f>ROUND(H17/FFY25SMI!$B$4,5)</f>
        <v>0.40014</v>
      </c>
      <c r="I18" s="64">
        <f>ROUND(I17/FFY25SMI!$B$4,5)</f>
        <v>0.50007999999999997</v>
      </c>
      <c r="J18" s="64">
        <f>ROUND(J17/FFY25SMI!$B$4,5)</f>
        <v>0.50021000000000004</v>
      </c>
      <c r="K18" s="64">
        <f>ROUND(K17/FFY25SMI!$B$4,5)</f>
        <v>0.60001000000000004</v>
      </c>
      <c r="L18" s="64">
        <f>ROUND(L17/FFY25SMI!$B$4,5)</f>
        <v>0.60014999999999996</v>
      </c>
      <c r="M18" s="64">
        <f>ROUND(M17/FFY25SMI!$B$4,5)</f>
        <v>0.70008000000000004</v>
      </c>
      <c r="N18" s="64">
        <f>ROUND(N17/FFY25SMI!$B$4,5)</f>
        <v>0.70021999999999995</v>
      </c>
      <c r="O18" s="64">
        <f>ROUND(O17/FFY25SMI!$B$4,5)</f>
        <v>0.75004000000000004</v>
      </c>
      <c r="P18" s="64">
        <f>ROUND(P17/FFY25SMI!$B$4,5)</f>
        <v>0.75017999999999996</v>
      </c>
      <c r="Q18" s="64">
        <f>ROUND(Q17/FFY25SMI!$B$4,5)</f>
        <v>0.80001</v>
      </c>
      <c r="R18" s="64">
        <f>ROUND(R17/FFY25SMI!$B$4,5)</f>
        <v>0.80015000000000003</v>
      </c>
      <c r="S18" s="73">
        <f>ROUND(S17/FFY25SMI!$B$4,5)</f>
        <v>0.84997999999999996</v>
      </c>
    </row>
    <row r="19" spans="1:19" hidden="1" x14ac:dyDescent="0.3">
      <c r="A19" s="57" t="s">
        <v>23</v>
      </c>
      <c r="B19" s="72">
        <f>IF(B18&lt;0.01,0,(((B18*100)-1)*0.000666)+0.02)</f>
        <v>2.2670660000000002E-2</v>
      </c>
      <c r="C19" s="64">
        <f t="shared" ref="C19:S19" si="23">IF(C18&lt;0.01,0,(((C18*100)-1)*0.000666)+0.02)</f>
        <v>3.2654000000000002E-2</v>
      </c>
      <c r="D19" s="64">
        <f t="shared" si="23"/>
        <v>3.2663324000000001E-2</v>
      </c>
      <c r="E19" s="64">
        <f t="shared" si="23"/>
        <v>3.9318662000000004E-2</v>
      </c>
      <c r="F19" s="64">
        <f t="shared" si="23"/>
        <v>3.9327985999999995E-2</v>
      </c>
      <c r="G19" s="64">
        <f t="shared" si="23"/>
        <v>4.5974000000000001E-2</v>
      </c>
      <c r="H19" s="64">
        <f t="shared" si="23"/>
        <v>4.5983324000000006E-2</v>
      </c>
      <c r="I19" s="64">
        <f t="shared" si="23"/>
        <v>5.2639327999999999E-2</v>
      </c>
      <c r="J19" s="64">
        <f t="shared" si="23"/>
        <v>5.2647986000000008E-2</v>
      </c>
      <c r="K19" s="64">
        <f t="shared" si="23"/>
        <v>5.929466600000001E-2</v>
      </c>
      <c r="L19" s="64">
        <f t="shared" si="23"/>
        <v>5.9303990000000001E-2</v>
      </c>
      <c r="M19" s="64">
        <f t="shared" si="23"/>
        <v>6.5959328000000012E-2</v>
      </c>
      <c r="N19" s="64">
        <f t="shared" si="23"/>
        <v>6.5968652000000003E-2</v>
      </c>
      <c r="O19" s="64">
        <f t="shared" si="23"/>
        <v>6.9286664000000012E-2</v>
      </c>
      <c r="P19" s="64">
        <f t="shared" si="23"/>
        <v>6.9295988000000003E-2</v>
      </c>
      <c r="Q19" s="64">
        <f t="shared" si="23"/>
        <v>7.2614666000000008E-2</v>
      </c>
      <c r="R19" s="64">
        <f t="shared" si="23"/>
        <v>7.2623989999999999E-2</v>
      </c>
      <c r="S19" s="73">
        <f t="shared" si="23"/>
        <v>7.5942667999999991E-2</v>
      </c>
    </row>
    <row r="20" spans="1:19" hidden="1" x14ac:dyDescent="0.3">
      <c r="A20" s="57" t="s">
        <v>24</v>
      </c>
      <c r="B20" s="74">
        <f>ROUND(B17*0.07,0)</f>
        <v>25</v>
      </c>
      <c r="C20" s="65">
        <f t="shared" ref="C20:S20" si="24">ROUND(C17*0.07,0)</f>
        <v>101</v>
      </c>
      <c r="D20" s="65">
        <f t="shared" si="24"/>
        <v>101</v>
      </c>
      <c r="E20" s="65">
        <f t="shared" si="24"/>
        <v>152</v>
      </c>
      <c r="F20" s="65">
        <f t="shared" si="24"/>
        <v>152</v>
      </c>
      <c r="G20" s="65">
        <f t="shared" si="24"/>
        <v>202</v>
      </c>
      <c r="H20" s="65">
        <f t="shared" si="24"/>
        <v>202</v>
      </c>
      <c r="I20" s="65">
        <f t="shared" si="24"/>
        <v>253</v>
      </c>
      <c r="J20" s="65">
        <f t="shared" si="24"/>
        <v>253</v>
      </c>
      <c r="K20" s="65">
        <f t="shared" si="24"/>
        <v>303</v>
      </c>
      <c r="L20" s="65">
        <f t="shared" si="24"/>
        <v>304</v>
      </c>
      <c r="M20" s="65">
        <f t="shared" si="24"/>
        <v>354</v>
      </c>
      <c r="N20" s="65">
        <f t="shared" si="24"/>
        <v>354</v>
      </c>
      <c r="O20" s="65">
        <f t="shared" si="24"/>
        <v>379</v>
      </c>
      <c r="P20" s="65">
        <f t="shared" si="24"/>
        <v>379</v>
      </c>
      <c r="Q20" s="65">
        <f t="shared" si="24"/>
        <v>405</v>
      </c>
      <c r="R20" s="65">
        <f t="shared" si="24"/>
        <v>405</v>
      </c>
      <c r="S20" s="75">
        <f t="shared" si="24"/>
        <v>430</v>
      </c>
    </row>
    <row r="21" spans="1:19" hidden="1" x14ac:dyDescent="0.3">
      <c r="A21" s="57" t="s">
        <v>29</v>
      </c>
      <c r="B21" s="74">
        <f>B19*B17</f>
        <v>8.2067789200000014</v>
      </c>
      <c r="C21" s="65">
        <f t="shared" ref="C21:S21" si="25">C19*C17</f>
        <v>47.185030000000005</v>
      </c>
      <c r="D21" s="65">
        <f t="shared" si="25"/>
        <v>47.231166504000001</v>
      </c>
      <c r="E21" s="65">
        <f t="shared" si="25"/>
        <v>85.242859216000014</v>
      </c>
      <c r="F21" s="65">
        <f t="shared" si="25"/>
        <v>85.302401633999992</v>
      </c>
      <c r="G21" s="65">
        <f t="shared" si="25"/>
        <v>132.86485999999999</v>
      </c>
      <c r="H21" s="65">
        <f t="shared" si="25"/>
        <v>132.93778968400002</v>
      </c>
      <c r="I21" s="65">
        <f t="shared" si="25"/>
        <v>190.185892064</v>
      </c>
      <c r="J21" s="65">
        <f t="shared" si="25"/>
        <v>190.26982140400003</v>
      </c>
      <c r="K21" s="65">
        <f t="shared" si="25"/>
        <v>257.04237711000002</v>
      </c>
      <c r="L21" s="65">
        <f t="shared" si="25"/>
        <v>257.14210064000002</v>
      </c>
      <c r="M21" s="65">
        <f t="shared" si="25"/>
        <v>333.62228102400007</v>
      </c>
      <c r="N21" s="65">
        <f t="shared" si="25"/>
        <v>333.735410468</v>
      </c>
      <c r="O21" s="65">
        <f t="shared" si="25"/>
        <v>375.46443221600009</v>
      </c>
      <c r="P21" s="65">
        <f t="shared" si="25"/>
        <v>375.58425496000001</v>
      </c>
      <c r="Q21" s="65">
        <f t="shared" si="25"/>
        <v>419.71276948000002</v>
      </c>
      <c r="R21" s="65">
        <f t="shared" si="25"/>
        <v>419.83928619</v>
      </c>
      <c r="S21" s="75">
        <f t="shared" si="25"/>
        <v>466.36392418799994</v>
      </c>
    </row>
    <row r="22" spans="1:19" s="63" customFormat="1" hidden="1" x14ac:dyDescent="0.3">
      <c r="A22" s="57" t="s">
        <v>30</v>
      </c>
      <c r="B22" s="79">
        <f t="shared" ref="B22:S22" si="26">B18*0.015</f>
        <v>7.515E-4</v>
      </c>
      <c r="C22" s="66">
        <f t="shared" si="26"/>
        <v>3.0000000000000001E-3</v>
      </c>
      <c r="D22" s="66">
        <f t="shared" si="26"/>
        <v>3.0021000000000002E-3</v>
      </c>
      <c r="E22" s="66">
        <f t="shared" si="26"/>
        <v>4.5010499999999995E-3</v>
      </c>
      <c r="F22" s="66">
        <f t="shared" si="26"/>
        <v>4.5031499999999992E-3</v>
      </c>
      <c r="G22" s="66">
        <f t="shared" si="26"/>
        <v>6.0000000000000001E-3</v>
      </c>
      <c r="H22" s="66">
        <f t="shared" si="26"/>
        <v>6.0020999999999998E-3</v>
      </c>
      <c r="I22" s="66">
        <f t="shared" si="26"/>
        <v>7.5011999999999995E-3</v>
      </c>
      <c r="J22" s="66">
        <f t="shared" si="26"/>
        <v>7.5031500000000001E-3</v>
      </c>
      <c r="K22" s="66">
        <f t="shared" si="26"/>
        <v>9.0001500000000002E-3</v>
      </c>
      <c r="L22" s="66">
        <f t="shared" si="26"/>
        <v>9.0022499999999998E-3</v>
      </c>
      <c r="M22" s="66">
        <f t="shared" si="26"/>
        <v>1.05012E-2</v>
      </c>
      <c r="N22" s="66">
        <f t="shared" si="26"/>
        <v>1.0503299999999998E-2</v>
      </c>
      <c r="O22" s="66">
        <f t="shared" si="26"/>
        <v>1.1250599999999999E-2</v>
      </c>
      <c r="P22" s="66">
        <f t="shared" si="26"/>
        <v>1.1252699999999999E-2</v>
      </c>
      <c r="Q22" s="66">
        <f t="shared" si="26"/>
        <v>1.2000149999999999E-2</v>
      </c>
      <c r="R22" s="66">
        <f t="shared" si="26"/>
        <v>1.2002250000000001E-2</v>
      </c>
      <c r="S22" s="80">
        <f t="shared" si="26"/>
        <v>1.2749699999999999E-2</v>
      </c>
    </row>
    <row r="23" spans="1:19" s="61" customFormat="1" hidden="1" x14ac:dyDescent="0.3">
      <c r="A23" s="57" t="s">
        <v>31</v>
      </c>
      <c r="B23" s="72">
        <f t="shared" ref="B23:S23" si="27">B19+B22</f>
        <v>2.3422160000000001E-2</v>
      </c>
      <c r="C23" s="64">
        <f t="shared" si="27"/>
        <v>3.5654000000000005E-2</v>
      </c>
      <c r="D23" s="64">
        <f t="shared" si="27"/>
        <v>3.5665424000000001E-2</v>
      </c>
      <c r="E23" s="64">
        <f t="shared" si="27"/>
        <v>4.3819712000000004E-2</v>
      </c>
      <c r="F23" s="64">
        <f t="shared" si="27"/>
        <v>4.3831135999999993E-2</v>
      </c>
      <c r="G23" s="64">
        <f t="shared" si="27"/>
        <v>5.1973999999999999E-2</v>
      </c>
      <c r="H23" s="64">
        <f t="shared" si="27"/>
        <v>5.1985424000000002E-2</v>
      </c>
      <c r="I23" s="64">
        <f t="shared" si="27"/>
        <v>6.0140527999999999E-2</v>
      </c>
      <c r="J23" s="64">
        <f t="shared" si="27"/>
        <v>6.0151136000000008E-2</v>
      </c>
      <c r="K23" s="64">
        <f t="shared" si="27"/>
        <v>6.8294816000000008E-2</v>
      </c>
      <c r="L23" s="64">
        <f t="shared" si="27"/>
        <v>6.8306240000000004E-2</v>
      </c>
      <c r="M23" s="64">
        <f t="shared" si="27"/>
        <v>7.6460528000000014E-2</v>
      </c>
      <c r="N23" s="64">
        <f t="shared" si="27"/>
        <v>7.6471951999999996E-2</v>
      </c>
      <c r="O23" s="64">
        <f t="shared" si="27"/>
        <v>8.0537264000000011E-2</v>
      </c>
      <c r="P23" s="64">
        <f t="shared" si="27"/>
        <v>8.0548688000000007E-2</v>
      </c>
      <c r="Q23" s="64">
        <f t="shared" si="27"/>
        <v>8.4614816000000009E-2</v>
      </c>
      <c r="R23" s="64">
        <f t="shared" si="27"/>
        <v>8.4626240000000005E-2</v>
      </c>
      <c r="S23" s="73">
        <f t="shared" si="27"/>
        <v>8.8692367999999994E-2</v>
      </c>
    </row>
    <row r="24" spans="1:19" s="61" customFormat="1" hidden="1" x14ac:dyDescent="0.3">
      <c r="A24" s="57" t="s">
        <v>26</v>
      </c>
      <c r="B24" s="72">
        <f>IF(B23&gt;0.07,0.07,B23)</f>
        <v>2.3422160000000001E-2</v>
      </c>
      <c r="C24" s="64">
        <f t="shared" ref="C24:S24" si="28">IF(C23&gt;0.07,0.07,C23)</f>
        <v>3.5654000000000005E-2</v>
      </c>
      <c r="D24" s="64">
        <f t="shared" si="28"/>
        <v>3.5665424000000001E-2</v>
      </c>
      <c r="E24" s="64">
        <f t="shared" si="28"/>
        <v>4.3819712000000004E-2</v>
      </c>
      <c r="F24" s="64">
        <f t="shared" si="28"/>
        <v>4.3831135999999993E-2</v>
      </c>
      <c r="G24" s="64">
        <f t="shared" si="28"/>
        <v>5.1973999999999999E-2</v>
      </c>
      <c r="H24" s="64">
        <f t="shared" si="28"/>
        <v>5.1985424000000002E-2</v>
      </c>
      <c r="I24" s="64">
        <f t="shared" si="28"/>
        <v>6.0140527999999999E-2</v>
      </c>
      <c r="J24" s="64">
        <f t="shared" si="28"/>
        <v>6.0151136000000008E-2</v>
      </c>
      <c r="K24" s="64">
        <f t="shared" si="28"/>
        <v>6.8294816000000008E-2</v>
      </c>
      <c r="L24" s="64">
        <f t="shared" si="28"/>
        <v>6.8306240000000004E-2</v>
      </c>
      <c r="M24" s="64">
        <f t="shared" si="28"/>
        <v>7.0000000000000007E-2</v>
      </c>
      <c r="N24" s="64">
        <f t="shared" si="28"/>
        <v>7.0000000000000007E-2</v>
      </c>
      <c r="O24" s="64">
        <f t="shared" si="28"/>
        <v>7.0000000000000007E-2</v>
      </c>
      <c r="P24" s="64">
        <f t="shared" si="28"/>
        <v>7.0000000000000007E-2</v>
      </c>
      <c r="Q24" s="64">
        <f t="shared" si="28"/>
        <v>7.0000000000000007E-2</v>
      </c>
      <c r="R24" s="64">
        <f t="shared" si="28"/>
        <v>7.0000000000000007E-2</v>
      </c>
      <c r="S24" s="73">
        <f t="shared" si="28"/>
        <v>7.0000000000000007E-2</v>
      </c>
    </row>
    <row r="25" spans="1:19" s="61" customFormat="1" hidden="1" x14ac:dyDescent="0.3">
      <c r="A25" s="57" t="s">
        <v>32</v>
      </c>
      <c r="B25" s="94">
        <f t="shared" ref="B25:S25" si="29">IF(ROUND(B21,0)&gt;B20,B20,ROUND(B21,0))</f>
        <v>8</v>
      </c>
      <c r="C25" s="95">
        <f t="shared" si="29"/>
        <v>47</v>
      </c>
      <c r="D25" s="95">
        <f t="shared" si="29"/>
        <v>47</v>
      </c>
      <c r="E25" s="95">
        <f t="shared" si="29"/>
        <v>85</v>
      </c>
      <c r="F25" s="95">
        <f t="shared" si="29"/>
        <v>85</v>
      </c>
      <c r="G25" s="95">
        <f t="shared" si="29"/>
        <v>133</v>
      </c>
      <c r="H25" s="95">
        <f t="shared" si="29"/>
        <v>133</v>
      </c>
      <c r="I25" s="95">
        <f t="shared" si="29"/>
        <v>190</v>
      </c>
      <c r="J25" s="95">
        <f t="shared" si="29"/>
        <v>190</v>
      </c>
      <c r="K25" s="95">
        <f t="shared" si="29"/>
        <v>257</v>
      </c>
      <c r="L25" s="95">
        <f t="shared" si="29"/>
        <v>257</v>
      </c>
      <c r="M25" s="95">
        <f t="shared" si="29"/>
        <v>334</v>
      </c>
      <c r="N25" s="95">
        <f t="shared" si="29"/>
        <v>334</v>
      </c>
      <c r="O25" s="95">
        <f t="shared" si="29"/>
        <v>375</v>
      </c>
      <c r="P25" s="95">
        <f t="shared" si="29"/>
        <v>376</v>
      </c>
      <c r="Q25" s="95">
        <f t="shared" si="29"/>
        <v>405</v>
      </c>
      <c r="R25" s="95">
        <f t="shared" si="29"/>
        <v>405</v>
      </c>
      <c r="S25" s="96">
        <f t="shared" si="29"/>
        <v>430</v>
      </c>
    </row>
    <row r="26" spans="1:19" s="61" customFormat="1" hidden="1" x14ac:dyDescent="0.3">
      <c r="A26" s="57" t="s">
        <v>33</v>
      </c>
      <c r="B26" s="94">
        <f>B27-B25</f>
        <v>0</v>
      </c>
      <c r="C26" s="95">
        <f>C27-C25</f>
        <v>5</v>
      </c>
      <c r="D26" s="95">
        <f t="shared" ref="D26:S26" si="30">D27-D25</f>
        <v>5</v>
      </c>
      <c r="E26" s="95">
        <f t="shared" si="30"/>
        <v>10</v>
      </c>
      <c r="F26" s="95">
        <f t="shared" si="30"/>
        <v>10</v>
      </c>
      <c r="G26" s="95">
        <f t="shared" si="30"/>
        <v>17</v>
      </c>
      <c r="H26" s="95">
        <f t="shared" si="30"/>
        <v>17</v>
      </c>
      <c r="I26" s="95">
        <f t="shared" si="30"/>
        <v>27</v>
      </c>
      <c r="J26" s="95">
        <f t="shared" si="30"/>
        <v>27</v>
      </c>
      <c r="K26" s="95">
        <f t="shared" si="30"/>
        <v>39</v>
      </c>
      <c r="L26" s="95">
        <f t="shared" si="30"/>
        <v>39</v>
      </c>
      <c r="M26" s="95">
        <f t="shared" si="30"/>
        <v>20</v>
      </c>
      <c r="N26" s="95">
        <f t="shared" si="30"/>
        <v>20</v>
      </c>
      <c r="O26" s="95">
        <f t="shared" si="30"/>
        <v>4</v>
      </c>
      <c r="P26" s="95">
        <f t="shared" si="30"/>
        <v>3</v>
      </c>
      <c r="Q26" s="95">
        <f t="shared" si="30"/>
        <v>0</v>
      </c>
      <c r="R26" s="95">
        <f t="shared" si="30"/>
        <v>0</v>
      </c>
      <c r="S26" s="96">
        <f t="shared" si="30"/>
        <v>0</v>
      </c>
    </row>
    <row r="27" spans="1:19" s="61" customFormat="1" x14ac:dyDescent="0.3">
      <c r="A27" s="60" t="s">
        <v>74</v>
      </c>
      <c r="B27" s="101">
        <f t="shared" ref="B27:S27" si="31">ROUND(B24*B17,0)</f>
        <v>8</v>
      </c>
      <c r="C27" s="97">
        <f t="shared" si="31"/>
        <v>52</v>
      </c>
      <c r="D27" s="97">
        <f t="shared" si="31"/>
        <v>52</v>
      </c>
      <c r="E27" s="97">
        <f t="shared" si="31"/>
        <v>95</v>
      </c>
      <c r="F27" s="97">
        <f t="shared" si="31"/>
        <v>95</v>
      </c>
      <c r="G27" s="97">
        <f t="shared" si="31"/>
        <v>150</v>
      </c>
      <c r="H27" s="97">
        <f t="shared" si="31"/>
        <v>150</v>
      </c>
      <c r="I27" s="97">
        <f t="shared" si="31"/>
        <v>217</v>
      </c>
      <c r="J27" s="97">
        <f t="shared" si="31"/>
        <v>217</v>
      </c>
      <c r="K27" s="97">
        <f t="shared" si="31"/>
        <v>296</v>
      </c>
      <c r="L27" s="97">
        <f t="shared" si="31"/>
        <v>296</v>
      </c>
      <c r="M27" s="97">
        <f t="shared" si="31"/>
        <v>354</v>
      </c>
      <c r="N27" s="97">
        <f t="shared" si="31"/>
        <v>354</v>
      </c>
      <c r="O27" s="97">
        <f t="shared" si="31"/>
        <v>379</v>
      </c>
      <c r="P27" s="97">
        <f t="shared" si="31"/>
        <v>379</v>
      </c>
      <c r="Q27" s="97">
        <f t="shared" si="31"/>
        <v>405</v>
      </c>
      <c r="R27" s="97">
        <f t="shared" si="31"/>
        <v>405</v>
      </c>
      <c r="S27" s="102">
        <f t="shared" si="31"/>
        <v>430</v>
      </c>
    </row>
    <row r="28" spans="1:19" x14ac:dyDescent="0.3">
      <c r="A28" s="60" t="s">
        <v>34</v>
      </c>
      <c r="B28" s="101">
        <f>ROUND((B25/22)*5,0)</f>
        <v>2</v>
      </c>
      <c r="C28" s="97">
        <f t="shared" ref="C28:S28" si="32">ROUND((C25/22)*5,0)</f>
        <v>11</v>
      </c>
      <c r="D28" s="97">
        <f t="shared" si="32"/>
        <v>11</v>
      </c>
      <c r="E28" s="97">
        <f t="shared" si="32"/>
        <v>19</v>
      </c>
      <c r="F28" s="97">
        <f t="shared" si="32"/>
        <v>19</v>
      </c>
      <c r="G28" s="97">
        <f t="shared" si="32"/>
        <v>30</v>
      </c>
      <c r="H28" s="97">
        <f t="shared" si="32"/>
        <v>30</v>
      </c>
      <c r="I28" s="97">
        <f t="shared" si="32"/>
        <v>43</v>
      </c>
      <c r="J28" s="97">
        <f t="shared" si="32"/>
        <v>43</v>
      </c>
      <c r="K28" s="97">
        <f t="shared" si="32"/>
        <v>58</v>
      </c>
      <c r="L28" s="97">
        <f t="shared" si="32"/>
        <v>58</v>
      </c>
      <c r="M28" s="97">
        <f t="shared" si="32"/>
        <v>76</v>
      </c>
      <c r="N28" s="97">
        <f t="shared" si="32"/>
        <v>76</v>
      </c>
      <c r="O28" s="97">
        <f t="shared" si="32"/>
        <v>85</v>
      </c>
      <c r="P28" s="97">
        <f t="shared" si="32"/>
        <v>85</v>
      </c>
      <c r="Q28" s="97">
        <f t="shared" si="32"/>
        <v>92</v>
      </c>
      <c r="R28" s="97">
        <f t="shared" si="32"/>
        <v>92</v>
      </c>
      <c r="S28" s="102">
        <f t="shared" si="32"/>
        <v>98</v>
      </c>
    </row>
    <row r="29" spans="1:19" ht="15" thickBot="1" x14ac:dyDescent="0.35">
      <c r="A29" s="60" t="s">
        <v>35</v>
      </c>
      <c r="B29" s="98">
        <f>ROUND(((B27/22)*5)-B28,0)</f>
        <v>0</v>
      </c>
      <c r="C29" s="99">
        <f t="shared" ref="C29" si="33">ROUND(((C27/22)*5)-C28,0)</f>
        <v>1</v>
      </c>
      <c r="D29" s="99">
        <f t="shared" ref="D29" si="34">ROUND(((D27/22)*5)-D28,0)</f>
        <v>1</v>
      </c>
      <c r="E29" s="99">
        <f t="shared" ref="E29" si="35">ROUND(((E27/22)*5)-E28,0)</f>
        <v>3</v>
      </c>
      <c r="F29" s="99">
        <f t="shared" ref="F29" si="36">ROUND(((F27/22)*5)-F28,0)</f>
        <v>3</v>
      </c>
      <c r="G29" s="99">
        <f t="shared" ref="G29" si="37">ROUND(((G27/22)*5)-G28,0)</f>
        <v>4</v>
      </c>
      <c r="H29" s="99">
        <f t="shared" ref="H29" si="38">ROUND(((H27/22)*5)-H28,0)</f>
        <v>4</v>
      </c>
      <c r="I29" s="99">
        <f t="shared" ref="I29" si="39">ROUND(((I27/22)*5)-I28,0)</f>
        <v>6</v>
      </c>
      <c r="J29" s="99">
        <f t="shared" ref="J29" si="40">ROUND(((J27/22)*5)-J28,0)</f>
        <v>6</v>
      </c>
      <c r="K29" s="99">
        <f t="shared" ref="K29" si="41">ROUND(((K27/22)*5)-K28,0)</f>
        <v>9</v>
      </c>
      <c r="L29" s="99">
        <f t="shared" ref="L29" si="42">ROUND(((L27/22)*5)-L28,0)</f>
        <v>9</v>
      </c>
      <c r="M29" s="99">
        <f t="shared" ref="M29" si="43">ROUND(((M27/22)*5)-M28,0)</f>
        <v>4</v>
      </c>
      <c r="N29" s="99">
        <f t="shared" ref="N29" si="44">ROUND(((N27/22)*5)-N28,0)</f>
        <v>4</v>
      </c>
      <c r="O29" s="99">
        <f t="shared" ref="O29" si="45">ROUND(((O27/22)*5)-O28,0)</f>
        <v>1</v>
      </c>
      <c r="P29" s="99">
        <f t="shared" ref="P29" si="46">ROUND(((P27/22)*5)-P28,0)</f>
        <v>1</v>
      </c>
      <c r="Q29" s="99">
        <f t="shared" ref="Q29" si="47">ROUND(((Q27/22)*5)-Q28,0)</f>
        <v>0</v>
      </c>
      <c r="R29" s="99">
        <f t="shared" ref="R29" si="48">ROUND(((R27/22)*5)-R28,0)</f>
        <v>0</v>
      </c>
      <c r="S29" s="100">
        <f t="shared" ref="S29" si="49">ROUND(((S27/22)*5)-S28,0)</f>
        <v>0</v>
      </c>
    </row>
    <row r="30" spans="1:19" ht="6.6" customHeight="1" thickBot="1" x14ac:dyDescent="0.35">
      <c r="A30" s="58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</row>
    <row r="31" spans="1:19" ht="15" thickBot="1" x14ac:dyDescent="0.35">
      <c r="A31" s="58"/>
      <c r="B31" s="88" t="s">
        <v>36</v>
      </c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90"/>
    </row>
    <row r="32" spans="1:19" x14ac:dyDescent="0.3">
      <c r="A32" s="58" t="s">
        <v>21</v>
      </c>
      <c r="B32" s="91">
        <f>ROUNDUP(FFY25SMI!$B5*B$63,0)</f>
        <v>431</v>
      </c>
      <c r="C32" s="92">
        <f>ROUNDUP(FFY25SMI!$B5*C$63,0)</f>
        <v>1721</v>
      </c>
      <c r="D32" s="92">
        <f>ROUNDUP(FFY25SMI!$B5*D$63,0)</f>
        <v>1721</v>
      </c>
      <c r="E32" s="92">
        <f>ROUNDUP(FFY25SMI!$B5*E$63,0)</f>
        <v>2581</v>
      </c>
      <c r="F32" s="92">
        <f>ROUNDUP(FFY25SMI!$B5*F$63,0)</f>
        <v>2581</v>
      </c>
      <c r="G32" s="92">
        <f>ROUNDUP(FFY25SMI!$B5*G$63,0)</f>
        <v>3441</v>
      </c>
      <c r="H32" s="92">
        <f>ROUNDUP(FFY25SMI!$B5*H$63,0)</f>
        <v>3441</v>
      </c>
      <c r="I32" s="92">
        <f>ROUNDUP(FFY25SMI!$B5*I$63,0)</f>
        <v>4301</v>
      </c>
      <c r="J32" s="92">
        <f>ROUNDUP(FFY25SMI!$B5*J$63,0)</f>
        <v>4301</v>
      </c>
      <c r="K32" s="92">
        <f>ROUNDUP(FFY25SMI!$B5*K$63,0)</f>
        <v>5161</v>
      </c>
      <c r="L32" s="92">
        <f>ROUNDUP(FFY25SMI!$B5*L$63,0)</f>
        <v>5161</v>
      </c>
      <c r="M32" s="92">
        <f>ROUNDUP(FFY25SMI!$B5*M$63,0)</f>
        <v>6021</v>
      </c>
      <c r="N32" s="92">
        <f>ROUNDUP(FFY25SMI!$B5*N$63,0)</f>
        <v>6021</v>
      </c>
      <c r="O32" s="92">
        <f>ROUNDUP(FFY25SMI!$B5*O$63,0)</f>
        <v>6451</v>
      </c>
      <c r="P32" s="92">
        <f>ROUNDUP(FFY25SMI!$B5*P$63,0)</f>
        <v>6451</v>
      </c>
      <c r="Q32" s="92">
        <f>ROUNDUP(FFY25SMI!$B5*Q$63,0)</f>
        <v>6881</v>
      </c>
      <c r="R32" s="92">
        <f t="shared" ref="R32" si="50">Q32+1</f>
        <v>6882</v>
      </c>
      <c r="S32" s="93">
        <f>ROUND(FFY25SMI!$B5*S$63,0)</f>
        <v>7311</v>
      </c>
    </row>
    <row r="33" spans="1:19" hidden="1" x14ac:dyDescent="0.3">
      <c r="A33" s="57" t="s">
        <v>22</v>
      </c>
      <c r="B33" s="72">
        <f>ROUND(B32/FFY25SMI!$B$5,5)</f>
        <v>5.0110000000000002E-2</v>
      </c>
      <c r="C33" s="64">
        <f>ROUND(C32/FFY25SMI!$B$5,5)</f>
        <v>0.20008999999999999</v>
      </c>
      <c r="D33" s="64">
        <f>ROUND(D32/FFY25SMI!$B$5,5)</f>
        <v>0.20008999999999999</v>
      </c>
      <c r="E33" s="64">
        <f>ROUND(E32/FFY25SMI!$B$5,5)</f>
        <v>0.30008000000000001</v>
      </c>
      <c r="F33" s="64">
        <f>ROUND(F32/FFY25SMI!$B$5,5)</f>
        <v>0.30008000000000001</v>
      </c>
      <c r="G33" s="64">
        <f>ROUND(G32/FFY25SMI!$B$5,5)</f>
        <v>0.40006999999999998</v>
      </c>
      <c r="H33" s="64">
        <f>ROUND(H32/FFY25SMI!$B$5,5)</f>
        <v>0.40006999999999998</v>
      </c>
      <c r="I33" s="64">
        <f>ROUND(I32/FFY25SMI!$B$5,5)</f>
        <v>0.50004999999999999</v>
      </c>
      <c r="J33" s="64">
        <f>ROUND(J32/FFY25SMI!$B$5,5)</f>
        <v>0.50004999999999999</v>
      </c>
      <c r="K33" s="64">
        <f>ROUND(K32/FFY25SMI!$B$5,5)</f>
        <v>0.60004000000000002</v>
      </c>
      <c r="L33" s="64">
        <f>ROUND(L32/FFY25SMI!$B$5,5)</f>
        <v>0.60004000000000002</v>
      </c>
      <c r="M33" s="64">
        <f>ROUND(M32/FFY25SMI!$B$5,5)</f>
        <v>0.70003000000000004</v>
      </c>
      <c r="N33" s="64">
        <f>ROUND(N32/FFY25SMI!$B$5,5)</f>
        <v>0.70003000000000004</v>
      </c>
      <c r="O33" s="64">
        <f>ROUND(O32/FFY25SMI!$B$5,5)</f>
        <v>0.75002000000000002</v>
      </c>
      <c r="P33" s="64">
        <f>ROUND(P32/FFY25SMI!$B$5,5)</f>
        <v>0.75002000000000002</v>
      </c>
      <c r="Q33" s="64">
        <f>ROUND(Q32/FFY25SMI!$B$5,5)</f>
        <v>0.80001999999999995</v>
      </c>
      <c r="R33" s="64">
        <f>ROUND(R32/FFY25SMI!$B$5,5)</f>
        <v>0.80013000000000001</v>
      </c>
      <c r="S33" s="73">
        <f>ROUND(S32/FFY25SMI!$B$5,5)</f>
        <v>0.85001000000000004</v>
      </c>
    </row>
    <row r="34" spans="1:19" hidden="1" x14ac:dyDescent="0.3">
      <c r="A34" s="57" t="s">
        <v>23</v>
      </c>
      <c r="B34" s="72">
        <f>IF(B33&lt;0.01,0,(((B33*100)-1)*0.000666)+0.02)</f>
        <v>2.2671326000000002E-2</v>
      </c>
      <c r="C34" s="64">
        <f t="shared" ref="C34:S34" si="51">IF(C33&lt;0.01,0,(((C33*100)-1)*0.000666)+0.02)</f>
        <v>3.2659993999999998E-2</v>
      </c>
      <c r="D34" s="64">
        <f t="shared" si="51"/>
        <v>3.2659993999999998E-2</v>
      </c>
      <c r="E34" s="64">
        <f t="shared" si="51"/>
        <v>3.9319328000000001E-2</v>
      </c>
      <c r="F34" s="64">
        <f t="shared" si="51"/>
        <v>3.9319328000000001E-2</v>
      </c>
      <c r="G34" s="64">
        <f t="shared" si="51"/>
        <v>4.5978662000000003E-2</v>
      </c>
      <c r="H34" s="64">
        <f t="shared" si="51"/>
        <v>4.5978662000000003E-2</v>
      </c>
      <c r="I34" s="64">
        <f t="shared" si="51"/>
        <v>5.263733000000001E-2</v>
      </c>
      <c r="J34" s="64">
        <f t="shared" si="51"/>
        <v>5.263733000000001E-2</v>
      </c>
      <c r="K34" s="64">
        <f t="shared" si="51"/>
        <v>5.9296663999999999E-2</v>
      </c>
      <c r="L34" s="64">
        <f t="shared" si="51"/>
        <v>5.9296663999999999E-2</v>
      </c>
      <c r="M34" s="64">
        <f t="shared" si="51"/>
        <v>6.5955998000000002E-2</v>
      </c>
      <c r="N34" s="64">
        <f t="shared" si="51"/>
        <v>6.5955998000000002E-2</v>
      </c>
      <c r="O34" s="64">
        <f t="shared" si="51"/>
        <v>6.9285332000000005E-2</v>
      </c>
      <c r="P34" s="64">
        <f t="shared" si="51"/>
        <v>6.9285332000000005E-2</v>
      </c>
      <c r="Q34" s="64">
        <f t="shared" si="51"/>
        <v>7.2615332000000005E-2</v>
      </c>
      <c r="R34" s="64">
        <f t="shared" si="51"/>
        <v>7.2622658000000007E-2</v>
      </c>
      <c r="S34" s="73">
        <f t="shared" si="51"/>
        <v>7.5944666000000008E-2</v>
      </c>
    </row>
    <row r="35" spans="1:19" hidden="1" x14ac:dyDescent="0.3">
      <c r="A35" s="57" t="s">
        <v>24</v>
      </c>
      <c r="B35" s="74">
        <f>ROUND(B32*0.07,0)</f>
        <v>30</v>
      </c>
      <c r="C35" s="65">
        <f t="shared" ref="C35:S35" si="52">ROUND(C32*0.07,0)</f>
        <v>120</v>
      </c>
      <c r="D35" s="65">
        <f t="shared" si="52"/>
        <v>120</v>
      </c>
      <c r="E35" s="65">
        <f t="shared" si="52"/>
        <v>181</v>
      </c>
      <c r="F35" s="65">
        <f t="shared" si="52"/>
        <v>181</v>
      </c>
      <c r="G35" s="65">
        <f t="shared" si="52"/>
        <v>241</v>
      </c>
      <c r="H35" s="65">
        <f t="shared" si="52"/>
        <v>241</v>
      </c>
      <c r="I35" s="65">
        <f t="shared" si="52"/>
        <v>301</v>
      </c>
      <c r="J35" s="65">
        <f t="shared" si="52"/>
        <v>301</v>
      </c>
      <c r="K35" s="65">
        <f t="shared" si="52"/>
        <v>361</v>
      </c>
      <c r="L35" s="65">
        <f t="shared" si="52"/>
        <v>361</v>
      </c>
      <c r="M35" s="65">
        <f t="shared" si="52"/>
        <v>421</v>
      </c>
      <c r="N35" s="65">
        <f t="shared" si="52"/>
        <v>421</v>
      </c>
      <c r="O35" s="65">
        <f t="shared" si="52"/>
        <v>452</v>
      </c>
      <c r="P35" s="65">
        <f t="shared" si="52"/>
        <v>452</v>
      </c>
      <c r="Q35" s="65">
        <f t="shared" si="52"/>
        <v>482</v>
      </c>
      <c r="R35" s="65">
        <f t="shared" si="52"/>
        <v>482</v>
      </c>
      <c r="S35" s="75">
        <f t="shared" si="52"/>
        <v>512</v>
      </c>
    </row>
    <row r="36" spans="1:19" hidden="1" x14ac:dyDescent="0.3">
      <c r="A36" s="57" t="s">
        <v>29</v>
      </c>
      <c r="B36" s="74">
        <f>B34*B32</f>
        <v>9.7713415060000006</v>
      </c>
      <c r="C36" s="65">
        <f t="shared" ref="C36:S36" si="53">C34*C32</f>
        <v>56.207849673999995</v>
      </c>
      <c r="D36" s="65">
        <f t="shared" si="53"/>
        <v>56.207849673999995</v>
      </c>
      <c r="E36" s="65">
        <f t="shared" si="53"/>
        <v>101.483185568</v>
      </c>
      <c r="F36" s="65">
        <f t="shared" si="53"/>
        <v>101.483185568</v>
      </c>
      <c r="G36" s="65">
        <f t="shared" si="53"/>
        <v>158.212575942</v>
      </c>
      <c r="H36" s="65">
        <f t="shared" si="53"/>
        <v>158.212575942</v>
      </c>
      <c r="I36" s="65">
        <f t="shared" si="53"/>
        <v>226.39315633000004</v>
      </c>
      <c r="J36" s="65">
        <f t="shared" si="53"/>
        <v>226.39315633000004</v>
      </c>
      <c r="K36" s="65">
        <f t="shared" si="53"/>
        <v>306.03008290399998</v>
      </c>
      <c r="L36" s="65">
        <f t="shared" si="53"/>
        <v>306.03008290399998</v>
      </c>
      <c r="M36" s="65">
        <f t="shared" si="53"/>
        <v>397.12106395800004</v>
      </c>
      <c r="N36" s="65">
        <f t="shared" si="53"/>
        <v>397.12106395800004</v>
      </c>
      <c r="O36" s="65">
        <f t="shared" si="53"/>
        <v>446.95967673200005</v>
      </c>
      <c r="P36" s="65">
        <f t="shared" si="53"/>
        <v>446.95967673200005</v>
      </c>
      <c r="Q36" s="65">
        <f t="shared" si="53"/>
        <v>499.66609949200006</v>
      </c>
      <c r="R36" s="65">
        <f t="shared" si="53"/>
        <v>499.78913235600004</v>
      </c>
      <c r="S36" s="75">
        <f t="shared" si="53"/>
        <v>555.23145312600002</v>
      </c>
    </row>
    <row r="37" spans="1:19" hidden="1" x14ac:dyDescent="0.3">
      <c r="A37" s="57" t="s">
        <v>30</v>
      </c>
      <c r="B37" s="79">
        <f>B33*0.015</f>
        <v>7.5164999999999997E-4</v>
      </c>
      <c r="C37" s="66">
        <f>C33*0.015</f>
        <v>3.0013499999999999E-3</v>
      </c>
      <c r="D37" s="66">
        <f t="shared" ref="D37:R37" si="54">D33*0.015</f>
        <v>3.0013499999999999E-3</v>
      </c>
      <c r="E37" s="66">
        <f t="shared" si="54"/>
        <v>4.5012000000000003E-3</v>
      </c>
      <c r="F37" s="66">
        <f t="shared" si="54"/>
        <v>4.5012000000000003E-3</v>
      </c>
      <c r="G37" s="66">
        <f t="shared" si="54"/>
        <v>6.0010499999999991E-3</v>
      </c>
      <c r="H37" s="66">
        <f t="shared" si="54"/>
        <v>6.0010499999999991E-3</v>
      </c>
      <c r="I37" s="66">
        <f t="shared" si="54"/>
        <v>7.5007499999999996E-3</v>
      </c>
      <c r="J37" s="66">
        <f t="shared" si="54"/>
        <v>7.5007499999999996E-3</v>
      </c>
      <c r="K37" s="66">
        <f t="shared" si="54"/>
        <v>9.0005999999999992E-3</v>
      </c>
      <c r="L37" s="66">
        <f t="shared" si="54"/>
        <v>9.0005999999999992E-3</v>
      </c>
      <c r="M37" s="66">
        <f t="shared" si="54"/>
        <v>1.050045E-2</v>
      </c>
      <c r="N37" s="66">
        <f t="shared" si="54"/>
        <v>1.050045E-2</v>
      </c>
      <c r="O37" s="66">
        <f t="shared" si="54"/>
        <v>1.12503E-2</v>
      </c>
      <c r="P37" s="66">
        <f t="shared" si="54"/>
        <v>1.12503E-2</v>
      </c>
      <c r="Q37" s="66">
        <f t="shared" si="54"/>
        <v>1.2000299999999998E-2</v>
      </c>
      <c r="R37" s="66">
        <f t="shared" si="54"/>
        <v>1.2001949999999999E-2</v>
      </c>
      <c r="S37" s="80">
        <f>S33*0.015</f>
        <v>1.275015E-2</v>
      </c>
    </row>
    <row r="38" spans="1:19" hidden="1" x14ac:dyDescent="0.3">
      <c r="A38" s="57" t="s">
        <v>31</v>
      </c>
      <c r="B38" s="72">
        <f t="shared" ref="B38" si="55">B34+B37</f>
        <v>2.3422976000000002E-2</v>
      </c>
      <c r="C38" s="64">
        <f t="shared" ref="C38" si="56">C34+C37</f>
        <v>3.5661343999999998E-2</v>
      </c>
      <c r="D38" s="64">
        <f t="shared" ref="D38" si="57">D34+D37</f>
        <v>3.5661343999999998E-2</v>
      </c>
      <c r="E38" s="64">
        <f t="shared" ref="E38" si="58">E34+E37</f>
        <v>4.3820527999999997E-2</v>
      </c>
      <c r="F38" s="64">
        <f t="shared" ref="F38" si="59">F34+F37</f>
        <v>4.3820527999999997E-2</v>
      </c>
      <c r="G38" s="64">
        <f t="shared" ref="G38" si="60">G34+G37</f>
        <v>5.1979712000000004E-2</v>
      </c>
      <c r="H38" s="64">
        <f t="shared" ref="H38" si="61">H34+H37</f>
        <v>5.1979712000000004E-2</v>
      </c>
      <c r="I38" s="64">
        <f t="shared" ref="I38" si="62">I34+I37</f>
        <v>6.013808000000001E-2</v>
      </c>
      <c r="J38" s="64">
        <f t="shared" ref="J38" si="63">J34+J37</f>
        <v>6.013808000000001E-2</v>
      </c>
      <c r="K38" s="64">
        <f t="shared" ref="K38" si="64">K34+K37</f>
        <v>6.8297263999999996E-2</v>
      </c>
      <c r="L38" s="64">
        <f t="shared" ref="L38" si="65">L34+L37</f>
        <v>6.8297263999999996E-2</v>
      </c>
      <c r="M38" s="64">
        <f t="shared" ref="M38" si="66">M34+M37</f>
        <v>7.6456447999999996E-2</v>
      </c>
      <c r="N38" s="64">
        <f t="shared" ref="N38" si="67">N34+N37</f>
        <v>7.6456447999999996E-2</v>
      </c>
      <c r="O38" s="64">
        <f t="shared" ref="O38" si="68">O34+O37</f>
        <v>8.053563200000001E-2</v>
      </c>
      <c r="P38" s="64">
        <f t="shared" ref="P38" si="69">P34+P37</f>
        <v>8.053563200000001E-2</v>
      </c>
      <c r="Q38" s="64">
        <f t="shared" ref="Q38" si="70">Q34+Q37</f>
        <v>8.4615631999999996E-2</v>
      </c>
      <c r="R38" s="64">
        <f t="shared" ref="R38" si="71">R34+R37</f>
        <v>8.4624608000000004E-2</v>
      </c>
      <c r="S38" s="73">
        <f t="shared" ref="S38" si="72">S34+S37</f>
        <v>8.869481600000001E-2</v>
      </c>
    </row>
    <row r="39" spans="1:19" hidden="1" x14ac:dyDescent="0.3">
      <c r="A39" s="57" t="s">
        <v>26</v>
      </c>
      <c r="B39" s="72">
        <f>IF(B38&gt;0.07,0.07,B38)</f>
        <v>2.3422976000000002E-2</v>
      </c>
      <c r="C39" s="64">
        <f t="shared" ref="C39:S39" si="73">IF(C38&gt;0.07,0.07,C38)</f>
        <v>3.5661343999999998E-2</v>
      </c>
      <c r="D39" s="64">
        <f t="shared" si="73"/>
        <v>3.5661343999999998E-2</v>
      </c>
      <c r="E39" s="64">
        <f t="shared" si="73"/>
        <v>4.3820527999999997E-2</v>
      </c>
      <c r="F39" s="64">
        <f t="shared" si="73"/>
        <v>4.3820527999999997E-2</v>
      </c>
      <c r="G39" s="64">
        <f t="shared" si="73"/>
        <v>5.1979712000000004E-2</v>
      </c>
      <c r="H39" s="64">
        <f t="shared" si="73"/>
        <v>5.1979712000000004E-2</v>
      </c>
      <c r="I39" s="64">
        <f t="shared" si="73"/>
        <v>6.013808000000001E-2</v>
      </c>
      <c r="J39" s="64">
        <f t="shared" si="73"/>
        <v>6.013808000000001E-2</v>
      </c>
      <c r="K39" s="64">
        <f t="shared" si="73"/>
        <v>6.8297263999999996E-2</v>
      </c>
      <c r="L39" s="64">
        <f t="shared" si="73"/>
        <v>6.8297263999999996E-2</v>
      </c>
      <c r="M39" s="64">
        <f t="shared" si="73"/>
        <v>7.0000000000000007E-2</v>
      </c>
      <c r="N39" s="64">
        <f t="shared" si="73"/>
        <v>7.0000000000000007E-2</v>
      </c>
      <c r="O39" s="64">
        <f t="shared" si="73"/>
        <v>7.0000000000000007E-2</v>
      </c>
      <c r="P39" s="64">
        <f t="shared" si="73"/>
        <v>7.0000000000000007E-2</v>
      </c>
      <c r="Q39" s="64">
        <f t="shared" si="73"/>
        <v>7.0000000000000007E-2</v>
      </c>
      <c r="R39" s="64">
        <f t="shared" si="73"/>
        <v>7.0000000000000007E-2</v>
      </c>
      <c r="S39" s="73">
        <f t="shared" si="73"/>
        <v>7.0000000000000007E-2</v>
      </c>
    </row>
    <row r="40" spans="1:19" hidden="1" x14ac:dyDescent="0.3">
      <c r="A40" s="57" t="s">
        <v>32</v>
      </c>
      <c r="B40" s="94">
        <f>IF(ROUND(B36,0)&gt;B35,B35,ROUND(B36,0))</f>
        <v>10</v>
      </c>
      <c r="C40" s="95">
        <f t="shared" ref="C40:S40" si="74">IF(ROUND(C36,0)&gt;C35,C35,ROUND(C36,0))</f>
        <v>56</v>
      </c>
      <c r="D40" s="95">
        <f t="shared" si="74"/>
        <v>56</v>
      </c>
      <c r="E40" s="95">
        <f t="shared" si="74"/>
        <v>101</v>
      </c>
      <c r="F40" s="95">
        <f t="shared" si="74"/>
        <v>101</v>
      </c>
      <c r="G40" s="95">
        <f t="shared" si="74"/>
        <v>158</v>
      </c>
      <c r="H40" s="95">
        <f t="shared" si="74"/>
        <v>158</v>
      </c>
      <c r="I40" s="95">
        <f t="shared" si="74"/>
        <v>226</v>
      </c>
      <c r="J40" s="95">
        <f t="shared" si="74"/>
        <v>226</v>
      </c>
      <c r="K40" s="95">
        <f t="shared" si="74"/>
        <v>306</v>
      </c>
      <c r="L40" s="95">
        <f t="shared" si="74"/>
        <v>306</v>
      </c>
      <c r="M40" s="95">
        <f t="shared" si="74"/>
        <v>397</v>
      </c>
      <c r="N40" s="95">
        <f t="shared" si="74"/>
        <v>397</v>
      </c>
      <c r="O40" s="95">
        <f t="shared" si="74"/>
        <v>447</v>
      </c>
      <c r="P40" s="95">
        <f t="shared" si="74"/>
        <v>447</v>
      </c>
      <c r="Q40" s="95">
        <f t="shared" si="74"/>
        <v>482</v>
      </c>
      <c r="R40" s="95">
        <f t="shared" si="74"/>
        <v>482</v>
      </c>
      <c r="S40" s="96">
        <f t="shared" si="74"/>
        <v>512</v>
      </c>
    </row>
    <row r="41" spans="1:19" hidden="1" x14ac:dyDescent="0.3">
      <c r="A41" s="57" t="s">
        <v>33</v>
      </c>
      <c r="B41" s="94">
        <f t="shared" ref="B41" si="75">B42-B40</f>
        <v>0</v>
      </c>
      <c r="C41" s="95">
        <f t="shared" ref="C41" si="76">C42-C40</f>
        <v>5</v>
      </c>
      <c r="D41" s="95">
        <f t="shared" ref="D41" si="77">D42-D40</f>
        <v>5</v>
      </c>
      <c r="E41" s="95">
        <f t="shared" ref="E41" si="78">E42-E40</f>
        <v>12</v>
      </c>
      <c r="F41" s="95">
        <f t="shared" ref="F41" si="79">F42-F40</f>
        <v>12</v>
      </c>
      <c r="G41" s="95">
        <f t="shared" ref="G41" si="80">G42-G40</f>
        <v>21</v>
      </c>
      <c r="H41" s="95">
        <f t="shared" ref="H41" si="81">H42-H40</f>
        <v>21</v>
      </c>
      <c r="I41" s="95">
        <f t="shared" ref="I41" si="82">I42-I40</f>
        <v>33</v>
      </c>
      <c r="J41" s="95">
        <f t="shared" ref="J41" si="83">J42-J40</f>
        <v>33</v>
      </c>
      <c r="K41" s="95">
        <f t="shared" ref="K41" si="84">K42-K40</f>
        <v>46</v>
      </c>
      <c r="L41" s="95">
        <f t="shared" ref="L41" si="85">L42-L40</f>
        <v>46</v>
      </c>
      <c r="M41" s="95">
        <f t="shared" ref="M41" si="86">M42-M40</f>
        <v>24</v>
      </c>
      <c r="N41" s="95">
        <f t="shared" ref="N41" si="87">N42-N40</f>
        <v>24</v>
      </c>
      <c r="O41" s="95">
        <f t="shared" ref="O41" si="88">O42-O40</f>
        <v>5</v>
      </c>
      <c r="P41" s="95">
        <f t="shared" ref="P41" si="89">P42-P40</f>
        <v>5</v>
      </c>
      <c r="Q41" s="95">
        <f t="shared" ref="Q41" si="90">Q42-Q40</f>
        <v>0</v>
      </c>
      <c r="R41" s="95">
        <f t="shared" ref="R41" si="91">R42-R40</f>
        <v>0</v>
      </c>
      <c r="S41" s="96">
        <f t="shared" ref="S41" si="92">S42-S40</f>
        <v>0</v>
      </c>
    </row>
    <row r="42" spans="1:19" s="61" customFormat="1" x14ac:dyDescent="0.3">
      <c r="A42" s="60" t="s">
        <v>74</v>
      </c>
      <c r="B42" s="101">
        <f t="shared" ref="B42" si="93">ROUND(B39*B32,0)</f>
        <v>10</v>
      </c>
      <c r="C42" s="97">
        <f t="shared" ref="C42:S42" si="94">ROUND(C39*C32,0)</f>
        <v>61</v>
      </c>
      <c r="D42" s="97">
        <f t="shared" si="94"/>
        <v>61</v>
      </c>
      <c r="E42" s="97">
        <f t="shared" si="94"/>
        <v>113</v>
      </c>
      <c r="F42" s="97">
        <f t="shared" si="94"/>
        <v>113</v>
      </c>
      <c r="G42" s="97">
        <f t="shared" si="94"/>
        <v>179</v>
      </c>
      <c r="H42" s="97">
        <f t="shared" si="94"/>
        <v>179</v>
      </c>
      <c r="I42" s="97">
        <f t="shared" si="94"/>
        <v>259</v>
      </c>
      <c r="J42" s="97">
        <f t="shared" si="94"/>
        <v>259</v>
      </c>
      <c r="K42" s="97">
        <f t="shared" si="94"/>
        <v>352</v>
      </c>
      <c r="L42" s="97">
        <f t="shared" si="94"/>
        <v>352</v>
      </c>
      <c r="M42" s="97">
        <f t="shared" si="94"/>
        <v>421</v>
      </c>
      <c r="N42" s="97">
        <f t="shared" si="94"/>
        <v>421</v>
      </c>
      <c r="O42" s="97">
        <f t="shared" si="94"/>
        <v>452</v>
      </c>
      <c r="P42" s="97">
        <f t="shared" si="94"/>
        <v>452</v>
      </c>
      <c r="Q42" s="97">
        <f t="shared" si="94"/>
        <v>482</v>
      </c>
      <c r="R42" s="97">
        <f t="shared" si="94"/>
        <v>482</v>
      </c>
      <c r="S42" s="102">
        <f t="shared" si="94"/>
        <v>512</v>
      </c>
    </row>
    <row r="43" spans="1:19" x14ac:dyDescent="0.3">
      <c r="A43" s="60" t="s">
        <v>34</v>
      </c>
      <c r="B43" s="101">
        <f>ROUND((B40/22)*5,0)</f>
        <v>2</v>
      </c>
      <c r="C43" s="97">
        <f t="shared" ref="C43:S43" si="95">ROUND((C40/22)*5,0)</f>
        <v>13</v>
      </c>
      <c r="D43" s="97">
        <f t="shared" si="95"/>
        <v>13</v>
      </c>
      <c r="E43" s="97">
        <f t="shared" si="95"/>
        <v>23</v>
      </c>
      <c r="F43" s="97">
        <f t="shared" si="95"/>
        <v>23</v>
      </c>
      <c r="G43" s="97">
        <f t="shared" si="95"/>
        <v>36</v>
      </c>
      <c r="H43" s="97">
        <f t="shared" si="95"/>
        <v>36</v>
      </c>
      <c r="I43" s="97">
        <f t="shared" si="95"/>
        <v>51</v>
      </c>
      <c r="J43" s="97">
        <f t="shared" si="95"/>
        <v>51</v>
      </c>
      <c r="K43" s="97">
        <f t="shared" si="95"/>
        <v>70</v>
      </c>
      <c r="L43" s="97">
        <f t="shared" si="95"/>
        <v>70</v>
      </c>
      <c r="M43" s="97">
        <f t="shared" si="95"/>
        <v>90</v>
      </c>
      <c r="N43" s="97">
        <f t="shared" si="95"/>
        <v>90</v>
      </c>
      <c r="O43" s="97">
        <f t="shared" si="95"/>
        <v>102</v>
      </c>
      <c r="P43" s="97">
        <f t="shared" si="95"/>
        <v>102</v>
      </c>
      <c r="Q43" s="97">
        <f t="shared" si="95"/>
        <v>110</v>
      </c>
      <c r="R43" s="97">
        <f t="shared" si="95"/>
        <v>110</v>
      </c>
      <c r="S43" s="102">
        <f t="shared" si="95"/>
        <v>116</v>
      </c>
    </row>
    <row r="44" spans="1:19" ht="15" thickBot="1" x14ac:dyDescent="0.35">
      <c r="A44" s="60" t="s">
        <v>35</v>
      </c>
      <c r="B44" s="98">
        <f>ROUND(((B42/22)*5)-B43,0)</f>
        <v>0</v>
      </c>
      <c r="C44" s="99">
        <f t="shared" ref="C44:S44" si="96">ROUND(((C42/22)*5)-C43,0)</f>
        <v>1</v>
      </c>
      <c r="D44" s="99">
        <f t="shared" si="96"/>
        <v>1</v>
      </c>
      <c r="E44" s="99">
        <f t="shared" si="96"/>
        <v>3</v>
      </c>
      <c r="F44" s="99">
        <f t="shared" si="96"/>
        <v>3</v>
      </c>
      <c r="G44" s="99">
        <f t="shared" si="96"/>
        <v>5</v>
      </c>
      <c r="H44" s="99">
        <f t="shared" si="96"/>
        <v>5</v>
      </c>
      <c r="I44" s="99">
        <f t="shared" si="96"/>
        <v>8</v>
      </c>
      <c r="J44" s="99">
        <f t="shared" si="96"/>
        <v>8</v>
      </c>
      <c r="K44" s="99">
        <f t="shared" si="96"/>
        <v>10</v>
      </c>
      <c r="L44" s="99">
        <f t="shared" si="96"/>
        <v>10</v>
      </c>
      <c r="M44" s="99">
        <f t="shared" si="96"/>
        <v>6</v>
      </c>
      <c r="N44" s="99">
        <f t="shared" si="96"/>
        <v>6</v>
      </c>
      <c r="O44" s="99">
        <f t="shared" si="96"/>
        <v>1</v>
      </c>
      <c r="P44" s="99">
        <f t="shared" si="96"/>
        <v>1</v>
      </c>
      <c r="Q44" s="99">
        <f t="shared" si="96"/>
        <v>0</v>
      </c>
      <c r="R44" s="99">
        <f t="shared" si="96"/>
        <v>0</v>
      </c>
      <c r="S44" s="100">
        <f t="shared" si="96"/>
        <v>0</v>
      </c>
    </row>
    <row r="45" spans="1:19" ht="7.2" customHeight="1" thickBot="1" x14ac:dyDescent="0.35">
      <c r="A45" s="58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</row>
    <row r="46" spans="1:19" ht="15" thickBot="1" x14ac:dyDescent="0.35">
      <c r="A46" s="58"/>
      <c r="B46" s="88" t="s">
        <v>37</v>
      </c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90"/>
    </row>
    <row r="47" spans="1:19" x14ac:dyDescent="0.3">
      <c r="A47" s="58" t="s">
        <v>21</v>
      </c>
      <c r="B47" s="91">
        <f>ROUNDUP(FFY25SMI!$B6*B$63,0)</f>
        <v>499</v>
      </c>
      <c r="C47" s="92">
        <f>FFY25SMI!$B6*C$63</f>
        <v>1995.4513333333334</v>
      </c>
      <c r="D47" s="92">
        <f t="shared" ref="D47:F47" si="97">C47+1</f>
        <v>1996.4513333333334</v>
      </c>
      <c r="E47" s="92">
        <f>FFY25SMI!$B6*E$63</f>
        <v>2993.1769999999997</v>
      </c>
      <c r="F47" s="92">
        <f t="shared" si="97"/>
        <v>2994.1769999999997</v>
      </c>
      <c r="G47" s="92">
        <f>FFY25SMI!$B6*G$63</f>
        <v>3990.9026666666668</v>
      </c>
      <c r="H47" s="92">
        <f t="shared" ref="H47" si="98">G47+1</f>
        <v>3991.9026666666668</v>
      </c>
      <c r="I47" s="92">
        <f>FFY25SMI!$B6*I$63</f>
        <v>4988.6283333333331</v>
      </c>
      <c r="J47" s="92">
        <f t="shared" ref="J47" si="99">I47+1</f>
        <v>4989.6283333333331</v>
      </c>
      <c r="K47" s="92">
        <f>FFY25SMI!$B6*K$63</f>
        <v>5986.3539999999994</v>
      </c>
      <c r="L47" s="92">
        <f t="shared" ref="L47" si="100">K47+1</f>
        <v>5987.3539999999994</v>
      </c>
      <c r="M47" s="92">
        <f>FFY25SMI!$B6*M$63</f>
        <v>6984.0796666666656</v>
      </c>
      <c r="N47" s="92">
        <f t="shared" ref="N47" si="101">M47+1</f>
        <v>6985.0796666666656</v>
      </c>
      <c r="O47" s="92">
        <f>FFY25SMI!$B6*O$63</f>
        <v>7482.9424999999992</v>
      </c>
      <c r="P47" s="92">
        <f t="shared" ref="P47" si="102">O47+1</f>
        <v>7483.9424999999992</v>
      </c>
      <c r="Q47" s="92">
        <f>ROUNDUP(FFY25SMI!$B6*Q$63,0)</f>
        <v>7982</v>
      </c>
      <c r="R47" s="92">
        <f t="shared" ref="R47" si="103">Q47+1</f>
        <v>7983</v>
      </c>
      <c r="S47" s="93">
        <f>ROUND(FFY25SMI!$B6*S$63,0)</f>
        <v>8481</v>
      </c>
    </row>
    <row r="48" spans="1:19" hidden="1" x14ac:dyDescent="0.3">
      <c r="A48" s="57" t="s">
        <v>22</v>
      </c>
      <c r="B48" s="72">
        <f>ROUND(B47/FFY25SMI!$B$6,5)</f>
        <v>5.0009999999999999E-2</v>
      </c>
      <c r="C48" s="64">
        <f>ROUND(C47/FFY25SMI!$B$6,5)</f>
        <v>0.2</v>
      </c>
      <c r="D48" s="64">
        <f>ROUND(D47/FFY25SMI!$B$6,5)</f>
        <v>0.2001</v>
      </c>
      <c r="E48" s="64">
        <f>ROUND(E47/FFY25SMI!$B$6,5)</f>
        <v>0.3</v>
      </c>
      <c r="F48" s="64">
        <f>ROUND(F47/FFY25SMI!$B$6,5)</f>
        <v>0.30009999999999998</v>
      </c>
      <c r="G48" s="64">
        <f>ROUND(G47/FFY25SMI!$B$6,5)</f>
        <v>0.4</v>
      </c>
      <c r="H48" s="64">
        <f>ROUND(H47/FFY25SMI!$B$6,5)</f>
        <v>0.40010000000000001</v>
      </c>
      <c r="I48" s="64">
        <f>ROUND(I47/FFY25SMI!$B$6,5)</f>
        <v>0.5</v>
      </c>
      <c r="J48" s="64">
        <f>ROUND(J47/FFY25SMI!$B$6,5)</f>
        <v>0.50009999999999999</v>
      </c>
      <c r="K48" s="64">
        <f>ROUND(K47/FFY25SMI!$B$6,5)</f>
        <v>0.6</v>
      </c>
      <c r="L48" s="64">
        <f>ROUND(L47/FFY25SMI!$B$6,5)</f>
        <v>0.60009999999999997</v>
      </c>
      <c r="M48" s="64">
        <f>ROUND(M47/FFY25SMI!$B$6,5)</f>
        <v>0.7</v>
      </c>
      <c r="N48" s="64">
        <f>ROUND(N47/FFY25SMI!$B$6,5)</f>
        <v>0.70009999999999994</v>
      </c>
      <c r="O48" s="64">
        <f>ROUND(O47/FFY25SMI!$B$6,5)</f>
        <v>0.75</v>
      </c>
      <c r="P48" s="64">
        <f>ROUND(P47/FFY25SMI!$B$6,5)</f>
        <v>0.75009999999999999</v>
      </c>
      <c r="Q48" s="64">
        <f>ROUND(Q47/FFY25SMI!$B$6,5)</f>
        <v>0.80001999999999995</v>
      </c>
      <c r="R48" s="64">
        <f>ROUND(R47/FFY25SMI!$B$6,5)</f>
        <v>0.80012000000000005</v>
      </c>
      <c r="S48" s="73">
        <f>ROUND(S47/FFY25SMI!$B$6,5)</f>
        <v>0.85002999999999995</v>
      </c>
    </row>
    <row r="49" spans="1:19" hidden="1" x14ac:dyDescent="0.3">
      <c r="A49" s="57" t="s">
        <v>23</v>
      </c>
      <c r="B49" s="72">
        <f>IF(B48&lt;0.01,0,(((B48*100)-1)*0.000666)+0.02)</f>
        <v>2.2664666E-2</v>
      </c>
      <c r="C49" s="64">
        <f t="shared" ref="C49:S49" si="104">IF(C48&lt;0.01,0,(((C48*100)-1)*0.000666)+0.02)</f>
        <v>3.2654000000000002E-2</v>
      </c>
      <c r="D49" s="64">
        <f t="shared" si="104"/>
        <v>3.2660660000000001E-2</v>
      </c>
      <c r="E49" s="64">
        <f t="shared" si="104"/>
        <v>3.9314000000000002E-2</v>
      </c>
      <c r="F49" s="64">
        <f t="shared" si="104"/>
        <v>3.932066E-2</v>
      </c>
      <c r="G49" s="64">
        <f t="shared" si="104"/>
        <v>4.5974000000000001E-2</v>
      </c>
      <c r="H49" s="64">
        <f t="shared" si="104"/>
        <v>4.598066E-2</v>
      </c>
      <c r="I49" s="64">
        <f t="shared" si="104"/>
        <v>5.2634E-2</v>
      </c>
      <c r="J49" s="64">
        <f t="shared" si="104"/>
        <v>5.2640660000000006E-2</v>
      </c>
      <c r="K49" s="64">
        <f t="shared" si="104"/>
        <v>5.9293999999999999E-2</v>
      </c>
      <c r="L49" s="64">
        <f t="shared" si="104"/>
        <v>5.9300660000000005E-2</v>
      </c>
      <c r="M49" s="64">
        <f t="shared" si="104"/>
        <v>6.5953999999999999E-2</v>
      </c>
      <c r="N49" s="64">
        <f t="shared" si="104"/>
        <v>6.596065999999999E-2</v>
      </c>
      <c r="O49" s="64">
        <f t="shared" si="104"/>
        <v>6.9283999999999998E-2</v>
      </c>
      <c r="P49" s="64">
        <f t="shared" si="104"/>
        <v>6.9290660000000004E-2</v>
      </c>
      <c r="Q49" s="64">
        <f t="shared" si="104"/>
        <v>7.2615332000000005E-2</v>
      </c>
      <c r="R49" s="64">
        <f t="shared" si="104"/>
        <v>7.262199200000001E-2</v>
      </c>
      <c r="S49" s="73">
        <f t="shared" si="104"/>
        <v>7.5945998000000001E-2</v>
      </c>
    </row>
    <row r="50" spans="1:19" hidden="1" x14ac:dyDescent="0.3">
      <c r="A50" s="57" t="s">
        <v>24</v>
      </c>
      <c r="B50" s="74">
        <f>ROUND(B47*0.07,0)</f>
        <v>35</v>
      </c>
      <c r="C50" s="65">
        <f t="shared" ref="C50:S50" si="105">ROUND(C47*0.07,0)</f>
        <v>140</v>
      </c>
      <c r="D50" s="65">
        <f t="shared" si="105"/>
        <v>140</v>
      </c>
      <c r="E50" s="65">
        <f t="shared" si="105"/>
        <v>210</v>
      </c>
      <c r="F50" s="65">
        <f t="shared" si="105"/>
        <v>210</v>
      </c>
      <c r="G50" s="65">
        <f t="shared" si="105"/>
        <v>279</v>
      </c>
      <c r="H50" s="65">
        <f t="shared" si="105"/>
        <v>279</v>
      </c>
      <c r="I50" s="65">
        <f t="shared" si="105"/>
        <v>349</v>
      </c>
      <c r="J50" s="65">
        <f t="shared" si="105"/>
        <v>349</v>
      </c>
      <c r="K50" s="65">
        <f t="shared" si="105"/>
        <v>419</v>
      </c>
      <c r="L50" s="65">
        <f t="shared" si="105"/>
        <v>419</v>
      </c>
      <c r="M50" s="65">
        <f t="shared" si="105"/>
        <v>489</v>
      </c>
      <c r="N50" s="65">
        <f t="shared" si="105"/>
        <v>489</v>
      </c>
      <c r="O50" s="65">
        <f t="shared" si="105"/>
        <v>524</v>
      </c>
      <c r="P50" s="65">
        <f t="shared" si="105"/>
        <v>524</v>
      </c>
      <c r="Q50" s="65">
        <f t="shared" si="105"/>
        <v>559</v>
      </c>
      <c r="R50" s="65">
        <f t="shared" si="105"/>
        <v>559</v>
      </c>
      <c r="S50" s="75">
        <f t="shared" si="105"/>
        <v>594</v>
      </c>
    </row>
    <row r="51" spans="1:19" hidden="1" x14ac:dyDescent="0.3">
      <c r="A51" s="57" t="s">
        <v>29</v>
      </c>
      <c r="B51" s="74">
        <f>B49*B47</f>
        <v>11.309668333999999</v>
      </c>
      <c r="C51" s="65">
        <f t="shared" ref="C51:S51" si="106">C49*C47</f>
        <v>65.159467838666671</v>
      </c>
      <c r="D51" s="65">
        <f t="shared" si="106"/>
        <v>65.205418204546675</v>
      </c>
      <c r="E51" s="65">
        <f t="shared" si="106"/>
        <v>117.673760578</v>
      </c>
      <c r="F51" s="65">
        <f t="shared" si="106"/>
        <v>117.73301579681998</v>
      </c>
      <c r="G51" s="65">
        <f t="shared" si="106"/>
        <v>183.47775919733334</v>
      </c>
      <c r="H51" s="65">
        <f t="shared" si="106"/>
        <v>183.55031926909334</v>
      </c>
      <c r="I51" s="65">
        <f t="shared" si="106"/>
        <v>262.57146369666668</v>
      </c>
      <c r="J51" s="65">
        <f t="shared" si="106"/>
        <v>262.65732862136667</v>
      </c>
      <c r="K51" s="65">
        <f t="shared" si="106"/>
        <v>354.95487407599995</v>
      </c>
      <c r="L51" s="65">
        <f t="shared" si="106"/>
        <v>355.05404385364</v>
      </c>
      <c r="M51" s="65">
        <f t="shared" si="106"/>
        <v>460.62799033533327</v>
      </c>
      <c r="N51" s="65">
        <f t="shared" si="106"/>
        <v>460.74046496591319</v>
      </c>
      <c r="O51" s="65">
        <f t="shared" si="106"/>
        <v>518.44818816999998</v>
      </c>
      <c r="P51" s="65">
        <f t="shared" si="106"/>
        <v>518.56731522705002</v>
      </c>
      <c r="Q51" s="65">
        <f t="shared" si="106"/>
        <v>579.615580024</v>
      </c>
      <c r="R51" s="65">
        <f t="shared" si="106"/>
        <v>579.74136213600013</v>
      </c>
      <c r="S51" s="75">
        <f t="shared" si="106"/>
        <v>644.09800903799999</v>
      </c>
    </row>
    <row r="52" spans="1:19" hidden="1" x14ac:dyDescent="0.3">
      <c r="A52" s="57" t="s">
        <v>30</v>
      </c>
      <c r="B52" s="79">
        <f>B48*0.015</f>
        <v>7.5014999999999999E-4</v>
      </c>
      <c r="C52" s="66">
        <f t="shared" ref="C52:S52" si="107">C48*0.015</f>
        <v>3.0000000000000001E-3</v>
      </c>
      <c r="D52" s="66">
        <f t="shared" si="107"/>
        <v>3.0014999999999998E-3</v>
      </c>
      <c r="E52" s="66">
        <f t="shared" si="107"/>
        <v>4.4999999999999997E-3</v>
      </c>
      <c r="F52" s="66">
        <f t="shared" si="107"/>
        <v>4.5014999999999994E-3</v>
      </c>
      <c r="G52" s="66">
        <f t="shared" si="107"/>
        <v>6.0000000000000001E-3</v>
      </c>
      <c r="H52" s="66">
        <f t="shared" si="107"/>
        <v>6.0014999999999999E-3</v>
      </c>
      <c r="I52" s="66">
        <f t="shared" si="107"/>
        <v>7.4999999999999997E-3</v>
      </c>
      <c r="J52" s="66">
        <f t="shared" si="107"/>
        <v>7.5014999999999995E-3</v>
      </c>
      <c r="K52" s="66">
        <f t="shared" si="107"/>
        <v>8.9999999999999993E-3</v>
      </c>
      <c r="L52" s="66">
        <f t="shared" si="107"/>
        <v>9.0014999999999991E-3</v>
      </c>
      <c r="M52" s="66">
        <f t="shared" si="107"/>
        <v>1.0499999999999999E-2</v>
      </c>
      <c r="N52" s="66">
        <f t="shared" si="107"/>
        <v>1.0501499999999999E-2</v>
      </c>
      <c r="O52" s="66">
        <f t="shared" si="107"/>
        <v>1.125E-2</v>
      </c>
      <c r="P52" s="66">
        <f t="shared" si="107"/>
        <v>1.1251499999999999E-2</v>
      </c>
      <c r="Q52" s="66">
        <f t="shared" si="107"/>
        <v>1.2000299999999998E-2</v>
      </c>
      <c r="R52" s="66">
        <f t="shared" si="107"/>
        <v>1.20018E-2</v>
      </c>
      <c r="S52" s="80">
        <f t="shared" si="107"/>
        <v>1.2750449999999998E-2</v>
      </c>
    </row>
    <row r="53" spans="1:19" hidden="1" x14ac:dyDescent="0.3">
      <c r="A53" s="57" t="s">
        <v>31</v>
      </c>
      <c r="B53" s="72">
        <f>B49+B52</f>
        <v>2.3414816000000001E-2</v>
      </c>
      <c r="C53" s="64">
        <f t="shared" ref="C53:S53" si="108">C49+C52</f>
        <v>3.5654000000000005E-2</v>
      </c>
      <c r="D53" s="64">
        <f t="shared" si="108"/>
        <v>3.5662159999999998E-2</v>
      </c>
      <c r="E53" s="64">
        <f t="shared" si="108"/>
        <v>4.3813999999999999E-2</v>
      </c>
      <c r="F53" s="64">
        <f t="shared" si="108"/>
        <v>4.3822159999999999E-2</v>
      </c>
      <c r="G53" s="64">
        <f t="shared" si="108"/>
        <v>5.1973999999999999E-2</v>
      </c>
      <c r="H53" s="64">
        <f t="shared" si="108"/>
        <v>5.1982159999999999E-2</v>
      </c>
      <c r="I53" s="64">
        <f t="shared" si="108"/>
        <v>6.0134E-2</v>
      </c>
      <c r="J53" s="64">
        <f t="shared" si="108"/>
        <v>6.0142160000000007E-2</v>
      </c>
      <c r="K53" s="64">
        <f t="shared" si="108"/>
        <v>6.8293999999999994E-2</v>
      </c>
      <c r="L53" s="64">
        <f t="shared" si="108"/>
        <v>6.8302160000000001E-2</v>
      </c>
      <c r="M53" s="64">
        <f t="shared" si="108"/>
        <v>7.6453999999999994E-2</v>
      </c>
      <c r="N53" s="64">
        <f t="shared" si="108"/>
        <v>7.6462159999999987E-2</v>
      </c>
      <c r="O53" s="64">
        <f t="shared" si="108"/>
        <v>8.0533999999999994E-2</v>
      </c>
      <c r="P53" s="64">
        <f t="shared" si="108"/>
        <v>8.0542160000000002E-2</v>
      </c>
      <c r="Q53" s="64">
        <f t="shared" si="108"/>
        <v>8.4615631999999996E-2</v>
      </c>
      <c r="R53" s="64">
        <f t="shared" si="108"/>
        <v>8.4623792000000003E-2</v>
      </c>
      <c r="S53" s="73">
        <f t="shared" si="108"/>
        <v>8.8696447999999997E-2</v>
      </c>
    </row>
    <row r="54" spans="1:19" hidden="1" x14ac:dyDescent="0.3">
      <c r="A54" s="57" t="s">
        <v>26</v>
      </c>
      <c r="B54" s="72">
        <f>IF(B53&gt;0.07,0.07,B53)</f>
        <v>2.3414816000000001E-2</v>
      </c>
      <c r="C54" s="64">
        <f t="shared" ref="C54:S54" si="109">IF(C53&gt;0.07,0.07,C53)</f>
        <v>3.5654000000000005E-2</v>
      </c>
      <c r="D54" s="64">
        <f t="shared" si="109"/>
        <v>3.5662159999999998E-2</v>
      </c>
      <c r="E54" s="64">
        <f t="shared" si="109"/>
        <v>4.3813999999999999E-2</v>
      </c>
      <c r="F54" s="64">
        <f t="shared" si="109"/>
        <v>4.3822159999999999E-2</v>
      </c>
      <c r="G54" s="64">
        <f t="shared" si="109"/>
        <v>5.1973999999999999E-2</v>
      </c>
      <c r="H54" s="64">
        <f t="shared" si="109"/>
        <v>5.1982159999999999E-2</v>
      </c>
      <c r="I54" s="64">
        <f t="shared" si="109"/>
        <v>6.0134E-2</v>
      </c>
      <c r="J54" s="64">
        <f t="shared" si="109"/>
        <v>6.0142160000000007E-2</v>
      </c>
      <c r="K54" s="64">
        <f t="shared" si="109"/>
        <v>6.8293999999999994E-2</v>
      </c>
      <c r="L54" s="64">
        <f t="shared" si="109"/>
        <v>6.8302160000000001E-2</v>
      </c>
      <c r="M54" s="64">
        <f t="shared" si="109"/>
        <v>7.0000000000000007E-2</v>
      </c>
      <c r="N54" s="64">
        <f t="shared" si="109"/>
        <v>7.0000000000000007E-2</v>
      </c>
      <c r="O54" s="64">
        <f t="shared" si="109"/>
        <v>7.0000000000000007E-2</v>
      </c>
      <c r="P54" s="64">
        <f t="shared" si="109"/>
        <v>7.0000000000000007E-2</v>
      </c>
      <c r="Q54" s="64">
        <f t="shared" si="109"/>
        <v>7.0000000000000007E-2</v>
      </c>
      <c r="R54" s="64">
        <f t="shared" si="109"/>
        <v>7.0000000000000007E-2</v>
      </c>
      <c r="S54" s="73">
        <f t="shared" si="109"/>
        <v>7.0000000000000007E-2</v>
      </c>
    </row>
    <row r="55" spans="1:19" hidden="1" x14ac:dyDescent="0.3">
      <c r="A55" s="57" t="s">
        <v>32</v>
      </c>
      <c r="B55" s="94">
        <f>IF(ROUND(B51,0)&gt;B50,B50,ROUND(B51,0))</f>
        <v>11</v>
      </c>
      <c r="C55" s="95">
        <f t="shared" ref="C55:S55" si="110">IF(ROUND(C51,0)&gt;C50,C50,ROUND(C51,0))</f>
        <v>65</v>
      </c>
      <c r="D55" s="95">
        <f t="shared" si="110"/>
        <v>65</v>
      </c>
      <c r="E55" s="95">
        <f t="shared" si="110"/>
        <v>118</v>
      </c>
      <c r="F55" s="95">
        <f t="shared" si="110"/>
        <v>118</v>
      </c>
      <c r="G55" s="95">
        <f t="shared" si="110"/>
        <v>183</v>
      </c>
      <c r="H55" s="95">
        <f t="shared" si="110"/>
        <v>184</v>
      </c>
      <c r="I55" s="95">
        <f t="shared" si="110"/>
        <v>263</v>
      </c>
      <c r="J55" s="95">
        <f t="shared" si="110"/>
        <v>263</v>
      </c>
      <c r="K55" s="95">
        <f t="shared" si="110"/>
        <v>355</v>
      </c>
      <c r="L55" s="95">
        <f t="shared" si="110"/>
        <v>355</v>
      </c>
      <c r="M55" s="95">
        <f t="shared" si="110"/>
        <v>461</v>
      </c>
      <c r="N55" s="95">
        <f t="shared" si="110"/>
        <v>461</v>
      </c>
      <c r="O55" s="95">
        <f t="shared" si="110"/>
        <v>518</v>
      </c>
      <c r="P55" s="95">
        <f t="shared" si="110"/>
        <v>519</v>
      </c>
      <c r="Q55" s="95">
        <f t="shared" si="110"/>
        <v>559</v>
      </c>
      <c r="R55" s="95">
        <f t="shared" si="110"/>
        <v>559</v>
      </c>
      <c r="S55" s="96">
        <f t="shared" si="110"/>
        <v>594</v>
      </c>
    </row>
    <row r="56" spans="1:19" hidden="1" x14ac:dyDescent="0.3">
      <c r="A56" s="57" t="s">
        <v>33</v>
      </c>
      <c r="B56" s="94">
        <f>B57-B55</f>
        <v>1</v>
      </c>
      <c r="C56" s="95">
        <f t="shared" ref="C56:S56" si="111">C57-C55</f>
        <v>6</v>
      </c>
      <c r="D56" s="95">
        <f t="shared" si="111"/>
        <v>6</v>
      </c>
      <c r="E56" s="95">
        <f t="shared" si="111"/>
        <v>13</v>
      </c>
      <c r="F56" s="95">
        <f t="shared" si="111"/>
        <v>13</v>
      </c>
      <c r="G56" s="95">
        <f t="shared" si="111"/>
        <v>24</v>
      </c>
      <c r="H56" s="95">
        <f t="shared" si="111"/>
        <v>24</v>
      </c>
      <c r="I56" s="95">
        <f t="shared" si="111"/>
        <v>37</v>
      </c>
      <c r="J56" s="95">
        <f t="shared" si="111"/>
        <v>37</v>
      </c>
      <c r="K56" s="95">
        <f t="shared" si="111"/>
        <v>54</v>
      </c>
      <c r="L56" s="95">
        <f t="shared" si="111"/>
        <v>54</v>
      </c>
      <c r="M56" s="95">
        <f t="shared" si="111"/>
        <v>28</v>
      </c>
      <c r="N56" s="95">
        <f t="shared" si="111"/>
        <v>28</v>
      </c>
      <c r="O56" s="95">
        <f t="shared" si="111"/>
        <v>6</v>
      </c>
      <c r="P56" s="95">
        <f t="shared" si="111"/>
        <v>5</v>
      </c>
      <c r="Q56" s="95">
        <f t="shared" si="111"/>
        <v>0</v>
      </c>
      <c r="R56" s="95">
        <f t="shared" si="111"/>
        <v>0</v>
      </c>
      <c r="S56" s="96">
        <f t="shared" si="111"/>
        <v>0</v>
      </c>
    </row>
    <row r="57" spans="1:19" s="61" customFormat="1" x14ac:dyDescent="0.3">
      <c r="A57" s="60" t="s">
        <v>74</v>
      </c>
      <c r="B57" s="101">
        <f>ROUND(B54*B47,0)</f>
        <v>12</v>
      </c>
      <c r="C57" s="97">
        <f t="shared" ref="C57:S57" si="112">ROUND(C54*C47,0)</f>
        <v>71</v>
      </c>
      <c r="D57" s="97">
        <f t="shared" si="112"/>
        <v>71</v>
      </c>
      <c r="E57" s="97">
        <f t="shared" si="112"/>
        <v>131</v>
      </c>
      <c r="F57" s="97">
        <f t="shared" si="112"/>
        <v>131</v>
      </c>
      <c r="G57" s="97">
        <f t="shared" si="112"/>
        <v>207</v>
      </c>
      <c r="H57" s="97">
        <f t="shared" si="112"/>
        <v>208</v>
      </c>
      <c r="I57" s="97">
        <f t="shared" si="112"/>
        <v>300</v>
      </c>
      <c r="J57" s="97">
        <f t="shared" si="112"/>
        <v>300</v>
      </c>
      <c r="K57" s="97">
        <f t="shared" si="112"/>
        <v>409</v>
      </c>
      <c r="L57" s="97">
        <f t="shared" si="112"/>
        <v>409</v>
      </c>
      <c r="M57" s="97">
        <f t="shared" si="112"/>
        <v>489</v>
      </c>
      <c r="N57" s="97">
        <f t="shared" si="112"/>
        <v>489</v>
      </c>
      <c r="O57" s="97">
        <f t="shared" si="112"/>
        <v>524</v>
      </c>
      <c r="P57" s="97">
        <f t="shared" si="112"/>
        <v>524</v>
      </c>
      <c r="Q57" s="97">
        <f t="shared" si="112"/>
        <v>559</v>
      </c>
      <c r="R57" s="97">
        <f t="shared" si="112"/>
        <v>559</v>
      </c>
      <c r="S57" s="102">
        <f t="shared" si="112"/>
        <v>594</v>
      </c>
    </row>
    <row r="58" spans="1:19" x14ac:dyDescent="0.3">
      <c r="A58" s="60" t="s">
        <v>34</v>
      </c>
      <c r="B58" s="103">
        <f>ROUND((B55/22)*5,0)</f>
        <v>3</v>
      </c>
      <c r="C58" s="104">
        <f t="shared" ref="C58:S58" si="113">ROUND((C55/22)*5,0)</f>
        <v>15</v>
      </c>
      <c r="D58" s="104">
        <f t="shared" si="113"/>
        <v>15</v>
      </c>
      <c r="E58" s="104">
        <f t="shared" si="113"/>
        <v>27</v>
      </c>
      <c r="F58" s="104">
        <f t="shared" si="113"/>
        <v>27</v>
      </c>
      <c r="G58" s="104">
        <f t="shared" si="113"/>
        <v>42</v>
      </c>
      <c r="H58" s="104">
        <f t="shared" si="113"/>
        <v>42</v>
      </c>
      <c r="I58" s="104">
        <f t="shared" si="113"/>
        <v>60</v>
      </c>
      <c r="J58" s="104">
        <f t="shared" si="113"/>
        <v>60</v>
      </c>
      <c r="K58" s="104">
        <f t="shared" si="113"/>
        <v>81</v>
      </c>
      <c r="L58" s="104">
        <f t="shared" si="113"/>
        <v>81</v>
      </c>
      <c r="M58" s="104">
        <f t="shared" si="113"/>
        <v>105</v>
      </c>
      <c r="N58" s="104">
        <f t="shared" si="113"/>
        <v>105</v>
      </c>
      <c r="O58" s="104">
        <f t="shared" si="113"/>
        <v>118</v>
      </c>
      <c r="P58" s="104">
        <f t="shared" si="113"/>
        <v>118</v>
      </c>
      <c r="Q58" s="104">
        <f t="shared" si="113"/>
        <v>127</v>
      </c>
      <c r="R58" s="104">
        <f t="shared" si="113"/>
        <v>127</v>
      </c>
      <c r="S58" s="105">
        <f t="shared" si="113"/>
        <v>135</v>
      </c>
    </row>
    <row r="59" spans="1:19" ht="15" thickBot="1" x14ac:dyDescent="0.35">
      <c r="A59" s="60" t="s">
        <v>35</v>
      </c>
      <c r="B59" s="98">
        <f>ROUND(((B57/22)*5)-B58,0)</f>
        <v>0</v>
      </c>
      <c r="C59" s="99">
        <f t="shared" ref="C59:S59" si="114">ROUND(((C57/22)*5)-C58,0)</f>
        <v>1</v>
      </c>
      <c r="D59" s="99">
        <f t="shared" si="114"/>
        <v>1</v>
      </c>
      <c r="E59" s="99">
        <f t="shared" si="114"/>
        <v>3</v>
      </c>
      <c r="F59" s="99">
        <f t="shared" si="114"/>
        <v>3</v>
      </c>
      <c r="G59" s="99">
        <f t="shared" si="114"/>
        <v>5</v>
      </c>
      <c r="H59" s="99">
        <f t="shared" si="114"/>
        <v>5</v>
      </c>
      <c r="I59" s="99">
        <f t="shared" si="114"/>
        <v>8</v>
      </c>
      <c r="J59" s="99">
        <f t="shared" si="114"/>
        <v>8</v>
      </c>
      <c r="K59" s="99">
        <f t="shared" si="114"/>
        <v>12</v>
      </c>
      <c r="L59" s="99">
        <f t="shared" si="114"/>
        <v>12</v>
      </c>
      <c r="M59" s="99">
        <f t="shared" si="114"/>
        <v>6</v>
      </c>
      <c r="N59" s="99">
        <f t="shared" si="114"/>
        <v>6</v>
      </c>
      <c r="O59" s="99">
        <f t="shared" si="114"/>
        <v>1</v>
      </c>
      <c r="P59" s="99">
        <f t="shared" si="114"/>
        <v>1</v>
      </c>
      <c r="Q59" s="99">
        <f t="shared" si="114"/>
        <v>0</v>
      </c>
      <c r="R59" s="99">
        <f t="shared" si="114"/>
        <v>0</v>
      </c>
      <c r="S59" s="100">
        <f t="shared" si="114"/>
        <v>0</v>
      </c>
    </row>
    <row r="60" spans="1:19" ht="6.6" customHeight="1" x14ac:dyDescent="0.3">
      <c r="A60" s="58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</row>
    <row r="61" spans="1:19" ht="30" customHeight="1" x14ac:dyDescent="0.3">
      <c r="B61" s="109" t="s">
        <v>75</v>
      </c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</row>
    <row r="62" spans="1:19" x14ac:dyDescent="0.3">
      <c r="B62" s="52" t="s">
        <v>38</v>
      </c>
    </row>
    <row r="63" spans="1:19" hidden="1" x14ac:dyDescent="0.3">
      <c r="A63" s="52" t="s">
        <v>39</v>
      </c>
      <c r="B63" s="52">
        <v>0.05</v>
      </c>
      <c r="C63" s="52">
        <v>0.2</v>
      </c>
      <c r="D63" s="52">
        <v>0.2</v>
      </c>
      <c r="E63" s="52">
        <v>0.3</v>
      </c>
      <c r="F63" s="52">
        <v>0.3</v>
      </c>
      <c r="G63" s="52">
        <v>0.4</v>
      </c>
      <c r="H63" s="52">
        <v>0.4</v>
      </c>
      <c r="I63" s="52">
        <v>0.5</v>
      </c>
      <c r="J63" s="52">
        <v>0.5</v>
      </c>
      <c r="K63" s="52">
        <v>0.6</v>
      </c>
      <c r="L63" s="52">
        <v>0.6</v>
      </c>
      <c r="M63" s="52">
        <v>0.7</v>
      </c>
      <c r="N63" s="52">
        <v>0.7</v>
      </c>
      <c r="O63" s="52">
        <v>0.75</v>
      </c>
      <c r="P63" s="52">
        <v>0.75</v>
      </c>
      <c r="Q63" s="52">
        <v>0.8</v>
      </c>
      <c r="R63" s="52">
        <v>0.8</v>
      </c>
      <c r="S63" s="52">
        <v>0.85</v>
      </c>
    </row>
  </sheetData>
  <mergeCells count="1">
    <mergeCell ref="B61:S61"/>
  </mergeCells>
  <pageMargins left="0.7" right="0.7" top="0.75" bottom="0.75" header="0.3" footer="0.3"/>
  <pageSetup scale="98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55277-49EA-476E-8396-D990C8D14E20}">
  <dimension ref="A1:O31"/>
  <sheetViews>
    <sheetView workbookViewId="0">
      <selection activeCell="A9" sqref="A9:XFD9"/>
    </sheetView>
  </sheetViews>
  <sheetFormatPr defaultColWidth="8.88671875" defaultRowHeight="14.4" x14ac:dyDescent="0.3"/>
  <cols>
    <col min="1" max="1" width="20.33203125" style="1" bestFit="1" customWidth="1"/>
    <col min="2" max="2" width="13.33203125" style="1" customWidth="1"/>
    <col min="3" max="3" width="4.6640625" style="4" customWidth="1"/>
    <col min="4" max="4" width="9.5546875" style="4" customWidth="1"/>
    <col min="5" max="6" width="8.88671875" style="4" customWidth="1"/>
    <col min="7" max="7" width="8.88671875" style="4"/>
    <col min="8" max="16384" width="8.88671875" style="1"/>
  </cols>
  <sheetData>
    <row r="1" spans="1:15" x14ac:dyDescent="0.3">
      <c r="A1" s="3" t="s">
        <v>40</v>
      </c>
      <c r="D1" s="4" t="s">
        <v>41</v>
      </c>
      <c r="G1" s="4" t="s">
        <v>42</v>
      </c>
    </row>
    <row r="2" spans="1:15" x14ac:dyDescent="0.3">
      <c r="A2" s="41" t="s">
        <v>43</v>
      </c>
      <c r="B2" s="42">
        <f>'FFY25 PSoC Calculator'!B2</f>
        <v>0</v>
      </c>
      <c r="G2" s="4" t="s">
        <v>44</v>
      </c>
    </row>
    <row r="3" spans="1:15" x14ac:dyDescent="0.3">
      <c r="A3" s="41" t="s">
        <v>45</v>
      </c>
      <c r="B3" s="42">
        <f>'FFY25 PSoC Calculator'!B3</f>
        <v>0</v>
      </c>
      <c r="G3" s="4" t="s">
        <v>46</v>
      </c>
    </row>
    <row r="4" spans="1:15" x14ac:dyDescent="0.3">
      <c r="A4" s="41" t="s">
        <v>47</v>
      </c>
      <c r="B4" s="42">
        <f>'FFY25 PSoC Calculator'!B4</f>
        <v>0</v>
      </c>
      <c r="C4" s="11" t="str">
        <f>IF(OR(B2&lt;B4,B2=B4),"ERROR - Children in care must be less than the family size."," ")</f>
        <v>ERROR - Children in care must be less than the family size.</v>
      </c>
      <c r="G4" s="4" t="s">
        <v>48</v>
      </c>
    </row>
    <row r="5" spans="1:15" x14ac:dyDescent="0.3">
      <c r="A5" s="41" t="s">
        <v>49</v>
      </c>
      <c r="B5" s="43">
        <f>IFERROR(ROUND(B3/(VLOOKUP(B2,SMI[],2,FALSE)),5),0)</f>
        <v>0</v>
      </c>
      <c r="E5" s="7"/>
      <c r="G5" s="8" t="s">
        <v>50</v>
      </c>
    </row>
    <row r="6" spans="1:15" x14ac:dyDescent="0.3">
      <c r="A6" s="41" t="s">
        <v>51</v>
      </c>
      <c r="B6" s="44" t="str">
        <f>IF(B5&gt;0.85004,"No","Yes")</f>
        <v>Yes</v>
      </c>
      <c r="G6" s="8" t="s">
        <v>52</v>
      </c>
    </row>
    <row r="7" spans="1:15" x14ac:dyDescent="0.3">
      <c r="A7" s="41" t="s">
        <v>53</v>
      </c>
      <c r="B7" s="43">
        <f>IF(B6="no","",F7)</f>
        <v>0</v>
      </c>
      <c r="D7" s="62">
        <f>IF(B5&lt;0.01,0,(((B5*100)-1)*0.000666)+0.02)</f>
        <v>0</v>
      </c>
      <c r="E7" s="62">
        <f>IF(B6="No","",D7)</f>
        <v>0</v>
      </c>
      <c r="F7" s="62">
        <f>IF(D7&gt;0.07,0.07,E7)</f>
        <v>0</v>
      </c>
      <c r="G7" s="9" t="s">
        <v>54</v>
      </c>
      <c r="H7" s="2"/>
      <c r="I7" s="2"/>
      <c r="J7" s="2"/>
      <c r="O7" s="10"/>
    </row>
    <row r="8" spans="1:15" x14ac:dyDescent="0.3">
      <c r="A8" s="41" t="s">
        <v>55</v>
      </c>
      <c r="B8" s="46">
        <f>IF(B6="Yes",(ROUND(B7*B3,0)),0)</f>
        <v>0</v>
      </c>
      <c r="D8" s="5"/>
      <c r="G8" s="4" t="s">
        <v>56</v>
      </c>
      <c r="H8" s="2"/>
    </row>
    <row r="9" spans="1:15" x14ac:dyDescent="0.3">
      <c r="A9" s="41" t="s">
        <v>57</v>
      </c>
      <c r="B9" s="47">
        <f>IF(B6="no","",(B4-1))</f>
        <v>-1</v>
      </c>
      <c r="G9" s="4" t="s">
        <v>58</v>
      </c>
    </row>
    <row r="10" spans="1:15" x14ac:dyDescent="0.3">
      <c r="A10" s="41" t="s">
        <v>59</v>
      </c>
      <c r="B10" s="45">
        <f>IF(B6="no","",D10)</f>
        <v>0</v>
      </c>
      <c r="D10" s="4">
        <f>IF(F7=0.07,0,(B5*0.015)*B9)</f>
        <v>0</v>
      </c>
      <c r="E10" s="4" t="str">
        <f>IF(B7+B10&gt;0.07,"Y","N")</f>
        <v>N</v>
      </c>
      <c r="F10" s="4">
        <f>IF(E10="N",D10,0.07)</f>
        <v>0</v>
      </c>
      <c r="G10" s="9" t="s">
        <v>60</v>
      </c>
    </row>
    <row r="11" spans="1:15" x14ac:dyDescent="0.3">
      <c r="A11" s="41" t="s">
        <v>61</v>
      </c>
      <c r="B11" s="48">
        <f>IF(B6="no","",(B13-B8))</f>
        <v>0</v>
      </c>
      <c r="G11" s="9" t="s">
        <v>62</v>
      </c>
    </row>
    <row r="12" spans="1:15" x14ac:dyDescent="0.3">
      <c r="A12" s="41" t="s">
        <v>63</v>
      </c>
      <c r="B12" s="43">
        <f>IF(B6="no","",E12)</f>
        <v>0</v>
      </c>
      <c r="D12" s="6">
        <f>IF(B6="no","",(B7+B10))</f>
        <v>0</v>
      </c>
      <c r="E12" s="4">
        <f>IF(D12&gt;0.07,0.07,D12)</f>
        <v>0</v>
      </c>
      <c r="G12" s="9" t="s">
        <v>64</v>
      </c>
    </row>
    <row r="13" spans="1:15" x14ac:dyDescent="0.3">
      <c r="A13" s="41" t="s">
        <v>65</v>
      </c>
      <c r="B13" s="48">
        <f>IF(B6="no","",(ROUND(B12*B3,0)))</f>
        <v>0</v>
      </c>
      <c r="G13" s="9" t="s">
        <v>66</v>
      </c>
    </row>
    <row r="14" spans="1:15" x14ac:dyDescent="0.3">
      <c r="B14" s="2"/>
    </row>
    <row r="21" spans="1:8" x14ac:dyDescent="0.3">
      <c r="A21" s="1">
        <f>IFERROR(ROUND(B3/(VLOOKUP(B2,SMI[],2,FALSE)),4),0)</f>
        <v>0</v>
      </c>
    </row>
    <row r="25" spans="1:8" x14ac:dyDescent="0.3">
      <c r="H25" s="10">
        <v>6.6600000000000003E-4</v>
      </c>
    </row>
    <row r="26" spans="1:8" x14ac:dyDescent="0.3">
      <c r="H26" s="10">
        <v>1.4999999999999999E-2</v>
      </c>
    </row>
    <row r="30" spans="1:8" x14ac:dyDescent="0.3">
      <c r="H30" s="10">
        <v>6.6600000000000003E-4</v>
      </c>
    </row>
    <row r="31" spans="1:8" x14ac:dyDescent="0.3">
      <c r="H31" s="56"/>
    </row>
  </sheetData>
  <conditionalFormatting sqref="B6">
    <cfRule type="containsText" dxfId="0" priority="1" operator="containsText" text="No">
      <formula>NOT(ISERROR(SEARCH("No",B6)))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0FA45-2D5A-45AE-AF21-C6F75D72BA4A}">
  <dimension ref="A1:F16"/>
  <sheetViews>
    <sheetView workbookViewId="0"/>
  </sheetViews>
  <sheetFormatPr defaultRowHeight="14.4" x14ac:dyDescent="0.3"/>
  <cols>
    <col min="1" max="1" width="11.6640625" customWidth="1"/>
    <col min="2" max="2" width="23.33203125" customWidth="1"/>
    <col min="5" max="5" width="12" bestFit="1" customWidth="1"/>
  </cols>
  <sheetData>
    <row r="1" spans="1:6" x14ac:dyDescent="0.3">
      <c r="A1" t="s">
        <v>67</v>
      </c>
      <c r="B1" t="s">
        <v>68</v>
      </c>
    </row>
    <row r="2" spans="1:6" x14ac:dyDescent="0.3">
      <c r="A2">
        <v>1</v>
      </c>
      <c r="B2" s="59">
        <v>4472.5633333333335</v>
      </c>
      <c r="E2">
        <v>4472.5633333333335</v>
      </c>
      <c r="F2">
        <f>ROUND(E2,0)</f>
        <v>4473</v>
      </c>
    </row>
    <row r="3" spans="1:6" x14ac:dyDescent="0.3">
      <c r="A3">
        <v>2</v>
      </c>
      <c r="B3" s="59">
        <v>5848.7366666666676</v>
      </c>
      <c r="E3">
        <v>5848.7366666666676</v>
      </c>
      <c r="F3">
        <f t="shared" ref="F3:F16" si="0">ROUND(E3,0)</f>
        <v>5849</v>
      </c>
    </row>
    <row r="4" spans="1:6" x14ac:dyDescent="0.3">
      <c r="A4">
        <v>3</v>
      </c>
      <c r="B4" s="59">
        <v>7224.91</v>
      </c>
      <c r="E4">
        <v>7224.91</v>
      </c>
      <c r="F4">
        <f t="shared" si="0"/>
        <v>7225</v>
      </c>
    </row>
    <row r="5" spans="1:6" x14ac:dyDescent="0.3">
      <c r="A5">
        <v>4</v>
      </c>
      <c r="B5" s="59">
        <v>8601.0833333333339</v>
      </c>
      <c r="E5">
        <v>8601.0833333333339</v>
      </c>
      <c r="F5">
        <f t="shared" si="0"/>
        <v>8601</v>
      </c>
    </row>
    <row r="6" spans="1:6" x14ac:dyDescent="0.3">
      <c r="A6">
        <v>5</v>
      </c>
      <c r="B6" s="59">
        <v>9977.2566666666662</v>
      </c>
      <c r="E6">
        <v>9977.2566666666662</v>
      </c>
      <c r="F6">
        <f t="shared" si="0"/>
        <v>9977</v>
      </c>
    </row>
    <row r="7" spans="1:6" x14ac:dyDescent="0.3">
      <c r="A7">
        <v>6</v>
      </c>
      <c r="B7" s="59">
        <v>11353.43</v>
      </c>
      <c r="E7">
        <v>11353.43</v>
      </c>
      <c r="F7">
        <f t="shared" si="0"/>
        <v>11353</v>
      </c>
    </row>
    <row r="8" spans="1:6" x14ac:dyDescent="0.3">
      <c r="A8">
        <v>7</v>
      </c>
      <c r="B8" s="59">
        <v>11611.462500000001</v>
      </c>
      <c r="E8">
        <v>11611.462500000001</v>
      </c>
      <c r="F8">
        <f t="shared" si="0"/>
        <v>11611</v>
      </c>
    </row>
    <row r="9" spans="1:6" x14ac:dyDescent="0.3">
      <c r="A9">
        <v>8</v>
      </c>
      <c r="B9" s="59">
        <v>11869.495000000001</v>
      </c>
      <c r="E9">
        <v>11869.495000000001</v>
      </c>
      <c r="F9">
        <f t="shared" si="0"/>
        <v>11869</v>
      </c>
    </row>
    <row r="10" spans="1:6" x14ac:dyDescent="0.3">
      <c r="A10">
        <v>9</v>
      </c>
      <c r="B10" s="59">
        <v>12127.527500000002</v>
      </c>
      <c r="E10">
        <v>12127.527500000002</v>
      </c>
      <c r="F10">
        <f t="shared" si="0"/>
        <v>12128</v>
      </c>
    </row>
    <row r="11" spans="1:6" x14ac:dyDescent="0.3">
      <c r="A11">
        <v>10</v>
      </c>
      <c r="B11" s="59">
        <v>12385.560000000003</v>
      </c>
      <c r="E11">
        <v>12385.560000000003</v>
      </c>
      <c r="F11">
        <f t="shared" si="0"/>
        <v>12386</v>
      </c>
    </row>
    <row r="12" spans="1:6" x14ac:dyDescent="0.3">
      <c r="A12">
        <v>11</v>
      </c>
      <c r="B12" s="59">
        <v>12643.592500000001</v>
      </c>
      <c r="E12">
        <v>12643.592500000001</v>
      </c>
      <c r="F12">
        <f t="shared" si="0"/>
        <v>12644</v>
      </c>
    </row>
    <row r="13" spans="1:6" x14ac:dyDescent="0.3">
      <c r="A13">
        <v>12</v>
      </c>
      <c r="B13" s="59">
        <v>12901.625000000002</v>
      </c>
      <c r="E13">
        <v>12901.625000000002</v>
      </c>
      <c r="F13">
        <f t="shared" si="0"/>
        <v>12902</v>
      </c>
    </row>
    <row r="14" spans="1:6" x14ac:dyDescent="0.3">
      <c r="A14">
        <v>13</v>
      </c>
      <c r="B14" s="59">
        <v>13159.657500000001</v>
      </c>
      <c r="E14">
        <v>13159.657500000001</v>
      </c>
      <c r="F14">
        <f t="shared" si="0"/>
        <v>13160</v>
      </c>
    </row>
    <row r="15" spans="1:6" x14ac:dyDescent="0.3">
      <c r="A15">
        <v>14</v>
      </c>
      <c r="B15" s="59">
        <v>13417.690000000002</v>
      </c>
      <c r="E15">
        <v>13417.690000000002</v>
      </c>
      <c r="F15">
        <f t="shared" si="0"/>
        <v>13418</v>
      </c>
    </row>
    <row r="16" spans="1:6" x14ac:dyDescent="0.3">
      <c r="A16">
        <v>15</v>
      </c>
      <c r="B16" s="59">
        <v>13675.722500000003</v>
      </c>
      <c r="E16">
        <v>13675.722500000003</v>
      </c>
      <c r="F16">
        <f t="shared" si="0"/>
        <v>13676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EA837411ED864B94278B26830B74D5" ma:contentTypeVersion="33" ma:contentTypeDescription="Create a new document." ma:contentTypeScope="" ma:versionID="7ae85a6553a7588aa572ee3f34cdb34a">
  <xsd:schema xmlns:xsd="http://www.w3.org/2001/XMLSchema" xmlns:xs="http://www.w3.org/2001/XMLSchema" xmlns:p="http://schemas.microsoft.com/office/2006/metadata/properties" xmlns:ns1="474a6763-ac05-4e28-9ae1-4058cad3e94b" xmlns:ns2="http://schemas.microsoft.com/sharepoint/v3" xmlns:ns3="d75cc3ea-6d34-48b9-955f-209672471296" targetNamespace="http://schemas.microsoft.com/office/2006/metadata/properties" ma:root="true" ma:fieldsID="c9934313f942d14bd24d0391a9bb3285" ns1:_="" ns2:_="" ns3:_="">
    <xsd:import namespace="474a6763-ac05-4e28-9ae1-4058cad3e94b"/>
    <xsd:import namespace="http://schemas.microsoft.com/sharepoint/v3"/>
    <xsd:import namespace="d75cc3ea-6d34-48b9-955f-209672471296"/>
    <xsd:element name="properties">
      <xsd:complexType>
        <xsd:sequence>
          <xsd:element name="documentManagement">
            <xsd:complexType>
              <xsd:all>
                <xsd:element ref="ns1:Folder" minOccurs="0"/>
                <xsd:element ref="ns1:URL_x0020_Node" minOccurs="0"/>
                <xsd:element ref="ns1:URL_x0020_Web_x0020_Page" minOccurs="0"/>
                <xsd:element ref="ns1:Other_x0020_URL_x0020_Web_x0020_Page" minOccurs="0"/>
                <xsd:element ref="ns1:Notes0" minOccurs="0"/>
                <xsd:element ref="ns1:Document_x0020_Name" minOccurs="0"/>
                <xsd:element ref="ns1:Remove_x0020_from_x0020_Web" minOccurs="0"/>
                <xsd:element ref="ns1:CCEL_x0020_Home_x0020_Page_x0020_Section" minOccurs="0"/>
                <xsd:element ref="ns1:MediaServiceMetadata" minOccurs="0"/>
                <xsd:element ref="ns1:MediaServiceFastMetadata" minOccurs="0"/>
                <xsd:element ref="ns1:lcf76f155ced4ddcb4097134ff3c332f" minOccurs="0"/>
                <xsd:element ref="ns3:TaxCatchAll" minOccurs="0"/>
                <xsd:element ref="ns1:MediaServiceDateTaken" minOccurs="0"/>
                <xsd:element ref="ns1:MediaServiceObjectDetectorVersions" minOccurs="0"/>
                <xsd:element ref="ns1:MediaServiceOCR" minOccurs="0"/>
                <xsd:element ref="ns1:MediaServiceGenerationTime" minOccurs="0"/>
                <xsd:element ref="ns1:MediaServiceEventHashCode" minOccurs="0"/>
                <xsd:element ref="ns1:Web_x0020_Page" minOccurs="0"/>
                <xsd:element ref="ns1:MediaServiceSearchProperties" minOccurs="0"/>
                <xsd:element ref="ns2:_ip_UnifiedCompliancePolicyProperties" minOccurs="0"/>
                <xsd:element ref="ns2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4a6763-ac05-4e28-9ae1-4058cad3e94b" elementFormDefault="qualified">
    <xsd:import namespace="http://schemas.microsoft.com/office/2006/documentManagement/types"/>
    <xsd:import namespace="http://schemas.microsoft.com/office/infopath/2007/PartnerControls"/>
    <xsd:element name="Folder" ma:index="0" nillable="true" ma:displayName="Folder" ma:format="Dropdown" ma:internalName="Folder">
      <xsd:simpleType>
        <xsd:restriction base="dms:Choice">
          <xsd:enumeration value="Documents"/>
          <xsd:enumeration value="Image"/>
          <xsd:enumeration value="Pages"/>
        </xsd:restriction>
      </xsd:simpleType>
    </xsd:element>
    <xsd:element name="URL_x0020_Node" ma:index="3" nillable="true" ma:displayName="URL Node (Old)" ma:internalName="URL_x0020_Node">
      <xsd:simpleType>
        <xsd:restriction base="dms:Text">
          <xsd:maxLength value="255"/>
        </xsd:restriction>
      </xsd:simpleType>
    </xsd:element>
    <xsd:element name="URL_x0020_Web_x0020_Page" ma:index="4" nillable="true" ma:displayName="URL Web Page (Old)" ma:format="Dropdown" ma:internalName="URL_x0020_Web_x0020_Page">
      <xsd:simpleType>
        <xsd:restriction base="dms:Choice">
          <xsd:enumeration value="Unknown"/>
        </xsd:restriction>
      </xsd:simpleType>
    </xsd:element>
    <xsd:element name="Other_x0020_URL_x0020_Web_x0020_Page" ma:index="5" nillable="true" ma:displayName="Other URL Web Page (Old)" ma:format="Dropdown" ma:internalName="Other_x0020_URL_x0020_Web_x0020_Page">
      <xsd:simpleType>
        <xsd:restriction base="dms:Choice">
          <xsd:enumeration value="www.twc.texas.gov/programs/childcare"/>
          <xsd:enumeration value="www.twc.texas.gov/programs/child-care-numbers"/>
          <xsd:enumeration value="www.twc.texas.gov/students/child-care-early-learning-conferences"/>
          <xsd:enumeration value="www.twc.texas.gov/students/child-care-development-fund-state-plans"/>
          <xsd:enumeration value="www.twc.texas.gov/partners/texas-rising-star-workgroup"/>
          <xsd:enumeration value="www.twc.texas.gov/jobseekers/child-care-services"/>
          <xsd:enumeration value="www.twc.texas.gov/covid-19-frontline-essential-worker-child-care"/>
          <xsd:enumeration value="www.twc.texas.gov/programs/texas-child-care-market-rate-survey"/>
          <xsd:enumeration value="www.twc.texas.gov/students/child-care-program-evaluation-effectiveness"/>
          <xsd:enumeration value="www.twc.texas.gov/child-care-services-guide"/>
          <xsd:enumeration value="www.twc.texas.gov/programs/childcare-numbers"/>
          <xsd:enumeration value="www.twc.texas.gov/child-care-services-guide-j-100-forms-desk-aids"/>
          <xsd:enumeration value="www.twc.texas.gov/child-care-services-guide-e-700-exemptions-parent-responsibility-agreement"/>
          <xsd:enumeration value="www.twc.texas.gov/programs/twc-prekindergarten-partnerships"/>
          <xsd:enumeration value="www.twc.texas.gov/partners/child-care-services-children-disabilities"/>
          <xsd:enumeration value="www.twc.texas.gov/programs/child-care-relief-funding"/>
          <xsd:enumeration value="www.twc.texas.gov/pre-k-partnership-summit-materials"/>
          <xsd:enumeration value="www.twc.texas.gov/covid-19-frontline-essential-worker-child-care"/>
          <xsd:enumeration value="https://www.twc.texas.gov/news/child-care-stimulus-resources"/>
          <xsd:enumeration value="https://www.twc.texas.gov/programs/child-care-relief-fund-frequently-asked-questions"/>
          <xsd:enumeration value="https://twc.texas.gov/child-care-services-guide-e-700-exemptions-parent-responsibility-agreement"/>
          <xsd:enumeration value="https://twc.texas.gov/partners/texas-rising-star-workgroup"/>
          <xsd:enumeration value="https://twc.texas.gov/programs/partnership-matching-grant-programs"/>
          <xsd:enumeration value="https://www.twc.texas.gov/programs/texas-preschool-development-grant"/>
          <xsd:enumeration value="Unknown"/>
        </xsd:restriction>
      </xsd:simpleType>
    </xsd:element>
    <xsd:element name="Notes0" ma:index="6" nillable="true" ma:displayName="Notes" ma:internalName="Notes0">
      <xsd:simpleType>
        <xsd:restriction base="dms:Note">
          <xsd:maxLength value="255"/>
        </xsd:restriction>
      </xsd:simpleType>
    </xsd:element>
    <xsd:element name="Document_x0020_Name" ma:index="7" nillable="true" ma:displayName="Document Name" ma:internalName="Document_x0020_Name">
      <xsd:simpleType>
        <xsd:restriction base="dms:Text">
          <xsd:maxLength value="255"/>
        </xsd:restriction>
      </xsd:simpleType>
    </xsd:element>
    <xsd:element name="Remove_x0020_from_x0020_Web" ma:index="8" nillable="true" ma:displayName="Removed from Web" ma:default="0" ma:format="Dropdown" ma:internalName="Remove_x0020_from_x0020_Web">
      <xsd:simpleType>
        <xsd:restriction base="dms:Boolean"/>
      </xsd:simpleType>
    </xsd:element>
    <xsd:element name="CCEL_x0020_Home_x0020_Page_x0020_Section" ma:index="9" nillable="true" ma:displayName="CCEL Home Page Section (Old)" ma:internalName="CCEL_x0020_Home_x0020_Page_x0020_Section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Spotlight"/>
                    <xsd:enumeration value="Texas Rising Star"/>
                    <xsd:enumeration value="Customers"/>
                    <xsd:enumeration value="Parents"/>
                    <xsd:enumeration value="Child Care Programs"/>
                    <xsd:enumeration value="Child Care Quality Improvement"/>
                    <xsd:enumeration value="Stakeholder Input"/>
                    <xsd:enumeration value="Authority and Funding"/>
                    <xsd:enumeration value="Data and Reports"/>
                  </xsd:restriction>
                </xsd:simpleType>
              </xsd:element>
            </xsd:sequence>
          </xsd:extension>
        </xsd:complexContent>
      </xsd:complex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2870f7a-ebce-4420-99c3-1cd72abed0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Web_x0020_Page" ma:index="26" nillable="true" ma:displayName="Web Page" ma:format="Dropdown" ma:internalName="Web_x0020_Pag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hild Care &amp; Early Learning Program"/>
                    <xsd:enumeration value="Child Care by the Numbers"/>
                    <xsd:enumeration value="Child Care Data, Reports &amp; Plans"/>
                    <xsd:enumeration value="Child Care Guide"/>
                    <xsd:enumeration value="Child Care Information for Parents"/>
                    <xsd:enumeration value="Child Care Information for Providers"/>
                    <xsd:enumeration value="Child Care Investments Partnership"/>
                    <xsd:enumeration value="Child Care Relief Funding 2022"/>
                    <xsd:enumeration value="Child Care Services &amp; Children with Disabilities"/>
                    <xsd:enumeration value="Child Care Stimulus Resources"/>
                    <xsd:enumeration value="Find Child Care"/>
                    <xsd:enumeration value="Free Child Care Business Resources"/>
                    <xsd:enumeration value="Shared Services Alliances"/>
                    <xsd:enumeration value="Texas Preschool Development Grant Birth Through 5 (PDG B-5)"/>
                    <xsd:enumeration value="Texas Rising Star Program"/>
                    <xsd:enumeration value="Texas Rising Star Workgroup - 2019"/>
                    <xsd:enumeration value="Texas Rising Star Workgroup - 2023"/>
                    <xsd:enumeration value="TWC Prekindergarten Partnerships"/>
                    <xsd:enumeration value="Work-Based Learning Staffing Initiatives"/>
                    <xsd:enumeration value="Unknown"/>
                  </xsd:restriction>
                </xsd:simple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cc3ea-6d34-48b9-955f-209672471296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74c2949c-22a8-4d1d-9a8c-b3c5bd09e7e6}" ma:internalName="TaxCatchAll" ma:showField="CatchAllData" ma:web="d75cc3ea-6d34-48b9-955f-2096724712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4" ma:displayName="Content Type"/>
        <xsd:element ref="dc:title" minOccurs="0" maxOccurs="1" ma:index="2" ma:displayName="File Nam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d75cc3ea-6d34-48b9-955f-209672471296" xsi:nil="true"/>
    <lcf76f155ced4ddcb4097134ff3c332f xmlns="474a6763-ac05-4e28-9ae1-4058cad3e94b">
      <Terms xmlns="http://schemas.microsoft.com/office/infopath/2007/PartnerControls"/>
    </lcf76f155ced4ddcb4097134ff3c332f>
    <MediaServiceMetadata xmlns="474a6763-ac05-4e28-9ae1-4058cad3e94b" xsi:nil="true"/>
    <MediaServiceFastMetadata xmlns="474a6763-ac05-4e28-9ae1-4058cad3e94b" xsi:nil="true"/>
    <Other_x0020_URL_x0020_Web_x0020_Page xmlns="474a6763-ac05-4e28-9ae1-4058cad3e94b" xsi:nil="true"/>
    <Web_x0020_Page xmlns="474a6763-ac05-4e28-9ae1-4058cad3e94b" xsi:nil="true"/>
    <Notes0 xmlns="474a6763-ac05-4e28-9ae1-4058cad3e94b" xsi:nil="true"/>
    <Remove_x0020_from_x0020_Web xmlns="474a6763-ac05-4e28-9ae1-4058cad3e94b">false</Remove_x0020_from_x0020_Web>
    <URL_x0020_Web_x0020_Page xmlns="474a6763-ac05-4e28-9ae1-4058cad3e94b" xsi:nil="true"/>
    <Document_x0020_Name xmlns="474a6763-ac05-4e28-9ae1-4058cad3e94b" xsi:nil="true"/>
    <CCEL_x0020_Home_x0020_Page_x0020_Section xmlns="474a6763-ac05-4e28-9ae1-4058cad3e94b" xsi:nil="true"/>
    <URL_x0020_Node xmlns="474a6763-ac05-4e28-9ae1-4058cad3e94b" xsi:nil="true"/>
    <Folder xmlns="474a6763-ac05-4e28-9ae1-4058cad3e94b" xsi:nil="true"/>
  </documentManagement>
</p:properties>
</file>

<file path=customXml/itemProps1.xml><?xml version="1.0" encoding="utf-8"?>
<ds:datastoreItem xmlns:ds="http://schemas.openxmlformats.org/officeDocument/2006/customXml" ds:itemID="{D6399C1E-ACDB-45EF-B25E-C9000E54219E}"/>
</file>

<file path=customXml/itemProps2.xml><?xml version="1.0" encoding="utf-8"?>
<ds:datastoreItem xmlns:ds="http://schemas.openxmlformats.org/officeDocument/2006/customXml" ds:itemID="{BC13ED9F-003F-4A37-8B5F-AFE1AAAE04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5EDF2C-99A5-4A6A-AA87-A08F1F91A66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690d148-e248-47ab-98cd-f477ea52990c"/>
    <ds:schemaRef ds:uri="d75cc3ea-6d34-48b9-955f-209672471296"/>
    <ds:schemaRef ds:uri="35625ac7-1bfd-4a7f-9a7f-d13086bfa74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FFY25 PSoC Calculator</vt:lpstr>
      <vt:lpstr>PSoC Chart</vt:lpstr>
      <vt:lpstr>Calculations</vt:lpstr>
      <vt:lpstr>FFY25SMI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Warner,Philip</dc:creator>
  <cp:keywords/>
  <dc:description/>
  <cp:lastModifiedBy>Warner,Philip</cp:lastModifiedBy>
  <cp:revision/>
  <dcterms:created xsi:type="dcterms:W3CDTF">2022-09-22T21:23:42Z</dcterms:created>
  <dcterms:modified xsi:type="dcterms:W3CDTF">2024-09-12T20:03:33Z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0x0101008C7645A84322634EB2B9EFDE86C78082</vt:lpwstr>
  </property>
  <property fmtid="{D5CDD505-2E9C-101B-9397-08002B2CF9AE}" pid="3" name="Project">
    <vt:lpwstr>Parent Share of Cost</vt:lpwstr>
  </property>
  <property fmtid="{D5CDD505-2E9C-101B-9397-08002B2CF9AE}" pid="4" name="Task">
    <vt:lpwstr>182</vt:lpwstr>
  </property>
  <property fmtid="{D5CDD505-2E9C-101B-9397-08002B2CF9AE}" pid="5" name="Policy Doc Type">
    <vt:lpwstr>Discussion Paper</vt:lpwstr>
  </property>
  <property fmtid="{D5CDD505-2E9C-101B-9397-08002B2CF9AE}" pid="6" name="MediaServiceImageTags">
    <vt:lpwstr/>
  </property>
  <property fmtid="{D5CDD505-2E9C-101B-9397-08002B2CF9AE}" pid="7" name="Corrected">
    <vt:bool>false</vt:bool>
  </property>
  <property fmtid="{D5CDD505-2E9C-101B-9397-08002B2CF9AE}" pid="8" name="Order">
    <vt:r8>217600</vt:r8>
  </property>
  <property fmtid="{D5CDD505-2E9C-101B-9397-08002B2CF9AE}" pid="9" name="xd_Signature">
    <vt:bool>false</vt:bool>
  </property>
  <property fmtid="{D5CDD505-2E9C-101B-9397-08002B2CF9AE}" pid="10" name="xd_ProgID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</Properties>
</file>