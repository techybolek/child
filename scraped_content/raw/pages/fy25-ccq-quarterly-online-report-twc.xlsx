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twcgov.sharepoint.com/sites/ccel/ppqi/Child Care Quality Funds Reporting/CCQ FFY2025/"/>
    </mc:Choice>
  </mc:AlternateContent>
  <xr:revisionPtr revIDLastSave="771" documentId="8_{DFB4F49F-14D8-43C7-BFD2-272225990B2B}" xr6:coauthVersionLast="47" xr6:coauthVersionMax="47" xr10:uidLastSave="{44319DD9-A14E-48C0-B2B6-3C8840D7C09A}"/>
  <bookViews>
    <workbookView xWindow="-108" yWindow="-108" windowWidth="23256" windowHeight="12456" activeTab="3" xr2:uid="{3CE0965A-2878-4944-8CD5-6E6CD5C66003}"/>
  </bookViews>
  <sheets>
    <sheet name="YTD by Category" sheetId="8" r:id="rId1"/>
    <sheet name="YTD by Quarter" sheetId="3" r:id="rId2"/>
    <sheet name=" (H)" sheetId="4" state="hidden" r:id="rId3"/>
    <sheet name="YTD Narratives" sheetId="7" r:id="rId4"/>
  </sheets>
  <externalReferences>
    <externalReference r:id="rId5"/>
    <externalReference r:id="rId6"/>
  </externalReferences>
  <definedNames>
    <definedName name="Anticipated_Quarter_Start" comment="Enter the quarter the Board anticipates starting the activity.">#REF!</definedName>
    <definedName name="Evaluation_Assessment_Tools">'[1]Quarterly Data'!#REF!</definedName>
    <definedName name="Select_Evaluation_Assessment_Tools">'[1]Quarterly Data'!#REF!</definedName>
    <definedName name="Select_tool">'[1]Quarterly Data'!#REF!</definedName>
    <definedName name="TitleEvalExp..F51">'[1]Quarterly Data'!#REF!</definedName>
    <definedName name="TitleOtherExp..F67">'[1]Quarterly Data'!#REF!</definedName>
    <definedName name="TitlePDExp..F18">'[1]Quarterly Data'!#REF!</definedName>
    <definedName name="TitleQInf..F10">'[1]Quarterly Data'!#REF!</definedName>
    <definedName name="TitleRisingExp..F35">'[1]Quarterly Data'!#REF!</definedName>
    <definedName name="TitleSupExp..F43">'[1]Quarterly Data'!#REF!</definedName>
    <definedName name="TitleSupExp..F59">'[1]Quarterly Data'!#REF!</definedName>
    <definedName name="TitleTotal..E74">'[1]Quarterly Data'!#REF!</definedName>
    <definedName name="TitleYTDExpByBoard..G20" localSheetId="0">[2]!Table9[[#Headers],[Board Contract]]</definedName>
    <definedName name="TitleYTDExpByBoard..G20">#REF!</definedName>
    <definedName name="TitleYTDExpenditures..I12" localSheetId="0">[2]!Table8[[#Headers],[Category]]</definedName>
    <definedName name="TitleYTDExpenditures..I1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1" i="8" l="1"/>
  <c r="G30" i="3"/>
  <c r="I3" i="3"/>
  <c r="I4" i="3"/>
  <c r="I5" i="3"/>
  <c r="I6" i="3"/>
  <c r="I7" i="3"/>
  <c r="I8" i="3"/>
  <c r="I9" i="3"/>
  <c r="I10" i="3"/>
  <c r="I11" i="3"/>
  <c r="I12" i="3"/>
  <c r="I13" i="3"/>
  <c r="I14" i="3"/>
  <c r="I15" i="3"/>
  <c r="I16" i="3"/>
  <c r="I17" i="3"/>
  <c r="I18" i="3"/>
  <c r="I19" i="3"/>
  <c r="I20" i="3"/>
  <c r="I21" i="3"/>
  <c r="I22" i="3"/>
  <c r="I23" i="3"/>
  <c r="I24" i="3"/>
  <c r="I25" i="3"/>
  <c r="I26" i="3"/>
  <c r="I27" i="3"/>
  <c r="I28" i="3"/>
  <c r="I29" i="3"/>
  <c r="T28" i="8"/>
  <c r="N28" i="8"/>
  <c r="G27" i="3"/>
  <c r="G2" i="3" l="1"/>
  <c r="G3" i="3"/>
  <c r="G4" i="3"/>
  <c r="G5" i="3"/>
  <c r="G6" i="3"/>
  <c r="G7" i="3"/>
  <c r="G8" i="3"/>
  <c r="G9" i="3"/>
  <c r="G10" i="3"/>
  <c r="G11" i="3"/>
  <c r="G12" i="3"/>
  <c r="G13" i="3"/>
  <c r="G14" i="3"/>
  <c r="G15" i="3"/>
  <c r="G16" i="3"/>
  <c r="G17" i="3"/>
  <c r="G18" i="3"/>
  <c r="G19" i="3"/>
  <c r="G20" i="3"/>
  <c r="G21" i="3"/>
  <c r="G22" i="3"/>
  <c r="G23" i="3"/>
  <c r="G24" i="3"/>
  <c r="G25" i="3"/>
  <c r="G26" i="3"/>
  <c r="G28" i="3"/>
  <c r="G29" i="3"/>
  <c r="H30" i="3" l="1"/>
  <c r="F30" i="3"/>
  <c r="E30" i="3"/>
  <c r="D30" i="3"/>
  <c r="C30" i="3"/>
  <c r="I2" i="3"/>
  <c r="AA31" i="8"/>
  <c r="Z31" i="8"/>
  <c r="W31" i="8"/>
  <c r="V31" i="8"/>
  <c r="S31" i="8"/>
  <c r="R31" i="8"/>
  <c r="P31" i="8"/>
  <c r="M31" i="8"/>
  <c r="L31" i="8"/>
  <c r="K31" i="8"/>
  <c r="H31" i="8"/>
  <c r="G31" i="8"/>
  <c r="D31" i="8"/>
  <c r="C31" i="8"/>
  <c r="AB30" i="8"/>
  <c r="X30" i="8"/>
  <c r="T30" i="8"/>
  <c r="N30" i="8"/>
  <c r="I30" i="8"/>
  <c r="E30" i="8"/>
  <c r="AB29" i="8"/>
  <c r="X29" i="8"/>
  <c r="T29" i="8"/>
  <c r="N29" i="8"/>
  <c r="I29" i="8"/>
  <c r="E29" i="8"/>
  <c r="AB28" i="8"/>
  <c r="X28" i="8"/>
  <c r="I28" i="8"/>
  <c r="E28" i="8"/>
  <c r="AD28" i="8" s="1"/>
  <c r="AB27" i="8"/>
  <c r="X27" i="8"/>
  <c r="T27" i="8"/>
  <c r="N27" i="8"/>
  <c r="I27" i="8"/>
  <c r="E27" i="8"/>
  <c r="AB26" i="8"/>
  <c r="X26" i="8"/>
  <c r="T26" i="8"/>
  <c r="N26" i="8"/>
  <c r="I26" i="8"/>
  <c r="E26" i="8"/>
  <c r="AD26" i="8" s="1"/>
  <c r="AB25" i="8"/>
  <c r="X25" i="8"/>
  <c r="T25" i="8"/>
  <c r="N25" i="8"/>
  <c r="I25" i="8"/>
  <c r="E25" i="8"/>
  <c r="AB24" i="8"/>
  <c r="X24" i="8"/>
  <c r="T24" i="8"/>
  <c r="N24" i="8"/>
  <c r="I24" i="8"/>
  <c r="E24" i="8"/>
  <c r="AD24" i="8" s="1"/>
  <c r="AB23" i="8"/>
  <c r="X23" i="8"/>
  <c r="T23" i="8"/>
  <c r="N23" i="8"/>
  <c r="I23" i="8"/>
  <c r="E23" i="8"/>
  <c r="AB22" i="8"/>
  <c r="X22" i="8"/>
  <c r="T22" i="8"/>
  <c r="N22" i="8"/>
  <c r="I22" i="8"/>
  <c r="E22" i="8"/>
  <c r="AD22" i="8" s="1"/>
  <c r="AB21" i="8"/>
  <c r="X21" i="8"/>
  <c r="T21" i="8"/>
  <c r="I21" i="8"/>
  <c r="E21" i="8"/>
  <c r="AD21" i="8" s="1"/>
  <c r="AB20" i="8"/>
  <c r="X20" i="8"/>
  <c r="T20" i="8"/>
  <c r="N20" i="8"/>
  <c r="I20" i="8"/>
  <c r="E20" i="8"/>
  <c r="AD20" i="8" s="1"/>
  <c r="AB19" i="8"/>
  <c r="X19" i="8"/>
  <c r="T19" i="8"/>
  <c r="N19" i="8"/>
  <c r="I19" i="8"/>
  <c r="E19" i="8"/>
  <c r="AB18" i="8"/>
  <c r="X18" i="8"/>
  <c r="T18" i="8"/>
  <c r="N18" i="8"/>
  <c r="I18" i="8"/>
  <c r="E18" i="8"/>
  <c r="AD18" i="8" s="1"/>
  <c r="AB17" i="8"/>
  <c r="X17" i="8"/>
  <c r="T17" i="8"/>
  <c r="N17" i="8"/>
  <c r="I17" i="8"/>
  <c r="E17" i="8"/>
  <c r="AB16" i="8"/>
  <c r="X16" i="8"/>
  <c r="T16" i="8"/>
  <c r="N16" i="8"/>
  <c r="I16" i="8"/>
  <c r="E16" i="8"/>
  <c r="AD16" i="8" s="1"/>
  <c r="AB15" i="8"/>
  <c r="X15" i="8"/>
  <c r="T15" i="8"/>
  <c r="N15" i="8"/>
  <c r="I15" i="8"/>
  <c r="E15" i="8"/>
  <c r="AB14" i="8"/>
  <c r="X14" i="8"/>
  <c r="T14" i="8"/>
  <c r="N14" i="8"/>
  <c r="I14" i="8"/>
  <c r="E14" i="8"/>
  <c r="AD14" i="8" s="1"/>
  <c r="AB13" i="8"/>
  <c r="X13" i="8"/>
  <c r="T13" i="8"/>
  <c r="N13" i="8"/>
  <c r="I13" i="8"/>
  <c r="E13" i="8"/>
  <c r="AB12" i="8"/>
  <c r="X12" i="8"/>
  <c r="T12" i="8"/>
  <c r="N12" i="8"/>
  <c r="I12" i="8"/>
  <c r="E12" i="8"/>
  <c r="AD12" i="8" s="1"/>
  <c r="AB11" i="8"/>
  <c r="X11" i="8"/>
  <c r="T11" i="8"/>
  <c r="N11" i="8"/>
  <c r="I11" i="8"/>
  <c r="E11" i="8"/>
  <c r="AB10" i="8"/>
  <c r="X10" i="8"/>
  <c r="N10" i="8"/>
  <c r="I10" i="8"/>
  <c r="E10" i="8"/>
  <c r="AD10" i="8" s="1"/>
  <c r="AB9" i="8"/>
  <c r="X9" i="8"/>
  <c r="T9" i="8"/>
  <c r="N9" i="8"/>
  <c r="I9" i="8"/>
  <c r="E9" i="8"/>
  <c r="AB8" i="8"/>
  <c r="X8" i="8"/>
  <c r="T8" i="8"/>
  <c r="N8" i="8"/>
  <c r="I8" i="8"/>
  <c r="E8" i="8"/>
  <c r="AD8" i="8" s="1"/>
  <c r="AB7" i="8"/>
  <c r="X7" i="8"/>
  <c r="T7" i="8"/>
  <c r="N7" i="8"/>
  <c r="I7" i="8"/>
  <c r="E7" i="8"/>
  <c r="AB6" i="8"/>
  <c r="X6" i="8"/>
  <c r="T6" i="8"/>
  <c r="N6" i="8"/>
  <c r="I6" i="8"/>
  <c r="E6" i="8"/>
  <c r="AD6" i="8" s="1"/>
  <c r="AB5" i="8"/>
  <c r="X5" i="8"/>
  <c r="T5" i="8"/>
  <c r="N5" i="8"/>
  <c r="I5" i="8"/>
  <c r="E5" i="8"/>
  <c r="AB4" i="8"/>
  <c r="X4" i="8"/>
  <c r="T4" i="8"/>
  <c r="N4" i="8"/>
  <c r="I4" i="8"/>
  <c r="E4" i="8"/>
  <c r="AD4" i="8" s="1"/>
  <c r="AB3" i="8"/>
  <c r="X3" i="8"/>
  <c r="T3" i="8"/>
  <c r="N3" i="8"/>
  <c r="I3" i="8"/>
  <c r="E3" i="8"/>
  <c r="AD29" i="8" l="1"/>
  <c r="AD23" i="8"/>
  <c r="AD25" i="8"/>
  <c r="AD27" i="8"/>
  <c r="AD11" i="8"/>
  <c r="AD17" i="8"/>
  <c r="AD5" i="8"/>
  <c r="AD13" i="8"/>
  <c r="Q13" i="8" s="1"/>
  <c r="AD19" i="8"/>
  <c r="F19" i="8" s="1"/>
  <c r="AD9" i="8"/>
  <c r="AC9" i="8" s="1"/>
  <c r="AD15" i="8"/>
  <c r="AD3" i="8"/>
  <c r="Y3" i="8" s="1"/>
  <c r="AD7" i="8"/>
  <c r="AD30" i="8"/>
  <c r="F28" i="8"/>
  <c r="N31" i="8"/>
  <c r="Q26" i="8"/>
  <c r="O6" i="8"/>
  <c r="Q14" i="8"/>
  <c r="O16" i="8"/>
  <c r="Q20" i="8"/>
  <c r="Y22" i="8"/>
  <c r="Q4" i="8"/>
  <c r="AB31" i="8"/>
  <c r="Q29" i="8"/>
  <c r="O23" i="8"/>
  <c r="F25" i="8"/>
  <c r="F30" i="8"/>
  <c r="U18" i="8"/>
  <c r="F12" i="8"/>
  <c r="O5" i="8"/>
  <c r="O7" i="8"/>
  <c r="Y15" i="8"/>
  <c r="J21" i="8"/>
  <c r="I31" i="8"/>
  <c r="U27" i="8"/>
  <c r="F10" i="8"/>
  <c r="X31" i="8"/>
  <c r="T31" i="8"/>
  <c r="Y11" i="8"/>
  <c r="U17" i="8"/>
  <c r="Y24" i="8"/>
  <c r="E31" i="8"/>
  <c r="I30" i="3"/>
  <c r="O26" i="8" l="1"/>
  <c r="U26" i="8"/>
  <c r="J26" i="8"/>
  <c r="Q23" i="8"/>
  <c r="AC26" i="8"/>
  <c r="F26" i="8"/>
  <c r="F6" i="8"/>
  <c r="F16" i="8"/>
  <c r="Y14" i="8"/>
  <c r="F13" i="8"/>
  <c r="O13" i="8"/>
  <c r="Y6" i="8"/>
  <c r="F22" i="8"/>
  <c r="J13" i="8"/>
  <c r="AC25" i="8"/>
  <c r="U22" i="8"/>
  <c r="U14" i="8"/>
  <c r="Y13" i="8"/>
  <c r="Y26" i="8"/>
  <c r="U13" i="8"/>
  <c r="J20" i="8"/>
  <c r="J14" i="8"/>
  <c r="F14" i="8"/>
  <c r="O14" i="8"/>
  <c r="J16" i="8"/>
  <c r="AC13" i="8"/>
  <c r="Q22" i="8"/>
  <c r="O21" i="8"/>
  <c r="O3" i="8"/>
  <c r="F21" i="8"/>
  <c r="AC22" i="8"/>
  <c r="Q6" i="8"/>
  <c r="Y20" i="8"/>
  <c r="AC20" i="8"/>
  <c r="J6" i="8"/>
  <c r="AC6" i="8"/>
  <c r="AC14" i="8"/>
  <c r="F23" i="8"/>
  <c r="J25" i="8"/>
  <c r="J7" i="8"/>
  <c r="F20" i="8"/>
  <c r="AC16" i="8"/>
  <c r="Q16" i="8"/>
  <c r="U20" i="8"/>
  <c r="J4" i="8"/>
  <c r="Y4" i="8"/>
  <c r="U16" i="8"/>
  <c r="U6" i="8"/>
  <c r="Q21" i="8"/>
  <c r="F4" i="8"/>
  <c r="O4" i="8"/>
  <c r="J29" i="8"/>
  <c r="O29" i="8"/>
  <c r="AC29" i="8"/>
  <c r="Y21" i="8"/>
  <c r="F29" i="8"/>
  <c r="AC21" i="8"/>
  <c r="Y25" i="8"/>
  <c r="Y16" i="8"/>
  <c r="J15" i="8"/>
  <c r="O19" i="8"/>
  <c r="U23" i="8"/>
  <c r="O15" i="8"/>
  <c r="J22" i="8"/>
  <c r="U29" i="8"/>
  <c r="J23" i="8"/>
  <c r="Q15" i="8"/>
  <c r="Y18" i="8"/>
  <c r="O22" i="8"/>
  <c r="Y23" i="8"/>
  <c r="AC18" i="8"/>
  <c r="Q7" i="8"/>
  <c r="Q18" i="8"/>
  <c r="Y19" i="8"/>
  <c r="AC7" i="8"/>
  <c r="Y29" i="8"/>
  <c r="J18" i="8"/>
  <c r="F7" i="8"/>
  <c r="F15" i="8"/>
  <c r="Y7" i="8"/>
  <c r="O20" i="8"/>
  <c r="AC23" i="8"/>
  <c r="F18" i="8"/>
  <c r="J19" i="8"/>
  <c r="U19" i="8"/>
  <c r="Q19" i="8"/>
  <c r="O18" i="8"/>
  <c r="U7" i="8"/>
  <c r="AC15" i="8"/>
  <c r="F5" i="8"/>
  <c r="U15" i="8"/>
  <c r="AC4" i="8"/>
  <c r="U4" i="8"/>
  <c r="U5" i="8"/>
  <c r="Q12" i="8"/>
  <c r="U25" i="8"/>
  <c r="O25" i="8"/>
  <c r="AC3" i="8"/>
  <c r="J5" i="8"/>
  <c r="Q5" i="8"/>
  <c r="J10" i="8"/>
  <c r="J30" i="8"/>
  <c r="Q30" i="8"/>
  <c r="Y17" i="8"/>
  <c r="U21" i="8"/>
  <c r="O30" i="8"/>
  <c r="J12" i="8"/>
  <c r="AC5" i="8"/>
  <c r="O12" i="8"/>
  <c r="Q25" i="8"/>
  <c r="Y30" i="8"/>
  <c r="Q3" i="8"/>
  <c r="AC30" i="8"/>
  <c r="AC11" i="8"/>
  <c r="Y12" i="8"/>
  <c r="U30" i="8"/>
  <c r="U12" i="8"/>
  <c r="J3" i="8"/>
  <c r="F3" i="8"/>
  <c r="AC12" i="8"/>
  <c r="U3" i="8"/>
  <c r="AC10" i="8"/>
  <c r="O10" i="8"/>
  <c r="AC19" i="8"/>
  <c r="Y5" i="8"/>
  <c r="U8" i="8"/>
  <c r="Q8" i="8"/>
  <c r="Y8" i="8"/>
  <c r="Y28" i="8"/>
  <c r="AC24" i="8"/>
  <c r="O24" i="8"/>
  <c r="J17" i="8"/>
  <c r="Q17" i="8"/>
  <c r="F17" i="8"/>
  <c r="O17" i="8"/>
  <c r="AC28" i="8"/>
  <c r="U24" i="8"/>
  <c r="J11" i="8"/>
  <c r="F11" i="8"/>
  <c r="Q11" i="8"/>
  <c r="O11" i="8"/>
  <c r="U11" i="8"/>
  <c r="AC8" i="8"/>
  <c r="O8" i="8"/>
  <c r="F8" i="8"/>
  <c r="J8" i="8"/>
  <c r="F24" i="8"/>
  <c r="Q24" i="8"/>
  <c r="J24" i="8"/>
  <c r="Q27" i="8"/>
  <c r="O27" i="8"/>
  <c r="Y27" i="8"/>
  <c r="F27" i="8"/>
  <c r="Q9" i="8"/>
  <c r="U9" i="8"/>
  <c r="Q10" i="8"/>
  <c r="U10" i="8"/>
  <c r="J9" i="8"/>
  <c r="F9" i="8"/>
  <c r="Y10" i="8"/>
  <c r="AC17" i="8"/>
  <c r="Y9" i="8"/>
  <c r="Q28" i="8"/>
  <c r="O28" i="8"/>
  <c r="J28" i="8"/>
  <c r="U28" i="8"/>
  <c r="AC27" i="8"/>
  <c r="J27" i="8"/>
  <c r="O9" i="8"/>
  <c r="F31" i="8" l="1"/>
  <c r="AC31" i="8"/>
  <c r="Q31" i="8"/>
  <c r="O31" i="8"/>
  <c r="Y31" i="8"/>
  <c r="J31" i="8"/>
  <c r="U31" i="8"/>
</calcChain>
</file>

<file path=xl/sharedStrings.xml><?xml version="1.0" encoding="utf-8"?>
<sst xmlns="http://schemas.openxmlformats.org/spreadsheetml/2006/main" count="9666" uniqueCount="3393">
  <si>
    <t>Infant &amp; Toddler</t>
  </si>
  <si>
    <t>Professional Development</t>
  </si>
  <si>
    <t>Texas Rising Star</t>
  </si>
  <si>
    <t>Health &amp; Safety</t>
  </si>
  <si>
    <t>Evaluation &amp; Assessment</t>
  </si>
  <si>
    <t>National Accreditation Support</t>
  </si>
  <si>
    <t>Other</t>
  </si>
  <si>
    <t>TOTAL</t>
  </si>
  <si>
    <t>#</t>
  </si>
  <si>
    <t>Board</t>
  </si>
  <si>
    <t>Panhandle</t>
  </si>
  <si>
    <t>South Plains</t>
  </si>
  <si>
    <t>North Texas</t>
  </si>
  <si>
    <t>North Central</t>
  </si>
  <si>
    <t>Tarrant County</t>
  </si>
  <si>
    <t>Greater Dallas</t>
  </si>
  <si>
    <t>Northeast Texas</t>
  </si>
  <si>
    <t>East Texas</t>
  </si>
  <si>
    <t>West Central</t>
  </si>
  <si>
    <t>Borderplex</t>
  </si>
  <si>
    <t>Permian Basin</t>
  </si>
  <si>
    <t>Concho Valley</t>
  </si>
  <si>
    <t>Heart of Texas</t>
  </si>
  <si>
    <t>Capital Area</t>
  </si>
  <si>
    <t>Rural Capital</t>
  </si>
  <si>
    <t>Brazos Valley</t>
  </si>
  <si>
    <t>Deep East</t>
  </si>
  <si>
    <t>Southeast Texas</t>
  </si>
  <si>
    <t>Golden Crescent</t>
  </si>
  <si>
    <t>Alamo</t>
  </si>
  <si>
    <t>South Texas</t>
  </si>
  <si>
    <t>Coastal Bend</t>
  </si>
  <si>
    <t>Lower Rio</t>
  </si>
  <si>
    <t>Cameron</t>
  </si>
  <si>
    <t>Texoma</t>
  </si>
  <si>
    <t>Central Texas</t>
  </si>
  <si>
    <t>Middle Rio</t>
  </si>
  <si>
    <t>Gulf Coast</t>
  </si>
  <si>
    <t>Statewide</t>
  </si>
  <si>
    <t>Q1</t>
  </si>
  <si>
    <t>Q2</t>
  </si>
  <si>
    <t>Q3</t>
  </si>
  <si>
    <t>Q4</t>
  </si>
  <si>
    <t>YTD Expended</t>
  </si>
  <si>
    <t>End of Sheet</t>
  </si>
  <si>
    <t>Board Number</t>
  </si>
  <si>
    <t>Quarter</t>
  </si>
  <si>
    <t>Activity Category</t>
  </si>
  <si>
    <t>Activity Description:</t>
  </si>
  <si>
    <t xml:space="preserve">Project Status </t>
  </si>
  <si>
    <t>Measurable Outcome(s)</t>
  </si>
  <si>
    <t>Ongoing</t>
  </si>
  <si>
    <t>The Board will measure the success  of this activity through programs  meeting their CQIP goals for caregiver education to increase the number of caregiver early childhood education in Texas Rising Star certified and programs working toward Texas Rising Star certification</t>
  </si>
  <si>
    <t>60 Provider Participants attended the semi annual provider meeting training titled "Provider Services Admin Review: Documentation, What and How to Report" via zoom</t>
  </si>
  <si>
    <t>To increase provider knowledge of CCS Reporting requirements of what to report, how to report, and who or where to report to.</t>
  </si>
  <si>
    <t>7 Provider Participants attended the Zoom training on "Entry Level Designation"</t>
  </si>
  <si>
    <t>To increase provider knowledge of the new TWC guidelines regarding Entry Level Designation</t>
  </si>
  <si>
    <t>33 Provider Participants attended the in-person training on "Texas Rising Star Category 1 &amp; 3"</t>
  </si>
  <si>
    <t>To increase provider Texas Rising Star knowledge to properly prepare them to become a Texas Rising Star Provider</t>
  </si>
  <si>
    <t>8 Provider Participants attended a Zoom training on "Texas Rising Star Category 1 &amp; 3"</t>
  </si>
  <si>
    <t>20 Provider Participants attended an in person training on "Category 4 Indoor and Outdoor Learning Environments"</t>
  </si>
  <si>
    <t>20 Provider Participants attended a Zoom training on "Category 4 Indoor and Outdoor Learning Environments"</t>
  </si>
  <si>
    <t>94 Providers received Infant/Toddler outdoor learning equipment and materials to enhance their outdoor learning environments</t>
  </si>
  <si>
    <t>Completed</t>
  </si>
  <si>
    <t>To increase the amount of materials and equipment available to infant/toddler children and to assist the provider to obtain, maintain, or increase their Texas Rising Star certification.</t>
  </si>
  <si>
    <t>Texas Rising Star/QRIS (except PD)</t>
  </si>
  <si>
    <t>134 Providers received Preschool/School age outdoor learning equipment and materials to enhance their outdoor learning environments</t>
  </si>
  <si>
    <t>To increase the amount of materials and equipment available to Preschool/School age children and to assist the provider to obtain, maintain, or increase their Texas Rising Star certification.</t>
  </si>
  <si>
    <t>18 Provider Participants attended the "Entry Level Designation and Texas Rising Star Onboarding Training for all Non-Texas Rising Star Providers" In Person-All Non-Texas Rising Star Providers were strongly encourage to attend this training regarding Entry Level Designation and Texas Rising Star onboarding Overview of Texas Rising Star Measures</t>
  </si>
  <si>
    <t>To increase the knowledge of the new TWC guidelines regarding Entry Level Designation and that all CCS providers will need to be Texas Rising Star certified by September 30, 2024</t>
  </si>
  <si>
    <t>13 Provider Participants received college subsidies for child development courses for Fall 2022 semester</t>
  </si>
  <si>
    <t>To increase the number of provider staff who obtain their CDA or college degrees in Early Childhood</t>
  </si>
  <si>
    <t>5 Texas Rising Star Staff salaries, fringe, travel, etc.</t>
  </si>
  <si>
    <t>To maintain current staffing levels in order to complete needed assessments, mentoring and onboarding of all CCS Providers</t>
  </si>
  <si>
    <t>Texas Rising Star staff personnel costs, including salaries, fringe, travel, supplies and indirect costs. Total= $37,722</t>
  </si>
  <si>
    <t>N/A</t>
  </si>
  <si>
    <t>new mentor added in October.</t>
  </si>
  <si>
    <t>North Central Texas</t>
  </si>
  <si>
    <t xml:space="preserve">Texas Rising Star Quality Improvement Staff; Hired: 1. 1 Director of Quality Child Care, 2. 2 Early Education Professional Development Specialists, 3. 1 Special Projects Coordinator, 4. 1 Administrative Assistant. These are staff that are implementing quality planned activities for early learning programs in the NCT board area. </t>
  </si>
  <si>
    <t xml:space="preserve">5 of 6 which is 83% of budgeted quality staff members hired, trained, and working towards improving quality for ELPs in the first quarter. </t>
  </si>
  <si>
    <t>Completed cohort of the LENA Grow Professional Development program with 1 Early Learning Program with 3 classrooms in November 2022.  The program consists of each child in the participating classrooms wearing recorders one day a week to generate data regarding conversation turns occurring in the classroom.  Then, a weekly coaching session takes place with the program's Texas Rising Star Mentor go to over the data and create goals around teacher-child interactions.</t>
  </si>
  <si>
    <t>By the end of this 5 week cohort, 64% of children were experiencing 15 or more conversational turns per hour. 95% of children were experiencing 5 or more conversational turns per hour.</t>
  </si>
  <si>
    <t xml:space="preserve">Expenses are related to Texas Rising Star certification assessments, one quarterly meeting for the Tri-Board area, and the completion of modules for the Texas Rising Star ATCP course. </t>
  </si>
  <si>
    <t>Four Texas Rising Star Early Childhood Specialists and Two Early Childhood Program Supervisors attended the Early Educators Conference in Orlando, FL. in October 2022. This conferences were designed for all early childhood professionals to present appropriate teaching strategies using research-based topics and current educational trends. One Early Childhood Specialist attended the National Black Child Development Institute (NBCDI) conference in Washington, DC in October 2022. This conference is designed by a trusted partner in developing and delivering strengths-based, culturally relevant, evidence-based, and trauma-informed resources that respond to the unique strengths and needs of Black children around issues including early childhood education, health and wellness, literacy, and family engagement. One Child Care Manager attended the TWC conference in Dallas, TX. No clock hours were received for this TWC conference.</t>
  </si>
  <si>
    <t>Five Early Childhood Specialists and 2 Early Childhood Program Supervisors were able to attend conferences and obtained a total of 106.25 professional development hours.</t>
  </si>
  <si>
    <t xml:space="preserve">Paid salaries and benefits for fifteen (15) Texas Rising Star Board Staff.  These Board Staff ensure the continuation of the Texas Rising Star program activities for our Workforce Development Board Area through mentoring, assessment, outreach, and program support services.  We have 12 Texas Rising Star Mentor/Early Childhood Specialists (not including one hired for Q2), 2 Texas Rising Star Program Supervisors, and 1 Child Care Manager, and salaries for the positions come out of CCQ funding. </t>
  </si>
  <si>
    <t xml:space="preserve">Hired 2 of the 4 of the vacant Early Childhood Specialist positions. </t>
  </si>
  <si>
    <t>Ten Texas Rising Star Board Staff (Early Childhood Specialist) participated in Mentor Micro-Credential PLC's as required by the Texas Rising Star guidelines. Two(2) Early Childhood Specialist are completing the ATCP modules and will be added to the PLC's. No CCQ funding is allocated for participation.</t>
  </si>
  <si>
    <t>TBD</t>
  </si>
  <si>
    <t>Completed one 120-hour Campfire CDA course for the summer session from June 21-November 8, 2022. Texas Rising Star Early Learning Programs were given first preference in selection for this scholarship and class participation in an effort to help them improve the overall education level of staff and/or administration.  All participants are from Texas Rising Star Early Learning Programs.</t>
  </si>
  <si>
    <t xml:space="preserve">There were 42 awarded scholarship and 24 are currently active. Out of that 24, there are 4 pending class completion, 20 completed the class and 10 ready to schedule for exam and observation for certificate. </t>
  </si>
  <si>
    <t>Texas Rising Star Early Childhood Specialists provided professional development trainings directly related to early learning and child development through the instruction of child care trainings.  These allowed for individuals to obtain the required annual clock hours of training needed for Child Care Regulation and gain information needed to make improvements in their child care classroom and/or program.</t>
  </si>
  <si>
    <t>Texas Rising Star Mentors/Early Childhood Specialist conducted 38 professional development sessions with 315 participants offering 55 clock hours for participants to use towards achieving their annual hours.</t>
  </si>
  <si>
    <t>Paid for two (2) Sr. Early Childhood Specialist  to renew their certification as a CLASS Observer in Infant/Toddler. A CLASS Observer is certified to collect CLASS data in a classroom setting for the specific designated age levels. In order to receive this certification, you must pass a reliability test following training and maintain that certification by passing an annual recertification test.</t>
  </si>
  <si>
    <t xml:space="preserve">Upon completion of the test, early childhood specialists were awarded their designated CLASS Observer certification. </t>
  </si>
  <si>
    <t>Tarrant</t>
  </si>
  <si>
    <t>Increased staff PD to enhance individual career lattice</t>
  </si>
  <si>
    <t>Increased staff retention for Texas Rising Star programs</t>
  </si>
  <si>
    <t>Mentor capability to provide certified trainings to program staff for PD hours</t>
  </si>
  <si>
    <t>Dallas</t>
  </si>
  <si>
    <t>Trauma Training Addressing COVID Trauma for Children &amp; Providers - Virtual</t>
  </si>
  <si>
    <t>Increased knowledge on supporting providers with working through childhood trauma</t>
  </si>
  <si>
    <t>Building on Whole Leadership - Virtual</t>
  </si>
  <si>
    <t>Maintain licensing requirements by providing training</t>
  </si>
  <si>
    <t>Hiring &amp; Retaining Staff - Virtual</t>
  </si>
  <si>
    <t>NAEYC Annual Conference -In person</t>
  </si>
  <si>
    <t>Maintain licensing requirements by providing training on a variety of ECE topics (6 staff and 1 ELP admin)</t>
  </si>
  <si>
    <t>New Provider &amp; Recertification Awards</t>
  </si>
  <si>
    <t>Provided support with educational materials to 26 programs.</t>
  </si>
  <si>
    <t>Texas Rising Star Binder Submission Incentives</t>
  </si>
  <si>
    <t>Provided support with educational materials, staff incentives, etc. to 63 programs.</t>
  </si>
  <si>
    <t>Quality Stabilization Awards</t>
  </si>
  <si>
    <t>Provided support with operational expense and staff incentives to 340 programs</t>
  </si>
  <si>
    <t>Infant Toddler Expansion Grant</t>
  </si>
  <si>
    <t>Provided training &amp; resources to increase infant/toddler capacity.</t>
  </si>
  <si>
    <t>ASQ Training October 13, 2022  - In person</t>
  </si>
  <si>
    <t>Provided training on ASQ screening  tool to support families and children</t>
  </si>
  <si>
    <t>ASQ Training Dec. 9, 2022  - In person</t>
  </si>
  <si>
    <t>Provided training on ASQ screening tool to support families and children</t>
  </si>
  <si>
    <t>Health &amp; Safety (except PD)</t>
  </si>
  <si>
    <t>1st Aid &amp; CPR Certification Class  (Quality Team) -- In person</t>
  </si>
  <si>
    <t>Provided training to maintain health &amp; safety support to 9 Texas Rising Star staff</t>
  </si>
  <si>
    <t>1st Aid &amp; CPR Certification Class  -In person</t>
  </si>
  <si>
    <t>Provided training to maintain licensing requirements to 7 ELP's</t>
  </si>
  <si>
    <t xml:space="preserve">Other (Shared Services, Pre-K Partnerships, Supply Building, Mental Health Supports) </t>
  </si>
  <si>
    <t>Wonder school project</t>
  </si>
  <si>
    <t>Providing  a child care management tool to assist directors with daily operational tasks to 5 program sites that's ongoing support.</t>
  </si>
  <si>
    <t xml:space="preserve">Reignite! By Together4Children Part 2 - Virtual </t>
  </si>
  <si>
    <t>Supported ELP's with retention strategies</t>
  </si>
  <si>
    <t>Tuition for BAS/AAS/ Certificate for students</t>
  </si>
  <si>
    <t>ongoing</t>
  </si>
  <si>
    <t xml:space="preserve">to obtain a credential </t>
  </si>
  <si>
    <t xml:space="preserve">WFSNETX purchased multi-cultural items for numerous centers to increase inclusivity in the classroom. </t>
  </si>
  <si>
    <t xml:space="preserve">WFSNETX purchased various items for centers working to become Texas Rising Star. </t>
  </si>
  <si>
    <t xml:space="preserve">Assist centers in becoming Texas Rising Star. </t>
  </si>
  <si>
    <t xml:space="preserve">WFSNETX purchased curriculum for 2 centers. </t>
  </si>
  <si>
    <t xml:space="preserve">Assist centers in becoming, increasing, or maintaining Texas Rising Star status. </t>
  </si>
  <si>
    <t xml:space="preserve">Assists daycare staff with acquiring their annual required training hours. </t>
  </si>
  <si>
    <t xml:space="preserve">WFSNETX paid for CDA renewal of an employee at a Texas Rising Star center. </t>
  </si>
  <si>
    <t xml:space="preserve">Increases the number of early childhood program educators attaining and maintaining a CDA. </t>
  </si>
  <si>
    <t xml:space="preserve">Increase in Texas Rising Star participation and/or certified star levels and retention in Texas Rising Star program. </t>
  </si>
  <si>
    <t xml:space="preserve">Other (Shared Services, Pre-K Partnerships, COVID Supports) </t>
  </si>
  <si>
    <t xml:space="preserve">WFSNETX provides Brightwheel to our TRS facilities. This is utilized for billing processes and parent communication. </t>
  </si>
  <si>
    <t xml:space="preserve">Increased communication between providers and parents. </t>
  </si>
  <si>
    <t>Quarterly subscription for Brightwheel for all TRS providers</t>
  </si>
  <si>
    <t>Increases parent involvement, classroom management and business needs of our providers.</t>
  </si>
  <si>
    <t>Monthly Provider training with Mentor staff conducted in person.</t>
  </si>
  <si>
    <t>Provides staff with required training hours and also increases quality in the classroom.</t>
  </si>
  <si>
    <t>Monthly Provider Training with Mentor staff conducted virtually.</t>
  </si>
  <si>
    <t xml:space="preserve">WFSNETX paid for teachers to attend CDA classes at their local college. </t>
  </si>
  <si>
    <t xml:space="preserve">Increases the number of early childhood program educators attaining a CDA. </t>
  </si>
  <si>
    <t>Purchased curriculum, materials and equipment for 4 ELPs Infant Toddler classrooms</t>
  </si>
  <si>
    <t>Reimbursed training costs for 61 ELP staff - conference registrations, Director trainings; Local conference registration and reimbursing Director credential training.</t>
  </si>
  <si>
    <t>CDA training for and CDA renewal reimbursements for 35 ELP staff</t>
  </si>
  <si>
    <t>Purchased curriculum, materials and equipment for 16 ELPs</t>
  </si>
  <si>
    <t xml:space="preserve">Staff Bonus for 19 ELP staff; </t>
  </si>
  <si>
    <t>Various trainings from Texas Rising Star and B/R staff for 87 ELP staff</t>
  </si>
  <si>
    <t>Texas Rising Star and B/R staff provided resources for all Texas Rising Star and CCS ELPs</t>
  </si>
  <si>
    <t>Texas Rising Star purchased 50 ASQ kits; delivered one each to 25 ELPs; we purchased 50 have provided 25 to ELPs. Have 25 remaining to provide for more ELPs as they come on board</t>
  </si>
  <si>
    <t xml:space="preserve"> Initial and Monitoring  ELP Incentives for 6 ELP</t>
  </si>
  <si>
    <t>Providers received an annual monitoring visit for 7 Texas Rising Star centers (26 classrooms)</t>
  </si>
  <si>
    <t xml:space="preserve">7
</t>
  </si>
  <si>
    <t>One Texas Rising Star assessor conducted annual unannounced monitoring visits to 7 Texas Rising Star centers.</t>
  </si>
  <si>
    <t xml:space="preserve">Participate in College course 1 Texas Rising Star mentor staff
</t>
  </si>
  <si>
    <t xml:space="preserve">One Texas Rising Star mentor participated in college course virtually to further her education. 
</t>
  </si>
  <si>
    <t>Provide mentoring for Texas Rising Star providers
Provided technical assistance to CCS providers
25 Texas Rising Star centers and 23 CCS providers</t>
  </si>
  <si>
    <t xml:space="preserve">Three Texas Rising Star mentor staff mentored 45 staff members at 25 Texas Rising Star centers.
Three Texas Rising Star mentor staff provided technical assistance to 23 CCS providers starting the onboarding process. </t>
  </si>
  <si>
    <t>PLC for 3 Texas Rising Star mentors and 1 dual role</t>
  </si>
  <si>
    <t xml:space="preserve">Three Texas Rising Star mentors and one dual role participated in PLC's monthly for 1.5 hours per month. </t>
  </si>
  <si>
    <t>Provide materials and equipment based on need for 1 Texas Rising Star provider</t>
  </si>
  <si>
    <t xml:space="preserve">Texas Rising Star staff used the ITERS tool to reassess the environment for 1 Texas Rising Star provider that scored low in category 4 on their recertification. Materials and equipment were purchased for this center based on that information. This is a wrap up for the project in Quarter 4 FFY2022. </t>
  </si>
  <si>
    <t>170 Slots were purchased for a conference hosted by the Paso Del Norte Chapter of TXAEYC. This conference focused on teacher interactions and social and emotional development for the preschool age groups. This event was held on 10/22/2022. Although this event was held in October 2022, this funding was billed to the previous fiscal year in accordance to the LWB designation of funding. ($7650)</t>
  </si>
  <si>
    <t xml:space="preserve">This opportunity allowed for a large group of teachers to be served with training in accordance with their licensing requirements along with meeting Texas Rising Star training standards. </t>
  </si>
  <si>
    <t>Assessor salary for the Quarter ($33539.14)</t>
  </si>
  <si>
    <t>Texas Rising Star staff</t>
  </si>
  <si>
    <t>Personnel costs for Texas Rising Star staff</t>
  </si>
  <si>
    <t>Increase in Texas Rising Star participation and to retain Texas Rising Star certified programs.</t>
  </si>
  <si>
    <t>Providing materials, equipment and resources to ass providers in meeting Texas Rising Star requirements</t>
  </si>
  <si>
    <t>Increase in Texas Rising Star participation and/or star level, to retain Texas Rising Star certified programs.</t>
  </si>
  <si>
    <t>4 virtual Kaplan trainings &amp; 1 face to face Kaplan quality child care conference - training on early learning and Child Dev included 122 virtual &amp; 350 face to face participants</t>
  </si>
  <si>
    <t>Increase the number of Texas Rising Star participation and/or star levels.</t>
  </si>
  <si>
    <t>CDA recertification</t>
  </si>
  <si>
    <t>Providing reimbursement for maintaining CDA certification</t>
  </si>
  <si>
    <t xml:space="preserve">Renewal of back-office solutions </t>
  </si>
  <si>
    <t>To help programs effectively manage their child care businesses and to allow directors more time to be in classrooms working with teachers.</t>
  </si>
  <si>
    <t>Teacher/Child Interactions - 4 hour virtual training (there was no charge for this training)</t>
  </si>
  <si>
    <t>increase the quality of care for children enrolled in child care centers within the Concho Valley</t>
  </si>
  <si>
    <t>CPR/First Aid Safety Training to 18 teachers</t>
  </si>
  <si>
    <t>Increase in Texas Rising Star participation and/or Star Level</t>
  </si>
  <si>
    <t>CDA training-Building your CDA Professional Portfolio to 20 teachers</t>
  </si>
  <si>
    <t>Supporting compliance with CCR requirements for health and safety. Decrease in number deficiencies cited by CCR. Increase in number of ELPS qualifying for Entry Level TRS participation.  Decrease in the number of Licensing deficiencies cited by CCR. Verified by quarterly CCR screenings.</t>
  </si>
  <si>
    <t>CPR/First Aid Safety Training to 22 teachers</t>
  </si>
  <si>
    <t>Texas Rising Star Entry Level Onboarding Focus on Cat 2 Teacher Child Interactions to 23 infant/toddler teachers</t>
  </si>
  <si>
    <t>Virtual Coffee Chat for 30 Program Directors</t>
  </si>
  <si>
    <t>Texas Rising Star Entry Level Onboarding Focus on Cat 2 Teacher Child Interactions to 33 preschool teachers</t>
  </si>
  <si>
    <t>Increase the number of Early Childhood Program Educators attaining the CDA Credential.</t>
  </si>
  <si>
    <t>Texas Rising Star Entry Level Hub Training Infant, Toddler, and Three's Guidelines to 36 directors</t>
  </si>
  <si>
    <t>Increase in the number of Program Directors participation in collaborative learning and business development. Deepen knowledge and expertise by interacting on a regular basis. Mentors observed positive change in participants daily practice.</t>
  </si>
  <si>
    <t>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Texas Rising Star classroom. Data provided by LENA will determine the success of the project. 
5 ELPs, 7 teachers, 5 administrators, 50 infant/toddlers</t>
  </si>
  <si>
    <t xml:space="preserve">Increase in Texas Rising Star participation </t>
  </si>
  <si>
    <t>Texas Rising Star Entry Level Hub Training Pre-K Guidelines to 56 directors</t>
  </si>
  <si>
    <t>Mini-Conference on Early Brain Development and Early Childhood Intervention served 70 teachers and directors, 16 ELPs</t>
  </si>
  <si>
    <t>Increase in Texas Rising Star participation</t>
  </si>
  <si>
    <t>CPR/First Aid Safety Training to 9 teachers</t>
  </si>
  <si>
    <t xml:space="preserve">Purchased PPE Supplies including gloves, disinfectant wipes and spray, and hand soap to help combat the rise in illnesses during the winter months including Flu, COVID-19, and RSV. Supplies were distributed in December to a total of 120 Early Learning Programs. $60,200.00 spent in Quarter 1 (CRSSA Funding). </t>
  </si>
  <si>
    <t xml:space="preserve">We achieved our goal of providing PPE supplies to a minimum of 120 Early Learning Programs in and around Travis County. </t>
  </si>
  <si>
    <t>Maintain CLASS Assessment Certification for 2 Texas Rising Star Mentors to assist programs with measuring effective interactions. This will assist mentors will improving a programs scores in Category 2 which is weighted heavier under the new Texas Rising Star Guidelines. $525.00 was spent in Quarter 1.</t>
  </si>
  <si>
    <t>We will measure success by seeing the average Category 2 scores of programs receiving Annual Monitoring's increase based on the previous year's scores. This will be assessed at the end of the fiscal year.</t>
  </si>
  <si>
    <t>Purchase Frog Street Curriculum for current Texas Rising Star Programs and Entry Level Programs actively working with a Texas Rising Star Mentor and who express interest in the TEA approved curriculum. A total of $203,400 (CRSSA Funding) was spent on Frog Street Curriculum for a total of 20 Early Learning Programs. A second Frog Street order will be placed later in FY23.</t>
  </si>
  <si>
    <t>We will measure success by seeing 90 percent of programs who receive the curriculum maintain or increase their TRS Star Level throughout FY2023. This will be assessed at the end of the fiscal year.</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</si>
  <si>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Texas Rising Star and ELD Programs. In Quarter 1, a total of 21 Programs were purchased resources for a total of $12,287.00 spent (CRSSA Funding).</t>
  </si>
  <si>
    <t>We will measure success with this activity by seeing a 10% increase in the number of TRS 3 and 4-star programs in FY2023. This will be assessed at the end of the fiscal year.</t>
  </si>
  <si>
    <t xml:space="preserve">Updated Texas Rising Star banners we purchased for current Texas Rising Star programs using the newly updated Texas Rising Star logo. The order for the Texas Rising Star Banners were placed in FY22, however the banners were invoiced in FY23. A total of 138 Texas Rising Star Programs were purchased a banner. A separate Texas Rising Star Banner purchase will occur toward the end of FY23 for all newly certified Texas Rising Star Programs. $3,169.00 was spent in Quarter 1. </t>
  </si>
  <si>
    <t>We will look to measure success by seeing an increase in the percentage of CCS children enrolled in a TRS program by the end of FY2023. This will be assessed at the end of the fiscal year.</t>
  </si>
  <si>
    <t xml:space="preserve">1 Early Learning Programs was purchased supplies in order to complete a LENA Grow Sequence at their center. The LENA program assists with Teacher/Child interactions and offers ongoing support from LENA as well as coaching for teachers provided by the center. $1,520 was spent in Quarter 1. Additional LENA sequences will be occurring throughout FY 23. </t>
  </si>
  <si>
    <t>We will measure success by seeing an increase in Category 2 scores of those programs who participated in the LENA program. This will be assessed at the end of the fiscal year.</t>
  </si>
  <si>
    <t xml:space="preserve">Provided in house training to Texas Rising Star and Entry Level Designated programs (448 teachers and directors) using qualified Texas Rising Star Staff with the goal of helping providers meet their annual training requirements. No Quality Funds were used for these trainings. </t>
  </si>
  <si>
    <t>We will look to measure success by seeing 95% of TRS programs avoid going on an SIA due to lack of Director or Teacher training hours during their next Annual Monitoring visit. This will be assessed at the end of the fiscal year.</t>
  </si>
  <si>
    <t>Ordered laminator film for our Provider Resource Rooms</t>
  </si>
  <si>
    <t>1st Quarter results include:  14 Entry Level Providers have utilized the Provider Resources of lamination and dye cuts to extend the usage of their educational materials</t>
  </si>
  <si>
    <t>Mentors are working with programs to bring Entry Level providers into Texas Rising Star certified.  Assessors are working to maintain the current Texas Rising Star providers assessment needs and assess new programs.</t>
  </si>
  <si>
    <t>1st Quarter results include:  3 new Texas Rising Star certified providers, 10 annual monitoring visits with current Texas Rising Star providers, and 92 mentoring visits with Entry Level providers in the Reaching for the Stars process.</t>
  </si>
  <si>
    <t>Conscious Discipline Training for teachers/directors</t>
  </si>
  <si>
    <t>Lunch and Learn 11/02/2022 -- Teaching Strategies - Creative Curriculum Overview (not Board funded)
16 programs 19 staff participated</t>
  </si>
  <si>
    <t>16 programs are choosing to implement the Creative Curriculum -  Category 3 measures the classrooms that are using a DAP curriculum</t>
  </si>
  <si>
    <t xml:space="preserve">Lunch and Learn 12/06/2022 -- Texas A&amp;M AgriLife - Promoting Early Education Quality (not Board funded)
supported 23 programs 29 staff  </t>
  </si>
  <si>
    <t>Category 1 - staff will use TAMU AgriLife courses for their CDA, Director Credential and Clock Hours</t>
  </si>
  <si>
    <t>Social/Emotional/Diversity Material Kits (Lakeshore and Discount School Supply) to 28 programs</t>
  </si>
  <si>
    <t>Category 2 (programs will do intentional emotional activities) and Category 4 (programs will have diverse and emotional materials)</t>
  </si>
  <si>
    <t>Identified need for curriculum for 16 programs</t>
  </si>
  <si>
    <t>On hold</t>
  </si>
  <si>
    <t>ABA Program for 3 programs</t>
  </si>
  <si>
    <t>Texas Rising Star Mentors provided training on topics specific to Texas Rising Star measures to 18 child care providers</t>
  </si>
  <si>
    <t>18 child care providers received training hours on lesson plans and room arrangement from their Texas Rising Star mentor</t>
  </si>
  <si>
    <t>First Aid/CPR Training to 27 staff</t>
  </si>
  <si>
    <t>27 child care staff received First Aid/CPR training as required by CCR</t>
  </si>
  <si>
    <t>TWC Conference- Child Advisory Committee attended TWC Conference for 4 CC center directors</t>
  </si>
  <si>
    <t>4 Child Care Directors attended the TWC conference to gain knowledge of TWC child care programs and funding</t>
  </si>
  <si>
    <t xml:space="preserve">Texas Rising Star mentors/assessors will provide mentoring for 70 homes/ centers  interested in becoming Texas Rising Star and existing centers who wish to maintain or increase their Texas Rising Star star level. </t>
  </si>
  <si>
    <t>Actual YTD: 50%
Texas Rising Star Certified Centers-2022-2023: 65%--  2023-2024: 85%</t>
  </si>
  <si>
    <t>Provide materials, equipment, and resources to assist in meeting Texas Rising Star requirements including but not limited to classroom furniture, developmentally appropriate learning materials, curriculum, outdoor equipment, gross motor equipment and resource books
9 child care centers and 2 child care homes</t>
  </si>
  <si>
    <t>Texas Rising Star centers/homes obtained a higher star level, retained their star level, or prepared to become Texas Rising Star</t>
  </si>
  <si>
    <t>Provide materials, equipment, and resources to assist in meeting Texas Rising Star requirements including but not limited to classroom furniture, developmentally appropriate learning materials, curriculum, outdoor equipment, gross motor equipment and resource books solely for infants and toddlers
7 child care centers</t>
  </si>
  <si>
    <t>Southeast</t>
  </si>
  <si>
    <t>The Lena-Grow program is a professional development program, 10 classrooms evaluated</t>
  </si>
  <si>
    <t>The Lena Grow Program assist ELP to increase the level of quality interactions  and this project aligns with the Board's goal to increase the number of Texas Rising Star  centers</t>
  </si>
  <si>
    <t>Onboarding professional development for Entry Level providers</t>
  </si>
  <si>
    <t>To increase the number of Texas Rising Star providers  Cat 4 was reviewed</t>
  </si>
  <si>
    <t>To increase the number of Texas Rising Star providers- Cat 3- program Admin</t>
  </si>
  <si>
    <t>To increase the number of Texas Rising Star providers. Cat 3- Family Education, Involvement and Program Mgmt.</t>
  </si>
  <si>
    <t>To increase the number of Texas Rising Star providers. Topics- Cat 1- Director and Staff- Training and Education</t>
  </si>
  <si>
    <t>To increase the number of Texas Rising Star providers. Topics-Cat 2/3- Classroom Activities</t>
  </si>
  <si>
    <t>To increase the number of Texas Rising Star providers. Topics-CQUIP and Texas Rising Star orientation</t>
  </si>
  <si>
    <t>12/19/2022 Child Care Regulation Webinar Training - The purpose of this activity was to ensure directors meet the training requirements for TRS assessment.</t>
  </si>
  <si>
    <t xml:space="preserve">Our success will be measured by providers maintaining good standing with CCL and maintaining or increasing their TRS star level or receiving TRS certification. </t>
  </si>
  <si>
    <t>none</t>
  </si>
  <si>
    <t>no activities reported</t>
  </si>
  <si>
    <t>Provided 119 Early learning programs professional development. 4th Annual Conference was held at Laredo First Assembly, all inclusive facility; 240 participants</t>
  </si>
  <si>
    <t>240 Directors/practitioners participated in 6 hours of professional development provided by TECPDS trainers. Increase in Texas Rising Star interest, WSST gained 13 new Texas Rising Star early learning programs.</t>
  </si>
  <si>
    <t>Provided 25 tablecloths by Kioskie Rentals for 4th annual conference</t>
  </si>
  <si>
    <t>25 tables were provided for 240 participants to enhance the quality of learning by providing comfortable sitting</t>
  </si>
  <si>
    <t>Provided Pat's Daycare with Infant/Toddler classroom materials and equipment to support 5 infant slots</t>
  </si>
  <si>
    <t xml:space="preserve">Early learning program expanded to include infant care for 2 additional infants, for a total of five infants served. </t>
  </si>
  <si>
    <t>Provided Training Wheels center with classroom materials for all ages.  (12 children supported)</t>
  </si>
  <si>
    <t xml:space="preserve">Early learning program received classroom materials and equipment. </t>
  </si>
  <si>
    <t>Provided Shiloh Crossing center with classroom materials and equipment. (12 children supported)</t>
  </si>
  <si>
    <t>Provided 36 current Texas Rising Star early learning programs and 14 Non- Texas Rising Star early learning programs with outreach and recruitment materials to promote their business</t>
  </si>
  <si>
    <t>Increase the number of Texas Rising Star early learning programs</t>
  </si>
  <si>
    <t>Provided 119 Early learning programs materials and resources to enhance the quality care.</t>
  </si>
  <si>
    <t>Increase the quality of teacher-child interactions and engagement for all ages served</t>
  </si>
  <si>
    <t xml:space="preserve">10/15/2022 Child care professionals participated in 2 (1.5) hour virtual sessions with presenter Melissa Galaviz with Texas Curriculum Writers.  1st session Redesigning the Learning Environment: Building Cohorts –In this session the participants learned how to redesign the learning environment to meet  the needs of COVID-19 protocols.  2nd Session Mood-Boosting Tips During COVID-19 Pandemic–In this session participants were provided 10 mood-boosting tips to help children during the COVID-19 Pandemic.  The presenter provided tips such as:  Lighten up, get plenty of sleep, have bedtime routines, talk it out, help children eat wisely, for gratitude, step it up, lend a hand and manage screen time.  </t>
  </si>
  <si>
    <t xml:space="preserve"> 1st session - participants received (1.5) training clock hours/.15 CEUs under Safety per Child Care Regulation Minimum Standards.  Texas Core Competencies for Early Childhood Practitioners and Administrators:  Practitioner Core Competency: 3.1, 8.3  2nd Session -  Participants received (1.5) training clock hours/.15 CEUs Child Health Regulation Minimum Standards.  Texas Core Competencies for Early Childhood Practitioners and Administrators:  Practitioner Core Competency: 2.2, 8.2</t>
  </si>
  <si>
    <t>1 child care center employee received a 2nd incentive for remaining at the facility for one year from the inception of the CDA course ($600).</t>
  </si>
  <si>
    <t xml:space="preserve">1 Teacher attained their CDA credential resulting in a positive impact on the quality of care, they were able to increase their knowledge in child development and improved their skills when working with children and families. </t>
  </si>
  <si>
    <t>11/5/2022 Child care professionals participated in 2 (1.5) hour virtual sessions with presenter Amy Ply with Greenspace Learning Development.  1st session Providing for Play Every Day –The presenter discussed why play is important, how to support and extend meaningful play and how to communicate with parents about play.  2nd Session The Outdoor Classroom: Making the Most of your Playground – Participants learned that playgrounds and outdoor spaces are more important than ever! For mask-free, clean air play and learning, head outside for more than just recess.  In this session, they also discussed about the benefits of outdoors for both children and teachers and learned first steps to getting learning outdoors right away.</t>
  </si>
  <si>
    <t>1st session - participants received (1.5) training clock hours/.15 CEUs under Child Growth and Development per Child Care Regulation Minimum Standards.  Texas Core Competencies for Early Childhood Practitioners and Administrators:  Practitioner Core Competency: 1.5, 2.3  2nd Session -  Participants received (1.5) training clock hours/.15 CEUs Planning Developmentally Appropriate Activities per Regulation Minimum Standards.  Texas Core Competencies for Early Childhood Practitioners and Administrators:  Practitioner Core Competency: 3.1</t>
  </si>
  <si>
    <t xml:space="preserve">12/10/2022 Child care professionals participated in 2 (1.5) hour virtual sessions with presenter Jenice Dames.  1st session The Child's Wonderfully Made Brain –The presenter discussed how children learn and think is a very complex process.  The participants also discussed how the brain develops in the children and the complexity.  2nd Session Is There a Difference Between Boys and Girls? YES – Participants explored the difference between boys and girls and how this affects what teaches do in the classroom. </t>
  </si>
  <si>
    <t>1st session - participants received (1.5) training clock hours/.15 CEUs under Understanding Early Childhood Brain Development per Child Care Regulation Minimum Standards.  Texas Core Competencies for Early Childhood Practitioners and Administrators:  Practitioner Core Competency: 1.1, 1.4  2nd Session -  Participants received (1.5) training clock hours/.15 CEUs Child Growth and Development per Minimum Standards.  Texas Core Competencies for Early Childhood Practitioners and Administrators:  Practitioner Core Competency: 1.1, 1.4</t>
  </si>
  <si>
    <t xml:space="preserve">09/06/2022 - Texas Rising Star Providers were awarded an Physical Development Kit. Please note - Note: This initiative was reported in the 4th Quarter of 2022 as ongoing.  Expenditures occurred in this quarter. </t>
  </si>
  <si>
    <t xml:space="preserve">75 Texas Rising Star Providers received a complete Physical Development Kit packed with age-appropriate material that focused on the physical development of the child. </t>
  </si>
  <si>
    <t>1 Texas Rising Star Staff had their CLASS certification renewed</t>
  </si>
  <si>
    <t>This certification is resourceful when providing technical assistance to early learning programs to help nurture children's early learning development while responding to their needs.</t>
  </si>
  <si>
    <t xml:space="preserve">5 child care programs benefited from the Texas Rising Star Staff that is CLASS certified. </t>
  </si>
  <si>
    <t>2022 Fall/2023 Spring Semester - 19 teachers were given the opportunity to attain their CDA through our local college -  South Texas College (STC) for the 2020  Spring Semester.  Tuition cost covered CDA I,  CDA II and the cost of the books.</t>
  </si>
  <si>
    <t>When Completed, this opportunity will result in a positive impact on the quality of care, it will increase the knowledge of child development and improve skills when working with children and families</t>
  </si>
  <si>
    <t>Board has funding for 6 mentors and 2 assessors.  One staff is currently serving a dual role until the a new assessor is hired. Mentor position is filled with start date in January</t>
  </si>
  <si>
    <t>Board has one assessor position open, 1 FTE serving a dual role (50/50), 1 FTE assessor, and 4 FTE Mentors</t>
  </si>
  <si>
    <t>Purchase materials and equipment as an incentive to ells who completed the recertification process.  The items will assist improving in areas of concerns and low scoring measures.</t>
  </si>
  <si>
    <t xml:space="preserve">Incentive activity is ongoing and will be measured with using the CQIP and unannounced visit monitoring results.  </t>
  </si>
  <si>
    <t>1 Mentor attend NAEYC in November 2022</t>
  </si>
  <si>
    <t>Increase improvement in CQIP development and diverse mentoring resources.</t>
  </si>
  <si>
    <t xml:space="preserve">531 teachers and administrative staff from certified and non-certified ells attended the Board's annual child care conference </t>
  </si>
  <si>
    <t>Increase of number teachers who have complete more than the required 30 annual training hours. Increase the number of administrative staff who obtain the business management training hours and 36 hours of training.</t>
  </si>
  <si>
    <t>Mentors hosted Texas Rising Star orientation sessions for all entry level designees. 102 out of 104 program attended one of the 7 sessions.</t>
  </si>
  <si>
    <t>Increase Texas Rising Star participation.</t>
  </si>
  <si>
    <t>As part of the incentive for completing the Texas Rising Star recertification, 1 provider receive outdoor equipment to help develop the outdoor play area for the infants.</t>
  </si>
  <si>
    <t>Will measure improvement is scores in Categories 2 and 4.</t>
  </si>
  <si>
    <t>Conducted CIRCLE I/T training on Physical and Motor Development on 10/11/22. 
19 attendees from 8 centers and 2 homes.</t>
  </si>
  <si>
    <t>Increased knowledge of 19 staff on various professional development topics related to child development, specific to infants and toddlers.</t>
  </si>
  <si>
    <t>Added an additional Texas Rising Star home effective 11/1/22, increasing infant capacity, as a result.</t>
  </si>
  <si>
    <t>Increased infant capacity at TRS facilities by adding an additional TRS home.</t>
  </si>
  <si>
    <t>Conducted a training on Building Positive Relationships with Parents on 11/15/22.
16 attendees from 4 centers and 2 homes.</t>
  </si>
  <si>
    <t>Increased knowledge of 16 staff on various professional development topics related to child development.</t>
  </si>
  <si>
    <t>Conducted a training on Developmentally Appropriate Practices with an Equity Lens on 12/15/22.
20 attendees from 6 centers and 2 homes.</t>
  </si>
  <si>
    <t xml:space="preserve">Conducted a Texas Rising Star training on an overview of the Texas Rising Star program on 10/29/22 (virtual and in-person).
25 attendees from 15 centers and 3 homes. </t>
  </si>
  <si>
    <t>Increased knowledge of 25 staff on various professional development topics related to child development and Texas Rising Star.</t>
  </si>
  <si>
    <t>Conducted a Director's Round Table on meeting Texas Rising Star Measures on 10/25/22.
7 owner/director attendees from 6 centers.</t>
  </si>
  <si>
    <t>Increased knowledge of 6 owners/directors on various professional development topics related to child development and Texas Rising Star.</t>
  </si>
  <si>
    <t>Conducted a TECPDS training on 11/10/22 (virtual and in-person).
52 attendees from 16 centers and 2 homes.</t>
  </si>
  <si>
    <t>Increased knowledge of  52 staff on the TECPDS system.</t>
  </si>
  <si>
    <t>Offered reimbursement for four Texas Rising Star providers for required individual staff CPR/First-Aid trainings.</t>
  </si>
  <si>
    <t>Forty one CPR/First-Aid training certificates obtained by staff.</t>
  </si>
  <si>
    <t>Finalized the general quality grant by provided materials, equipment, and resources (included 1 last facility).</t>
  </si>
  <si>
    <t>Increased the quality of care at 1 final facility through expanded resources.</t>
  </si>
  <si>
    <t>Offered a child development scholarship opportunity for staff to continue child development learning opportunities at a local community college.</t>
  </si>
  <si>
    <t>Increased knowledge of nine new staff on various child development topics through a local community college.</t>
  </si>
  <si>
    <t>Texas Rising Star Assessor and Mentor staff participating in the required Texas Rising Star Assessment Training and Certification program.</t>
  </si>
  <si>
    <t>Contracted TRS staff completed the ATCP course.</t>
  </si>
  <si>
    <t xml:space="preserve">Conducted required Texas Rising Star activities including quarterly CCR reviews, initial assessments, and annual monitoring's. </t>
  </si>
  <si>
    <t>Properly followed TRS Guidelines related to required activities for all TRS Providers.</t>
  </si>
  <si>
    <t>Conducted quarterly Program Administrator meeting via Zoom with 34 programs in the Quality Texas Rising Star track; training topic was "Collaboration and Networking to Establish and Maintain Outdoor Classrooms"</t>
  </si>
  <si>
    <t xml:space="preserve">Provide high quality training and professional development to staff at all current certified TRS programs and to those EL programs working toward certification that complies with the requirements and expectations of TRS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 </t>
  </si>
  <si>
    <t>Co-sponsored 6 evening training sessions (2hours - in person) with Central TX AEYC; 2 sessions conducted in Spanish; 19 programs in attendance</t>
  </si>
  <si>
    <t>Conducted in-person training for Entry Level Texas Rising Star programs - 11 programs in attendance; participants received classroom materials</t>
  </si>
  <si>
    <t>Conducted in-person training for Entry Level Texas Rising Star programs - 10 programs in attendance; participants received classroom materials</t>
  </si>
  <si>
    <t>Conducted in-person training for Entry Level Texas Rising Star programs - 12 programs in attendance; participants received classroom materials</t>
  </si>
  <si>
    <t>Conducted in-person training for Entry Level Texas Rising Star programs - 9 programs in attendance; participants received classroom materials</t>
  </si>
  <si>
    <t>Reimbursed 5 programs for ProCare software costs</t>
  </si>
  <si>
    <t>Continue to support Shared Services by providing funds to assist with technical assistance and office support to providers in the project. This project meets a goal of our board to grow these program owners/directors’ business skills and be good stewards of the services provided to them.  Success will be measured based on CCR compliance and the percentage of providers who continue to participate in the Shared Services Alliance.</t>
  </si>
  <si>
    <t>Supporting National Accreditation</t>
  </si>
  <si>
    <t>Reimbursed 1 NAEYC accredited/4 Star program for their annual renewal fee</t>
  </si>
  <si>
    <t xml:space="preserve">Provide reimbursement to childcare programs who are NAEYC, or NAFCC accredited that are renewing their annual fees in 2023. A goal of our board area is to increase the number of accredited early learning programs. We anticipate 14 early learning programs will apply for re- accreditation (annual fees) this year. We will measure success by the number of accredited programs with either NAEYC or NAFCC that maintain accreditation. The outcomes will also be based on the continued or increased star level of the accredited programs. </t>
  </si>
  <si>
    <t>Provided consultation services to 2 4 Star/NAEYC Accredited programs who are working on reaccreditation/portfolio development &amp; observation</t>
  </si>
  <si>
    <t>Provide reimbursement to programs who are enrolling, submitting applications and candidacy for NAEYC Accreditation and for pursuing NAFCC accreditation; provide consultation and training as needed.  A goal of our board area is to increase the number of accredited early learning programs. We anticipate 6 early learning programs will submit applications for accreditation this year. We will measure success by the number of qualified applicants to either NAEYC or NAFCC. The outcomes will also be based on the continued or increased star level of the applicant programs. Only 3 or 4 star certified will be supported through this activity.</t>
  </si>
  <si>
    <t>Texas Rising Star/Quality Improvement</t>
  </si>
  <si>
    <t>one coordinator, 5 mentors, 2 dual role assessor/mentor Texas Rising Star staff; 1 Texas Rising Star support staff</t>
  </si>
  <si>
    <t>Provide personnel costs for TRS/Quality staff to provide technical assistance and mentoring to early learning programs.  These costs will be aimed at supporting programs to attain, maintain, or increase their star level.  Additionally, 2 staff are in a dual role and also conduct assessments 50% of the time for initial applications and annual monitoring.  We plan to provide these services to our 220+ CCS contracted providers in our board area.  We will measure success by the increase in TRS participation and certification.</t>
  </si>
  <si>
    <t>purchased classroom materials and equipment &amp; teacher resource books to support new Entry Level programs (233) who are working toward submitting Texas Rising Star applications.</t>
  </si>
  <si>
    <t>Purchase equipment, materials, and resources and consultation services for programs who are working to become TRS certified or to increase and/or maintain their star level certification.   We will measure success based on the increase in TRS participation and/or star level increase or the retention of current TRS certified programs.  We anticipate being able to assist at least 50 programs.</t>
  </si>
  <si>
    <t>Scholarship for the renewal of CDA</t>
  </si>
  <si>
    <t xml:space="preserve">offered a scholarship for renewal of CDA for one provider teacher. </t>
  </si>
  <si>
    <t xml:space="preserve">Purchase of cribs for 1 provider expanding infant room </t>
  </si>
  <si>
    <t>provider is moving to a new location where they will be expanding infant/toddler rms.</t>
  </si>
  <si>
    <t>Offer family engagement activities to child care providers</t>
  </si>
  <si>
    <t>38 family engagement activities will be offered to child care programs (parent education, activity nights, learning parties, etc.) in quarter one.</t>
  </si>
  <si>
    <t>Provide resource and referral information to families requesting information</t>
  </si>
  <si>
    <t>6,835 families will receive child care resource and referral information via online, email and phone to increase understanding and selection of quality child care.</t>
  </si>
  <si>
    <t>Recruitment, TA, Coaching to maintain and increase the number of Texas Rising Star certified providers</t>
  </si>
  <si>
    <t>Increase the number of Texas Rising Star providers by 75 in the first quarter</t>
  </si>
  <si>
    <t>CCM- Leadership Symposium Participants attended 3 workshops, collaborate with colleagues as they developed their own definition of leadership and network with other educators. The professionals attended this  day-long workshop</t>
  </si>
  <si>
    <t xml:space="preserve">Participants learned various leaderships skills and got a better understanding of what it means to be a Leader. The topics that were discussed will help staff enhance their communications skills, more team building and problem solving techniques. </t>
  </si>
  <si>
    <t>Scholarships for CDA courses and college tuition for ECE teachers/directors</t>
  </si>
  <si>
    <t>Provide 120 CDA course and college tuition scholarships</t>
  </si>
  <si>
    <t>Equipment grants to Texas Rising Star certified providers to maintain and/or increase their star levels</t>
  </si>
  <si>
    <t xml:space="preserve">Provide 240 equipment grants to child care providers in quarter one. </t>
  </si>
  <si>
    <t>ELPs will receive incentive grants for achievement of initial Texas Rising Star certification, maintaining or increasing Texas Rising Star star-levels, or working toward Texas Rising Star certification</t>
  </si>
  <si>
    <t>Provide 27 incentive grants to Texas Rising Star providers in quarter one.</t>
  </si>
  <si>
    <t xml:space="preserve">Providers will receive stipends for achievement of educational milestones. </t>
  </si>
  <si>
    <t>Provide 52 stipends in quarter one.</t>
  </si>
  <si>
    <t xml:space="preserve">Scholarships for CDA assessments for ECE teachers/directors </t>
  </si>
  <si>
    <t>Provide 63 CDA Assessment scholarships for ECE teachers/directors in quarter one</t>
  </si>
  <si>
    <t>Training class/course - live, virtual delivery</t>
  </si>
  <si>
    <t xml:space="preserve">Provide live, face-to-face; live, virtual training to 706 ECE teachers/directors in quarter one. </t>
  </si>
  <si>
    <t>Provide online/virtual training on a variety of topics to ECE teachers/directors</t>
  </si>
  <si>
    <t>Provide online/virtual training to 350 ECE teachers/directors in quarter one</t>
  </si>
  <si>
    <t>Training, TA, and resources will be provided to child care providers for  children with disabilities</t>
  </si>
  <si>
    <t>Providers will receive 110 hours of technical assistance and classroom resources to support children with disabilities and/or challenging behaviors in quarter one.</t>
  </si>
  <si>
    <t>CCM-Staff members attended Power Tools for Nonprofits conference in Houston TX</t>
  </si>
  <si>
    <t xml:space="preserve">Staff engaged in a variety of professional development topics.  There were several topics discussed such as restorative power of nature, using Minecraft as a tool for multi-disciplinary learning, relationship building and mental health. </t>
  </si>
  <si>
    <t xml:space="preserve">CCM-Attended a Conference about grant writing </t>
  </si>
  <si>
    <t xml:space="preserve">Staff learned about different grant writing styles, and also got a better understanding  funding and to increase their writing techniques </t>
  </si>
  <si>
    <t xml:space="preserve">CCM-Case Quality Support Model- PARTNERSHIP- These after school program integrate literacy, numeracy and academic and enrichment activities.  The programs receives training, site visits, technical assistance and resource sharing and virtual monthly meetings. </t>
  </si>
  <si>
    <t>The goal of the Partnership Project is to provide supplemental funding to afterschool programs to promote social and emotional learning skills and increased support of numeracy and literacy development for economically disadvantaged students between ages 4-12 or up to age 19 with a documented disability</t>
  </si>
  <si>
    <t xml:space="preserve">CCM-Youth development leaders workshops. The goal of the dialogue is to foster and grow talent in the field. The training discussion topic for October was "Storming and Norming: how do we chart the new normal and maintain a healthy work environment?" and the November topic was on community engagement and how to reach key stakeholders.   </t>
  </si>
  <si>
    <t xml:space="preserve">This workshop is helping to develop successful leaders and enhancing their professionalism skills </t>
  </si>
  <si>
    <t>TRS/QRIS (except PD)</t>
  </si>
  <si>
    <t>Column1</t>
  </si>
  <si>
    <t>25 Participants attended the ITSN Specialist Network training for Directors and Mentors.</t>
  </si>
  <si>
    <t>To provide Professional Development for Early Learning Programs on specific Infant/Toddler developmental practices and provide support to individuals to become Infant/Toddler Specialists</t>
  </si>
  <si>
    <t>15 Provider Participants received college subsidies for child development courses for Spring 2023 semester</t>
  </si>
  <si>
    <t>FROG Bus-Delivers Equipment, materials and info to CCS Rural Providers</t>
  </si>
  <si>
    <t>Virtual badges earned.</t>
  </si>
  <si>
    <t>None</t>
  </si>
  <si>
    <t>increase in retention of Texas Rising Star certified programs, increase in provider and parent satisfaction</t>
  </si>
  <si>
    <t>increase Texas Rising Star screening compliance, increased provider and parent satisfaction.</t>
  </si>
  <si>
    <t xml:space="preserve">Ten Texas Rising Star Early Childhood Specialists and One Early Childhood Program Supervisor attended the Texas Rising Star Mentor Training in Austin in February 2023 conducted by TWC. Participants received a total of 13 annual clock hours. Three Early Childhood Specialist attended the Green Space Roadshow and received a total of 6 annual clock hours per participant. The roadshow offered providers professional development on positive classroom environments through Lecture/ PPT and hands on workshops. Additionally, they learned about developmentally appropriate practices, developmentally appropriate behavior. </t>
  </si>
  <si>
    <t>A total of 13 Early Childhood Specialists and 1 Early Childhood Program Supervisors were able to attend conferences and professional development courses and obtained a total of 43 professional development hours.</t>
  </si>
  <si>
    <t xml:space="preserve"> One Senior Early Childhood Specialist attended the 3 day virtual ASQ Train the Trainer (TOT) offered as a grant from TWC and receive 24 annual clock hours. This training provided knowledge and skill development for participants to offer create effective and engaging learning experiences when training other Early Childhood educators using the ASQ-3 and/or ASQ:SE-2</t>
  </si>
  <si>
    <t xml:space="preserve"> One Senior Early Childhood Specialist attended the no cost (grant provided) 3 day virtual training offered and obtained a total of  24 professional development hours.</t>
  </si>
  <si>
    <t>One Early Childhood Specialist will receive a Mentoring/Coaching certificate along with 42 annual clock hours at the conclusion of this professional development course. This course was paid for by the board.</t>
  </si>
  <si>
    <t xml:space="preserve">All 64 students have been enrolled in CDA courses and have been given a login to access their account. 47/64 CDA scholarship participants have completed Unit 1 of their CDA course and 24 out of those 47 have completed Unit 4. These courses are self-paced. </t>
  </si>
  <si>
    <t xml:space="preserve">As a part of the strategic plan for WSNCT career pathways, WSNCT has offered 22 CDA scholarship participants financial incentives based on participants position in the Workforce Registry career lattice. These 22 participants submitted proof of completion for their CDA course and their CDA certification. We will measure the success by tracking the number of staff who move up the career lattice. Our estimated reach for Professional Development Registry Career Pathways is 40 served. </t>
  </si>
  <si>
    <t xml:space="preserve">CDA certificate of completion and certificate for completing the CDA course were both submitted to qualify. 22 participants have qualified and received a stipend. </t>
  </si>
  <si>
    <t xml:space="preserve">As a part of the strategic plan for Child Care Quality for WSNCT, WSNCT enlisted a conference trainer for the Child Care Licensing Conference. As a part of the requirements for Texas Rising Star Programs in Category 1 staff are required to have instructor led training hours. This conference offers a no cost instructor led training opportunity for providers in the WSNCT area. We will measure the success through attendance tracking. </t>
  </si>
  <si>
    <t>NA</t>
  </si>
  <si>
    <t xml:space="preserve">The licensing conference was held April 1st and the contracted conference trainer presented. This conference delivered a no cost training opportunity for early learning programs.  </t>
  </si>
  <si>
    <t xml:space="preserve">Hired 1 of the of the vacant Early Childhood Specialist positions. </t>
  </si>
  <si>
    <t xml:space="preserve">At the end of this quarter the following positions were filled: 1. 1 Director of Quality Child Care 2. 1 Administrative Assistant 3. 2 Special Projects Coordinators. At the end of this quarter the following positions were vacant: 2 Early Education Professional Development Specialist. 4/6 positions remain filled (66%). These staff are hired, trained, and working towards improving quality for ELPs. </t>
  </si>
  <si>
    <t xml:space="preserve">50 programs received HighScope preschool curriculum </t>
  </si>
  <si>
    <t xml:space="preserve">By the end of this 2/1/23-3/28/23 cohort, 43.4% of children were experiencing more than 13.5+ conversational turns per hour. 33.8% of children previously receiving less talk than the national median of 15 turns per hour had an average increase of +23.1 turns per hour. This was a 215% increase from the previous percentage of 10.7%. 37.3% of children who started experiencing less talk compared to other peers in their classroom had an average increase of +17.4 turns per hour. This was an 87% increase from the previous percentage of 19.9%.  </t>
  </si>
  <si>
    <t>Fall CLASS scores were received and distributed. 52 classrooms were observed and 2 were double coded. Within the 52 classrooms observed there were 23 preschool, 19 toddler, and 10 infant classrooms were observed. Fall CLASS scores received and distributed. 52 classrooms were observed and 2 were double coded. Within the 52 classrooms observed there were 23 preschool, 19 toddler, and 10 infant classrooms were observed. The infant rooms scored an average of 5.15/7 in their only domain Responsive Caregiving. The toddler classrooms scored an average of 5.42/7 in Emotional &amp; Behavior Support and 3.29/7 in Engaged Support for Learning. PreK classrooms scored an average of 5.63/7 in Emotional Supports, 5.2/7 in Classroom organization, and 2.71/7 in Instructional Support.</t>
  </si>
  <si>
    <t xml:space="preserve">As a part of the strategic plan for WSNCT Child Care Quality, WSNCT will provide a one-time incentive to Child Care staff that have been employed for 4 months or longer at their current child care facility. Participating programs were required to have a WSNCT agreement, be in one of the 14 WSNCT counties, be Texas Rising Star certified, and agree to participate in business coaching for ongoing business supports. To qualify for the stipend programs had to submit staff’s 2022 W2s (home programs with no staff submitted a W9), proof of 60 hours worked in the month of January 2023, and all qualifying staff had to be working with that program since October 1st, 2023. This Wage Supplement was given to support staff retention with the added requirement of business coaching participation which provides ongoing supports beyond the disbursement of the Wage Supplement. </t>
  </si>
  <si>
    <t>W-2's, Signature pages received as confirmation that staff received the funding; 369 staff qualified for the Wage Supplement and all payments have been made for these staff members to receive their Wage Supplement.</t>
  </si>
  <si>
    <t>Tuition for CDA</t>
  </si>
  <si>
    <t>Start Early- The Essential Practice: Intensive Family Engagement TOT (Jan-Feb 2023)</t>
  </si>
  <si>
    <t>Increased knowledge on supporting providers with increasing family engagement in their facilities.</t>
  </si>
  <si>
    <t>PreK Essential Curriculum Training (March 2023)</t>
  </si>
  <si>
    <t>Maintain licensing requirements</t>
  </si>
  <si>
    <t>Diversity Training (March 2023)</t>
  </si>
  <si>
    <t xml:space="preserve">Maintain licensing requirements </t>
  </si>
  <si>
    <t>Trauma Informed Care Certification (March-May 2023)</t>
  </si>
  <si>
    <t>to become certified Trauma Informed Care Specialist</t>
  </si>
  <si>
    <t>TRS New/ Recertification Awards (March 2023)</t>
  </si>
  <si>
    <t>Provided support with educational materials to maintain TRS status</t>
  </si>
  <si>
    <t>ASQ Refresher (Jan 2023)</t>
  </si>
  <si>
    <t>ASQ Training Full day (Feb 2023)</t>
  </si>
  <si>
    <t>ASQ Refresher (March 2023)</t>
  </si>
  <si>
    <t>PLC for 3 TRS mentors and 1 dual role</t>
  </si>
  <si>
    <t>One TRS assessor conducted annual unannounced monitoring visits for 2 TRS centers.</t>
  </si>
  <si>
    <t>Provider received TRS Initial Assessment</t>
  </si>
  <si>
    <t xml:space="preserve">One CCS provider received their initial TRS assessment which resulted in a 2 star certification. </t>
  </si>
  <si>
    <t>Participate in College course 1 TRS mentor staff</t>
  </si>
  <si>
    <t>One TRS mentor participated in college course virtually to further her education.</t>
  </si>
  <si>
    <t xml:space="preserve">This opportunity allowed for a large group of teachers to be served with training in accordance with their licensing requirements along with meeting TRS training standards. </t>
  </si>
  <si>
    <t>22  scholarships were provided child care staff. ($19172)</t>
  </si>
  <si>
    <t>Alpine ISD is opening a center in partnership with Big Bend Medical Center, this is to assist with start up ($76892.86) 50 child care slots created at one program</t>
  </si>
  <si>
    <t>Assisting Alpine ISD with start up for their center in a desert area.</t>
  </si>
  <si>
    <t>Brightwheel subscription</t>
  </si>
  <si>
    <t>Personnel costs for TRS staff</t>
  </si>
  <si>
    <t>Increase in TRS participation and to retain TRS certified programs.</t>
  </si>
  <si>
    <t>Increase in TRS participation and/or star level, to retain TRS certified programs.</t>
  </si>
  <si>
    <t xml:space="preserve">CPR, First Aid and AED Training was provided to Early Learning Program staff in the 2nd Quarter. A total of 5 classes were conducted in the 2nd Quarter, three in English and two in Spanish. 83 teachers participated and received their First Aid/CPR Certification during that time. $4,500 was spent in the 2nd Quarter on these classes.  </t>
  </si>
  <si>
    <t>Our goal is to reduce the number of programs cited for 746.1315 -First AID and CPR Requirements by 50% at the end of FY23.</t>
  </si>
  <si>
    <t xml:space="preserve">Our goal is to encourage at least 50 different programs to send staff to the First Aid/ CPR training hosted by Workforce Solutions Capital Area. </t>
  </si>
  <si>
    <t>Maintain CLASS Assessment Certification for one TRS Mentor already certified and provided new CLASS Assessment Certification training to our four new TRS Assessors to assist programs with measuring effective interactions. This will assist mentors will improving a programs scores in Category 2 which is weighted heavier under the new TRS Guidelines. $12,080.00 was spent in Quarter 2. One classroom in one program</t>
  </si>
  <si>
    <t>Purchase Frog Street Curriculum for current Texas Rising Star Programs and Entry Level Programs actively working with a TRS Mentor and who express interest in the TEA approved curriculum. A total of $29,275 (CRSSA Funding) was spent on Frog Street Curriculum for a total of 29 Early Learning Programs. Another Frog Street order will be placed later in FY23.</t>
  </si>
  <si>
    <t xml:space="preserve">See an increase in Early Learning Programs expressing interest in participating in the Texas Rising Star Program measured by the number of TRS Interest Forms received. Our goal is to receive 25 TRS Interest Forms from ELPs in FY23. As of the end of the 2nd Quarter, 27 TRS Interest forms have been received.  </t>
  </si>
  <si>
    <t xml:space="preserve">11 of scheduled subcontracted trainings were held in the 2nd Quarter. A total of  $6,700 was spent on training in the 2nd Quarter. All trainings are research-based to help providers meet their annual training requirement. </t>
  </si>
  <si>
    <t>Our goal is to have 95% of TRS programs avoid going on an SIA due to lack of Director or Teacher training hours during their next Annual Monitoring visit. This will be assessed at the end of the fiscal year.</t>
  </si>
  <si>
    <t>Conscious Discipline Training. Three of the five planned classes were conducted and paid for in Quarter 2, along with the purchase of Conscious Discipline resources. A total of  225 teachers/directors participated in a 2-part In-Person Conscious Discipline Training. Two additional trainings has yet to be completed. Total spent for training and resources in 2nd Quarter is $47,957.00.</t>
  </si>
  <si>
    <t xml:space="preserve"> We will measure success by seeing an increase in Category 2 scores for programs who send staff to Conscious Discipline trainings. This will be assessed at the end of the fiscal year.</t>
  </si>
  <si>
    <t>Registration for the Frog Street Splash Early Learning Conference (to take place in July) was purchased for 33 Early Learning Program Teachers and Administrators. The Early Learning Conference aligns with Capital Area's commitment to providing Frog Street Curriculum as well as Conscious Discipline training to programs in Travis County. Numbers will be reported in the Quarter the conference occurs. A total of $21,020 was spent on conference registration in the 2nd Quarter.</t>
  </si>
  <si>
    <t>We will measure success by providing a Teacher TRAC scholarship to 75 teachers within FY 2023.</t>
  </si>
  <si>
    <t>Spring Course TBD.</t>
  </si>
  <si>
    <t>Health and Safety Supplies</t>
  </si>
  <si>
    <t>Mentors are working with programs to bring Entry Level providers into Texas Rising Star certified.  Assessors are working to maintain the current TRS providers assessment needs and assess new programs.</t>
  </si>
  <si>
    <t>2nd Quarter results include:  15 new Texas Rising Star certified providers, 23 annual monitoring visits with current Texas Rising Star providers, and 139 mentoring visits with Entry Level providers in the Reaching for the Stars process.</t>
  </si>
  <si>
    <t>Program Resources for Texas Rising Star to enhance quality of Early Learning Programs</t>
  </si>
  <si>
    <t xml:space="preserve">2nd Quarter results include: 6 Entry Level Providers have utilized our provider resource rooms to laminate and use die cuts to extend the life of and enrich their classrooms educational materials. Four providers received resources to enhance the quality of their Early Learning Programs.  </t>
  </si>
  <si>
    <t>Category 1 improvement by increasing the professional development of staff</t>
  </si>
  <si>
    <t>Jewely Bear's Day Care received furniture and materials to create learning centers</t>
  </si>
  <si>
    <t>Increased score in Category 4 for Indoor Environment</t>
  </si>
  <si>
    <t>Increase in Category 3</t>
  </si>
  <si>
    <t>Made connections and points of contact with Early Learning Directors</t>
  </si>
  <si>
    <t>Reimbursement for CDA renewal</t>
  </si>
  <si>
    <t>Increases score in Category 1 by keeping highly qualified staff caring for the children</t>
  </si>
  <si>
    <t>Textbook for Blinn Course</t>
  </si>
  <si>
    <t>Assists with professional development of student taking the child development course.</t>
  </si>
  <si>
    <t>First Aid/CPR Training</t>
  </si>
  <si>
    <t>32 child care providers received First Aid/CPR training as required by CCR</t>
  </si>
  <si>
    <t>Actual YTD: 48%
TRS Certified Centers-2022-2023: 65%--  2023-2024: 85%</t>
  </si>
  <si>
    <t>TRS centers/homes obtained a higher star level, retained their star level, or prepared to become TRS</t>
  </si>
  <si>
    <t>TRS Mentors provided training on topics specific to TRS measures</t>
  </si>
  <si>
    <t>57 Child Care providers received training hours on topics specific to TRS measures including but limited to: transitions, teacher/child balance, classroom arrangement, etc.</t>
  </si>
  <si>
    <t>103  Child Care providers attended in-person TRS Orientation</t>
  </si>
  <si>
    <t>To increase the number of TRS providers  Cat 4 was reviewed</t>
  </si>
  <si>
    <t>TX Early Learning Guidelines</t>
  </si>
  <si>
    <t>To increase the number of TRS providers- topics cat 2 Virtual training</t>
  </si>
  <si>
    <t>Intentional outdoor play</t>
  </si>
  <si>
    <t>To increase the number of TRS providers- topics cat 4 In person Training</t>
  </si>
  <si>
    <t>To increase the number of TRS providers -topics cat 2 Virtual Training</t>
  </si>
  <si>
    <t>To increase the number of TRS providers -topics cat 2</t>
  </si>
  <si>
    <t>To increase the number of TRS providers-topic 4</t>
  </si>
  <si>
    <t>Effective classroom management</t>
  </si>
  <si>
    <t>To increase the number of TRS providers- topic 2</t>
  </si>
  <si>
    <t xml:space="preserve">137 providers received incentives for their continued participation in the TRS program for already certified providers.  
</t>
  </si>
  <si>
    <t>Professional Development opportunity provided to 50 child care staff over the topic of sensory play</t>
  </si>
  <si>
    <t xml:space="preserve">Decrease in number of child care regulations deficiencies for annual professional development </t>
  </si>
  <si>
    <t>Professional Development opportunity provided to 40 child care Directors over the topic of Personnel Issues and Solutions in ECE</t>
  </si>
  <si>
    <t xml:space="preserve">Early learning program expanded to include infant care for 4 infants,  0-12 months </t>
  </si>
  <si>
    <t xml:space="preserve">Provided Happy Hearts #2 playground shade </t>
  </si>
  <si>
    <t xml:space="preserve"> To enhance the quality of care for the children when they are outdoors, playing on the playground in areas when they are safe and can be protected from sun exposure.  The shades will be provided so that all age groups can benefit from the shaded areas on the playgrounds.</t>
  </si>
  <si>
    <t xml:space="preserve">Provided Little Characters #2 classroom materials </t>
  </si>
  <si>
    <t xml:space="preserve">Provided Little Friends classroom materials </t>
  </si>
  <si>
    <t xml:space="preserve">Provided Happy Beginnings classroom materials </t>
  </si>
  <si>
    <t xml:space="preserve">Early Learning program to add additional storage in classrooms to maintain compliance with Child Care Regulation. </t>
  </si>
  <si>
    <t xml:space="preserve">Provided Carousel Lomas classroom materials </t>
  </si>
  <si>
    <t xml:space="preserve">Provided 95 center based programs with 5 first aid kits and 25 Home based with 1 first aid kit </t>
  </si>
  <si>
    <t xml:space="preserve">To assist programs to maintain child care regulations compliance under health and safety in their centers.  </t>
  </si>
  <si>
    <t xml:space="preserve">Resources available for providers </t>
  </si>
  <si>
    <t>"New" TRS Provider Orientation Meeting was held on January 7, 2023.</t>
  </si>
  <si>
    <t>ELD child care providers who received TRS mentoring services &amp; initial TRS assessments. 2 child care centers received their TRS certification.</t>
  </si>
  <si>
    <t>"New" TRS Provider Orientation Meeting was held on February 15, 2023.</t>
  </si>
  <si>
    <t>ELD child care providers received TRS mentoring services &amp; initial TRS assessments during this quarter.  The initial TRS assessments for this cohort group will be completed by the end of the first week of May 2023.</t>
  </si>
  <si>
    <t>"New" TRS Provider Orientation Meeting was held on March 22, 2023.</t>
  </si>
  <si>
    <t xml:space="preserve">ELD child care providers in this cohort group will begin receiving TRS mentoring services during the second week of May 2023.  The initial TRS assessments for this cohort group should be completed by the end of July 2023.  </t>
  </si>
  <si>
    <t>Continue to provide support to the TRS staff.</t>
  </si>
  <si>
    <t>01/28/2023 - Child care professionals participated in 2 (1.5) hour virtual sessions with presenter Adilia Frazer.  1st session Reteniendo a sus Educadores Exitosamente (Spanish Session)– The presenter reviewed incentives and program goals to develop a successful staff retention plan.  Participants reviewed some recommendations for benefits and incentives and learned how to write a plan to retain their staff. 2nd Session Manejo de programs – Participants learned that playgrounds and outdoor spaces are more important than ever! For mask-free, clean air play and learning, head outside for more than just recess.  In this session, they also discussed about the benefits of outdoors for both children and teachers and learned first steps to getting learning outdoors right away.</t>
  </si>
  <si>
    <t>1st session - participants received (1.5) training clock hours/.15 CEUs under Management Technique per Child Care Regulation Minimum Standards.  Texas Core Competencies for Early Childhood Practitioners and Administrators:  Administrator Core Competency: 3.4. 2nd Session -  Participants received (1.5) training clock hours/.15 CEUs Management Technique per Child Care Regulation Minimum Standards.  Texas Core Competencies for Early Childhood Practitioners and Administrators:  Administrator Core Competency: 3.1</t>
  </si>
  <si>
    <t xml:space="preserve">02/11/2023 -  Child care professionals participated in 2 (1.5) hour virtual sessions with presenter Angela Oliver Queen of Hearts.  1st session The Fair Fairy: Positive Guidance and Discipline Strategies - Attendees discovered the secrets of the Fair Fairy, and together, we can plant seeds of positive social change to help grow more happy children, healthy families and peaceful communities.  Through engaging music and movement, they explored ideas around Toy Time-Out, Conflict &amp; Disappointment Resolutions, Creative Problem Solving Strategies, Positive Guidance &amp; Discipline Techniques, and Sharing Solutions.  2nd Session Got Good Senses? Discovering the Joys of Sensorial Learning – This session was filled with fun musical, dramatic, and hand-on activities to help young children connect to and rely on their senses for learning and living safely happily ever after.  Engaging the senses is an emotional practice that not only encourages deeper learning experiences and joy in life, but also helps t promote presence &amp; focus, connects us to family &amp; culture, and teaches us about the different ways we all use and celebrate our “good senses”   </t>
  </si>
  <si>
    <t>1st session - participants received (1.5) training clock hours/.15 CEUs under Guidance and Discipline per Child Care Regulation Minimum Standards.  Texas Core Competencies for Early Childhood Practitioners and Administrators:  Practitioner Core Competency: 2.2.  2nd Session -  Participants received (1.5) training clock hours/.15 CEUs Planning Developmentally Appropriate Activities per Child Care Regulation Minimum Standards.  Texas Core Competencies for Early Childhood Practitioners and Administrators:  Practitioner Core Competency: 3.1</t>
  </si>
  <si>
    <t>1st session - participants received (1.5) training clock hours/.15 CEUs under Attachment and Responsive Caregiving per Child Care Regulation Minimum Standards.  Texas Core Competencies for Early Childhood Practitioners and Administrators:  Practitioner Core Competency: 2.1, 2.2.  2nd Session -  Participants received (1.5) training clock hours/.15 CEUs Planning Guidance &amp; Discipline per Child Care Regulation Minimum Standards.  Texas Core Competencies for Early Childhood Practitioners and Administrators:  Practitioner Core Competency: 1.2</t>
  </si>
  <si>
    <t>03/28/2023 - We processed the cost of the CDA application and related payments to the Council for Professional Recognition for seventeen (17) students.  The cost per application was for $425 for each student.   *Same students as Q1, minus 2</t>
  </si>
  <si>
    <t>2022 Fall/2023 Spring Semester - CDA.  17 teachers complied with the  CDA Requirements as stated by the Council for Professional Recognition so they could begin conducting their observation and attain their CDA Certificate.</t>
  </si>
  <si>
    <t xml:space="preserve">78 Texas Rising Star Providers received a complete Children with Special Abilities Needs Package complete with different types of assistive learning devices to meet the unique needs of a child with disability. </t>
  </si>
  <si>
    <t xml:space="preserve">3 child care programs benefited from the TRS Staff that is CLASS certified. </t>
  </si>
  <si>
    <t xml:space="preserve">Purchase Frog Street infant and toddler curriculum kits for 42 Texas Rising Star Entry Level Designee programs </t>
  </si>
  <si>
    <t>Increase Texas Rising Star participation and certification status</t>
  </si>
  <si>
    <t xml:space="preserve">Board has funding for 6 mentors and 2 assessors. One staff is currently serving a dual role until the new assessor is certified. </t>
  </si>
  <si>
    <t>Board is fully staff: 2 FTE assessors, 5 FTE mentors, and 1 FTE serving a dual role (50/50) until new assessor earns certification.</t>
  </si>
  <si>
    <t>Mentors hosted Texas Rising Star categories training for all entry level designees.  55 programs attended two sessions in January and 55 programs attended in February.</t>
  </si>
  <si>
    <t>Increase Texas Rising Star participation and assist better understanding of the program categories.</t>
  </si>
  <si>
    <t>Texas Rising Star Lead Mentor attended the Child Care Business Accelerator Summit hosted by Collaborative for Children.</t>
  </si>
  <si>
    <t>Increase mentoring knowledge in the business administration and leadership.</t>
  </si>
  <si>
    <t>Purchase Frog street threes and preschool curriculum kits 1 provider. Board also purchase equipment and materials for 8 certified programs who requested additional mentoring support for their indoor and environments.</t>
  </si>
  <si>
    <t>Programs who received materials demonstrated an improvement in the category 4 scores during their unannounced monitoring visit.</t>
  </si>
  <si>
    <t>Increased knowledge of 60 staff on various professional development topics related to child development and Texas Rising Star.</t>
  </si>
  <si>
    <t>Conducted a Director's Round Table on Building a Cohesive Team on 2/7/23.
24 attendees from 16 centers and 1 home</t>
  </si>
  <si>
    <t>Increased knowledge of 24 owners/directors on various professional development topics related to child development and Texas Rising Star.</t>
  </si>
  <si>
    <t>Conducted a TRS training on getting children talking on 2/18/23.
27 attendees from 9 centers and 4 homes.</t>
  </si>
  <si>
    <t>Increased knowledge of 27 staff on various professional development topics related to child development and Texas Rising Star.</t>
  </si>
  <si>
    <t>Conducted a session on math and how it is everywhere on 3/9/23.
22 attendees from 8 centers and 4 homes.</t>
  </si>
  <si>
    <t>Increased knowledge of 22 staff on various professional development topics related to child development.</t>
  </si>
  <si>
    <t>Conducted a TRS training on self regulation for children on 3/23/23.
50 attendees from 12 centers and 1 homes.</t>
  </si>
  <si>
    <t>Increased knowledge of 50 staff on various professional development topics related to child development and Texas Rising Star.</t>
  </si>
  <si>
    <t>Offered a child development scholarship opportunity for staff to continue child development learning opportunities at a local community college from several facilities.</t>
  </si>
  <si>
    <t>Increased knowledge of eight new staff on various child development topics through a local community college.</t>
  </si>
  <si>
    <t>Reimbursed four staff for child development learning opportunity expenses at a local community college.</t>
  </si>
  <si>
    <t>Increased knowledge of four staff on various child development topics through a local community college.</t>
  </si>
  <si>
    <t>Offered reimbursement to four TRS providers for required individual staff CPR/First-Aid trainings.</t>
  </si>
  <si>
    <t>Eighteen CPR/First-Aid training certificates obtained by staff.</t>
  </si>
  <si>
    <t>Offered another grant opportunity in January 2023 to assist providers in the purchase of materials, equipment, curriculum, and needed resources.
20 facilities (including 6 TRS centers, and 14 non-TRS facilities, including 3 homes, and 11 centers)</t>
  </si>
  <si>
    <t>Increased the quality of care at 20 facilities through expanded resources.
Some provider grants remain outstanding.</t>
  </si>
  <si>
    <t>Conducted required TRS activities including quarterly CCR reviews, initial assessments, and annual monitoring's. As noted above, current TRS providers are being worked, along with ELD's in the process of pursuing TRS.
Amount noted here are all providers in our area that either are TRS or are pursuing accreditation.
For ELD's, CQIP's have or are being implemented.</t>
  </si>
  <si>
    <t>Properly followed TRS Guidelines related to required activities for all TRS Providers. Process is continuing as ELD's prepare for a TRS assessment.</t>
  </si>
  <si>
    <t>After successful education completion, encouraged employment retention at same facility by offering a 6-month retention incentive. This incentive remains in place for others and is considered ongoing.</t>
  </si>
  <si>
    <t>one coordinator, 5 mentors, 2 dual role assessor/mentor TRS staff; 1 TRS support staff</t>
  </si>
  <si>
    <t>provided design plans and technical assistance for 2 programs (one who is NAEYC accredited for an I/T outdoor classroom) and a (family childcare program who is TRS 4-star and a NAFCC accreditation candidate).</t>
  </si>
  <si>
    <t>Conducted 3 Virtual sessions covering SIDS/SBS/Infant Brain Development for all programs; 48 programs attended</t>
  </si>
  <si>
    <t xml:space="preserve">Provide targeted professional development and training for teachers in TRS certified programs and those working toward TRS certification in order to increase the number of available infant &amp; toddler slots across the board area by 5%. We will help to meet the need of programs’ hiring and retaining qualified infant &amp; toddler teachers in programs in order to open more classrooms to provide this care.  We estimate this professional development and training to reach all current TRS certified programs as well as those Entry Level programs who are working toward certification.  </t>
  </si>
  <si>
    <t>Purchase materials, curriculum and equipment for TRS certified programs to increase infant &amp; toddler capacity in their facility. We estimate a total of 5 programs will be assisted. We will measure success based on the increased infant &amp; toddler capacity at these programs. The number of infant &amp; toddler slots for subsidized children will increase by 5%.</t>
  </si>
  <si>
    <t>National Accreditation</t>
  </si>
  <si>
    <t>reimbursed and funded NAEYC and NAFCC applications; annual fees for 5 programs</t>
  </si>
  <si>
    <t>Conducted 7 Prof Dev 4-hour trainings for providers (all Entry Level and TRS certified) covering topics such as fabulous circle times; classroom arrangement and center set-up; positive interactions; curriculum and lesson planning both in English and in Spanish- 79 programs attended</t>
  </si>
  <si>
    <t>Provide high quality training and professional development to staff at all current certified TRS programs and to those EL programs working toward certification that complies with the requirements and expectations of TRS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t>
  </si>
  <si>
    <t xml:space="preserve">Host a Nature Explore training - Using Your Outdoor Classroom for 5 programs who are working toward Certified Outdoor Classroom </t>
  </si>
  <si>
    <t>Co-sponsored 6 Central TX Chapter AEYC training sessions covering topics including classroom management; cooking with children; math/science; curriculum resources; 16 programs attended</t>
  </si>
  <si>
    <t>Co-hosted Central TX Chapter AEYC Winter Conference; 167 attendees from 48 programs</t>
  </si>
  <si>
    <t>Sponsored 25 providers to attend Family Childcare is Big Business Tour Conference in Temple, TX</t>
  </si>
  <si>
    <t>Texas Rising Star mentors attending PLCs for ATCP certification</t>
  </si>
  <si>
    <t>The goal of the PLCs is to support staff in obtaining ATCP certification</t>
  </si>
  <si>
    <t xml:space="preserve">Paid subcontractors to conduct a Texas Rising Star  Level Evaluation and to participate in quarterly meetings for Texas Rising Star-related trainings.  WSNCT shares 10 Texas Rising Star Assessors with Workforce Solutions Greater Dallas and Workforce Solutions for Tarrant County.  The Texas Rising Star Assessors are contracted vendors and expenditures for payments come out of CCQ funding. </t>
  </si>
  <si>
    <t xml:space="preserve">Assists centers in becoming, increasing, or maintaining Texas Rising Star Status. </t>
  </si>
  <si>
    <t>WFSNETX paid for the keynote speaker at the NTCC annual childcare conference. Reimbursed NTCC for the cost of the keynote speaker, 56 providers attended.</t>
  </si>
  <si>
    <t xml:space="preserve">Personnel costs for TRS staff employed with WFSNETX. </t>
  </si>
  <si>
    <t>One Early Childhood Specialist is attending the Coaching /Mentoring certificate course with Camp Fire First Texas. This is an advanced level course for mentors that impact the work of early education teachers. The course has 6 sessions, 42-hours that is focused on increasing skills to facilitate the professional growth of ECE teachers.</t>
  </si>
  <si>
    <t>Thirteen Texas Rising Star Board Staff (Early Childhood Specialist) participated in Mentor Micro-Credential PLC's as required by the Texas Rising Star guidelines. Two(2) Early Childhood Specialist are completing the ATCP modules and will be added to the PLC's. No CCQ funding is allocated for participation.</t>
  </si>
  <si>
    <t>Paid for one (1) Sr. Early Childhood Specialist  to renew their certification as a CLASS Observer in Preschool. A CLASS Observer is certified to collect CLASS data in a classroom setting for the specific designated age levels. In order to receive this certification, you must pass a reliability test following training and maintain that certification by passing an annual recertification test.</t>
  </si>
  <si>
    <t>Three TRS mentor staff mentored 44 staff members at previous center as well as at 2 additional TRS centers
Three TRS mentor staff provided technical assistance to 15 CCS providers starting the onboarding process</t>
  </si>
  <si>
    <t>Three TRS mentors and on dual role participated in PLC's monthly for 1.5 hours per month.</t>
  </si>
  <si>
    <t>85 slots were purchased through Region 19 for TRS General Education Training for Providers.  Two trainings were held during Q2 One on Feb 18 and the other on Mar 4. ($8000)</t>
  </si>
  <si>
    <t xml:space="preserve">Enhancing Children's Learning through Age-Appropriate Curriculum, Environment and Early Learning Standards - 4 hour virtual training </t>
  </si>
  <si>
    <t>Child &amp; Youth Conference: Understanding Executive Functions; Forming Relationships with Children Through Positive Engagement and Interactions; Turning Challenging Behaviors into Learning Opportunities; Supporting Children in Play; Managing Your Little Monsters; Sign Language for Classroom Management Supports - 7 hour in person training</t>
  </si>
  <si>
    <t>50 Automated External Defibrillators were purchased for distribution to Early Learning Programs who request an AED and whose staff participated in the Workforce Solutions Capital Area contracted CPR, First Aid, and AED Training. While the AED devices were purchased in Quarter 2, they will be distributed in the 3rd and 4th Quarter and will be reported on the Quarterly Data tab as they are distributed to programs. $69,055 was spent on the AED Machines (CRSSA)</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</si>
  <si>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TRS and ELD Programs. In Quarter 2, a total of 21 Programs were purchased resources for a total of $255,491.00 was spent (CRSSA Funding).</t>
  </si>
  <si>
    <t xml:space="preserve">Updated Texas Rising Star Brochures for both parents and providers were purchased in Quarter 2. These brochures will be used to assist with recruiting Entry Level Designated Programs and non-contracted Early Learning Programs into Texas Rising Star as well as assist with informing parents about the benefits of selecting a TRS Program. A total of  $715.00 was spent on 400 brochures printed using TWC's approved format. </t>
  </si>
  <si>
    <t xml:space="preserve">Provided in house training to Texas Rising Star and Entry Level Designated programs using qualified Texas Rising Star Staff with the goal of helping providers meet their annual training requirements. No Quality Funds were used for these trainings. </t>
  </si>
  <si>
    <t>We provided Health and Safety supplies to providers. In San Marcos we had 33, Bastrop 25, and Cedar Park 70 providers that receive Health and Safety supplies .</t>
  </si>
  <si>
    <t>Marvelous Math for infant and toddlers</t>
  </si>
  <si>
    <t>Enhancing Dramatic Indoor and outdoor play</t>
  </si>
  <si>
    <t>137 providers received a maintenance incentive for their TRS certification for those providers that had certification status effective 12/1/2022. This activity is still ongoing as program staff will also be receiving individual incentives for maintaining their TRS certification during their monitoring assessment.</t>
  </si>
  <si>
    <t>Materials and equipment will enhance the classrooms in order to meet the children's physical, cognitive, social/emotional and Language and Literacy domains.</t>
  </si>
  <si>
    <t xml:space="preserve">CLASS is a scoring system which measures teacher-child interactions through a reliable observer.  This recertification is done once a year for reliable observer for TRS teacher-child observations and to meet the new guidelines for mentors to be reliable.  </t>
  </si>
  <si>
    <t>03/25/2023 -  Child care professionals participated in 2 (1.5) hour virtual sessions with presenter Geralding (Gigi) Wynn with Lakeshore.  1st session Building Effective Teacher-Child Interactions: Healthy Emotional Connections - This training session focused on Healthy Connections and Building Secure Relationships and Attachments.    2nd Session Building Effective Teacher-Child Interactions: Typical &amp; Atypical Challenging Behaviors – This training session focused on Managing Behaviors: Typical and Atypical Challenging Behaviors</t>
  </si>
  <si>
    <t xml:space="preserve">3/22/2023 - TRS Providers were awarded an Special Abilities Needs Package. Note: Providers are  receiving the material and expenditures have not yet occurred. This initiative hit CRRSA Funding and CCQ Funding. </t>
  </si>
  <si>
    <t>Conducted a training on Managing the Mayhem (challenging behaviors) related to the TRS program on 1/21/23 (virtual and in-person).
24 attendees in person from 10 centers and 1 home, along with 36 virtual attendees from 7 centers and 3 homes</t>
  </si>
  <si>
    <t>Offered an employment retention incentive (at 6 months) to a staff person that successfully completed her CDA prior.
1 staff at a TRS center.</t>
  </si>
  <si>
    <t>Offered a STEAM program (specific to Engineering) for classes for ages 3-5 and an individual activity for ages 6-10.
Had  663 children from 52 classes at 21 centers and 4 homes participate in the class activity for ages 3-5.
Had 67 children from 12 centers and 1 home participate in the activity for ages 6-10.</t>
  </si>
  <si>
    <t>Increased knowledge of 730 children on general engineering principles, encouraged teamwork, creativity, and critical thinking skills.</t>
  </si>
  <si>
    <t>Purchased curriculum, materials and equipment for 6 ELP Infant Toddler classrooms</t>
  </si>
  <si>
    <t>Reimbursed  2 Director credential training.</t>
  </si>
  <si>
    <t>professional Development</t>
  </si>
  <si>
    <t xml:space="preserve">Tuition reimbursement  scholarship for 1 </t>
  </si>
  <si>
    <t>Received bachelor's degree</t>
  </si>
  <si>
    <t>Various trainings from TRS and B/R staff for 268 ELP staff</t>
  </si>
  <si>
    <t>Purchased curriculum, materials and equipment for 31 ELPs</t>
  </si>
  <si>
    <t xml:space="preserve"> Initial and Monitoring  ELP Incentives for 12 ELP</t>
  </si>
  <si>
    <t>Purchased playground equipment for 1 ELP</t>
  </si>
  <si>
    <t xml:space="preserve">Boosting teacher/child interaction scores through mentoring to assessment </t>
  </si>
  <si>
    <t>Curriculum enhancement boosting for assessment</t>
  </si>
  <si>
    <t>Additional natural element enhancement outdoor environment</t>
  </si>
  <si>
    <t>Boosting indoor environment scoring at assessment</t>
  </si>
  <si>
    <t>Boosting Texas Rising Star category enrichment</t>
  </si>
  <si>
    <t xml:space="preserve">Community outreach materials for Texas Rising Star </t>
  </si>
  <si>
    <t>Boosting teacher/child interaction scores through mentoring to assessment scores</t>
  </si>
  <si>
    <t>Engaging families in fun learning environment and providing community resources</t>
  </si>
  <si>
    <t>Increased quality staff positions requiring technology</t>
  </si>
  <si>
    <t>Increased participation with community partners</t>
  </si>
  <si>
    <t>PD training opportunities to meet mentor hours</t>
  </si>
  <si>
    <t>PD training to become TECPDS trainers on registry</t>
  </si>
  <si>
    <t xml:space="preserve">PD enhancement for education career lattice Texas Rising Star </t>
  </si>
  <si>
    <t>PD training opportunities to enhance coaching skills</t>
  </si>
  <si>
    <t>PD mentor training</t>
  </si>
  <si>
    <t>QRIS training</t>
  </si>
  <si>
    <t>CPR/First Aid Safety Training  (board hosted) (fees paid by participants)</t>
  </si>
  <si>
    <t>CPR/First Aid Safety Training (board hosted) (fees paid by participants)</t>
  </si>
  <si>
    <t>Increase  Program Director participation in collaborative learning and business development. Deepening knowledge and expertise by interacting on a regular basis. Mentors observed positive change in participants daily practice.</t>
  </si>
  <si>
    <t>Increase in Texas Rising Star participation and/or Star Level. Decrease in number of licensing deficiencies cited by CCR</t>
  </si>
  <si>
    <t>Increase in Texas Rising Star participation.</t>
  </si>
  <si>
    <t>Data showed a 24% increase  in  the number of conversational turns from the first LENA day to the last LENA day.  Additionally, there was a 56%  increase in conversational turns in children who started out experiencing less talk compared to the peers.  Teacher surveys revealed an increase in teacher confidence and competence in learning and applying talk strategies. Seven teachers chose to pursue certification and were certified. This project/activity enhanced compliance with CCR requirements for health and safety.    A decrease in the number of licensing deviancies cited by CCR. Verified by quarterly CCR screenings.  Increase in number of ELPS qualifying for Entry Level TRS participation.</t>
  </si>
  <si>
    <t>Supporting compliance with CCR requirements for health and safety. Increase in number of ELPS qualifying for Entry Level TRS participation.  Decrease in the number of Licensing Deficiencies cited by CCR. Verified by quarterly CCR screenings.</t>
  </si>
  <si>
    <t>Supporting compliance with CCR requirements for health and safety.  Increase in number of ELPS qualifying for Entry Level TRS participation.  Decrease in the number of Licensing Deficiencies cited by CCR. Verified by quarterly CCR screenings.</t>
  </si>
  <si>
    <t>Supporting compliance with CCR requirements for health and safety. Decrease in number deficiencies cited by CCR. Increase in number of ELPS qualifying for Entry Level TRS participation.  Decrease in the number of Licensing Deficiencies cited by CCR. Verified by quarterly CCR screenings.</t>
  </si>
  <si>
    <r>
      <t xml:space="preserve">Number of Participants 
</t>
    </r>
    <r>
      <rPr>
        <i/>
        <sz val="12"/>
        <rFont val="Calibri"/>
        <family val="2"/>
        <scheme val="minor"/>
      </rPr>
      <t>(if applicable)</t>
    </r>
  </si>
  <si>
    <t>none reported</t>
  </si>
  <si>
    <t>new Texas Rising Star staff stipends
154 staff within 21 providers</t>
  </si>
  <si>
    <t>CLASS stipends
474 staff within 43 providers</t>
  </si>
  <si>
    <t>Purchase Teaching Strategies home curriculum for 15 homes</t>
  </si>
  <si>
    <t>Outdoor measure enhancement provided to 250 programs</t>
  </si>
  <si>
    <t>Toddler indoor classroom enhancement provided to 33 programs</t>
  </si>
  <si>
    <t>Resource purchases, manipulatives, multi-cultural, indoor infant toddler climbing movement/mirrors, differing abilities items provided to 6 programs</t>
  </si>
  <si>
    <t>Parent Engagement Event
1000 parents and children</t>
  </si>
  <si>
    <t>Technology provided to 15 Tarrant QI staff</t>
  </si>
  <si>
    <t>NAEYC memberships paid for 33 Tarrant QI staff</t>
  </si>
  <si>
    <t>Bob Pike Train the Trainer for 8 TRS mentor staff</t>
  </si>
  <si>
    <t>NAEYC Professional Learning Institute paid for 5 Tarrant QI staff</t>
  </si>
  <si>
    <t>Tarrant County College scholarships (same individuals from last quarter) for 5 cc staff</t>
  </si>
  <si>
    <t>CDA training with Green Space for 22 CC staff</t>
  </si>
  <si>
    <t>Teachstone CLASS infant/toddler observer training for TRS mentors</t>
  </si>
  <si>
    <t>TWC Texas Rising Star mentor training for 19 Tarrant QI staff</t>
  </si>
  <si>
    <t>BUILD conference paid for 4 Tarrant QI staff</t>
  </si>
  <si>
    <t>Provide mentoring for TRS providers
Provided Technical assistance to CCS providers onboarding
2 TRS Centers
15 CCS providers</t>
  </si>
  <si>
    <t>Providers Received an annual monitoring visit
2 TRS centers
10 classrooms</t>
  </si>
  <si>
    <t>Providing materials, equipment and resources to assist 3 providers in meeting TRS requirements</t>
  </si>
  <si>
    <t xml:space="preserve"> Lena Grow - LENA GROW is a research-based, data driven program that helps teachers of  infants and toddlers  gain the skills to measurably improve classroom quality and boost interactions. This project aligns with the Board's goal to increase the supply of high quality infant and toddler care.  This was implemented in four (4) TRS classrooms in three (3) counties in which two (2) are rural.
4 ELPs, 7 teachers, 4 directors, and 50 Infant/toddlers</t>
  </si>
  <si>
    <t>Monthly Virtual Coffee Chat for 30 Early Learning Program Directors</t>
  </si>
  <si>
    <t>Monthly Virtual Coffee Chat for 28 Early Learning Program Directors</t>
  </si>
  <si>
    <t>Provided grants to 22 teachers from Early Learning Programs to attend regional Early Childhood Conference-Central Texas Chapter AEYC</t>
  </si>
  <si>
    <t>TECPDS Virtual Roadshow presented by CLI (board hosted) (no cost) for 15 directors</t>
  </si>
  <si>
    <t>Minimum Standards Training presented by Child Care Regulation (board hosted) (no cost) for 45 directors</t>
  </si>
  <si>
    <t>Professional Development Partnership with Region 12 Education Service Center-no cost. Training on Pyramid Model for Supporting Social Emotional Development of Young Children (board hosted) (no cost) for 40 teacher</t>
  </si>
  <si>
    <t xml:space="preserve">Awarded Equipment/Materials Grants to 2 Early Learning Programs who achieved initial TRS certification.                                                                      </t>
  </si>
  <si>
    <t>A Total of $1,600 was spent in the 2nd Quarter on the Teacher TRAC Scholarship Program in partnership with Austin Community College. This money was used for Testing fees and student incentives. Please note: Workforce Solutions Capital Area provides only a portion of the funding for this program. This money is paid out of our QC3 funding and not out of our 4% Quality dollars. 43 students enrolled at end of Q2</t>
  </si>
  <si>
    <t>Blinn College - payment for tuition, fee's and textbooks for Spring 2023 for 14 teachers</t>
  </si>
  <si>
    <t>Programs received the hard copy and digital resources for The Creative Curriculum
11 programs and 2 Family Home providers</t>
  </si>
  <si>
    <t xml:space="preserve">85 participants, 16 LCCC, 5 TRS </t>
  </si>
  <si>
    <t xml:space="preserve">"Music, Movement &amp; Learning " </t>
  </si>
  <si>
    <t>56 participants, 11 LCCC, 1 RFH, 6 TRS</t>
  </si>
  <si>
    <t>55 participants, 12 LCCC, 6 TRS</t>
  </si>
  <si>
    <t>Feb.-Child Maltreatment, Mar.- Cultural Diversity for children and families, Apr.- Brain Development, safe sleep, and abusive head trauma</t>
  </si>
  <si>
    <t xml:space="preserve">30 participants, partnered with Texas A&amp;M Ext. ECET </t>
  </si>
  <si>
    <t>1st Aid/CPR</t>
  </si>
  <si>
    <t xml:space="preserve">65 participants, 20 LCCC, 1 RFH, 4 TRS </t>
  </si>
  <si>
    <t>Child Abuse: It's a National Epidemic Seminar</t>
  </si>
  <si>
    <t>89 participants, 7 LCCC, 4 RFH, 5 TRS</t>
  </si>
  <si>
    <t>Purchased 15 kits of ASQ for the current TRS providers</t>
  </si>
  <si>
    <t>Purchased 15 ASQ kits for the current TRS providers/ this will be ongoing.</t>
  </si>
  <si>
    <t>TECEPDS/CLI</t>
  </si>
  <si>
    <t>Bi-weekly meetings with the providers for training on how to get TECEPS, CLI accounts and TRS orientation</t>
  </si>
  <si>
    <t>Pre K partnership stipends provided to 5 programs</t>
  </si>
  <si>
    <t>training/PD /team-building for TRS mentor staff - Workplace Languages</t>
  </si>
  <si>
    <t>purchased changing tables cribs, furnishings and materials for 2 new programs opening infant/toddler classrooms; 78 new slots for infants &amp; toddlers</t>
  </si>
  <si>
    <t>reimbursed 6 programs for the Quarter for a portion of their ProCare office systems</t>
  </si>
  <si>
    <t xml:space="preserve">Teacher-child interaction, Play-based Learning, Active Supervision, Classroom Management, Creating In/outdoor Enviro. </t>
  </si>
  <si>
    <t>Environment Routines and Relationships</t>
  </si>
  <si>
    <t xml:space="preserve">TRS mentors/assessors will provide mentoring for 75 centers  interested in becoming TRS and existing centers who wish to maintain or increase their TRS star level. </t>
  </si>
  <si>
    <t>Provide materials, equipment, and resources to assist 3 programs in meeting TRS requirements including but not limited to classroom furniture, developmentally appropriate learning materials, curriculum, outdoor equipment, gross motor equipment and resource books solely for infants and toddlers</t>
  </si>
  <si>
    <t>Provide materials, equipment, and resources to assist 6 programs in meeting TRS requirements including but not limited to classroom furniture, developmentally appropriate learning materials, curriculum, outdoor equipment, gross motor equipment and resource books</t>
  </si>
  <si>
    <t>TRS Mentors provided TRS Orientation to 15 Entry Level Designation centers/homes
13 Child Care Centers &amp; 2 Homes</t>
  </si>
  <si>
    <t>provided classroom materials for all 179 CCS programs in our area to aide in setting up learning centers and to replenish materials in existing TRS facilities</t>
  </si>
  <si>
    <t>Teachstone Classroom Assessment Scoring System Recertification for Pre-K for 1 Mentor/Assessor Maria Gaytan</t>
  </si>
  <si>
    <t>CLASS assessments within 271 classrooms in 67 programs</t>
  </si>
  <si>
    <t>Marketing resource purchases for 182 programs</t>
  </si>
  <si>
    <t>LENA Assessments and Coaches Training; As a part if the WSNCT strategic plan for child care quality 27 classrooms within 1 program are scheduled for assessment with LENA. Category 2 is point based and maintenance/improvement in this area supports Texas  Rising Star programs to improve and maintain their start levels. The Lena Grow device will measure the number of words and conversations children are exposed to in the classroom providing the measurable data needed to increase interactions.</t>
  </si>
  <si>
    <t xml:space="preserve">Salaries for 5 TRS staff &amp; child care quality staff who support the TRS staff and supplies and training associated with the TRS positions. </t>
  </si>
  <si>
    <t>Purchased marketing materials for our annual Early Learning Conference 182 Early learning Staff</t>
  </si>
  <si>
    <t xml:space="preserve">Provided cribs and rocking chair to Happy Beginnings to expand Infant Care 0-12 months 
Provided additional cribs and an evacuation crib to Happy Beginnings to expand Infant Care 0-12 months </t>
  </si>
  <si>
    <t xml:space="preserve">Provided Sunshine Little School Childcare playground shade 
Provided Sunshine Little School Childcare outdoor environment materials </t>
  </si>
  <si>
    <t>To enhance the quality of care for the children when they are outdoors, playing on the playground in areas when they are safe and can be protected from sun exposure.  The shades will be provided so that all age groups can benefit from the shaded areas on the playgrounds.
Materials and equipment will enhance the classrooms in order to meet the children's physical, cognitive, social/emotional and Language and Literacy domains.</t>
  </si>
  <si>
    <t>The Board will measure the success of this activity through the programs' meeting their CQIP goals for learning or enhancing environments for Infant &amp; Toddler students.</t>
  </si>
  <si>
    <t>Increase the number of Texas Rising Star centers by 2.  Increased provider and parent satisfaction.</t>
  </si>
  <si>
    <t>TBD - TXAEYC will be held in November 2023 (registration and hotel fees were paid)</t>
  </si>
  <si>
    <t>10 received the CDA certification</t>
  </si>
  <si>
    <t>4 received the CDA certification</t>
  </si>
  <si>
    <t xml:space="preserve">As a part of the strategic plan for WSNCT career pathways, WSNCT will offer scholarships for up to 40-60 individuals per event to attend conferences for FY2023 including NAEYC Professional Learning Institute, Frog Street Splash Conference, TXAEYC, and the Texas Licensed Child Care Association (TLCCA) . These activities will help individuals obtain their needed annual training clock hours for Child Care Regulation and provide them with information about the latest trends, theories, and techniques from Early Childhood Education Professionals across the state and nation. Our estimated reach for this initiative is 100. We will measure the success of these activities by tracking the number of individuals who attend and the information extracted from surveys after each conference.
</t>
  </si>
  <si>
    <t>Data will be entered in Q4</t>
  </si>
  <si>
    <t xml:space="preserve">3 Quality Staff were registered to attend the 2023 Frog Street Splash Conference July 20-22. 4 Quality Staff were registered and attended the Professional Learning Institute Conference in Portland, Oregon. </t>
  </si>
  <si>
    <t>12 training hours for Frog Street and received certificate of completion and attendance or NAEYC Conference.</t>
  </si>
  <si>
    <t xml:space="preserve">CDA certificate of completion and certificate for completing the CDA course were both submitted to qualify. 25 participants in total have qualified and received a stipend. </t>
  </si>
  <si>
    <t>One Early Childhood Specialist attended the 3 day virtual ASQ Train the Trainer (TOT) offered as a grant from TWC and receive 24 annual clock hours. This training provided knowledge and skill development for participants to offer create effective and engaging learning experiences when training other Early Childhood educators using the ASQ-3 and/or ASQ:SE-2</t>
  </si>
  <si>
    <t xml:space="preserve">One Early Childhood Specialist attended the no cost (grant provided) 3 day virtual training offered and obtained a total of  24 professional development hours. </t>
  </si>
  <si>
    <t>Two Early Childhood Specialist completed, while another two(2) Early Childhood Specialists started attending the Coaching /Mentoring certificate course with Camp Fire First Texas. This is an advanced level course for mentors that impact the work of early education teachers. The course has 5 sessions, 16-hours that is focused on increasing skills to facilitate the professional growth of ECE teachers.</t>
  </si>
  <si>
    <t xml:space="preserve">Two Early Childhood Specialist completed the course and received a Mentoring/Coaching certificate with 16 annual clock hours. This course was paid for by the board. Two Early Childhood Specialists began the course scheduled for June-August 2023. </t>
  </si>
  <si>
    <t xml:space="preserve">Fourteen Texas Rising Star Early Childhood Specialists and Two Early Childhood Program Supervisors attended the Virtual Collaborative Symposium virtually in April 2023 conducted by TWC. Participants received a total of 7 annual clock hours. Five Early Childhood Specialists attended the NAEYC PLI conference in Portland, OR and received a total of 21 annual clock hours per participant. The conference was designed for all early childhood professionals to present appropriate teaching strategies using research-based topics and current educational trends.  One Early Childhood Specialists attended the McCormick Leadership  Academy virtual training in April 2023 receiving 16 annual clock hours of training. McCormick attendees explored topics that identified their leadership strengths, engaged in interactive learning and fine tuned strategies for dealing with real life challenges experienced in ECE. One Sr. Early Childhood Specialist attended the ITSN Summit and TSR conference in Houston and earned 13 annual clock hours. While two (2) Sr. Early Childhood Specialists attended the TSR conference in Houston as presentations. </t>
  </si>
  <si>
    <t xml:space="preserve">A total of 14 Early Childhood Specialists and 2 Early Childhood Program Supervisors were able to attend conferences and professional development training and obtained a total of 44 professional development hours. </t>
  </si>
  <si>
    <t>Fourteen Texas Rising Star Board Staff (Early Childhood Specialist) participated in Mentor Micro-Credential PLC's as required by the Texas Rising Star guidelines. No CCQ funding is allocated for participation.</t>
  </si>
  <si>
    <t xml:space="preserve">One Early Childhood Specialist ended participation in May 2023. </t>
  </si>
  <si>
    <t>100 early learning programs received Quality Enrichment Materials which will improve these program's early learning environment based on Texas Rising Star standards.</t>
  </si>
  <si>
    <t xml:space="preserve">As a part of the strategic plan for WSNCT Child Care Quality, WSNCT will offer 100 WSNCT providers a grant opportunity for the outdoor playground enhancement. This grant will include a bird feeder, wind chimes, tree slices, and a raised garden kit for all 100 providers that qualify. This opportunity is being offered to support Texas Rising Star Early Learning Programs who need additional support in meeting outdoor learning environment measures for Category 4 in the Texas Rising Star assessment tool. We will measure success through participation, surveys that provide feedback on the Early Learning Program's ability to meet related Texas Rising Star measures, and implementing goals created for the Early Learning Program's Continuous Quality Improvement Plan. Our estimated reach for this activity is 100 sites served.
</t>
  </si>
  <si>
    <t xml:space="preserve">100 early learning programs received outdoor environment enhancements which will improve these program's early learning environment based on Texas Rising Star standards. </t>
  </si>
  <si>
    <t xml:space="preserve">At the end of this quarter the following positions were filled: 1. 1 Director of Quality Child Care 2. 1 Administrative Assistant 3. 2 Special Projects Coordinators. At the end of this quarter the following positions were vacant: 2 Early Education Professional Development Specialist (EEPDS). 4/6 positions remain filled (66%). These staff are hired, trained, and working towards improving quality for ELPs. </t>
  </si>
  <si>
    <t xml:space="preserve">59 participants received HighScope preschool curriculum training. </t>
  </si>
  <si>
    <t xml:space="preserve">One Early Childhood Specialist ended their contract May 2023. </t>
  </si>
  <si>
    <t xml:space="preserve">Spring CLASS scores received and distributed. 52 classrooms were observed and 2 were double coded. Within the 52 classrooms observed there were 23 preschool, 19 toddler, and 10 infant classrooms observed. The infant rooms scored an average of 5.2 in their only domain Responsive Caregiving. The toddler classrooms scored an average of 5.7 in Emotional &amp; Behavior Support and 3.7 in Engaged Support for Learning. PreK classrooms scored an average of 5.8 in Emotional Supports, 5.3 in Classroom organization, and 2.7 in Instructional Support. </t>
  </si>
  <si>
    <t>CDA Credential</t>
  </si>
  <si>
    <t>Increased knowledge on supporting providers with increasing Trauma care in their facilities</t>
  </si>
  <si>
    <t>CDA (teachers enrolled in the CLI ECDA Program)</t>
  </si>
  <si>
    <t>To support teachers in completing their credential.</t>
  </si>
  <si>
    <t xml:space="preserve">Kindermusik Curriculum Training (June 2023) </t>
  </si>
  <si>
    <t>PreK Essential Training - Virtual</t>
  </si>
  <si>
    <t>PreK Essential Training- In- person</t>
  </si>
  <si>
    <t>Administrators Credential with Campfire</t>
  </si>
  <si>
    <t>Provide knowledge and training to receive director credentials and maintain licensing requirements</t>
  </si>
  <si>
    <t>ASQ Training (April 2023)</t>
  </si>
  <si>
    <t>Provided training to ELPs and community partners on ASQ screening tool to support families and children</t>
  </si>
  <si>
    <t>ASQ Enterprise Training (May 2023)</t>
  </si>
  <si>
    <t>Increased knowledge on the online system for screening students.</t>
  </si>
  <si>
    <t xml:space="preserve">ASQ TOT Training (May 2023) TWC  (Both Inclusion specialists) </t>
  </si>
  <si>
    <t xml:space="preserve">ASQ Training (June 2023) </t>
  </si>
  <si>
    <t>Recertification Award (ELPs Jan-March 2023)</t>
  </si>
  <si>
    <t>Provided support with educational materials, staff incentives, etc. to 12 programs.</t>
  </si>
  <si>
    <t>LENA - Talking is Teaching</t>
  </si>
  <si>
    <t>Provided educational materials to extend the components of LENA in previously participated program</t>
  </si>
  <si>
    <t xml:space="preserve">Purchased outdoor items such as bird feeders/houses, weather stations, flowers, and watering cans. For all 62 centers to assist with meeting TRS measures. </t>
  </si>
  <si>
    <t xml:space="preserve">Providers will have outside items teaching the lifecycle of plants and animals. </t>
  </si>
  <si>
    <t>Purchased curriculum, materials and equipment for 12 ELPs for infant and toddler classrooms</t>
  </si>
  <si>
    <t>Various trainings from TRS and B/R staff for 292 ELP staff</t>
  </si>
  <si>
    <t>Purchased curriculum, materials and equipment for 29 ELPs</t>
  </si>
  <si>
    <t>completed</t>
  </si>
  <si>
    <t xml:space="preserve"> Initial and Monitoring  ELP Incentives for 10 ELPs</t>
  </si>
  <si>
    <t>Staff bonus for 22 ELP staff</t>
  </si>
  <si>
    <t>Purchased playground shade for 1 ELP</t>
  </si>
  <si>
    <t>children able to spend more quality time outside</t>
  </si>
  <si>
    <t>Purchased security system for 1 ELP</t>
  </si>
  <si>
    <t xml:space="preserve">Three mentor staff mentored 58 staff members at previous center as well as 4 additional TRS certified centers
Three TRS mentor staff provided technical assistance to 8 ELD providers starting the onboarding process. </t>
  </si>
  <si>
    <t>Three TRS mentors and one dual role participated in PLC's monthly for 1.5 hours per month.</t>
  </si>
  <si>
    <t>Providers received TRS Initial assessment</t>
  </si>
  <si>
    <t xml:space="preserve">Nine ELD providers received their initial TRS assessment which resulted in certification. </t>
  </si>
  <si>
    <t>Participated in College course 1 TRS mentor staff</t>
  </si>
  <si>
    <t>One TRS mentor participated in a college course virtually to further her education</t>
  </si>
  <si>
    <t xml:space="preserve">Provided CDA Scholarships for qualifying candidates </t>
  </si>
  <si>
    <t>In partnership with the local community college, we paid scholarships for 25 qualifying students to receive their 120 hours of professional development for the CDA course</t>
  </si>
  <si>
    <t>Hosted 3 sessions of Director's toolbox for directors</t>
  </si>
  <si>
    <t xml:space="preserve">We procured space and a trainer for 22 directors to participate in the Directors Toolbox. We have completed 3 out of six sessions. </t>
  </si>
  <si>
    <t>Provided a one time incentive to individual at TRS provider</t>
  </si>
  <si>
    <t xml:space="preserve">Provided a one time incentive payment to an individual that had continued employment at a TRS center. </t>
  </si>
  <si>
    <t>Quality child care conference (At the Heart of Teaching)</t>
  </si>
  <si>
    <t>Decrease in the number of licensing deficiencies cited by CCR and achieve annual training hours.</t>
  </si>
  <si>
    <t>Personnel costs for  TRS staff</t>
  </si>
  <si>
    <t>Increase in TRS participation and/or star level, to retain TRS certified programs</t>
  </si>
  <si>
    <t>Providing periodic grants to child care providers</t>
  </si>
  <si>
    <t xml:space="preserve">Providing periodic grants to incentivize program staff to maintain or increase star level. </t>
  </si>
  <si>
    <t>CPR &amp; 1st aid</t>
  </si>
  <si>
    <t>Providing CPR &amp; 1st aid payments for providers to maintain compliance with CCR</t>
  </si>
  <si>
    <t>Curriculum Play and Social and Emotional Learning in Early Childhood Classroom Environments - 4 hour virtual training (no charge for this training)</t>
  </si>
  <si>
    <t>Salary for Mentor/Assessor (1 position)</t>
  </si>
  <si>
    <t xml:space="preserve">Salary for Dual Role - Mentor/Assessor </t>
  </si>
  <si>
    <t>Ages and Stages (ASQ-3) Comprehensive training topics included the importance of developmental screening, how to administer, score, interpret, and when to make referrals as well as understanding the role of parents in the ASQ-3 screening process. Participants were infant/ toddler teachers and administrators of Early Learning Programs.</t>
  </si>
  <si>
    <t>Pre and Post training results-Knowledge gained. Increase in use of developmental screenings. Early identification of developmental disabilities in children and increase in number of referrals to ECI. Increase in family engagement.</t>
  </si>
  <si>
    <t>Ages and Stages (SE-2)  Comprehensive training topics included the identification of young children at risk of social or emotional difficulties. It also included the 7 Key Behavioral Areas- self-regulation, compliance, communication, adaptive functioning, autonomy, affect and interaction with people.</t>
  </si>
  <si>
    <t>Pre and Post training results-Certification received</t>
  </si>
  <si>
    <t>9 teachers attained their Child Development Associate (CDA) credential</t>
  </si>
  <si>
    <t>Pre and Post training results-Knowledge gained</t>
  </si>
  <si>
    <t>Increase in participation</t>
  </si>
  <si>
    <t>Increase in TRS Star Levels</t>
  </si>
  <si>
    <t xml:space="preserve">Increase in TRS participation </t>
  </si>
  <si>
    <t xml:space="preserve">CPR, First Aid and AED Training was provided to Early Learning Program staff in the 3rd Quarter. A total of 4 classes were conducted in the 3rd Quarter, three in English and one in Spanish. 112 teachers participated and received their First Aid/CPR Certification during that time. $7,500 was spent in the 3rd Quarter on these classes.  </t>
  </si>
  <si>
    <t xml:space="preserve">Maintain CLASS Assessment Certification for five staff already certified and provided new CLASS Assessment Certification training to two additional staff to assist programs with measuring effective interactions. This will assist mentors with improving a programs scores in Category 2 which is weighted heavier under the new TRS Guidelines. $5,525.00 was spent in Quarter 3. </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</si>
  <si>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TRS and ELD Programs. In Quarter 3, a total of 83 Programs were purchased resources for a total of $158,790 was spent. (Note: some of these programs may be duplicate from prior quarters. Orders are shipped and there invoiced as available which leads to programs receiving resources over multiple quarters).</t>
  </si>
  <si>
    <t>Texas Rising Star Implementation Grant. Early Learning Resources were purchase for our Entry Level Designated programs actively working with TRS Mentors to support achieving TRS Certification. These resources include toys, shelving and playground equipment with the goal of improving Category 4 scores for our ELD Programs. A total of $41,500 was spent in Quarter 3 on 48 Entry Level Designated Programs.</t>
  </si>
  <si>
    <t>We will measure success by seeing 95% of programs receiving the grant achieving Texas Rising Star certification within 9 months of receiving their resources.</t>
  </si>
  <si>
    <t xml:space="preserve">Director Credential Course. Participants received professional development in both child development and business management in order to meet the criteria to apply for their Director’s Credential. The first of two Director Credential Courses was offered in the 3rd Quarter with a total of 21 early learning staff participating. The second Director Credential Course is scheduled for the 4th quarter. A total of $16,250.00 was spent in the 3rd Quarter. </t>
  </si>
  <si>
    <t>We will measure success by ensuring 30 early learning staff successfully complete the Director Credential.</t>
  </si>
  <si>
    <t xml:space="preserve">Parent Training Series. A series of subcontracted parent trainings ranging from topics on sleep, social and emotional development, and communication. These trainings were promoted to CCS families and included a gift card for parents who registered and attended the class. A total of 8 parent trainings occurred in the 3rd Quarter with 189 parents in attendance. $40,465.00 was spent in the 3rd Quarter. (Note: Parents were not counted on the Quarterly Data tab under Individuals Receiving Professional Development. Please let us know if parents should be included in this count and we can update the tab accordingly.)
</t>
  </si>
  <si>
    <t>We will measure success by having at least 150 parents attend one of our various training opportunities.</t>
  </si>
  <si>
    <t xml:space="preserve">Subscription to LENA Grow Program as well as Virtual Coaching paid for in Quarter 3. Currently enrolling programs to participate in LENA Grow during the Quarter 4 of FY23 and Quarter 1 of FY24. Total of  $1,919 was spent in Quarter 3. The number of centers and classrooms participating will be reported on future reports. </t>
  </si>
  <si>
    <t xml:space="preserve">N/A </t>
  </si>
  <si>
    <t xml:space="preserve">Spring Course has finished with 37 of the 44 completing the training course. </t>
  </si>
  <si>
    <t>3rd Quarter results include 19 New Texas Rising Star certified providers and  23 annual monitoring visits with current Texas Rising Star providers, and 156 mentoring visits with entry-level providers in the Reaching for the Stars process.</t>
  </si>
  <si>
    <t xml:space="preserve">3rd Quarter results include: 3 Entry Level Providers have utilized our provider resource rooms to laminate and use die cuts to extend the life of and enrich their classrooms educational materials. Eight providers received resources to enhance the quality of their Early Learning Programs.  </t>
  </si>
  <si>
    <t xml:space="preserve">Texas Rising Star Training Days- 6 hours of training for new Texas Rising Star teachers and Reaching for the Stars Programs. </t>
  </si>
  <si>
    <t>3rd Quarter we had a total of 72 teachers and directors new and tenured attend our summer TRS Day in-person or virtually.</t>
  </si>
  <si>
    <t xml:space="preserve">Board planning assistance for Parent Symposium. Team is working with planner to schedule speakers, venue, etc. for the event. The event will increase parent knowledge on local child care resources and topics. </t>
  </si>
  <si>
    <t>TBD Event planning stage of Symposium.  Board to host up to 150 parents with speakers focusing on early childhood development and choosing quality care and education.</t>
  </si>
  <si>
    <t>By purchasing items for the infant and toddler areas this will help to improve the Category 4 score for indoor environment</t>
  </si>
  <si>
    <t>Blinn College Child Development 2023 Summer Semester tuition, fees and textbooks - a total of 6 EL staff attended the Summer Session of which only 1 was a new student for FY2023</t>
  </si>
  <si>
    <t>By increasing staff professional development this will improve Category 1</t>
  </si>
  <si>
    <t>Increased the knowledge of top cited violations and how to ensure their program meets all the criteria for CCR</t>
  </si>
  <si>
    <t xml:space="preserve">Attendance at professional development sessions on staffing and retention can help in higher quality of care for the children. </t>
  </si>
  <si>
    <t>This training was offered for infants/toddler/twos, preschool and home family center staff to become familiar with the curriculum and how to effectively use the resources.</t>
  </si>
  <si>
    <t>This training was taken to keep current staff certification up to date.</t>
  </si>
  <si>
    <t>Conferences help staff to continuously develop their knowledge and skills as well as keeping up with new research in the field of Early Childhood.</t>
  </si>
  <si>
    <t>Increase Category 3</t>
  </si>
  <si>
    <t>This helps to meet the outdoor environmental standards for playgrounds.  This will increase the outcomes for Category 4</t>
  </si>
  <si>
    <t>Provide materials, equipment, and resources to assist in meeting TRS requirements including but not limited to classroom furniture, developmentally appropriate learning materials, curriculum, outdoor equipment, gross motor equipment and resource books solely for infants and toddlers</t>
  </si>
  <si>
    <t>Provide materials, equipment, and resources to assist in meeting TRS requirements including but not limited to classroom furniture, developmentally appropriate learning materials, curriculum, outdoor equipment, gross motor equipment and resource books</t>
  </si>
  <si>
    <t>TRS centers/homes obtained a higher star level, retained their star level, or prepared to become TRS-all TRS Entry Level and Certified centers/home received materials to help them achieve TRS certification or a higher/maintain star level</t>
  </si>
  <si>
    <t>61 child care providers received First Aid/CPR training as required by CCR</t>
  </si>
  <si>
    <t xml:space="preserve">TRS mentors/assessors will provide mentoring for centers  interested in becoming TRS and existing centers who wish to maintain or increase their TRS star level. </t>
  </si>
  <si>
    <t>Actual YTD: 52%
TRS Certified Centers-2022-2023: 65%--  2023-2024: 100%
Goal has changed due to mandatory TRS</t>
  </si>
  <si>
    <t>74 Child Care providers received training hours on topics specific to TRS measures including but limited to: transitions, teacher/child balance, classroom arrangement, etc.</t>
  </si>
  <si>
    <t>TX EARLY LEARNING GUIDELINES FOR INFANT AND TODDLERS</t>
  </si>
  <si>
    <t>To increase the number of TRS providers- topics cat 2 virtual training</t>
  </si>
  <si>
    <t>STAFF RETENTION AND PROGRAM MGMT</t>
  </si>
  <si>
    <t>To increase knowledge in business practices</t>
  </si>
  <si>
    <t>TX EARLY LEARNING GUIDELINES FOR PRE-K</t>
  </si>
  <si>
    <t>BUILDING POSITIVE RELATIONSHIPS WITH CHILDREN AND FAMILIES</t>
  </si>
  <si>
    <t>To increase the knowledge of family engagement</t>
  </si>
  <si>
    <t>MULTICULTURAL and NEW ATTENDANCE SYSTEM TRAINING FOR DIRECTORS</t>
  </si>
  <si>
    <t xml:space="preserve">To increase knowledge in multicultural and attendance system </t>
  </si>
  <si>
    <t>PURCHASE OF EQUIPMENT FOR ENTRY LEVEL TRS CENTERS</t>
  </si>
  <si>
    <t xml:space="preserve">To help provider to be ready for TRS assessment </t>
  </si>
  <si>
    <t>Our success will be measured by an increase of 10% in teacher/child interaction scores during TRS assessments.</t>
  </si>
  <si>
    <t>Favorable outcomes for the use of Frog Street curriculum include an overall 10% increase in centers' TRS scores in Category 3, P-PM-03</t>
  </si>
  <si>
    <t>5/20/2023 Training on the three-year old and Pre-K Frog Street curriculum was provided in person by Frog Street trainers to ensure that teachers are using the curriculum to its fullest extent. The use of this curriculum will ensure that teachers are providing developmentally appropriate learning opportunities for the children they are caring for.  The cost of the training was $3,999.00 33 directors &amp; 
teachers-
threes training;
10 directors
&amp; teachers-
PreK</t>
  </si>
  <si>
    <t>Successful outcomes of this activity include an increased number of participants attending future trainings- up to 50% of all teaching staff.</t>
  </si>
  <si>
    <t>Successful outcomes include directors supporting teachers in utilizing Circle tools and resources to improve their growth</t>
  </si>
  <si>
    <t xml:space="preserve">Successful outcomes include incorporating Circle tools and resources, such as developmental checklists, activities, etc. </t>
  </si>
  <si>
    <t>Successful outcomes for this activity include all 12 participants creating a TECPDS account.</t>
  </si>
  <si>
    <t>Successful outcomes for this activity include the increased availability of high
quality childcare for infants and toddlers.</t>
  </si>
  <si>
    <t>15 CDA renewals were awarded for child care staff to maintain their CDA certification which aligns with Category 1 measures for staff qualifications</t>
  </si>
  <si>
    <t>15 child care staff renewed their CDA certificate to maintain TRS Category 1 measures. These staff are employed at 9 TRS certified programs</t>
  </si>
  <si>
    <t>25 centers were awarded with ASQ2 and ASQ3 for their program to conduct children's assessments</t>
  </si>
  <si>
    <t xml:space="preserve">ASQ SE and ASQ3 children's questionnaires were awarded to those providers participating in the cohort and that were not using formal children's assessments </t>
  </si>
  <si>
    <t>5 centers were awarded with bonuses for their staff to decrease the staff turnover rate, 212 child care staff</t>
  </si>
  <si>
    <t>17 centers received conscious discipline material for attending a training over social emotional development</t>
  </si>
  <si>
    <t>Increase the scores in Category 2 child-teacher interactions and subcategory supporting children's regulation</t>
  </si>
  <si>
    <t>8 centers were awarded staff incentives for achieving TRS certification, a total of 88 child care staff awarded</t>
  </si>
  <si>
    <t>Increase participation in the TRS program, and to support the programs in maintain TRS star level.</t>
  </si>
  <si>
    <t>Professional Development opportunity provided to 50 child care staff over the topic of music and movement for infant and toddlers</t>
  </si>
  <si>
    <t>Professional Development opportunity provided to 50 child care staff over the topic of child maltreatment</t>
  </si>
  <si>
    <t>Professional Development opportunity provided to 40 child care Directors over the topic of simple budgeting and practical money mgt</t>
  </si>
  <si>
    <t>Professional Development opportunity provided to 50 child care staff over the topic of weather</t>
  </si>
  <si>
    <t>Professional Development opportunity provided to 100 child care staff over the topic of preschool fitness</t>
  </si>
  <si>
    <t>Professional Development opportunity provided to 30 child care staff over the topic of preventing misbehavior</t>
  </si>
  <si>
    <t>Professional Development opportunity provided to 50 child care staff over the topic of trauma informed care</t>
  </si>
  <si>
    <t>Professional Development opportunity provided to 25 child care staff over the topic of professionalism</t>
  </si>
  <si>
    <t>Professional Development opportunity provided to 50 child care staff over the topic of effective communication</t>
  </si>
  <si>
    <t>Professional Development opportunity provided to 40 child care staff over the topic of stress and time management</t>
  </si>
  <si>
    <t>Professional Development opportunity provided to 25 child care staff over the topic of children with special needs</t>
  </si>
  <si>
    <t>Professional Development opportunity provided to 50 child care Directors over the topic of effective and quality programs</t>
  </si>
  <si>
    <t>Professional Development opportunity provided to 50 child care staff over the topic of children's assessments</t>
  </si>
  <si>
    <t>Professional Development opportunity provided to 50 child care staff over the topic of process vs product</t>
  </si>
  <si>
    <t>Professional Development opportunity provided to 25 child care staff over the topic of in pursuit of mental health</t>
  </si>
  <si>
    <t>Professional Development opportunity provided to 50 child care staff over the topic of science for everyone</t>
  </si>
  <si>
    <t>Professional Development opportunity provided to 50 child care Directors over the topic of business</t>
  </si>
  <si>
    <t>Professional Development opportunity provided to 30 child care staff over the topic of routines and relationships</t>
  </si>
  <si>
    <t>Professional Development opportunity provided to 30 child care staff over the topic of compassionate classrooms</t>
  </si>
  <si>
    <t>Professional Development opportunity provided to 40 child care Directors over the topic of improving customer service</t>
  </si>
  <si>
    <t>Professional Development opportunity provided to 50 child care staff over the topic of parents as partners</t>
  </si>
  <si>
    <t>Professional Development opportunity provided to 30 child care staff over the topic of professionalism adulting</t>
  </si>
  <si>
    <t>Professional Development opportunity provided to 60 child care staff over the topic of sensory processing</t>
  </si>
  <si>
    <t>Professional Development opportunity provided to 25 child care staff over the topic of observation and assessments</t>
  </si>
  <si>
    <t>Professional Development opportunity provided to 25 child care staff over the topic of building resilience</t>
  </si>
  <si>
    <t xml:space="preserve">Provided 19 Home Care Early learning programs professional development. Teaching Strategies provided home curriculum training.  </t>
  </si>
  <si>
    <t xml:space="preserve">19 Directors/Teachers patriated in 6 hours of professional development provided by Teaching Strategies trainer.  This training is to assist Home Care Directors/Teachers implement a researched-based curriculum. </t>
  </si>
  <si>
    <t xml:space="preserve">Provided 12 Home Care Early Learning Programs Teaching Strategies Curriculum </t>
  </si>
  <si>
    <t xml:space="preserve">12 Early Learning Home Care Centers received  12 Teaching Strategies Home Curriculum which is a researched-based curriculum to enhance children's learning in all learning domains.  In children's physical, cognitive, social/emotional and Language and Literacy.  </t>
  </si>
  <si>
    <t xml:space="preserve">Provided Stepping Stones with classroom materials for preschool and school-age.   </t>
  </si>
  <si>
    <t>Provided Stepping Stones with Infant/Toddler classroom materials and equipment.</t>
  </si>
  <si>
    <t>Provided The Learning Patch  with Infant/Toddler classroom materials and equipment.</t>
  </si>
  <si>
    <t xml:space="preserve">Early learning program expanded to include infant care for 5 additional infants, and 28 additional  Toddlers. </t>
  </si>
  <si>
    <t xml:space="preserve">Provided Little Characters with classroom materials for all ages.  </t>
  </si>
  <si>
    <t xml:space="preserve">Provided Little Angels with classroom materials for all ages.  </t>
  </si>
  <si>
    <t xml:space="preserve">Provided Starpoint Kids with classroom materials for children with special needs </t>
  </si>
  <si>
    <t xml:space="preserve">Early learning program received classroom materials and equipment to support the needs of children with disabilities, for Mental Health Support.  </t>
  </si>
  <si>
    <t xml:space="preserve">Provided Yvonne Fernandez Home Childcare playground shade 
</t>
  </si>
  <si>
    <t xml:space="preserve">Provided Little Hunters Learning and  Childcare playground shade 
</t>
  </si>
  <si>
    <t xml:space="preserve">Provided The Learning Patch with classroom materials for preschool and school-age.   </t>
  </si>
  <si>
    <t>Provided 12 Early Learning Programs with 12 Frog Street Curriculums for Infants, Toddlers and Preschool</t>
  </si>
  <si>
    <t xml:space="preserve">12 Early Learning Programs received 12 Frog Street Curriculums which is a researched based curriculum that will enhance the children's learning in all domains, cognitive, physical, social/emotional and Language and Literacy.  </t>
  </si>
  <si>
    <t>Provided Pat's Daycare with classroom materials and equipment.</t>
  </si>
  <si>
    <t>Provide Pat's Daycare with outdoor equipment (Portable Evaporative Cooler)</t>
  </si>
  <si>
    <t>To enhance the quality of care for the children when they are outdoors, playing on the playground in areas when they are safe and can be protected from the heat exposure. This will be provided to all age groups.</t>
  </si>
  <si>
    <t xml:space="preserve">Provided Teaching Strategies  Mighty Minutes to Home Early Learning Programs </t>
  </si>
  <si>
    <t xml:space="preserve">12 Early Learning Home Care Centers received 12 Teaching Strategies Home Mighty Minutes which will assist with the researched-based curriculum to enhance children's learning in all learning domains.  In children's physical, cognitive, social/emotional and Language and Literacy.  </t>
  </si>
  <si>
    <t>This group agreed to be advisory members for designing models for school age programs that could be piloted in BCY2024.</t>
  </si>
  <si>
    <t>All training participants received a certificate for 6 clock hours of training.</t>
  </si>
  <si>
    <t xml:space="preserve">04/22/2023 - 2023 Infant &amp; Toddler Virtual Conference. Concurrent workshops were available for child care professionals in infant and toddler age groups. </t>
  </si>
  <si>
    <t xml:space="preserve">Participants received three (3) training clock hours/.3 CEUs based on Child Care Regulation Minimum Standards. </t>
  </si>
  <si>
    <t xml:space="preserve">04/26/2023 -  2023 Educational Electronic Learning Material Package.  All TRS Providers will received an Educational Electronic Learning Material Package complete with age-appropriate material that will continually expose children to talking, music, sounds, numbers, and stories to help maximize their early years of development. </t>
  </si>
  <si>
    <t xml:space="preserve">04/26/2023 - The objective was to support the  early learning programs and their teachers develop high quality lesson plans by integrating educational electronic material that follows a scope and sequence of activities and learning objectives.  This will help children meet specific developmental benchmarks ultimately preparing them for school readiness.  Measurable outcome: </t>
  </si>
  <si>
    <t xml:space="preserve">05/20/2023 -  Child care professionals participated in 2 (1.5) hour virtual sessions with presenter Dr. Beverly Ashley with A+ Center for Education, LLC.  1st session Six Strategies to Ensure are Actively Supervised - Participants learned on supervising children always means that the assigned caregiver is accountable for each child's care.  This includes responsibility for the ongoing activity of each child, appropriate visual and/or auditory awareness, physical proximity, and knowledge of activity requirements and each child's needs.     2nd Session Responsive Caregiving:  The Power of Positive Teacher-Child Interactions – Being attentive to young children’s communicative signals and using responsive behaviors provides an interactional framework within which you can best support early learning and later developmental achievements in early young children. </t>
  </si>
  <si>
    <t>1st session - participants received (1.5) training clock hours/.15 CEUs under Safety per Child Care Regulation Minimum Standards.  Texas Core Competencies for Early Childhood Practitioners and Administrators:  Practitioner Core Competency: 2.1, 8.3.  2nd Session -  Participants received (1.5) training clock hours/.15 CEUs Attachment and Responsive Caregiving per Child Care Regulation Minimum Standards.  Texas Core Competencies for Early Childhood Practitioners and Administrators:  Practitioner Core Competency: 2.1</t>
  </si>
  <si>
    <t xml:space="preserve">06/02/2023 - We processed the cost of the CDA application and related payments to the Council for Professional Recognition for seventeen (1) student.  The cost per application was for $425 for each student.   </t>
  </si>
  <si>
    <t>2022 Fall/2023 Spring Semester - CDA.  1 teacher complied with the  CDA Requirements as stated by the Council for Professional Recognition so they could begin conducting their observation and attain their CDA Certificate.</t>
  </si>
  <si>
    <t>06/23/2023 - Child Care Providers were awarded through the 2023 Infant and Toddler Initiative Grant a learning package complete with age-appropriate material and furniture for either their infant or toddler classroom</t>
  </si>
  <si>
    <t>29 Child Care Providers were able to improve or enhance the quality of care for either their Infant or Toddler Classroom.</t>
  </si>
  <si>
    <t xml:space="preserve">06/24/2023 - A TRS Exclusive Virtual Conference was hosted for TRS Providers.   Concurrent workshops were available for child care professionals in all age groups including, Directors and Administrators. </t>
  </si>
  <si>
    <t>Participants received three (3) training clock hours/.3 CEUs based on Child Care Regulation Minimum Standards respectively for each session.</t>
  </si>
  <si>
    <t xml:space="preserve">2 Child care center employees  received an incentive for the completion of the CDA program and receipt of the CDA Credential ($400). </t>
  </si>
  <si>
    <t xml:space="preserve">2 Teachers attained their CDA credential resulting in a positive impact on the quality of care, they were able to increase their knowledge in child development and improved their skills when working with children and families. </t>
  </si>
  <si>
    <t>6/30/2023  - Child Care Providers were awarded through the 2023 Preschool and School Age Initiative Grant a learning package complete with age-appropriate material and furniture for either their infant or toddler classroom</t>
  </si>
  <si>
    <t>29 Child Care Providers were able to improve or enhance the quality of care for either their Preschool or School Age Classroom.</t>
  </si>
  <si>
    <t>Board has funding for 6 mentors and 2 assessors. All positions are currently filled</t>
  </si>
  <si>
    <t>Board is fully staff: 2 FTE assessors, 6 FTE mentors</t>
  </si>
  <si>
    <t>Increase Texas Rising Star Participation and certification status; Mentors will measure lesson planning knowledge through the CQIP and measure scores at the time of certification.</t>
  </si>
  <si>
    <t>5 Mentors attended Frog Street Splash in July 2023</t>
  </si>
  <si>
    <t>Conducted a virtual training on Creating Your Personal Spending Plan (Financial Literacy Series, Session 1) on 6/22/23.
11 attendees in person from 5 centers and 4 homes.</t>
  </si>
  <si>
    <t>Increased knowledge of 11 owners/directors on various professional development topics related to financial literacy.</t>
  </si>
  <si>
    <t>Conducted a Director's Round Table on Building a Cohesive Team, Session 2, on 4/4/23.
17 attendees from 12 centers and 1 home</t>
  </si>
  <si>
    <t>Increased knowledge of 17 owners/directors on various professional development topics related to child development and Texas Rising Star.</t>
  </si>
  <si>
    <t>Conducted a Director's Round Table on Making TRS Measures Manageable on 6/6/23.
14 attendees from 11 centers</t>
  </si>
  <si>
    <t>Increased knowledge of 14 owners/directors on various professional development topics related to child development and Texas Rising Star.</t>
  </si>
  <si>
    <t>Conducted general child care training on The Age Behind the Behavior on 5/9/23
18 attendees from 6 centers and 1 home</t>
  </si>
  <si>
    <t>Increased knowledge of 18 staff on various professional development topics related to child development and early childhood education.</t>
  </si>
  <si>
    <t>Conducted TRS training on Lesson Plans on 6/27/23.
32 attendees from 8 centers and 1 home</t>
  </si>
  <si>
    <t>Increased knowledge of 32 staff on various professional development topics related to child development and Texas Rising Star.</t>
  </si>
  <si>
    <t>Conducted TRS training on Promoting Play and Linking Learning on 5/16/23.
28 attendees from 8 centers and 1 home</t>
  </si>
  <si>
    <t>Increased knowledge of 28 staff on various professional development topics related to child development and Texas Rising Star.</t>
  </si>
  <si>
    <t>Conducted an early childhood education conference for area providers, called Super Saturday, held on 4/29/23. 
107 attendees from 20 centers and 5 homes</t>
  </si>
  <si>
    <t>Increased knowledge of 107 staff on various professional development topics related to child development and early childhood education.</t>
  </si>
  <si>
    <t>Reimbursed one center for 2 staff to attend the Spring 2023 TLCCA Conference.</t>
  </si>
  <si>
    <t>Increased knowledge of 2 staff on various professional development topics related to early childhood education during the TLCCA Conference.</t>
  </si>
  <si>
    <t>Added two additional TRS facilities effective 6/1/23, increased infant and toddler capacity, as a result.</t>
  </si>
  <si>
    <t>Increased infant and toddler capacity at TRS facilities by adding two additional TRS centers.</t>
  </si>
  <si>
    <t>Offered reimbursement to five TRS providers for required individual staff CPR/First-Aid trainings.</t>
  </si>
  <si>
    <t>Twenty two CPR/First-Aid training certificates obtained by staff.</t>
  </si>
  <si>
    <t>Offered another grant opportunity in January 2023 to assist providers in the purchase of materials, equipment, curriculum, and needed resources.
12 facilities (including 7 TRS centers, and 5 non-TRS facilities, including 2 homes, and 10 centers)</t>
  </si>
  <si>
    <t>Increased the quality of care at 12 facilities through expanded resources.
Some provider grants remain outstanding.</t>
  </si>
  <si>
    <t>Conducted required TRS activities including quarterly CCR reviews, initial assessments, and annual monitoring's. Current TRS providers are being worked, along with ELD's in the process of pursuing TRS.
Amount noted here are all providers in our area that either are TRS or are pursuing accreditation.
For ELD's, CQIP's have or are being implemented.</t>
  </si>
  <si>
    <t>Followed TRS Guidelines related to required activities for all TRS Providers. Process is continuing as ELD's prepare for a TRS assessment.</t>
  </si>
  <si>
    <t>Offered an educational attainment incentive to staff that were successful in completing either a CDA, Certificate Program, or associates degree. Four staff from two TRS facilities obtained an incentive.</t>
  </si>
  <si>
    <t>Four staff members obtained varying levels of educational attainment in child development and earned an incentive as a result. These incentives remain in place for others and is considered ongoing to the next quarter.</t>
  </si>
  <si>
    <t>Offered a 3 month and/or 6 month employment retention incentive to staff that were successful in educational attainment (as noted above) and that stayed employed at the same facility at 3 months and/or then 6 months afterwards. Two staff from one TRS facility obtained this incentive.</t>
  </si>
  <si>
    <t>Two staff members remained employed at 3 mo. and/or 6 mo. at the same facility after completing the above mentioned education and obtained an employment retention incentive as a result. This incentive remains in place for others and is considered ongoing to the next quarter.</t>
  </si>
  <si>
    <t>Distributed developmental resources to 25 entry level designated providers that have shown progress with their CQIP's in an effort to support TRS Measures 2 and 4, specifically.</t>
  </si>
  <si>
    <t xml:space="preserve">Supported 25 providers by providing developmental resources specifically relating to TRS measures 2 and 4. As additional providers make progress with their CQIP's, resources will be distributed to those as well, so this is ongoing. </t>
  </si>
  <si>
    <t>Purchased changing tables, cribs, and feeding chairs for 3 entry level centers who opened new classrooms (which helped to generate 49 new TRS infant slots and 55 new TRS toddler slots).</t>
  </si>
  <si>
    <t>Conducted Virtual SIDS /SBS/Infant Brain Development training for 11 programs</t>
  </si>
  <si>
    <t>Provided in-person training for Frog Street Infant and Toddler teachers (from 130 classrooms) on curriculum; attendees were from Entry Level and TRS centers.</t>
  </si>
  <si>
    <t>Reimbursed 2 NAEYC Accredited programs for their annual fees (these are not new programs).</t>
  </si>
  <si>
    <t>Provided consultation services to 4; 4 Star/(2 - NAEYC Accredited and those working toward NAEYC Accreditation - 2) programs who are working on reaccreditation/portfolio development &amp; observation</t>
  </si>
  <si>
    <t>Reimbursed  5 child care centers who participate in Shared Services for a portion of their monthly ProCare fees.</t>
  </si>
  <si>
    <t>Continue to support Shared Services by providing funds to assist with technical assistance and office support to providers in the project. This project meets a goal of our board to grow these program owners/directors’</t>
  </si>
  <si>
    <t>Co-sponsored 5 training sessions (in-person) with Central TX Chapter of TXAEYC; 36 programs participated.</t>
  </si>
  <si>
    <t>Provided in-person training for Frog Street preschool (3's &amp; 4's)  teachers (from 70 classrooms) on curriculum; attendees were from Entry Level and TRS centers.</t>
  </si>
  <si>
    <t>Provided in-person training for Frog Street curriculum overviews (infant/toddler/3's) to administrators (from  46 Entry Level centers and 9 TRS centers).</t>
  </si>
  <si>
    <t>Provided in-person training for CELEBRATE SEL curriculum to 15 attendees from 15 family child care programs (entry level and TRS certified)</t>
  </si>
  <si>
    <t>Provided an in-person training conference featuring Lisa Murphy (Ooey-Gooey Lady) to 47 programs.</t>
  </si>
  <si>
    <t>Provided in-person training sessions (4) that covered a variety of topics including observation &amp; assessments; natural learning environments; family child care round table and networking; and classroom makeovers and set-up of learning centers. (55 programs)</t>
  </si>
  <si>
    <t>Provided virtual training/networking during 2 Program Administrator meetings (April and June) to 44 programs</t>
  </si>
  <si>
    <t>Provided 3 virtual trainings (7 Principles of Design - 2 sessions) and CELEBRATE SEL recap and review) with 26 programs</t>
  </si>
  <si>
    <t>Provided the first session of a PLC with a mentor/assessor involving a Conscious Discipline book study with 2 programs.</t>
  </si>
  <si>
    <t>Purchased baskets for NAEYC and COA Accredited providers for new materials and equipment in classrooms - 14 programs</t>
  </si>
  <si>
    <t>Paid streaming subscription for TRS staff  for Exchange Press - EdFlicks to be used for professional development and consultation</t>
  </si>
  <si>
    <t>Purchased equipment and materials for 74 Entry Level providers who are working toward TRS certification.</t>
  </si>
  <si>
    <t>Purchased materials and equipment for 40 TRS certified programs who are seeking to maintain or increase their star level.</t>
  </si>
  <si>
    <t>Purchased Frog Street curriculum for infants/toddlers/3's for 46 Entry Level childcare centers.</t>
  </si>
  <si>
    <t>Purchased CELEBRATE SEL curriculum for 15 family childcare providers.</t>
  </si>
  <si>
    <t>Provide face-to-face and virtual-facilitated sessions on a variety of topics to ECE teachers/directors</t>
  </si>
  <si>
    <t>3,000 providers will be trained through face-to-face/virtually facilitated sessions</t>
  </si>
  <si>
    <t>Provide online training on a variety of ECE topics to teachers/directors (ON LINE ONLY)</t>
  </si>
  <si>
    <t>2100 providers will be trained through online training</t>
  </si>
  <si>
    <t>275 consultation hours will be provided to ELPs about children with disabilities and/or challenging behaviors</t>
  </si>
  <si>
    <t>Recruitment, TA, Coaching to maintain and increase the number of TRS certified providers</t>
  </si>
  <si>
    <t>Increase the number of Texas Rising Star Providers to a minimum of 500 end of FY 2023 (numbers for quarters 2, 3 and 4 indicate net TRS program change in the quarter)</t>
  </si>
  <si>
    <t>23,250 families will receive child care resource and referral information via online, email and phone to increase understanding and selection of quality child care.</t>
  </si>
  <si>
    <t>Provided child related activities to child care programs for families</t>
  </si>
  <si>
    <t>2,275 child care centers will receive child related activities for families</t>
  </si>
  <si>
    <t>Provided 50 scholarships to TSR Conference</t>
  </si>
  <si>
    <t>250 ECE conference scholarships awarded</t>
  </si>
  <si>
    <t>CCM- Afterschool resource materials to support providers</t>
  </si>
  <si>
    <t>Provide classroom materials to enhance school-age classrooms</t>
  </si>
  <si>
    <t>CCM-Evaluating Quality Activities: CASE Quality Support Model included YPQI sessions, City Connections administration, and Partnership Project site support.</t>
  </si>
  <si>
    <t>Initiate and provide support beginning establishing Pre-K Partnerships for contracted slots.</t>
  </si>
  <si>
    <t>CCM- Provided youth development workshops and activities to support youth summer activities</t>
  </si>
  <si>
    <t>Collaborative opportunities to engage youths in summer activities</t>
  </si>
  <si>
    <t>End of Worksheet</t>
  </si>
  <si>
    <t>increased staff retention for Texas Rising Star providers</t>
  </si>
  <si>
    <t>training opportunities to enhance coaching skills</t>
  </si>
  <si>
    <t>CCL PD training opportunities for all licensed/registered providers</t>
  </si>
  <si>
    <t>increased staff training for career lattice improvement</t>
  </si>
  <si>
    <t>Boosting environment scoring based on individual provider need</t>
  </si>
  <si>
    <t>training opportunities to enhance knowledge, learn new techniques, enhance mentoring skills</t>
  </si>
  <si>
    <t>training opportunities to enhance knowledge, learn new techniques, enhance quality skills</t>
  </si>
  <si>
    <t>training opportunities to enhance knowledge for children with disabilities, learn new techniques, enhance quality regarding inclusion and challenging behaviors</t>
  </si>
  <si>
    <t>Tarrant County College scholarships</t>
  </si>
  <si>
    <t>Boosting summer activities reinforcing curriculum goals of school year</t>
  </si>
  <si>
    <t>Opportunity to enhance outdoor elements for increased assessment scoring</t>
  </si>
  <si>
    <t>Spring incentive for TRS caregivers participating in CLASS</t>
  </si>
  <si>
    <t>Texas Rising Star incentive banner for marketing provider</t>
  </si>
  <si>
    <t>PD training opportunities for all caregivers to enhance teaching skills</t>
  </si>
  <si>
    <t>54 Participants attended a zoom training on  the T.E.A.C.H. program</t>
  </si>
  <si>
    <t>To increase their knowledge of programs available to teaching staff to help obtain their CDA or college degrees in Early Childhood</t>
  </si>
  <si>
    <t>11 Provider Participants received college subsidies for child development courses for Summer 2023 semester</t>
  </si>
  <si>
    <t>28 Participants attended the ITSN Specialist Network training for Teachers</t>
  </si>
  <si>
    <t xml:space="preserve">37  scholarships to pay for a college credit course in early education at our local college were provided $26720)
To take a course that leads to either Infant and Toddler certificate, Teacher Assistant certificate that all feed towards a Child Development Associates in Applied Science.  WSB pays the tuition, books and parking pass if needed for the teachers working in a TRS facility or those on a pathway to becoming a TRS facility. </t>
  </si>
  <si>
    <t>This opportunity allowed staff to attend a college course that is in their field of work, utilize the training in the classroom, obtain college course credit hours, and assist the teacher with meeting their mandated yearly training hours.  Current scholarship recipients continue with their study towards their degree plan.</t>
  </si>
  <si>
    <t>59 spots were purchased for the Paso del Norte Learning on the Go Training ($3105)</t>
  </si>
  <si>
    <t xml:space="preserve">This opportunity allowed for a group of teachers to be served with training in accordance with their licensing requirements along with meeting TRS training standards. </t>
  </si>
  <si>
    <t>Digital Transformation Services were provided to 30 Childcare providers to assist with their business office operations.($29402)</t>
  </si>
  <si>
    <t>This opportunity allowed Directors to have more time to dedicate to staff and also provided staff</t>
  </si>
  <si>
    <t>5 training sessions were provided to caregivers  through Region 19 and Frog Street.  They were held on April 15,two on April 29, two on May 6. ($6374)</t>
  </si>
  <si>
    <t>Assessor salary for the Quarter ($111,677)</t>
  </si>
  <si>
    <t>5 centers were awarded staff bonuses to support teacher retention and hiring new staff. 5 centers with 212 teachers</t>
  </si>
  <si>
    <t>Establish Pre-K partnerships between Texas Rising Star providers and  ISD or charter schools.</t>
  </si>
  <si>
    <t>Required for TECPDS Registry for Trainers</t>
  </si>
  <si>
    <t>training opportunities to enhance knowledge, learn about new curriculum, new techniques, enhance assessment  skills</t>
  </si>
  <si>
    <t>First Aid/CPR/AED Training for 5 teachers at 1 program</t>
  </si>
  <si>
    <t>Installation of playground shades and padded poles within 5 programs</t>
  </si>
  <si>
    <t>Purchased educational supplies for 5 programs which included furniture and other items for infant and toddler areas</t>
  </si>
  <si>
    <t>Lunch and Learn 4/11/2023 - CCR Top Cited Violations (Not Board Funded) - 41 programs attended; supporting 75 teachers/staff</t>
  </si>
  <si>
    <t>Lunch and Learn 5/11/2023 - Staff Recruitment and Retention presented by Bernadine Martinez - 29 programs attended; supporting 43 teachers/staff</t>
  </si>
  <si>
    <t>Teaching Strategies - Creative Curriculum  6 hour Training - 12 programs attended; supporting 40 teachers/staff</t>
  </si>
  <si>
    <t>FrogStreet SPLASH Conference Registration fees paid for the upcoming July conference - 6 programs attended; supporting 31 teachers/staff</t>
  </si>
  <si>
    <t>1 Program received hard copy and digital resources for the Creative Curriculum</t>
  </si>
  <si>
    <t>Board hosted a Frog Street Curriculum training for centers who received the curriculum kits earlier. 156 teachers attended</t>
  </si>
  <si>
    <t>Purchase materials and equipment as an incentive to 2 ELPs who completed the certification process.  The items will assist improving in areas of concerns and low scoring measures.</t>
  </si>
  <si>
    <t xml:space="preserve"> CLASS Assessments were conducted in a total of seven (7) classrooms in Quarter 3 located within four (4) separate Early Learning Programs . 
7 total staff participated in CLASS training and 7 CLASS Assessment were conducted</t>
  </si>
  <si>
    <t xml:space="preserve">17 of scheduled subcontracted trainings were held in the 3rd Quarter to support 505 teachers/staff. A total of  $27,295.00 was spent on training in the 3rd Quarter. All trainings are research-based to help providers meet their annual training requirement. </t>
  </si>
  <si>
    <t xml:space="preserve">A Total of $425 was spent in the 3rd Quarter on the Teacher TRAC Scholarship Program in partnership with Austin Community College to enroll 9 students for Summer Semester. This money was used for Testing fees and student incentives. Please note: Workforce Solutions Capital Area provides only a portion of the funding for this program. This money is paid out of our QC3 funding and not out of our 4% Quality dollars. </t>
  </si>
  <si>
    <t>Lunch and Learn w/ 8 child care directors to discuss school age programs.</t>
  </si>
  <si>
    <t>"Mandatory Annual Safety Training" professional development training presented on 06-17-2023 by Angie Reinford to 34 teachers/staff.</t>
  </si>
  <si>
    <t>"Frog street Curriculum" professional development training presented on 06-24-2023 by Dr. Beverly Ashley to 51 teachers/staff</t>
  </si>
  <si>
    <t>"Is it Time for a Time Out? Self Care for Child Care Providers" professional development training presented on 06-27-2023 by Jackie Caldwell to 24 teachers/staff</t>
  </si>
  <si>
    <t>"Pre-Service" professional development training presented on 06-28 and 06-29-2023 by Dr. Beverly Ashley to 15 teachers/staff</t>
  </si>
  <si>
    <t>Salaries for 7 TRS staff &amp; child care staff who support the TRS staff and supplies.</t>
  </si>
  <si>
    <t>Infant and Toddler Thriving in a Responsive Classroom - 4 hour virtual training (no charge for this training); supported 61 teachers/staff</t>
  </si>
  <si>
    <t>CPR/First Aid Safety Training  (board hosted) (fees paid by participants); teachers and directors</t>
  </si>
  <si>
    <t>5/6/23 Training on Frog Street curriculum for infants and toddlers was provided by Frog Street trainers in person to ensure that teachers are using the curriculum to its fullest extent. The use of this curriculum will ensure that teachers are providing developmentally appropriate learning opportunities for the children they are caring for.  The cost of the training was $3,999.00. 41 directors and teachers; infant training - 27 directors and teachers- toddler  training</t>
  </si>
  <si>
    <t>4/6 /2023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Conscious Discipline Training. 16 teachers and directors participated</t>
  </si>
  <si>
    <t>5/2/2023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for Conscious Discipline Training. 39 teachers and directors participated</t>
  </si>
  <si>
    <t>6/2/23 Infant Toddler Specialist Network training provided by CLI for 11 directors. There was no expenditure for this training.</t>
  </si>
  <si>
    <t>6/3/23 Infant Toddler Specialist Network training provided by CLI for 46 teachers. There was no expenditure for this training.</t>
  </si>
  <si>
    <t>6/22/23 Virtual TECPDS training provided to 12 teachers and directors by Dr. Tracy Jones</t>
  </si>
  <si>
    <t>Training incentives were offered for 111 teachers and directors for attending training on Frog Street curriculum. A $50 incentive was offered for each half day session for a total payout of $4500.</t>
  </si>
  <si>
    <t>Approved grant applications from  6 centers expanding infant and/or toddler slots or adding enhancements to their classrooms, such as new materials for learning centers, nap mats, etc.. The total grant was $45,000, to be paid out as providers submit quotes for desired items.</t>
  </si>
  <si>
    <t>Provided Stipends to 9 teachers to attain CDA Credential</t>
  </si>
  <si>
    <t>Week of the Young Child Conference- Conference included 2 featured speakers, lunch, and break-out sessions. 183 teachers and directors attended</t>
  </si>
  <si>
    <t>Monthly Virtual Coffee Chat for 24 Early Learning Program Directors</t>
  </si>
  <si>
    <t>Monthly Virtual Coffee Chat for 23 Early Learning Program Directors</t>
  </si>
  <si>
    <t>Early Educator Apprenticeship Program Interest Session; 15 teachers</t>
  </si>
  <si>
    <t>Early Educator Apprenticeship Program Orientation Session; 10 directors</t>
  </si>
  <si>
    <t>Early Educator Apprenticeship Program Orientation Session; 15 teachers</t>
  </si>
  <si>
    <t xml:space="preserve">Awarded Equipment/Materials Grants to 14 Early Learning Programs who achieved initial TRS certification.                                                                      </t>
  </si>
  <si>
    <t xml:space="preserve">Awarded Equipment/Materials Grants to 6 Early Learning Programs who achieved TRS Star Level Increase.                                                               </t>
  </si>
  <si>
    <t>Providing mentoring for 4 certified TRS Providers
Provided Technical assistance to 8 Entry Level/CCS providers onboarding</t>
  </si>
  <si>
    <t>CLASS stipends were provided to 319 TRS Staff within 54 programs; which provided for CLASS assessments to be conducted within these 54 programs</t>
  </si>
  <si>
    <t>Child Care Licensing conference collaboration resource book (this was a book provided, there was no virtual or in person training for this) was provided to 675 teachers and staff</t>
  </si>
  <si>
    <t>Child Development Associate certification awarded to 22 teachers</t>
  </si>
  <si>
    <t>NAEYC/PLI conference registration for 5 Texas Rising Star mentor staff</t>
  </si>
  <si>
    <t>Bob Pike Train the Trainer registration/training for 9 Texas Rising Star mentor staff</t>
  </si>
  <si>
    <t>Frog Street Splash conference registration/training for 8 Texas Rising Star mentor staff</t>
  </si>
  <si>
    <t>TSR conference registration/training for 6 Texas Rising Star mentor staff</t>
  </si>
  <si>
    <t>Annual Autism Conference registration/training for 4 Texas Rising Star mentor staff</t>
  </si>
  <si>
    <t>EEPD training topics - challenging behaviors, special needs, teacher/child interactions, TECPDS, professionalism 83 providers; supporting 270 teachers/staff</t>
  </si>
  <si>
    <t>114 new TRS staff stipends within 9 providers</t>
  </si>
  <si>
    <t>Teachstone CLASS infant/toddler observer training for 10 Texas Rising Star mentor staff</t>
  </si>
  <si>
    <t>PreK indoor classroom enhancement project-classroom furniture &amp; resources for 38 programs</t>
  </si>
  <si>
    <t>After School supplemental curriculum enrichments provided to 50 programs</t>
  </si>
  <si>
    <t>Resources indoor, outdoor, Texas School Ready, manipulatives provided to 56 programs</t>
  </si>
  <si>
    <t>Outdoor project vegetable garden for TRS measure P-OLE-05 provided to 69 programs</t>
  </si>
  <si>
    <t>Outdoor project wood stepping slices for TRS measure P-OLE-05 provided to 53 programs</t>
  </si>
  <si>
    <t>Texas Rising Star outreach materials - banners, business cards, quality information folder provided to 151 programs</t>
  </si>
  <si>
    <t xml:space="preserve">WFSNETX provides Brightwheel to our 33 TRS facilities. This is utilized for billing processes and parent communication. </t>
  </si>
  <si>
    <t>Brightwheel subscription &amp; annual subscription to ProCare for 2 programs.</t>
  </si>
  <si>
    <t>Items for Resource Room provided to any programs, as needed</t>
  </si>
  <si>
    <t xml:space="preserve">26 Participants attended an in person training on "Diving Head First into Practical Strategies for Challenging Behaviors." </t>
  </si>
  <si>
    <t>To increase provider knowledge in strategies to help understand, practice and utilize strategies in the classroom</t>
  </si>
  <si>
    <t>6 centers</t>
  </si>
  <si>
    <t>Increase the number of Texas Rising Star centers by 6.  Increased provider and parent satisfaction.</t>
  </si>
  <si>
    <t>"Directors Luncheon" training provided professional development for early learning program Directors and Assistant Directors and training for an overview of behavior management. 45 participants from our centers received 2-hour training certificates. Total Cost=$0</t>
  </si>
  <si>
    <t xml:space="preserve">As a part of the strategic plan for WSNCT career pathways, WSNCT will offer 64 participants who work for WSNCT programs scholarships to enroll in CDA preparation courses and scholarships to pay for their required observation upon completion.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and the number of individuals who receive their CDA. Our estimated reach for CDA scholarships is 64 served and CDA application scholarships is 64 served is 13 served. </t>
  </si>
  <si>
    <t>13 CDA scholarship recipients have completed their CDA courses and received scholarships for their CDA Application.</t>
  </si>
  <si>
    <t>One Sr. Early Childhood Specialist conducted professional  session for 19 participants awarding 6.5 annual clock hours.</t>
  </si>
  <si>
    <t xml:space="preserve">Two Early Childhood Specialist completed the course and received a Mentoring/Coaching certificate with 16 annual clock hours. This course was paid for by the board. </t>
  </si>
  <si>
    <t>Six Texas Rising Star Early Childhood Specialists attended the Zero to Three Annual Conference in September 19-21, 2023 in Minneapolis, MN. Participants received a total of 10 annual clock hours. Two Early Childhood Specialists attended the Texas Rising Star Conference hosted by TWC in Dallas. Participants received a total of 16 annual clock hours.</t>
  </si>
  <si>
    <t xml:space="preserve">A total of 8 Early Childhood Specialists  were able to attend conferences and professional development training and obtained a total of 26 professional development hours. </t>
  </si>
  <si>
    <t>Twelve Texas Rising Star Board Staff (Early Childhood Specialist) participated in Mentor Micro-Credential PLC's as required by the Texas Rising Star guidelines. No CCQ funding is allocated for participation.</t>
  </si>
  <si>
    <t xml:space="preserve">One Early Childhood Specialist ended participation in September 2023. </t>
  </si>
  <si>
    <t xml:space="preserve">At the end of this quarter the following positions were filled: 1. 1 Director of Quality Child Care 2. 1 Administrative Assistant 3. 1 Special Projects Coordinators. 1 EEPDS. At the end of this quarter the following positions were vacant: 1 Early Education Professional Development Specialist (EEPDS). 1 Special Projects Coordinator. 4/6 positions remain filled (66%). These staff are hired, trained, and working towards improving quality for ELPs. </t>
  </si>
  <si>
    <t xml:space="preserve">6 WSNCT early learning programs who participated in CLASS in FY23 received quality enrichment materials. An application process was required and as a part of this application process these programs have agreed to continue their participation in the CLASS Project in FY24. </t>
  </si>
  <si>
    <t>Signature pages received as confirmation that staff received the funding; 848 staff qualified and all payments have been made for these staff members to receive their Wage Supplement.</t>
  </si>
  <si>
    <t>Outdoor measure enhancement</t>
  </si>
  <si>
    <t>105 providers</t>
  </si>
  <si>
    <t>Texas Rising Star educational stipends</t>
  </si>
  <si>
    <t>6 TRS staff</t>
  </si>
  <si>
    <t xml:space="preserve">Outdoor project vegetable garden for TRS measure P-OLE-05 </t>
  </si>
  <si>
    <t>78 providers</t>
  </si>
  <si>
    <t>Outdoor project wood stepping slices for TRS measure P-OLE-05</t>
  </si>
  <si>
    <t>113 providers</t>
  </si>
  <si>
    <t>Tri board conference</t>
  </si>
  <si>
    <t xml:space="preserve">Kindervans </t>
  </si>
  <si>
    <t>100 providers</t>
  </si>
  <si>
    <t>Enhancement for outdoor infant/toddler enrichment</t>
  </si>
  <si>
    <t xml:space="preserve">Educational scholarships </t>
  </si>
  <si>
    <t>new TRS staff stipends</t>
  </si>
  <si>
    <t>19 providers    104 TRS staff</t>
  </si>
  <si>
    <t>Resources indoor, outdoor, Texas School Ready, manipulatives</t>
  </si>
  <si>
    <t>Teachstone Interact conference</t>
  </si>
  <si>
    <t>2 quality staff</t>
  </si>
  <si>
    <t>62 centers</t>
  </si>
  <si>
    <t>Providers are able to have life saving technology on site in case of an emergency.</t>
  </si>
  <si>
    <t xml:space="preserve">Purchased tablets for all providers in order for them to use the Brightwheel app to communicate with parents, process billing, track attendance, etc. </t>
  </si>
  <si>
    <t>400 classes</t>
  </si>
  <si>
    <t xml:space="preserve">Increase parent communication and providers are able to use the attendance portion to report to TWC. </t>
  </si>
  <si>
    <t>Purchased curriculum, materials and equipment for 11 ELPs for infant and toddler classrooms</t>
  </si>
  <si>
    <t>Various trainings from TRS and B/R staff for 333 ELP staff</t>
  </si>
  <si>
    <t>Purchased curriculum, materials and equipment for 19 ELPs</t>
  </si>
  <si>
    <t xml:space="preserve"> Initial and Monitoring  ELP Incentives for 13 ELPs</t>
  </si>
  <si>
    <t>Staff bonus for 28 ELP staff</t>
  </si>
  <si>
    <t>Provide mentoring for TRS providers
Provide Technical assistance to CCS providers onboarding</t>
  </si>
  <si>
    <t>6 TRS Certified Centers
7 Entry Level Designation</t>
  </si>
  <si>
    <t>Three mentor staff mentored  34 staff members at previous centers as well as 6 additional TRS certified centers
Three mentor staff provided technical assistance to 7 ELD providers starting the onboarding process.</t>
  </si>
  <si>
    <t>Providers received TRS Initial assessment
Providers received TRS SIA assessment
Providers received TRS Star Level evaluation</t>
  </si>
  <si>
    <t xml:space="preserve">5 TRS Initial
1 TRS SIA
1 TRS Star Level </t>
  </si>
  <si>
    <t>Hosted an Early Childhood In-Service
Hosted 2 additional Director's toolbox training for directors</t>
  </si>
  <si>
    <t>94 participates for Early Childhood In-Service
26 directors participated in Director's Toolbox</t>
  </si>
  <si>
    <t xml:space="preserve">We procured space and a trainer for 94 early childhood professional to participate in an in-service training.
We procured space and a trainer for 22 participates in the Director's toolbox. We have completed 2 more out of the 6. The last training session had to be cancelled and will be rescheduled at a later date. </t>
  </si>
  <si>
    <t>Participate in College course 1 mentor staff</t>
  </si>
  <si>
    <t>1 TRS mentor</t>
  </si>
  <si>
    <t xml:space="preserve">One TRS mentor participated in College course to finish up the college courses required to meet the TWC waiver that was put in place upon hire. </t>
  </si>
  <si>
    <t>Provided materials for 26 providers to enhance quality
Provided materials for 46 infant/toddler classrooms out of the 26 providers to enhance quality</t>
  </si>
  <si>
    <t>26 Providers
46 Infant/Toddler Classrooms</t>
  </si>
  <si>
    <t>Using the ITERS, ECERS and SACCERS tool we provided materials to new and current TRS providers to enhance quality.
Within these providers we provider materials for 46 Infant/Toddler classrooms</t>
  </si>
  <si>
    <t>Entered into a new formal Pre-K Partnership with Baird ISD (no funds were expended for this project)</t>
  </si>
  <si>
    <t>3 TRS Providers</t>
  </si>
  <si>
    <t xml:space="preserve">Three TRS 3 and 4 Star providers, Day Nursery Abilene- Cedar (3) Day Nursery of Abilene- Vine (4), Day Nursery of Abilene- Sherry (4), entered into a formal pre-k partnership with Baird ISD starting September 5, 2023. </t>
  </si>
  <si>
    <t>Provided materials for 3 new programs and 1 program that expanded (4 total)</t>
  </si>
  <si>
    <t>Retention Award</t>
  </si>
  <si>
    <t>Provide retention awards for staff based on their tenure to help ELP's retain quality staff in order to keep classrooms open.</t>
  </si>
  <si>
    <t>6 providers</t>
  </si>
  <si>
    <t>Providing grants for ELP's to maintain programs within their center.</t>
  </si>
  <si>
    <t>Paying CPR &amp; First Aid training for providers</t>
  </si>
  <si>
    <t>Decrease in the number of licensing deficiencies cited by CCR  and also to allow for the funds providers will not have to pay for training to then be put back into the center.</t>
  </si>
  <si>
    <t>Frog Street Infant Curriculum. Frog Street's Infant Curriculum provides intentional activities and support in five developmental domains; language, cognitive, social and emotional, physical and approaches toward learning. The ELPs to receive the Infant curriculum are: Brentwood Learning Academy, Busy Bees Daycare, Early Redwine Child Care Center (2 sets), Pumpkin Patch Preschool, San Angelo Early Learning Childhood Center, Santa Rita Learning Academy, Southwest Children's Academy, Steady Steps Children's Weekday Ministry, TLC Kids Way (2 sets)</t>
  </si>
  <si>
    <t>9 ELPs/11 Kits Ordered</t>
  </si>
  <si>
    <t xml:space="preserve">increase the quality of care for children enrolled in care within the Concho Valley by providing age appropriate, developmentally appropriate curriculum for infants. </t>
  </si>
  <si>
    <t>14 ELPs/19 Kits Ordered</t>
  </si>
  <si>
    <t>increase the quality of care for children enrolled in care within the Concho Valley by providing age appropriate, developmentally appropriate curriculum for toddlers</t>
  </si>
  <si>
    <t>Frog Street Threes Curriculum. Frog Street Threes is a preschool curriculum that meets the unique needs of three-year-olds and provides intentional instruction in key areas of development. The ELPs to receive the Threes Curriculum are: Brentwood Learning Academy, Early-Redwine Child Care Center, Claudia's Creative Childcare, Pumpkin Patch Preschool, San Angelo Early Learning Childhood Center, Santa Rita Learning Academy, Southwest Children's Academy, TLC Kids Way, Willow Tree Preschool, Harris Avenue Baptist Church Day Care, Kid Biz Academy, Kountry Tyme Academy</t>
  </si>
  <si>
    <t>12 ELPs/13 kits</t>
  </si>
  <si>
    <t>increase the quality of care for children enrolled in care within the Concho Valley by providing age appropriate, developmentally appropriate curriculum for three-year-olds</t>
  </si>
  <si>
    <t xml:space="preserve">Frog Street Pre-K Curriculum. Frog Street Pre-K Curriculum is a comprehansive, dual language program designed to meet the needs of diverse learners while supporting the developmental learning domains. The ELPs to receive the Pre-K Curriculum are: Brentwood Learning Academy, Busy Bees Daycare, Claudia's Creative Childcare, San Angelo Early Learning Childhood Center, Santa Rita Learning Academy, Steady Steps Childrens Weekday Ministry, TLC Kids Way, Harris Avenue Baptist Church Day Care. </t>
  </si>
  <si>
    <t>8 ELPs/8 Kits</t>
  </si>
  <si>
    <t>increase the quality of care for children enrolled in care within the Concho Valley by providing age appropriate, developmentally appropriate curriculum for Pre-K aged children</t>
  </si>
  <si>
    <t xml:space="preserve">Frog Street Infant and Toddler Curriculum Implementation Training. This professional development opportunity will assist ELPs in the implementation of the curriculum </t>
  </si>
  <si>
    <t>To assist ELPs in gaining implementation knowledge for Frog Street Curriculum specific for Infant and Toddler Teachers/classrooms</t>
  </si>
  <si>
    <t>Provided professional development for Early Childhood programs specific to Infant and Toddler Development. Topics were Supporting Development Birth -3 years and Infant and Toddler Social Emotional Interactions.</t>
  </si>
  <si>
    <t>65 ELP Practitioners</t>
  </si>
  <si>
    <t xml:space="preserve">To assist Infant and Toddler practitioners in learning/attaining new skills for supporting the Infant and Toddlers in their classrooms </t>
  </si>
  <si>
    <t xml:space="preserve">Frog Street Threes and Pre K Curriculum Implementation Training. This professional development opportunity will assist ELPs in the implementation of the curriculum </t>
  </si>
  <si>
    <t>To assist ELPs in gaining implementation knowledge for Frog Street Curriculum specific for Threes and Pre-K Teachers/classrooms</t>
  </si>
  <si>
    <t>30 ELPs</t>
  </si>
  <si>
    <t xml:space="preserve">increase the quality of care for children from birth through 5 years of age by providing a research based reliable assessment tool to assist in identifying areas for improvement and possible development delays. </t>
  </si>
  <si>
    <t>1 FTE</t>
  </si>
  <si>
    <t xml:space="preserve">CPR, First Aid and AED Training was provided to Early Learning Program staff in the 4th Quarter. A total of 7 classes were conducted in the 4th Quarter, four in English and three in Spanish. 187 teachers participated and received their First Aid/CPR Certification during that time. $10,500 was spent in the 4th Quarter on these classes.  </t>
  </si>
  <si>
    <t xml:space="preserve">21 CLASS Assessment were conducted at 9 separate programs </t>
  </si>
  <si>
    <t>15 Early Learning Programs</t>
  </si>
  <si>
    <t xml:space="preserve">We will measure success with this activity by seeing a 10% increase in the number of TRS 3 and 4-star programs in FY2023. This will be assessed at the end of the fiscal year.
Outcome: Workforce Solutions Capital Area went from a total of 130 TRS Three and Four Star programs at the beginning of FY23 to a total of 146 TRS Three and Four Star programs at the end of FY23. This is an increase of roughly 12% which meets this activities goals. </t>
  </si>
  <si>
    <t>3 Early Learning Programs</t>
  </si>
  <si>
    <t>318  Early Learning staff</t>
  </si>
  <si>
    <t xml:space="preserve">18 of scheduled subcontracted trainings were held in the 4th Quarter. A total of  $21,520 was spent on training in the 4th Quarter. All trainings are research-based to help providers meet their annual training requirement. </t>
  </si>
  <si>
    <t>423  Early Learning Staff</t>
  </si>
  <si>
    <t xml:space="preserve">Director Credential Course. Participants received professional development in both child development and business management in order to meet the criteria to apply for their Director’s Credential. The second of two Director Credential Courses was offered in the 4th Quarter with this class being held in Spanish. A total of 8 early learning staff participated. A total of $16,250.00 was spent in the 4th Quarter. </t>
  </si>
  <si>
    <t>8 Early Learning Staff</t>
  </si>
  <si>
    <t xml:space="preserve">We will measure success by ensuring 30 early learning staff successfully complete the Director Credential.
Outcome: 28 of the 29 child development staff who participated in the course successfully completed their Director Credential. We did not meet our goal of 30 early learning staff, due to lower than anticipated participation in the Spanish language course. </t>
  </si>
  <si>
    <t xml:space="preserve">A Total of $14,345 was spent in the 4th Quarter on the Teacher TRAC Scholarship Program in partnership with Austin Community College. This money was used for Testing fees and student incentives. Please note: Workforce Solutions Capital Area provides only a portion of the funding for this program. This money is paid out of our QC3 funding and not out of our 4% Quality dollars. Therefor these were not counted under Scholarships awarded on the Quarterly Data tab. </t>
  </si>
  <si>
    <t>33 Students enrolled in Fall Semester</t>
  </si>
  <si>
    <t xml:space="preserve">We will measure success by providing a Teacher TRAC scholarship to 75 teachers within FY 2023.
Outcome: A total of 85 Teacher TRAC Scholarships were awarded to teachers between the Spring, Summer, and Fall semesters in FY2023. Meeting our goal of at least 75 scholarships being awarded. </t>
  </si>
  <si>
    <t>Conscious Discipline Training. Two of the six planned classes were conducted and paid for in Quarter 4, along with the purchase of Conscious Discipline resources. A total of  77 teachers/directors participated in a 2-part In-Person Conscious Discipline Training. One class was held in English, one in Spanish. Total spent for training and resources in 4th Quarter is $22,642.00.</t>
  </si>
  <si>
    <t>77  Early Learning Staff</t>
  </si>
  <si>
    <t>549 Early Learning Staff</t>
  </si>
  <si>
    <t>5 Classrooms in 3 ELPs</t>
  </si>
  <si>
    <t xml:space="preserve">We will measure success by seeing an increase in Category 2 scores of those programs who participated in the LENA program. This will be assessed at the end of the fiscal year.
Outcome will be measured after the LENA sequence has been completed and program receives their next TRS assessment visit. </t>
  </si>
  <si>
    <t>42 Parents</t>
  </si>
  <si>
    <t xml:space="preserve">We will measure success by having at least 150 parents attend one of our various training opportunities.
Outcome: This outcome was achieved. Workforce Solutions Capital Area saw a total of 236 parents participate in one of our Training opportunities throughout FY23. </t>
  </si>
  <si>
    <t>101 Early Learning Staff</t>
  </si>
  <si>
    <t xml:space="preserve"> We will measure success by utilizing surveys to determine which staff who received the Wage Supplement remain employed after a 6 month period. Our goal is to have 85% of staff receiving the Jeanette Watson Wage Supplement remain at their program.
Outcome: A survey was given to Jeanette Watson recipients 4 months after they received their award letter. At that time, 96 of the 101 recipients reported they were still employed at the same program. A rate of 95%, well above the industry average. A follow up survey will be sent to all programs 6 months after recipients received their wage supplement payment, asking which of those staff are still employed at the program. </t>
  </si>
  <si>
    <t>343 Early Learning Staff</t>
  </si>
  <si>
    <t xml:space="preserve">We will measure success by utilizing surveys to determine which staff who received the Wage Supplement remain employed after a 6 month period. Our goal is to have 85% of staff receiving the Premium Pay Wage Supplement remain at their program.
Outcome: A survey was given to wage supplement recipients 4 months after they received their award letter. At that time, 295 of the 343 recipients reported they were still employed at the same program. A rate of 86%, above the industry average. A follow up survey will be sent to all programs 6 months after recipients received their wage supplement payment, asking which of those staff are still employed at the program. </t>
  </si>
  <si>
    <t xml:space="preserve">Purchase Frog Street Curriculum for current Texas Rising Star Programs and Entry Level Programs actively working with a TRS Mentor and who express interest in the TEA approved curriculum. A total of $216,338 was spent on Frog Street Curriculum for a total of 13 Early Learning Programs in Quarter 4.Total spent includes cost of training for programs receiving Frog Street Curriculum  as well as renewal of Frog Street online resources necessary to continue to utilize the Frog Street Curriculum to fidelity. </t>
  </si>
  <si>
    <t xml:space="preserve">We will measure success by seeing 90 percent of programs who receive the curriculum maintain or increase their TRS Star Level throughout FY2023. This will be assessed at the end of the fiscal year.
Outcome: Of the 33 programs that received Frog Street curriculum in FY23, 21 programs maintained or gained their TRS Star Level, 4 programs received their initial assessment in FY23 and therefor we cannot measure, 3 programs are still working toward TRS Certification, and 5 programs either lost TRS or were placed on an SIA for falling below their current star level during their annual monitoring. Therefor 15% of programs who received Frog Street in FY23 were unable to maintain their current TRS Star Level on their most recent TRS Assessment. </t>
  </si>
  <si>
    <t>1  Early Learning Program</t>
  </si>
  <si>
    <t xml:space="preserve">We will measure success by offering a minimum of 20 Hearing and Vision Screenings to TRS Programs in FY 2023. 
Ongoing. A total of 11 hearing and vision screenings have been conducted for children at one Early Learning Program, with an additional five (5) scheduled and over 50 children registered to receive a screening. </t>
  </si>
  <si>
    <t xml:space="preserve">25 Early Learning Staff </t>
  </si>
  <si>
    <t xml:space="preserve"> Childhood Development Associate (CDA) credentials for directors and teachers.</t>
  </si>
  <si>
    <t>The CDA classes were held between April -August 2023. This professional development training is to increase the number of CDA-certified early childhood providers in the Rural Capital region. Increasing the number of providers with a CDA will increase program scores in TRS Category 1 Measure P-CQT-01, Staff Qualifications.  We had 33  of the 44 directors/teachers complete the coursework for CDA to work with TXAEYC's T.E.A.C.H. Program to submit application.  As of the end of September, 24 completed applications had been submitted.</t>
  </si>
  <si>
    <t>Mentors are working with programs to bring Entry-level providers into Texas Rising Star certification.  Assessors are working to maintain the current TRS provider's assessment needs and assess new programs.</t>
  </si>
  <si>
    <t>4th Quarter results include 15 New Texas Rising Star certified providers and 12  annual monitoring visits with current Texas Rising Star providers, and 173 mentoring visits with entry-level providers in the Reaching for the Stars process.</t>
  </si>
  <si>
    <t>Conscious Discipline Training for Teachers/Directors</t>
  </si>
  <si>
    <t>The Conscious Discipline Summer Courses finished with 28 of the 37 participants completing the training courses. This professional development offered to increase assessment scores for teacher/child interactions in Category Two of the assessment.</t>
  </si>
  <si>
    <t xml:space="preserve">4th Quarter results include: 3 Entry Level Providers have utilized our provider resource rooms to laminate and use die cuts to extend the life of and enrich their classrooms educational materials. Eight providers received resources to enhance the quality of their Early Learning Programs.  </t>
  </si>
  <si>
    <t>Frog Street Splash Conference Registration for TRS Centers Personnel</t>
  </si>
  <si>
    <t>We had a total of 14 teachers and Directors to attend the Frog Street Conference this year. These teachers and Directors earned 12 CEU hours.</t>
  </si>
  <si>
    <t xml:space="preserve"> Early Learning Teachers Incentive Award </t>
  </si>
  <si>
    <t>We had 70 teachers receive the Teacher Incentive Award for increasing their level of education.  Our goal is to help providers with staff retention and increasing staff Level of education, which would result in higher scores in P-CQT-01.</t>
  </si>
  <si>
    <t>Shared Services</t>
  </si>
  <si>
    <t xml:space="preserve">We have begun a shared service alliance in 4 of our 9 counties. These alliances will serve a total of 30 providers. Our goal is to help providers become more efficient, operationally stronger, and better equipped to offer a high-quality program. </t>
  </si>
  <si>
    <t>WSRCA Directors and Teachers Conference</t>
  </si>
  <si>
    <t xml:space="preserve">We has a total of 85 teachers and Directors attend a one-day conference this year. Theses teachers and directors earned 4 CEUs hours. </t>
  </si>
  <si>
    <t>Parent Symposium</t>
  </si>
  <si>
    <t>FrogStreet SPLASH Conference Registration fees paid for Child Care Staff attending July conference - additional 3 programs attended</t>
  </si>
  <si>
    <t xml:space="preserve">11 EL Staff </t>
  </si>
  <si>
    <t>Reimbursed lodging for FrogStreet SPLASH Conference held in Grapevine, TX for child care staff attending</t>
  </si>
  <si>
    <t xml:space="preserve">42 EL Staff </t>
  </si>
  <si>
    <t>Reimbursed lodging for FrogStreet SPLASH Conference held in Grapevine, TX for board staff attending</t>
  </si>
  <si>
    <t>2 Board Staff</t>
  </si>
  <si>
    <t>Texas Rising Star of Brazos Valley Early Education Conference held at Blinn College District on August 4, 2023 for Child Care Directors - 27 programs attended</t>
  </si>
  <si>
    <t>37 EL Directors and their Assistants</t>
  </si>
  <si>
    <t xml:space="preserve">Directors received 6 hours of management training.  </t>
  </si>
  <si>
    <t>Texas Rising Star of Brazos Valley Early Education Conference held at Blinn College District on August 5, 2023 for Child Care staff - 33 programs attended</t>
  </si>
  <si>
    <t>173 EL Staff</t>
  </si>
  <si>
    <t xml:space="preserve">A variety of sessions as well as a keynote speaker were offered that earned participants 6 hours of training.  </t>
  </si>
  <si>
    <t>Lunch and Learn 8/29/2023 - TECPDS Information presented by Dr Tracy A. Jones, Assistant Director, Texas School Ready(Not Board Funded) - 21 programs attended</t>
  </si>
  <si>
    <t>33 EL Staff</t>
  </si>
  <si>
    <t>An informational session on the Texas Early Childhood Professional Development System (TECPDS) on how to use this system for professional development and training certificates.</t>
  </si>
  <si>
    <t>Frog Street Curriculum Training held on September 30, 2023 at the Center for Regional Services- 3 hour training - 18 programs attended</t>
  </si>
  <si>
    <t>81 EL Staff</t>
  </si>
  <si>
    <t>This training was offered for infants, toddlers, and preschool center staff to become familiar with the curriculum and how to effectively use the resources.</t>
  </si>
  <si>
    <t>Blinn College Child Development 2023 Fall Semester tuition, fees and textbooks - a total of 14 EL staff are attending the Fall Session of which 6 are new students for FY2023</t>
  </si>
  <si>
    <t>6 EL Staff</t>
  </si>
  <si>
    <t>Programs received hard copy of Frog Street Curriculum - 3 programs received and  16 programs are waiting on their order</t>
  </si>
  <si>
    <t>3 programs</t>
  </si>
  <si>
    <t>Programs received educational supplies which included furniture and other items for infant and toddler areas - 7 programs received and 15 programs are waiting on their order</t>
  </si>
  <si>
    <t>7 programs</t>
  </si>
  <si>
    <t>By purchasing items for the infant and toddler areas this will help to improve the Category 4 score for indoor/outdoor environment</t>
  </si>
  <si>
    <t>During communications with our Early Learning  Directors it was identified that many centers needed enhancements to their safety and security. 100 Programs are waiting on their order of AED</t>
  </si>
  <si>
    <t>100 programs</t>
  </si>
  <si>
    <t xml:space="preserve">Purchasing these items for the centers will help to improve the safety and security of the center.  </t>
  </si>
  <si>
    <t>During communications with our Early Learning  Directors it was identified that many centers needed enhancements to their safety and security. 100 Programs are waiting on their order of First Aid Kits</t>
  </si>
  <si>
    <t>During communications with our Early Learning  Directors it was identified that many centers needed enhancements to their safety and security. 100 Programs are waiting on their order of Evacuation/Lock Down Kits</t>
  </si>
  <si>
    <t>During communications with our Early Learning  Directors it was identified that many centers needed enhancements to their safety and security. 25 Programs are waiting on their order of Two Way Radios</t>
  </si>
  <si>
    <t>25 programs</t>
  </si>
  <si>
    <t>85 child care centers/homes</t>
  </si>
  <si>
    <t>Speakers for annual TRS banquet- Speakers presented on topics related to TRS assessment areas</t>
  </si>
  <si>
    <t>348 child care providers</t>
  </si>
  <si>
    <t>348 child care providers attended the annual TRS banquet to obtain CCR required training hours</t>
  </si>
  <si>
    <t>Actual YTD:55%
TRS Certified Centers-2022-2023: 65%--  2023-2024: 100%
Goal has changed due to mandatory TRS</t>
  </si>
  <si>
    <t>58 child care providers</t>
  </si>
  <si>
    <t>58 child care providers received First Aid/CPR training as required by CCR</t>
  </si>
  <si>
    <t>Provide funding for child care staff to obtain CDA</t>
  </si>
  <si>
    <t>50 child care providers</t>
  </si>
  <si>
    <t>50 child care providers have obtained or are working towards obtaining their CDA from a local junior or online</t>
  </si>
  <si>
    <t>Purchase child assessment tools to assist early learning programs in measuring age-appropriate development or progress monitoring</t>
  </si>
  <si>
    <t>85 child care centers/homes will receive ASQSE and ASQ-3 Training kits and be trained in using the kits</t>
  </si>
  <si>
    <t>88 child care providers</t>
  </si>
  <si>
    <t>88 Child Care providers received training hours on topics specific to TRS measures including but limited to: transitions, teacher/child balance, classroom arrangement, etc.</t>
  </si>
  <si>
    <t>Inclusion Conference</t>
  </si>
  <si>
    <t>To increase knowledge of children with disabilities</t>
  </si>
  <si>
    <t>To increase the score of the TRS assessment</t>
  </si>
  <si>
    <t>Outdoor grant to providers</t>
  </si>
  <si>
    <t>Curriculum for 7 providers</t>
  </si>
  <si>
    <t>To help increase learning and evaluation for children</t>
  </si>
  <si>
    <t>CDA Class</t>
  </si>
  <si>
    <t>To help increase knowledge of teachers.</t>
  </si>
  <si>
    <t>An additional $150 in training incentives were paid in July for teachers that had attended Frog Street 
curriculum training in May. This was due to an oversight from the previous payout of incentives.</t>
  </si>
  <si>
    <t>The Board infant/toddler expansion grant funds of $45,000 were distributed in July to the 6 centers that were
approved.</t>
  </si>
  <si>
    <t>Purchased LifeVac anti-choking devices for all centers at a total cost of $3,074. The devices were distributed
in June, but the invoice was paid in July.</t>
  </si>
  <si>
    <t>Successful outcomes of this activity include the prevention of a choking emergency, leading to injury to a child.</t>
  </si>
  <si>
    <t xml:space="preserve">7/15/23 Training was provided on Stress and time management in the childcare setting. The cost of this
training was $600.00
</t>
  </si>
  <si>
    <t>Successful outcomes include decreasing teacher frustration and anxiety levels according to post surveys completed by teachers in attendance.</t>
  </si>
  <si>
    <t>Retention bonuses were paid out to all staff of TRS certified centers that had been employed from November
2022 through April 2023. The total expenditure was $12,900.00. Funds were distributed in July.</t>
  </si>
  <si>
    <t xml:space="preserve">Success for this activity will be measured by an increase in employee retention at the TRS certified centers, which contributes to higher quality 
childcare. These caregivers have formed bonds with the children in their care when they have been in their position for a longer period of time. </t>
  </si>
  <si>
    <t>Materials such as outdoor play equipment, manipulatives, special needs and diversity dolls, etc. were 
purchased in September for 10 centers that are scheduled next to be assessed. All materials purchased satisfy various
TRS measures. The total expenditure for these items was $21,022. 58.</t>
  </si>
  <si>
    <t>10 centers</t>
  </si>
  <si>
    <t>Successful outcomes include these 10 centers attaining at least a 2 star level rating upon being assessed.</t>
  </si>
  <si>
    <t>9/11/23-9/21/23 Online training for CCR Background check through CLI. Participants had a 2 week window to 
complete the training. No expenditure.</t>
  </si>
  <si>
    <t>Successful outcomes include participants understanding the importance of having a background check completed and ensuring that all caregivers have
been successfully cleared.</t>
  </si>
  <si>
    <t>Successful outcomes include increased understanding of the learning framework, caregivers understand lesson planning, and connections between the content.</t>
  </si>
  <si>
    <t>One of our TRS centers ABC  Child Development center received expansion funds from TWC and from our 
Board expansion grant and added 20 new infant slots and 10 new toddler slots.</t>
  </si>
  <si>
    <t>1 center</t>
  </si>
  <si>
    <t>Successful outcomes include the increase of high quality childcare slots.</t>
  </si>
  <si>
    <t>Virtual Professional Development opportunity provided to 30 child care staff over the topic of talking to children about race</t>
  </si>
  <si>
    <t>30 teachers</t>
  </si>
  <si>
    <t xml:space="preserve">Virtual Professional Development opportunity provided to 50 child care staff over the topic of classroom management in PreK classrooms </t>
  </si>
  <si>
    <t>50 teachers</t>
  </si>
  <si>
    <t>50 Directors</t>
  </si>
  <si>
    <t>Virtual Professional Development opportunity provided to 25 child care staff over the topic of Professional Path</t>
  </si>
  <si>
    <t>25 teachers</t>
  </si>
  <si>
    <t>Virtual Professional Development opportunity provided to 50 child care staff over the topic of language development for infants/toddlers</t>
  </si>
  <si>
    <t>Virtual Professional Development opportunity provided to 50 child care staff over the topic of classroom management</t>
  </si>
  <si>
    <t xml:space="preserve">Virtual Professional Development opportunity provided to 50 child care staff over the topic of nutrition for young children </t>
  </si>
  <si>
    <t xml:space="preserve">Virtual Professional Development opportunity provided to 50 child care staff over the topic of behavior strategies  </t>
  </si>
  <si>
    <t xml:space="preserve">Virtual Professional Development opportunity provided to 50 child care staff over the topic of professional development </t>
  </si>
  <si>
    <t xml:space="preserve">Virtual Professional Development opportunity provided to 50 child care staff over the topic of early literacy </t>
  </si>
  <si>
    <t xml:space="preserve">Virtual Professional Development opportunity provided to 50 child care staff over the topic of children's play </t>
  </si>
  <si>
    <t>49 centers and 798 staff were awarded staff bonuses to support teacher retention and hiring new staff (798 Staff)</t>
  </si>
  <si>
    <t>49 Centers</t>
  </si>
  <si>
    <t>49 centers were awarded with bonuses for their staff to decrease the staff turnover rate, 798 child care staff</t>
  </si>
  <si>
    <t>275 centers were awarded a Teacher Appreciation Grant to support teacher retention and hiring new staff</t>
  </si>
  <si>
    <t>275 Centers</t>
  </si>
  <si>
    <t xml:space="preserve">275 centers were awarded a Teacher Appreciation grant to increase staff retention </t>
  </si>
  <si>
    <t>A curriculum need was identified for 39 infant  providers that received Infant curriculum for participating in the WSA Quality Cohort</t>
  </si>
  <si>
    <t>39 Providers</t>
  </si>
  <si>
    <t xml:space="preserve">Increase Category 3 measures for curriculum </t>
  </si>
  <si>
    <t>A curriculum need was identified for 41 toddler providers that received toddler curriculum for participating in the WSA Quality Cohort</t>
  </si>
  <si>
    <t xml:space="preserve">41 providers </t>
  </si>
  <si>
    <t>A curriculum need was identified for 5 home providers that received Family Home curriculum for participating in the WSA Quality Cohort</t>
  </si>
  <si>
    <t>5 Home Providers</t>
  </si>
  <si>
    <t xml:space="preserve">38 Providers </t>
  </si>
  <si>
    <t xml:space="preserve">7 providers were awarded TRS assessment incentives for achieving certification </t>
  </si>
  <si>
    <t>7 providers</t>
  </si>
  <si>
    <t>12 CDA renewals were awarded for child care staff to maintain their CDA certification which aligns with Category 1 measures for staff qualifications</t>
  </si>
  <si>
    <t>12 teachers</t>
  </si>
  <si>
    <t>12 child care staff renewed their CDA certificate to maintain TRS Category 1 measures. These staff are employed at 9 TRS certified programs</t>
  </si>
  <si>
    <t>1 provider was awarded material to enhance their outdoor learning</t>
  </si>
  <si>
    <t>1 provider</t>
  </si>
  <si>
    <t>Provided 121  early learning programs an opportunity to attend our 5th annual conference which was held on September 23, 2023.. The Annual Conference  provided attendees with 6 hours of  professional development that will assist programs in maintaining professional development hours as required by Child Care Regulation and TRS specialist.  This 5th Annual Conference was held at Laredo College, Kazen-Student Center, all inclusive facility.</t>
  </si>
  <si>
    <t xml:space="preserve">South Texas hosted the 5th Annual Child Care Conference, Fall 2023.  It provide 237 participants with new and innovative skills.  The board will measure the success of the activity through provider attendance numbers as well as a post conference survey. </t>
  </si>
  <si>
    <t>Provided 10 Early Learning Programs with 10 Frog Street Curriculums for Infants, Toddlers and Preschool</t>
  </si>
  <si>
    <t>Provided Yvonne Castillito's Daycare, Licensed Registered Home, playground shade</t>
  </si>
  <si>
    <t>To enhance the quality of care for the children when they are outdoors, playing on the playground in areas when they are safe and can be protected from sun exposure.  The shades will be provided so that all age groups can benefit from the shaded areas on the playgrounds.</t>
  </si>
  <si>
    <t xml:space="preserve">Items will be used  for September 23, 2023  5th annual Professional Development Conference These items will assist 400 early learning programs while attending the conference. </t>
  </si>
  <si>
    <t>Items for Resource Room</t>
  </si>
  <si>
    <t xml:space="preserve">Resources available for 121 Early Learning Programs  </t>
  </si>
  <si>
    <t>To enhance the quality of care for all children of Pee Wee Schoolhouse, LLC, License Number 1123206, based on mentoring visit. These materials/equipment will enhance the classroom in order to meet the 
children physical, cognitive, social/emotional and language and literacy domains.</t>
  </si>
  <si>
    <t>75 Early Learning Programs</t>
  </si>
  <si>
    <t>Increase the number of TRS early learning programs</t>
  </si>
  <si>
    <t>To enhance the quality of care for all children of Little Feet &amp; Learning Day Care Center , License Number 871757, based on mentoring visit. These materials/equipment will enhance the classroom in order to meet the 
children physical, cognitive, social/emotional and language and literacy domains.</t>
  </si>
  <si>
    <t>"Lunch and Learn" Meeting - Topic is School-Age Programs - was held on 07-11-2023</t>
  </si>
  <si>
    <t>20 child care directors</t>
  </si>
  <si>
    <t>"New" TRS Provider Orientation Meeting was held on 07-15-2023.</t>
  </si>
  <si>
    <t>24 child care directors</t>
  </si>
  <si>
    <t xml:space="preserve">All training participants received a certificate for 6 clock hours of training/TRS Mentoring </t>
  </si>
  <si>
    <t>"Children That Receive Warm and Responsive Caregiving Don't Misbehave" professional development training was presented Dr. Beverly Ashley on 07-18-2023.</t>
  </si>
  <si>
    <t>10 child care staff</t>
  </si>
  <si>
    <t>9th Annual "Back to School" Teachers Fair was held on 07-29-2023</t>
  </si>
  <si>
    <t>325 child care staff</t>
  </si>
  <si>
    <t>Texas Rising Star (TRS) 4-Year Recommendation Regional Focus Group Meeting was held on 08-11-2023.</t>
  </si>
  <si>
    <t>26 child care directors</t>
  </si>
  <si>
    <t>9th Annual Directors Symposium / Early Childhood Education Teachers Convocation was held on 08-19-2023.</t>
  </si>
  <si>
    <t>200 child care directors &amp; staff</t>
  </si>
  <si>
    <t>"Introduction to the Frogstreet Assessments Tools" professional development training was presented by Dr. Beverly Ashley on          08-24-2023.</t>
  </si>
  <si>
    <t>47 child care staff</t>
  </si>
  <si>
    <t>"Integrating the Frogstreet Curriculum into Your Daily Classroom Schedule" professional development training was presented by Dr. Beverly Ashley on 08-26-2023.</t>
  </si>
  <si>
    <t>51 child care staff</t>
  </si>
  <si>
    <t>"New" TRS Provider Orientation Meeting was held on 09-16-2023.</t>
  </si>
  <si>
    <t>13 child care directors</t>
  </si>
  <si>
    <t xml:space="preserve"> All training participants received a certificate for 6 clock hours of training/TRS Mentoring</t>
  </si>
  <si>
    <t>"It's An Overview:  Frogstreet Curriculum professional development training was presented by Dr. Beverly Ashley on 09-30-2023.</t>
  </si>
  <si>
    <t>59 child care staff</t>
  </si>
  <si>
    <t>Infant/Toddler Expansion - Created 2 new toddler classrooms and 1 infant classroom</t>
  </si>
  <si>
    <t>3 child care centers</t>
  </si>
  <si>
    <t>Created an additional 22 toddler slots and an additional 6 infant slots within our Board area.</t>
  </si>
  <si>
    <t>Purchased Frogstreet curriculum for entry level designated (ELD) child care centers</t>
  </si>
  <si>
    <t>8 ELD child care centers</t>
  </si>
  <si>
    <t>Frogstreet curriculum will be used to assist these ELD child care centers in obtaining the higher TRS star levels.</t>
  </si>
  <si>
    <t>Purchased Lakeshore instructional resources for entry level designated (ELD) child care centers.</t>
  </si>
  <si>
    <t>5 ELD child care centers.</t>
  </si>
  <si>
    <t xml:space="preserve">The Lakeshore instructional resources will be used to assist these ELD child care centers in obtaining the higher TRS star levels. </t>
  </si>
  <si>
    <t>7/15/2023: Exclusive for TRS Providers: Series 1 Texas Infant, Toddler, and Three-Year-Old Early Learning Guidelines Training:  TRS Child care professionals  participated in a 4 hour virtual training with presenters Lucy Rivas and Melissa De La Garza with the Texas School Ready Program.  Participants received training in the Orientation, Module 2 &amp; Module 3 of the ITTLG.  This training described the expectations about what children should know (understand) and be able to do competencies and skills across domains of learning.</t>
  </si>
  <si>
    <t>Participants received (4) training clock hours, Professional Development per Child Care Regulation Minimum Standards.  Texas Core Competencies for Early Childhood Practitioners and Administrators:  Practitioner Core Competency: 1.1</t>
  </si>
  <si>
    <t xml:space="preserve">7/29/2023: Exclusive for TRS Providers: Series 2 Texas Infant, Toddler, and Three Year Old Early Learning Guidelines Training:  TRS child care professionals participated in a 3 hour virtual training with presenters Lucy Rivas and Melissa De La Garza with the Texas school Ready Program. Participants received training in Module 4 &amp; Module 5.  This training described the expectations about what children should know (understand) and be able to do competencies and skills across domains of learning. </t>
  </si>
  <si>
    <t xml:space="preserve">08/11/2023 &amp; 08/12/2023:  2023 Virtual Child Care Conference was hosted for all child care providers.   Concurrent workshops were available for child care professionals in all age groups including, Directors and Administrators. </t>
  </si>
  <si>
    <t>Participants received three (3) training clock hours/.3 CEUs based on Child Care Regulation Minimum Standards respectively for each day.</t>
  </si>
  <si>
    <t>Participants received (1.5) training clock hours/.15 CEUs Planning Developmentally Appropriate Activities per Child Care Regulation Minimum Standards.  Texas Core Competencies for Early Childhood Practitioners and Administrators:  Practitioners Core Competency: 3.1, 3.2</t>
  </si>
  <si>
    <t xml:space="preserve">1 Child care center employee  received an incentive for the completion of the CDA program and receipt of the CDA Credential ($400). </t>
  </si>
  <si>
    <t>1 Teacher attained their CDA credential resulting in a positive impact on the quality of care, they were able to increase their knowledge in child development and improved their skills when working with children and families.</t>
  </si>
  <si>
    <t>32 TRS programs received research-based curriculum for their classrooms to close achievement gaps and address any instructional needs in the age groups they serve. (MindWorks Curriculum - School Age Curriculum)</t>
  </si>
  <si>
    <t>32 TRS Programs were able to close achievement gaps and address any instructional needs in the age groups they serve.  Teachers attended a training on how to implement the curriculum in their classroom</t>
  </si>
  <si>
    <t>30 TRS programs received research-based curriculum for their classrooms to close achievement gaps and address any instructional needs in the age groups they serve. (Frog Street Curriculum - Infant/Toddler/Threes/Pre-K Curriculum)</t>
  </si>
  <si>
    <t>30 TRS Programs were able to close achievement gaps and address any instructional needs in the age groups they serve.  Teachers are scheduled to attend a training on how to implement the curriculum in their classroom.  Implementation Training Date is Tentative</t>
  </si>
  <si>
    <t>Board has funding for 6 mentors and 2 assessors.</t>
  </si>
  <si>
    <t>6 Staff</t>
  </si>
  <si>
    <t>Boards are fully staff with 6 FTE mentors. 1 assessor resigned in August 2023 and 1 assessor's funding terminated on September 30 2023</t>
  </si>
  <si>
    <t>Board purchased Frog Street curriculum for the pending entry level designated programs</t>
  </si>
  <si>
    <t>47 elps</t>
  </si>
  <si>
    <t>Purchase materials and equipment  to assist 2 elps with the certification process.  The items will assist improving in areas of concerns.</t>
  </si>
  <si>
    <t>2 centers</t>
  </si>
  <si>
    <t>Activity will be measured when elps received their initial certification assessment.</t>
  </si>
  <si>
    <t>5 Mentors</t>
  </si>
  <si>
    <t>2 Mentor attended the Texas Rising Star Early Educator Conference in Dallas</t>
  </si>
  <si>
    <t>2 Mentors</t>
  </si>
  <si>
    <t>Board hosted their annual child care conference in September 2023</t>
  </si>
  <si>
    <t>Board conducted a Texas Rising Star Orientation for elps signed CCS agreements during the first half of 2023</t>
  </si>
  <si>
    <t>Increase Texas Rising Star Participation.</t>
  </si>
  <si>
    <t>Conducted TRS training on A Child's View (classroom set up, etc.) on 7/11/23.
38 attendees from 12 centers and 1 home</t>
  </si>
  <si>
    <t>Increased knowledge of 38 staff on various professional development topics related to child development and Texas Rising Star.</t>
  </si>
  <si>
    <t>Conducted TRS training  on Playground Possibilities on 9/14/23.
27 attendees from 9 centers</t>
  </si>
  <si>
    <t>Conducted a virtual training on Business Management Skills for Centers and Homes (Financial Literacy Series, Session 3) on 8/22/23. 6 attendees from 1 center and 4 homes.</t>
  </si>
  <si>
    <t>Increased knowledge of 6 owners/directors on various professional development topics related to financial literacy.</t>
  </si>
  <si>
    <t>Conducted a virtual training on Cybersecurity (Financial Literacy Series, Session 2) on 8/3/23.
6 attendees from 2 centers and 3 homes</t>
  </si>
  <si>
    <t>In conjunction with the ITSN Network, conducted a general child care training on The Read with Me series on 8/26/23. 35 attendees from 6 centers and 2 homes</t>
  </si>
  <si>
    <t>Increased knowledge of 35 staff on various professional development topics related to child development and early childhood education.</t>
  </si>
  <si>
    <t>Conducted a Director's Round Table (session 4) on making Connections Over Corrections on 9/19/23.
15 attendees from 11 centers</t>
  </si>
  <si>
    <t>Increased knowledge of 15 staff on various professional development topics related to child development, early childhood education and Texas Rising Star measures.</t>
  </si>
  <si>
    <t>Increased knowledge of 48 staff on individual and child safety and cautionary measures when faced with an active shooter event.</t>
  </si>
  <si>
    <t>Reimbursed 6 centers for 13 staff to attend the Frog Street Splash Conference.</t>
  </si>
  <si>
    <t xml:space="preserve">Reimbursed  one center for 4 staff for the cost of the CDA national credential application fee. </t>
  </si>
  <si>
    <t>Increased  knowledge of 4 staff by supporting their application to obtain the CDA national credential.</t>
  </si>
  <si>
    <t>Added 7 additional TRS facilities during this quarter, increased infant and toddler capacity in quality rated facilities, as a result.</t>
  </si>
  <si>
    <t>Offered reimbursement to three TRS providers for required individual staff CPR/First-Aid trainings.</t>
  </si>
  <si>
    <t>Offered another grant opportunity in July 2023 to assist providers in the purchase of materials, equipment, curriculum, and needed resources.
35 facilities (including 15 TRS facilities, and 20 non-TRS facilities, including 7 homes, and 28 centers)</t>
  </si>
  <si>
    <t>Increased the quality of care at 35 facilities through expanded resources.</t>
  </si>
  <si>
    <t>Conducted required TRS activities including quarterly CCR reviews, initial assessments, and annual monitoring's. Current TRS providers are being worked, along with ELD's in the process of pursuing TRS.
Amount noted here are all providers in our area that either are TRS or are pursuing accreditation.
For ELD's, CQIP's have or are being updated.</t>
  </si>
  <si>
    <t>Followed TRS Guidelines related to required activities for all TRS Providers. Mentor process is continuing as ELD's prepare for a TRS assessment.</t>
  </si>
  <si>
    <t>Five staff members obtained varying levels of educational attainment in child development and earned an incentive as a result. These incentives remain in place for others and is considered ongoing to the next quarter.</t>
  </si>
  <si>
    <t>Four staff members remained employed at 3 mo. and/or 6 mo. at the same facility after completing the above mentioned education and obtained an employment retention incentive as a result. This incentive remains in place for others and is considered ongoing to the next quarter.</t>
  </si>
  <si>
    <t xml:space="preserve">Offered a partial reimbursement to two TRS providers for the cost of the renewal fees associated with maintaining/renewing their national accreditation status. </t>
  </si>
  <si>
    <t>Encouraged continued participation in a national accreditation attainment for two TRS providers through financial assistance with associated expenses.</t>
  </si>
  <si>
    <t>Provided in-person training for Frog Street curriculum overviews (infant/toddler/3's) to administrators and (from  39 Entry Level and certified TRS centers and 28 TRS centers).</t>
  </si>
  <si>
    <t>Provided in-person training for Frog Street preschool (3's &amp; 4's)  teachers (for 42 people in 25 centers) on curriculum; attendees were from Entry Level and TRS centers.</t>
  </si>
  <si>
    <t>Co-sponsored 8 training sessions (in-person) with Central TX Chapter of TXAEYC;  47 programs participated; 156 people attended</t>
  </si>
  <si>
    <t>Provided the second session of a PLC with a mentor/assessor involving a Conscious Discipline book study with 2 programs. (virtually)</t>
  </si>
  <si>
    <t>Provided virtual training/networking during one Program Administrator meetings (September) to 50 programs</t>
  </si>
  <si>
    <t>Co-sponsored an in-person training with the Harker Heights library (Sun, Moon, and Stars - included vital information regarding the upcoming eclipses); 30 early childhood programs (and local parents) from across the area in attendance.(39 people); participants received books and puzzles for their classroom/program. Purchased materials to supplement training (books and puzzles) for 39 participants from 30 programs attending "Sun, Moon, Stars" training for their classrooms.</t>
  </si>
  <si>
    <t>Conducted 2 Family Childcare Network meetings with training (in-person) for TRS certified and EL programs; topics include best practices; grant funding opportunities and business management.</t>
  </si>
  <si>
    <t>Conducted a Train the Trainer (15 hour) training (in-person) for area administrators and trainers who contract with our area for professional development. (12 programs ; 16 total (plus TRS mentors) in attendance)</t>
  </si>
  <si>
    <t>Conducted in-person training for all EL and TRS providers (31 in attendance; 12 programs) over "Wonder is the Path" and "Mindfullness"; Purchased materials to supplement training (books) for 31 participants from 12 programs attending "Mindfullness" training for their classrooms.</t>
  </si>
  <si>
    <t>Provided salary supplements to 29 teachers and administrators from (2) NAEYC accredited; 4-star TRS programs.</t>
  </si>
  <si>
    <t>Conducted 2 Virtual SIDS /SBS/Infant Brain Development training to 88 participants in 26 programs.</t>
  </si>
  <si>
    <t>Hosted a meeting with 3 and 4 star certified TRS programs who might be interested in Share Services for this upcoming year. 9 people from 9 programs attended.</t>
  </si>
  <si>
    <t>Continue to support Shared Services by providing funds to reimburse them for pre-service training for staff.  This project meets a goal of our board to grow these program owners/directors’ business skills and be good stewards of the services provided to them. By reimbursing them for pre-service training, we aim to decrease the number licensing deficiencies in these programs.  Success will be measured based on CCR compliance and the percentage of providers who continue to participate in the Shared Services Alliance.</t>
  </si>
  <si>
    <t>Conduct in-person training targeted at new staff who are not familiar with the NAEYC Accreditation process; 4 programs and 31attendees participated.</t>
  </si>
  <si>
    <t xml:space="preserve">15 Providers </t>
  </si>
  <si>
    <t>57 participants</t>
  </si>
  <si>
    <t xml:space="preserve">57 participants, 21 LCCC,  4 TRS </t>
  </si>
  <si>
    <t xml:space="preserve">Provider is now NAEYC accredited </t>
  </si>
  <si>
    <t xml:space="preserve">July - Teacher-Child Interaction Aug.- Active Play &amp; Outdoor Learning- Sept. Guidance &amp; Discipline </t>
  </si>
  <si>
    <t>66 participants</t>
  </si>
  <si>
    <t xml:space="preserve">66 participants, partnered with Texas A&amp;M Ext. ECET </t>
  </si>
  <si>
    <t xml:space="preserve">Quality Activities Categories </t>
  </si>
  <si>
    <t>Purchased FrogStreet Curriculum to help providers meet TRS measure</t>
  </si>
  <si>
    <t>11 providers</t>
  </si>
  <si>
    <t>11 providers received FrogStreet training</t>
  </si>
  <si>
    <t xml:space="preserve">During TRS monitoring assessor noticed that provider did not have enough riding equipment for children </t>
  </si>
  <si>
    <t>TRS provider expanded their Infant/Toddler Room and needed equipment/materials  for the classrooms</t>
  </si>
  <si>
    <t>Purchased equipment/materials (i.e. Cribs, mirrors, manipulatives) for classrooms</t>
  </si>
  <si>
    <t>5,100 (unduplicated) providers will be trained through face-to-face and virtual platforms both asynchronous and synchronous. Community-wide training on early childhood topics, early childhood conference scholarships, online training, technical assistance, inclusive care training, and classroom resources</t>
  </si>
  <si>
    <t>CCM- Provide CASE afterschool Community Training Series, Back to School Social and Emotional Learning (SEL), CASE Afterschool webinar series, CASE staff professional development, CASE for Kids Smart Zone, Ecobot Competition, Level Up Houston, National Summer Learning Week, Podcast development and E-blast.</t>
  </si>
  <si>
    <t>Staff provide training, TA, and resources  to child care providers serving children with disabilities</t>
  </si>
  <si>
    <t>Identifying and providing equipment grants to providers actively serving children with disabilities</t>
  </si>
  <si>
    <t>108 equipment grants were given to providers actively serving children with disabilities</t>
  </si>
  <si>
    <t>Classrooms receiving social-emotional development and self regulation resources and materials</t>
  </si>
  <si>
    <t>120 classrooms receiving material to support children's social-emotional development and self-regulation</t>
  </si>
  <si>
    <t>ELPs will receive equipment grants to incentivize providers in obtaining initial TRS certification and maintaining or increasing TRS star levels.</t>
  </si>
  <si>
    <t>850 ELPs will receive equipment grants to incentivize providers in obtaining initial TRS certification and maintaining or increasing TRS star levels.</t>
  </si>
  <si>
    <t xml:space="preserve">Provide early learning program staff members with stipends for achievement of educational milestones </t>
  </si>
  <si>
    <t>Award ECE Conference scholarships to providers</t>
  </si>
  <si>
    <t>250 providers will received conference scholarships</t>
  </si>
  <si>
    <t>Provide early learning program staff members with college tuition, CDA course scholarships, or CDA assessments scholarships</t>
  </si>
  <si>
    <t>410 providers will receive college tuition and CDA course and CDA assessment scholarships</t>
  </si>
  <si>
    <t>30 early childhood teachers will receive scholarships for the child care registered apprenticeship program</t>
  </si>
  <si>
    <t>ELPs will receive classroom resources and materials for participating in Professional Learning Communities (PLCs)</t>
  </si>
  <si>
    <t>100 ELPs will receive classroom resources and materials for participating in Professional Learning Communities (PLCs)</t>
  </si>
  <si>
    <t xml:space="preserve"> ELPs will receive equipment grants to support infant/toddler classrooms</t>
  </si>
  <si>
    <t xml:space="preserve">250 ELPs will receive equipment grants to support infant/toddler classrooms. </t>
  </si>
  <si>
    <t>ELPs will receive incentive grants for participation in the Infant-Toddler Specialist Network (ITSN)</t>
  </si>
  <si>
    <t>50 ELPs will receive incentive grants for participation in the Infant-Toddler Specialist Network (ITSN)</t>
  </si>
  <si>
    <t>Providers will receive incentives for accreditation renewals and/or initial certification</t>
  </si>
  <si>
    <t>20 providers will receive incentives for accreditation renewals and/or initial certification</t>
  </si>
  <si>
    <t>Increase the number of TRS providers in FY 2023. Actual 533</t>
  </si>
  <si>
    <t>Increase the number of TRS providers to 624 by the end of FY 2023.</t>
  </si>
  <si>
    <t>Incentives to support providers in the development of Pre-K partnerships.</t>
  </si>
  <si>
    <t>Develop at least 1 partnership</t>
  </si>
  <si>
    <t xml:space="preserve">Non-eligible ELPs will receive TA and incentives to support compliance with licensing requirements and Entry Level Designation. </t>
  </si>
  <si>
    <t xml:space="preserve">20 non-eligible ELPs will receive TA and incentives to support compliance with licensing requirements and Entry Level Designation. </t>
  </si>
  <si>
    <t xml:space="preserve"> 21,950 families will receive child care resources and referral information via online, by email and by phone to increase understanding and selection of quality child care.</t>
  </si>
  <si>
    <t>Family engagement: Provide family kits to enhance early learning within the child's home to reinforce learning activities occurring in the classrooms</t>
  </si>
  <si>
    <t>1,000 family kits distributed to eligible and verified teachers to give to their enrolled classroom children families</t>
  </si>
  <si>
    <t xml:space="preserve">Family engagement activities will be offered to child care programs (parent education, activity nights, learning parties, etc.) </t>
  </si>
  <si>
    <t>160 family engagement activities will be offered to child care programs (parent education, activity nights, learning parties, etc.)</t>
  </si>
  <si>
    <t>Incentives given to families attending onsite family engagement workshops at ELD and TRS sites</t>
  </si>
  <si>
    <t>1000 families participating in engagement workshops</t>
  </si>
  <si>
    <t>CCM- During this quarter, O2Learn Network and CASE for Kids met extensively to review data from 2022-2023 self assessments and plan for further quality work, including revamping workshop delivery.</t>
  </si>
  <si>
    <t>Provided Scholarships to 25 participants for them to work on getting their CDA</t>
  </si>
  <si>
    <t xml:space="preserve">25 participants are attending CDA Classes at the local Junior College </t>
  </si>
  <si>
    <t>Helped prepare provider staff for their NAEYC accreditation assessment on August 10</t>
  </si>
  <si>
    <t xml:space="preserve">Purchased riding equipment for provider to have sufficient  equipment for children </t>
  </si>
  <si>
    <t>Collaborative opportunities to provide engaging afterschool professional development to Out of School Time (OST) professionals</t>
  </si>
  <si>
    <t>ELPs will receive incentive grants for achievement of initial TRS certification, maintaining or increasing TRS star-levels, or working toward TRS certification and teacher appreciation</t>
  </si>
  <si>
    <t xml:space="preserve">855  ELPs will receive incentive grants for achievement of initial TRS certification, maintaining or increasing TRS star-levels, or working toward TRS certification </t>
  </si>
  <si>
    <t>250 providers will achieve educational milestones and receive stipend</t>
  </si>
  <si>
    <t xml:space="preserve"> Provide scholarships to individuals enrolled in a child care registered apprenticeship training and on-the job coaching   </t>
  </si>
  <si>
    <t>CASE for Kids employs the nationally validated Youth Program Quality Intervention as a way to impact quality in afterschool settings.  This low stakes evaluation allows programs to self assess using a tool, develop quality improvement plans, access targeted training and coaching as part of  continuous quality improvement program.</t>
  </si>
  <si>
    <t>One Early Childhood Specialist ended their contract September 2023. One Early Childhood Specialist and One Sr. Early Childhood Specialist was hired in October 2023 and will be reported on FY 24 quarter 1 report.</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</si>
  <si>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</si>
  <si>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As a part of the strategic plan for WSNCT Child Care Quality, WSNCT will offer 100 WSNCT providers a grant opportunity for the outdoor playground enhancement. This grant will include a bird feeder, wind chimes, tree slices, and a raised garden kit for all 100 providers that qualify. This opportunity is being offered to support Texas Rising Star Early Learning Programs who need additional support in meeting outdoor learning environment measures for Category 4 in the Texas Rising Star assessment tool. We will measure success through participation, surveys that provide feedback on the Early Learning Program's ability to meet related Texas Rising Star measures, and implementing goals created for the Early Learning Program's Continuous Quality Improvement Plan. Our estimated reach for this activity is 100 sites served.  
 </t>
  </si>
  <si>
    <t>26 providers</t>
  </si>
  <si>
    <t xml:space="preserve">Purchased defibrillator for each of our providers to have on location. </t>
  </si>
  <si>
    <t>Five ELD providers received their initial TRS assessment which resulted in certification.
One certified TRS provider received an SIA assessment which resulted in retention of the TRS certification.
One certified TRS provider received a Star Level evaluation which resulted in raising of their current star level.</t>
  </si>
  <si>
    <t>We provided materials for 3 newly opened providers and 1 provider that expanded their existing space.</t>
  </si>
  <si>
    <t>Child Care Quality Grant</t>
  </si>
  <si>
    <t>Frog Street Toddler Curriculum. Frog Street Toddler Curriculum is designed around the latest brain research and includes 52 weeks of easy-to-use activities created specifically for children 18-36 months. The ELPs to receive the Toddler Curriculum are: Brentwood Learning Academy, Busy Bees Daycare, Early-Redwine Child Care Center (3 Sets), Claudia's Creative Curriculum, Pumpkin Patch Preschool (2 Sets), San Angelo Early Learning Childhood Center, Santa Rita Learning Academy, Southwest Children's Academy, Steady Steps Childrens Weekday Ministry, TLC Kids Way (2 Sets), Williow Tree Preschool, Harris Avenue Baptist Church Day Care, Kid Biz Academy, Kountry Tyme Academy</t>
  </si>
  <si>
    <t xml:space="preserve">Ages and Stages-3 Starter Kit, ASQ-2SE, ASQ-3 Materials kit. The Assessment Tools provide a comprehensive age-appropriate, developmentally appropriate assessment for children ages birth through 5 years of age. The tools provide a research based and evidence based assessment that encompasses all developmental domains, including Social-Emotional. The Assessment tools will assist the teachers in identifying areas for improvement and possible developmental delays based on results. The assessment tools will assist 30 Early Learning Programs receive a research based assessment tool that can be used to assist them in attaining higher TRS Certification scores. The 30 ELPs to receive the Assessment kits are: Around the Clock, Brentwood Learning Academy, Busy Bees Daycare, Claudia's Creative Curriculum, Early-Redwine Child Care Center, Eden Community Child Care Center, First United Methodist Church Preschool, Gingerbread House, Grace Temple Child Development, Grape Creek Ministry, Harris Avenue Baptist Church Day Care, Kid Biz Academy/Young Scholars Academy, Kidz R Us Learning Center, Kountry Tyme Academy, Little Coconuts Learning Center, Little Rascals Clubhouse, Ozona Community Center, Pumpkin Patch Preschool, SAISD Tiny Texans Childcare, Santa Rita Learning Academy, Shannon Child Development Center, San Angelo Early Childhood Center, Southwest Children's Academy, Steady Steps Children's Weekday Ministry, TLC Kids Way, Willow Tree Preschool, Knights Kastle, Linda Martinez, Luz E. Diaz, Smart Start Schoolhouse									
</t>
  </si>
  <si>
    <t xml:space="preserve">Provided in-house training to Texas Rising Star and Entry Level Designated programs using qualified Texas Rising Star Staff with the goal of helping providers meet their annual training requirements. No Quality Funds were used for these trainings. 641 teachers/staff attended </t>
  </si>
  <si>
    <t xml:space="preserve">Our goal is to reduce the number of programs cited for 746.1315 -First AID and CPR Requirements by 50% at the end of FY23.
Outcome: A total of 12 Early Learning Programs contracted with Capital Area were cited for 746.1315 in all of FY23. Of the 12 citations, 9 of them occurred prior to the June, with 3 of the citations occurring from July through September. This shows a decrease in citations within the last 4 months of FY23, however the goal of decreasing by 50% was not met. It is hard to determine the impact the CPR/First Aid classes played in this number, since the class information is shared with directors/owners and is reliant on directors then sharing class information with their staff. We will look to use a different measurable outcome next year that is easier to directly correlate to the class. </t>
  </si>
  <si>
    <t xml:space="preserve"> CLASS Assessments were conducted in a total of twenty one (21) classrooms in Quarter 4 located within nine (9) separate Early Learning Programs . </t>
  </si>
  <si>
    <t xml:space="preserve">We will measure success by seeing the average Category 2 scores of programs receiving Annual Monitoring's increase based on the previous year's scores. This will be assessed at the end of the fiscal year.
Outcome: Of the 13 total programs that received a CLASS Assessment, only 5 of them saw an increase in their Category 2 scores on their next TRS assessment. With one program still waiting on their next assessment. It is worth noting not every classroom within these programs received a CLASS assessment and therefor it can be hard to correlate between CLASS assessments and Category 2 scores for the entire program. Future measurable outcomes will focus on the scores of the individual teachers receiving the CLASS assessment. </t>
  </si>
  <si>
    <t>Early Learning Resources were purchased for our Texas Rising Star Two-Star, Three-Star, and Four-Star programs . These resources include toys, shelving and playground equipment with the goal of improving Category 4 scores for our TRS  Programs. In Quarter 4, a total of 15 Programs were purchased resources for a total of $7,695 was spent. (Note: some of these programs may be duplicate from prior quarters. Orders are shipped and then invoiced as available which leads to programs receiving resources over multiple quarters).</t>
  </si>
  <si>
    <t>Texas Rising Star Implementation Grant. Early Learning Resources were purchase for our Entry Level Designated programs actively working with TRS Mentors to support achieving TRS Certification. These resources include toys, shelving and playground equipment with the goal of improving Category 4 scores for our ELD Programs. A total of $7,794 was spent in Quarter 4 on three  Entry Level Designated Programs.</t>
  </si>
  <si>
    <t xml:space="preserve">We will measure success by seeing 95% of programs receiving the grant achieving Texas Rising Star certification within 9 months of receiving their resources.
Outcome: Of the 51  Entry Level Designated Programs that received resources with this project, three have completed TRS Certification. The remainder are actively working with TRS Mentors to become TRS Certified. Purchasing for this program began in Quarter 3 of FY23, therefor all programs still have time within their 9 month window to become TRS Certified . Therefor the full measurable outcome will not be known until the 3rd Quarter of FY24. </t>
  </si>
  <si>
    <t xml:space="preserve">We will look to measure success by seeing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</si>
  <si>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Our goal is to have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</si>
  <si>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 We will measure success by seeing an increase in Category 2 scores for programs who send staff to Conscious Discipline trainings. This will be assessed at the end of the fiscal year.
Outcome: We compared the average Category 2 scores of FY22 for the Early Learning  Programs who sent staff to Conscious Discipline to the average Category 2 scores of the same programs across FY23. We saw a slight increase in the average Category 2 scores for those participating ELPs, from an average of 2.34 in FY22, to and average of 2.35 in FY23. Note some of the participating programs are not currently TRS and therefor were not factored in to this data.  </t>
  </si>
  <si>
    <t>Director and Teacher Symposium. A multiple day, in-person Director and Teacher Symposium was conducted on August 4th and 5th. This symposium included multiple training sessions and speakers promoting best practices for child care center directors, owners, and teachers ranging from program administration to early childhood curriculum. A total of 549 directors and teachers participated in one or both days. Total spent on venue and presenters in Quarter 4 is $133,521.00</t>
  </si>
  <si>
    <t xml:space="preserve">We will measure success by showing at least 80% of participants found the Symposium beneficial in the post evaluation process.
Outcome: Of the evaluations received from participants 91% of respondents reported being "Satisfied" while 73% reported being "Very Satisfied" with the overall Symposium. 97% of respondents stated they would attend the Symposium next year if offered. </t>
  </si>
  <si>
    <t xml:space="preserve">Subscription to LENA Grow Program as well as Virtual Coaching paid for in Quarter 4. A total of 5 classrooms were recruited in 3 separate early learning programs to begin a LENA Grow sequence. Programs are currently in the middle of the sequence and will complete in early FY24. Total of  $5,757 was spent in Quarter 4. </t>
  </si>
  <si>
    <t xml:space="preserve">Parent Training Series. A series of subcontracted parent trainings ranging from topics on sleep, social and emotional development, and communication. These trainings were promoted to CCS families and included a gift card for parents who registered and attended the class. One parent trainings occurred in the 4th Quarter with 42 parents in attendance. $16,399.00 was spent in the 4th Quarter. (Note: Parents were not counted on the Quarterly Data tab under Individuals Receiving Professional Development.)
</t>
  </si>
  <si>
    <t xml:space="preserve">Jeanette Watson Wage Supplement. Wage supplements are awarded to professionals for length of service and who have a certification or higher education in early-childhood-related studies. The program aims to augment low wages as well as decrease teacher turnover, helping children maintain a stable relationship with their caregiver. This Wage Supplement program focused on those staff at Early Learning Programs who have a CDA, Associates, Bachelors or Masters degree for a college or university. A total of 101 Early Learning Staff received a wage supplement with a total of  $419,425 spent in Quarter 4. Note, funding for this program also comes from outside sources and does not include solely 4% quality dollars. </t>
  </si>
  <si>
    <t xml:space="preserve">Premium Pay Wage Supplements are awarded to professionals for length of service and who work at TRS 4-Star programs. The program aims to augment low wages as well as decrease teacher turnover, helping children maintain a stable relationship with their caregiver. This Wage Supplement program focused on those staff at Early Learning Programs who do not have a . A total of 343 Early Learning Staff received a wage supplement with a total of  $411,600 spent in Quarter 4. Note, funding for this program also comes from outside sources and does not include solely 4% quality dollars. </t>
  </si>
  <si>
    <t xml:space="preserve">Capital Area has begun offering hearing and vision screenings to Texas Rising Star programs in Travis County. Hearing and Vision Screenings provide for the health and safety of the children at the program while minimizing administrative work for early learning programs. Screenings will also assist with Category 3 scores (P-PM-02) for programs looking to increase or maintain their TRS Star Level. One (1)  Early Learning Program received a hearing and vision screening in Quarter 4 with 11 total children screened. An additional five (5) Early Learning Programs have been scheduled a hearing and vision screening in the coming months, with an estimate 50 children registered to participate. This activity will continue into FY24. A total of $200 was spent in Quarter 4. </t>
  </si>
  <si>
    <t xml:space="preserve">Frog Street Splash Early Learning Conference took place in July. The early learning conference aligns with Capital Area's commitment to providing Frog Street Curriculum as well as Conscious Discipline training to programs in Travis County. A total of $8,127 was spent on hotel accommodations for early learning staff attending the conference. A total of 25 Early Learning Staff attended and received professional development hours for the conference. </t>
  </si>
  <si>
    <t xml:space="preserve">Our goal is to have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</si>
  <si>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We had 93 parents attend a one day parent symposium. This symposium taught parents about different resources in the community and how to access their services. Parents walked away with actionable items to utilize in their homes. </t>
  </si>
  <si>
    <t>Technology Grant to providers</t>
  </si>
  <si>
    <t>An additional training on Frog Street curriculum was provided by Frog Street trainers on August 26. The purpose of this training was to provide a more in-depth look at the curriculum and its actual implementation after the providers have had the opportunity and the time to review it and begin using it. There were 26 infant/toddler teachers and 19 Threes and pre-k teachers. The cost of the training was 
$3999.00.</t>
  </si>
  <si>
    <t>Virtual Professional Development opportunity provided to 50 child care staff over the topic of Family Engagement</t>
  </si>
  <si>
    <t>A curriculum need was identified for 38 providers that received PreK curriculum for participating in the WSA Quality Cohort</t>
  </si>
  <si>
    <t xml:space="preserve">1 providers was awarded outdoor material to enhance their outdoor environment  </t>
  </si>
  <si>
    <t xml:space="preserve">10 Early Learning Programs received 10 Frog Street Curriculums which is a researched based curriculum that will enhance the children's learning in all domains, cognitive, physical, social/emotional and Language and Literacy.  </t>
  </si>
  <si>
    <t>Items were used  for September 23, 2023  5th annual Professional Development Conference These items assisted 237 Directors/Practitioners while attending the conference.</t>
  </si>
  <si>
    <t>Provided 29 current TRS early learning programs and 46 Non- TRS early learning programs with outreach and recruitment materials to promote their business'</t>
  </si>
  <si>
    <t>Items will be used  for practitioners during  September 9 and September 16,2023  Pre- Service Professional Development. These items will assist  early learning programs while attending the pre-service. Educational  materials  purchased were used throughout the trainings.</t>
  </si>
  <si>
    <t>Items were used  for 47 participants September 9 and 16, 2023  Pre-Service Professional Development  These items assisted Practitioners while attending the pre-service.</t>
  </si>
  <si>
    <t xml:space="preserve">To enhance the quality of care for all children of Superstars, License Number 1643891, based on mentoring visit. These materials/equipment will enhance the classroom in order to meet the children physical, cognitive, social/emotional and language and literacy domains.  </t>
  </si>
  <si>
    <t xml:space="preserve">To enhance the quality of care for all children of Mi Casita, License Number 811020, based on mentoring visit. These materials/equipment will enhance the classroom in order to meet the children physical, cognitive, social/emotional and language and literacy domains.  </t>
  </si>
  <si>
    <t xml:space="preserve">9/16/2023:  Introductory to Outdoor Learning Environment: OLE Texas.  Child care professionals participated in 1 (1.5) hour virtual session with presenter Marisa Oliva with Texas Children in Nature. In this session, participants were introduced to OLE! Texas and the 12 best practices for an Outdoor learning Learning Environment, combined with 2 or 3 activities from the Growing UP Wild (GUW) Curriculum. </t>
  </si>
  <si>
    <t>Board co-hosted ITSN roadshow with CLI to discuss infant and toddler opportunities to programs and teachers</t>
  </si>
  <si>
    <t>Teacher has shown an increase interest in participating in the Infant, Toddler, Threes Early Learning Guidelines Trainings, and completing the infant and toddlers trainings available on CLI Engage.</t>
  </si>
  <si>
    <t>In conjunction with a police authority, conducted a safety training on a Civilian Response to an Active Shooter Event (CRASE) on 8/8/23. 48 attendees from 16 centers and 2 homes</t>
  </si>
  <si>
    <t>Increased knowledge of 13 staff on various professional development topics related to early childhood education during the Splash Conference.</t>
  </si>
  <si>
    <t>Increased infant and toddler capacity at TRS facilities by adding  seven additional TRS centers.</t>
  </si>
  <si>
    <t>Offered an educational attainment incentive to staff that were successful in completing either a CDA, Certificate Program, or associates degree. Five staff from one TRS facility obtained an incentive.</t>
  </si>
  <si>
    <t>Offered a 3 month and/or 6 month employment retention incentive to staff that were successful in educational attainment (as noted above) and that stayed employed at the same facility at 3 months and/or then 6 months afterwards. Four staff from one TRS facility and one CCS facility obtained this incentive.</t>
  </si>
  <si>
    <t>Purchased equipment, materials, and educational supplies for 59 TRS certified and Accredited programs to enhance and replenish classrooms and outdoor spaces in preparation for annual monitoring and reaccreditation.</t>
  </si>
  <si>
    <t>Provided targeted professional development (in-person) for owners/program administrators from all Accredited programs in our area who are CCS providers (COA; NAEYC and NAFCC). 53 representatives from 21 programs attended.</t>
  </si>
  <si>
    <t>Tuition for BAS/AAS/Certificate for students</t>
  </si>
  <si>
    <t>Taking it Outdoors Training (July 2023) In-Person</t>
  </si>
  <si>
    <t>Provide activities to support outdoor play with children</t>
  </si>
  <si>
    <t>Developmentally Appropriate Practices (July 2023) Virtual</t>
  </si>
  <si>
    <t>To provide providers with strategies to implement DAP in their programs</t>
  </si>
  <si>
    <t>Impact of Positive Reinforcement (July 2023) Virtual</t>
  </si>
  <si>
    <t>To support providers with techniques to use positive reinforcement</t>
  </si>
  <si>
    <t>ASQ Training (July 2023) Virtual</t>
  </si>
  <si>
    <t>Social Emotional Training (July 2023) Virtual</t>
  </si>
  <si>
    <t>To support providers with strategies to use to assist children with emotional development</t>
  </si>
  <si>
    <t>Addressing COVID Trauma for Children &amp; Providers (July 2023) Virtual</t>
  </si>
  <si>
    <t>To provide strategies to support Trauma with children</t>
  </si>
  <si>
    <t>Frog Street Conference (July 2023) In-person</t>
  </si>
  <si>
    <t>Maintain license requirements</t>
  </si>
  <si>
    <t>Healthy Development in ECE (August 2023) Virtual</t>
  </si>
  <si>
    <t>Making Center Time Intentional (August 2023) Virtual</t>
  </si>
  <si>
    <t>To provide strategies for center time in the classroom</t>
  </si>
  <si>
    <t>Ethics for Early Childhood Professionals (August 2023) Virtual</t>
  </si>
  <si>
    <t>To provide ELPs strategies to work through Ethical issues in ECE</t>
  </si>
  <si>
    <t>ASQ Training (August 2023) In-person</t>
  </si>
  <si>
    <t>Classroom Strategies to Optimize Learning (August 2023) In-person</t>
  </si>
  <si>
    <t>Partnering with Parents (August 2023) Virtual</t>
  </si>
  <si>
    <t>To provide techniques for working with parents</t>
  </si>
  <si>
    <t>Tri-Board Regional Conference (August 2023) In-person</t>
  </si>
  <si>
    <t>Diversity, Equity &amp; Inclusion in ECE (August 2023) Virtual</t>
  </si>
  <si>
    <t>Classroom Strategies to Reduce Challenging Behaviors (August 2023) Virtual</t>
  </si>
  <si>
    <t>To provide techniques to support challenging behaviors</t>
  </si>
  <si>
    <t>Transitions in the Classroom ( September 2023) Virtual</t>
  </si>
  <si>
    <t>The 6 Building Blocks of Family Engagement (September 2023) In-Person</t>
  </si>
  <si>
    <t>Development Screenings (September 2023) Virtual</t>
  </si>
  <si>
    <t>To provide ELPs a variety of screening available and implementation</t>
  </si>
  <si>
    <t>Business Training: Planning Staff Schedules (September 2023) Virtual</t>
  </si>
  <si>
    <t>To provide administrative training</t>
  </si>
  <si>
    <t>Social Emotional Training (September 2023) Virtual</t>
  </si>
  <si>
    <t>Inclusion Conference (September 2023) In-person</t>
  </si>
  <si>
    <t>Infant/Toddler Outdoor Enhancement Award Application (August 2023) and awarded September 2023</t>
  </si>
  <si>
    <t>To provide educational materials for playgrounds for ELPs</t>
  </si>
  <si>
    <t>New Provider Awards (July 2023)</t>
  </si>
  <si>
    <t>Campfire Administrator's Credential Cohort (July 2023) Virtual</t>
  </si>
  <si>
    <t>To provide directors credentials for directors to maintain licensing compliance</t>
  </si>
  <si>
    <t xml:space="preserve">Lena Grow (August &amp; September 2023) In-person </t>
  </si>
  <si>
    <t>To maintain language development between child and teacher</t>
  </si>
  <si>
    <t>Mini-Conference on Early Brain Development and Early Childhood Intervention</t>
  </si>
  <si>
    <t>70  teachers and directors, 16 ELPs</t>
  </si>
  <si>
    <t xml:space="preserve">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TRS classroom. Data provided by LENA will determine the success of the project. </t>
  </si>
  <si>
    <t>5 ELPs, 7 teachers, 5 administrators, 50 infant/toddlers</t>
  </si>
  <si>
    <t>Supporting compliance with CCR requirements for health and safety. Decrease in number deficiencies cited by CCR. Increase in number of ELPS qualifying for Entry Level TRS participation.  Decrease in the number of Licensing deviancies cited by CCR. Verified by quarterly CCR screenings.</t>
  </si>
  <si>
    <t>CPR/First Aid Safety Training</t>
  </si>
  <si>
    <t xml:space="preserve">9 teachers </t>
  </si>
  <si>
    <t>22 teachers</t>
  </si>
  <si>
    <t>18 teachers</t>
  </si>
  <si>
    <t>CDA training-Building your CDA Professional Portfolio</t>
  </si>
  <si>
    <t>20 teachers</t>
  </si>
  <si>
    <t>Virtual Coffee Chat for Program Directors</t>
  </si>
  <si>
    <t>30 directors</t>
  </si>
  <si>
    <t>TRS Entry Level Onboarding Focus on Cat 2 Teacher Child Interactions</t>
  </si>
  <si>
    <t>23 infant/toddler teachers</t>
  </si>
  <si>
    <t>33 preschool teachers</t>
  </si>
  <si>
    <t>TRS Entry Level Hub Training Infant, Toddler, and Three's Guidelines</t>
  </si>
  <si>
    <t>36 directors</t>
  </si>
  <si>
    <t>TRS Entry Level Hub Training Pre-K Guidelines</t>
  </si>
  <si>
    <t>56 directors</t>
  </si>
  <si>
    <t>TRS Assessor and Mentor salary for the Quarter (84,592.75); there were 3 new TRS Providers certified during this quarter</t>
  </si>
  <si>
    <t>Tracking the number of providers that receive support through the mentoring process, and number of new TRS Assessments conducted as part of the mentoring support, as well as increasing the number of TRS Providers in our region</t>
  </si>
  <si>
    <t>21 scholarships for Tuition to pay for a college credit course in early education at our local college were provided ($17,000.00)
To take a course that leads to either Infant and Toddler certificate, Teacher Assistant certificate that all feed towards a Child Development Associates in Applied Science.  WSB pays the tuition, books and parking pass if needed for the teachers working in a TRS facility or those on a pathway to becoming a TRS facility.</t>
  </si>
  <si>
    <t>Alpine ISD opened it child development center August 11, 2023 with the partnership with Big Bend Medical Center, and support from WSB to assist with start up ($137,503.54) 78 child care slots created at one program</t>
  </si>
  <si>
    <t xml:space="preserve">This new child development  center was licensed for a capacity of 31 infants and overall capacity of 78.  As a result there is an increase of child care slots availability for parents specifically desert areas.   </t>
  </si>
  <si>
    <t>Digital Transformation Services were provided to 5 Childcare providers to assist with their business office operations.($10,439.13)</t>
  </si>
  <si>
    <t>Increase the number of CCS Providers who utilize the DTS services. Increase the number of CCS Providers completing and receiving business course certificates.</t>
  </si>
  <si>
    <t>Celebrate and recognize our TRS Providers to include having a guest speaker and trainings. The event serves as a thank you for their hard work, provide professional development and recognize their accomplishments. The event also a means to motivate them to continue in the TRS Program. WSB will be looking at having up to 300 in attendance. (17,157.42)</t>
  </si>
  <si>
    <t xml:space="preserve">Had 325 register for the event and had 237 in attendance.  </t>
  </si>
  <si>
    <t>3 training sessions were provided to caregivers  through Region 19, Kids Kan Inc., and WSB Mentor Staff.  They were held on July 8th, July 29, August 5th. (8,164)</t>
  </si>
  <si>
    <t>This opportunity allowed for a large group of teachers to be served with training in accordance with their licensing requirements along with meeting TRS training standards.</t>
  </si>
  <si>
    <t>Recognize and provide materials and equipment to upgrade their classroom to the top 3 providers whose staff attended all or majority of professional development trainings offered throughout the boards fiscal year.  (29,986.94)</t>
  </si>
  <si>
    <t>Increase the number of attendance to the trainings offered throughout the year while supporting the of child care providers to met their licensing and trs training standards.</t>
  </si>
  <si>
    <t>Purchase certified curriculum for existing TRS Providers and those in the TRS pathway.    The purchased curriculum will provide points towards the TRS scoring and can lead to a higher score level.  (24,158.60)</t>
  </si>
  <si>
    <t xml:space="preserve">Increase the number of child care providers who were provided a curriculum and obtain points for having a curriculum on their TRS assessment. .  The activities observed during the assessment were age appropriate and outlined in the teacher’s lesson plan.  </t>
  </si>
  <si>
    <t>Purchased indoor and outdoor material and equipment to assist the child care providers to meet standards and criteria associated with TRS Indoor and outdoor environment.   (2,499.11)</t>
  </si>
  <si>
    <t>Increase the number of attendance to the trainings offered throughout the year while supporting the of child care providers to met their licensing and TRS training standards.</t>
  </si>
  <si>
    <t xml:space="preserve">Provided  seven (7) unduplicated participants from two (2) programs working toward Texas Rising Star Certification and five (5) Texas Rising Star certified programs with tuition and books to obtain their child development associates degree.
(total scholarships given = 32 participants from six (6) programs working toward Texas Rising Star Certification and twelve (12) Texas Rising Star certified programs with tuition and books to obtain their child development associates degree.)
</t>
  </si>
  <si>
    <t>Third party hosted training workshop "Breathe" on 01/28/2023 for one hundred thirty-one (131) participants from fourteen (14) Non-Texas Rising Star providers and eleven (11) Texas Rising Star providers.</t>
  </si>
  <si>
    <t>Provide training workshops for  staff to meet caregiver training hours and increase delivery of higher quality interactions and for Texas Rising Star staff  to meet provider CQIP goals.</t>
  </si>
  <si>
    <t>Provided four (4) ELPs with bonuses as an incentive to meet Texas Rising Star CQIP goals or to maintain and/or increase their current Texas Rising Star star level certification.  (Three (3) currently certified Texas Rising Star ELPs and one (1) ELP working towards Texas Rising Star certification)</t>
  </si>
  <si>
    <t>Increase the number of Texas Rising Star ELPs who maintain or increase their Texas Rising Star star level certification and offer ELPs working towards Texas Rising Star certification support in meeting their CQIP goals.</t>
  </si>
  <si>
    <t xml:space="preserve">Provided  twenty (20) unduplicated participants from six (6) programs working toward Texas Rising Star Certification and six (6) Texas Rising Star certified programs with tuition and books to obtain their child development associates degree.
(total scholarships given = 38 participants from nine (9) programs working toward Texas Rising Star Certification and fourteen (14) Texas Rising Star certified programs with tuition and books to obtain their child development associates degree.)
</t>
  </si>
  <si>
    <t>Third party hosted training workshop "PECE Conference" on 05/06/2023 for ninety-three (93) participants from seven (7) Non-Texas Rising Star providers and thirteen (13) Texas Rising Star providers.</t>
  </si>
  <si>
    <t>Provided sixteen (16) programs working towards Texas Rising Star Certification with outdoor equipment to enhance their outdoor learning environments.</t>
  </si>
  <si>
    <t>Provided twenty-seven (27) ELPs with bonuses as an incentive to meet Texas Rising Star CQIP goals or to maintain and/or increase their current Texas Rising Star star level certification.  (Thirteen (13) currently certified Texas Rising Star ELPs and fourteen (14) ELP working towards Texas Rising Star certification)</t>
  </si>
  <si>
    <t xml:space="preserve">Provided  five (5) unduplicated participants from two (2) programs working toward Texas Rising Star Certification and two (2) Texas Rising Star certified programs with tuition and books to obtain their child development associates degree.
(total scholarships given = 23 participants from seven (7) programs working toward Texas Rising Star Certification and seven (7) Texas Rising Star certified programs with tuition and books to obtain their child development associates degree.)
</t>
  </si>
  <si>
    <t>Third party hosted training workshop "Family Engagement" conference on 08/12/2023 for seventy-three (73) participants from six (6) Non-Texas Rising Star providers and thirteen (13) Texas Rising Star providers.</t>
  </si>
  <si>
    <t>Provided twenty-seven (27) ELPs with grants as an incentive to meet Texas Rising Star CQIP goals or to maintain and/or increase their current Texas Rising Star star level certification.  (Four (4) currently certified Texas Rising Star ELPs and twelve (12) ELP working towards Texas Rising Star certification)</t>
  </si>
  <si>
    <t>Provided  twenty (20) participants from four (4) programs working toward Texas Rising Star Certification and seven (7) Texas Rising Star certified programs with tuition and books to obtain their child development associates degree.
(total scholarships given = 48 participants from nine (9) programs working toward Texas Rising Star Certification and thirteen(13) Texas Rising Star certified programs with tuition and books to obtain their child development associates degree.)</t>
  </si>
  <si>
    <t xml:space="preserve">11 Participants attended the in person training "Texas Rising Star Category 2 for Registered and Licensed Homes" All Licensed and Registered homes were encouraged to attend this in person training to get a more specific category 2 training to meet their needs. </t>
  </si>
  <si>
    <t>82 Participants attended a Zoom Training on "Texas Rising Star Category 2 Teacher-Child Interactions"</t>
  </si>
  <si>
    <t>4 Texas Rising Star Staff salaries, fringe, travel, etc.</t>
  </si>
  <si>
    <t xml:space="preserve">PreK and School Age Materials and Equipment for Initial/Texas Rising Star Annual Monitoring </t>
  </si>
  <si>
    <t>3 Texas Rising Star providers now have more  materials and equipment to help maintain Texas Rising Star quality standards.</t>
  </si>
  <si>
    <t>Increase the number of CCS rural providers who are exposed to the information about the Texas Rising Star program so providers know what the benefits are to them and the families and children they serve.</t>
  </si>
  <si>
    <t>4 Initial Texas Rising Star providers received Infant/Toddler Curriculum</t>
  </si>
  <si>
    <t>4 Texas Rising Star providers now have Texas Rising Star approved curriculum for their facilities to be able to provide developmentally appropriate practices for each classroom</t>
  </si>
  <si>
    <t xml:space="preserve">Infant/Toddler Materials and Equipment for Initial/ Texas Rising Star Annual Monitoring </t>
  </si>
  <si>
    <t>5 Texas Rising Star providers now have more infant/toddler materials and equipment to help maintain Texas Rising Star quality standards.</t>
  </si>
  <si>
    <t>3 Initial Texas Rising Star Providers received PreK Curriculum</t>
  </si>
  <si>
    <t>3 Texas Rising Star providers now have Texas Rising Star approved curriculum for their facilities to be able to provide developmentally appropriate practices for each classroom</t>
  </si>
  <si>
    <t xml:space="preserve">6 Texas Rising Star providers sent staff to Professional Development trainings and were provided reimbursement for the cost of the trainings </t>
  </si>
  <si>
    <t>To increase current Texas Rising Star provider staff's knowledge about early childhood best practices and to help with hour obtainment necessary for the Texas Rising Star program.</t>
  </si>
  <si>
    <t>11 Initial Texas Rising Star Providers received Diversity equipment prior to their Texas Rising Star Assessments</t>
  </si>
  <si>
    <t>11 initial providers will have developmentally appropriate Diverse materials to help enhance their Texas Rising Star Assessment scores</t>
  </si>
  <si>
    <t>20 Participants attended an in person training on "Real Items for Real Kids" Category 4 Texas Rising Star</t>
  </si>
  <si>
    <t xml:space="preserve"> 12 Initial Texas Rising Star Providers received Diversity equipment prior to their Texas Rising Star Assessments</t>
  </si>
  <si>
    <t>12 initial providers will have developmentally appropriate Diverse materials to help enhance their Texas Rising Star Assessment scores</t>
  </si>
  <si>
    <t xml:space="preserve">32 PreK and School Age Materials and Equipment for Initial/Texas Rising Star Annual Monitoring </t>
  </si>
  <si>
    <t xml:space="preserve"> Texas Rising Star providers now have more  materials and equipment to help maintain Texas Rising Star quality standards.</t>
  </si>
  <si>
    <t xml:space="preserve">16 Infant/Toddler Materials and Equipment for Initial/ Texas Rising Star Annual Monitoring </t>
  </si>
  <si>
    <t xml:space="preserve">4 Texas Rising Star Providers staff members attended Professional Development trainings that were not provided by CCS and were reimbursed for partial cost of the trainings </t>
  </si>
  <si>
    <t>14 Participants attended an in person training on "Real Items for Real Kids" Category 4 Texas Rising Star</t>
  </si>
  <si>
    <t>22 Participants attended a Zoom training on "Texas Rising Star Documentation checklist cheat sheet"</t>
  </si>
  <si>
    <t>To increase Provider Texas Rising Star knowledge to properly prepare them to become a Texas Rising Star Provider by having a Binder checklist to help organize documentation needed by the Assessor</t>
  </si>
  <si>
    <t xml:space="preserve">27  PreK and School Age Materials and Equipment for Initial/Texas Rising Star Annual Monitoring </t>
  </si>
  <si>
    <t>7 possible Initial Texas Rising Star Providers received PreK Curriculum</t>
  </si>
  <si>
    <t>7 ELD working on their Initial Texas Rising Star assessment now have Texas Rising Star approved curriculum for their facilities to be able to provide developmentally appropriate practices for each classroom</t>
  </si>
  <si>
    <t>13 initial Texas Rising Star Providers received Diversity equipment prior to their Texas Rising Star Assessment</t>
  </si>
  <si>
    <t>13 initial providers will have developmentally appropriate Diverse materials to help enhance their Texas Rising Star Assessment scores</t>
  </si>
  <si>
    <t xml:space="preserve">13 programs received Infant/Toddler Materials and Equipment for Initial/ Texas Rising Star Annual Monitoring </t>
  </si>
  <si>
    <t>7 possible Initial Texas Rising Star providers received Infant/Toddler Curriculum</t>
  </si>
  <si>
    <t>7 prospective initial Texas Rising Star providers now have Texas Rising Star approved curriculum for their facilities to be able to provide developmentally appropriate practices for each classroom</t>
  </si>
  <si>
    <t xml:space="preserve">10 Texas Rising Star Provider staff members attended Professional Development trainings that were not provided by CCS and were reimbursed for partial cost of the trainings </t>
  </si>
  <si>
    <t>To increase current Texas Rising Star provider staff's knowledge about early childhood best practices and to help with training hour obtainment necessary for the Texas Rising Star program.</t>
  </si>
  <si>
    <t>20 Participants received college subsidies for child development courses for Fall 2023 semester</t>
  </si>
  <si>
    <t>1 Texas Rising Star staff completed CLI  PLC for each month.</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</si>
  <si>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2 of 2023,  167 books (Social-Emotional themed) were purchased for every Texas Rising Star facility within our service area. Total Cost=$12,613.51 36 Texas Rising Star centers, 159 teachers</t>
  </si>
  <si>
    <t>"Connections" training provided professional development for early learning program staff and training for Infant/Toddler on I&amp;T Circle Foundations, Best Practices, Social Emotional Skills and for Head Start/PreK on fine motor &amp; sensory activities and gross motor &amp; movement activities. Total Cost=$1,774.00 96 child care directors and staff</t>
  </si>
  <si>
    <t>"Directors Luncheon" training provided professional development for early learning program Directors and Assistant Directors and training for an overview of child neglect and trauma informed care. 17 participants from our centers received 2-hour training certificates. Total Cost=$89.71 17 child care directors and assistant directors</t>
  </si>
  <si>
    <t>2 Texas Rising Star staff completed CLI  PLC for each month.</t>
  </si>
  <si>
    <t>Texas Rising Star staff personnel costs, including salaries, fringe, travel, supplies and indirect costs. Total= $49,742.15</t>
  </si>
  <si>
    <t xml:space="preserve">Due to short staff, outside Texas Rising Star Assessors are needed to assess Texas Rising Star centers. Currently, there are 24 providers that the current Texas Rising Star Assessing staff are unable to assess due to conflicting mentoring duties. An outside contracted Texas Rising Star assessor was brought in and assessed two of our Texas Rising Star centers. Total Cost=$3,663.60 2 Texas Rising Star centers (10 classrooms)
</t>
  </si>
  <si>
    <t xml:space="preserve">2 Texas Rising Star centers were assessed. </t>
  </si>
  <si>
    <t>To encourage current Texas Rising Star program participants to maintain and/or increase their star level a star-level one-time stipend was given to our current Texas Rising Star centers as follows: $1,500 incentive for all one-star centers, $2,000 incentive for all two-star centers, $2,500 incentive for all three-star centers, and $3,000 incentive for all four-star centers. Total=$101,000 36 Texas Rising Star centers (5 LCCH, 31 LCCC)</t>
  </si>
  <si>
    <t>Promotional items were bought to help support parent engagement and consumer education designed to increase understanding and selection of quality child care. Help bring awareness of Texas Rising Star program to outreach and recruit non-Texas Rising Star centers to become Texas Rising Star certified. Used at local events such as job fairs, community events, etc. to inform the public on the importance of choosing Quality child care centers for buy-in and involvement with the Texas Rising Star program. Total cost=$4,087.28</t>
  </si>
  <si>
    <t>"Directors Luncheon" training provided professional development for early learning program Directors and Assistant Directors and training over employee retention and hiring effective staff. 27 participants from our centers received 2-hour training certificates. Total Cost=$375.40 27 child care directors and assistant directors</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</si>
  <si>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3 of 2023, supplementals (Social-Emotional themed) were purchased for every Texas Rising Star facility within our service area. Total Cost=$3,227.40</t>
  </si>
  <si>
    <t>"Connections" training provided professional development for early learning program staff and training for Infant/Toddler on engaging infants/toddlers, optimum development, and building brains for language and for Head Start/PreK on purposeful transitions, pre-writing activities, and building brains for language. Total Cost=$749.25</t>
  </si>
  <si>
    <t>Texas Rising Star staff personnel costs, including salaries, fringe, travel, supplies and indirect costs. Total= $62,441.86</t>
  </si>
  <si>
    <t>Four Texas Rising Star staff members will attend the TXAEYC conference in November 2023. Registration and hotel were paid this quarter. Total Cost= $4,384.00</t>
  </si>
  <si>
    <t>3 Texas Rising Star staff completed CLI  PLC for each month.</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</si>
  <si>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Eleven students enrolled in the Infant/Toddler CDA course. Books, tuition and other applicable fees were paid for the course. Total cost = $6,160.00</t>
  </si>
  <si>
    <t>Helped a Texas Rising Star provider to add 8 infant slots with  set up supplies through BSA grant. 1 program</t>
  </si>
  <si>
    <t>increased Texas Rising Star infant slots by 8 with one provider.</t>
  </si>
  <si>
    <t>To encourage Texas Rising Star program participation and to outreach and recruit non-Texas Rising Star centers to become Texas Rising Star certified we provided a one-time start-up incentive of $1,000 to new on-coming centers.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We had two non-Texas Rising Star centers become Texas Rising Star certified in this quarter. Total cost= $2,000</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</si>
  <si>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Seven students enrolled in the Pre-K CDA course. Books, tuition and other applicable fees were paid for the course. Total cost = $3,920</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</si>
  <si>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3 of 2023, supplementals (Social-Emotional themed) were purchased for every Texas Rising Star facility within our service area. Total Cost=$151.96</t>
  </si>
  <si>
    <t>AED equipment was purchased for current 36 Texas Rising Star centers to increase Texas Rising Star certified star levels, to decrease in number of licensing deficiencies cited by CCR, increase Texas Rising Star screening compliance, and increase provider/parent satisfaction. Impact measured through use of new technology within the facility and improved scores in Director/Caregiver Qualifications. Total Cost=$53,820.00</t>
  </si>
  <si>
    <t>Texas Rising Star staff personnel costs, including salaries, fringe, travel, supplies and indirect costs. Total= $73,526.84</t>
  </si>
  <si>
    <t>Two Texas Rising Star staff members attended the Texas Rising Star conference in July 2023. Four Texas Rising Star staff members attended the Frog Street conference in July 2023. Total Cost= $4,557.08</t>
  </si>
  <si>
    <t>4 Texas Rising Star staff completed CLI  PLC for each month.</t>
  </si>
  <si>
    <t>To encourage Texas Rising Star program participation and to outreach and recruit non-Texas Rising Star centers to become Texas Rising Star certified we provided a one-time start-up incentive of $1,000 to new on-coming centers.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We had two non-Texas Rising Star centers become Texas Rising Star certified in this quarter. Total cost= $6,000</t>
  </si>
  <si>
    <t>Promotional items were bought to help support parent engagement and consumer education designed to increase understanding and selection of quality child care. Help bring awareness of Texas Rising Star program to outreach and recruit non-Texas Rising Star centers to become Texas Rising Star certified. Used at local events such as job fairs, community events, etc. to inform the public on the importance of choosing Quality child care centers for buy-in and involvement with the Texas Rising Star program. Total cost=$15,503.67</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</si>
  <si>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Ten students completed the Infant/Toddler CDA course testing. Total cost = $4,250.00</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</si>
  <si>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Four students completed  the Pre-K CDA course testing. Total cost = $1,700.00</t>
  </si>
  <si>
    <t>Texas Rising Star Early Childhood Specialists conducted 29 professional development sessions with 266 participants offering 167.50 clock hours for participants to use towards achieving their annual hours.</t>
  </si>
  <si>
    <t xml:space="preserve">CLASS Texas Rising Star Assessments and Coaching Training; As a part of the WSNCT strategic plan for child care quality 52 classrooms were observed within 8 programs and 2 were double coded in the Fall and have received their Fall CLASS Scores. CLASS gives Early Childhood Specialists the tools, data, and framework to objectively and accurately support teacher-child interactions. This initiative supports Category 2: Teacher-Child Interactions in the Texas Rising Star assessment tool. Category 2 is point based and maintenance/improvement in this area supports Texas  Rising Star programs to improve and maintain their start levels. </t>
  </si>
  <si>
    <t xml:space="preserve">Paid salaries and benefits for seventeen (17) Texas Rising Star Board Staff.  These Board Staff ensure the continuation of the Texas Rising Star program activities for our Workforce Development Board Area through mentoring, assessment, outreach, and program support services.  We have 14 Texas Rising Star Mentor/Early Childhood Specialists, 2 Texas Rising Star Program Supervisors, and 1 Child Care Manager, and salaries for the positions come out of CCQ funding. </t>
  </si>
  <si>
    <t xml:space="preserve">Paid subcontractors to conduct a Texas Rising Star Star Level Evaluation and to participate in quarterly meetings for Texas Rising Star-related trainings.  WSNCT shares 10 Texas Rising Star Assessors with Workforce Solutions Greater Dallas and Workforce Solutions for Tarrant County.  The Texas Rising Star Assessors are contracted vendors and expenditures for payments come out of CCQ funding. </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</si>
  <si>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</si>
  <si>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As a part of the strategic plan for WSNCT quality child care, WSNCT will extend an opportunity for fifty newly certified and existing Texas Rising Star-certified programs to acquire multiple TEA approved curriculums. With an approved TEA curriculum, key area learning domains and weekly instructional plans will be followed and implemented by a classroom early learning professionals with fidelity. 50 early learning programs were awarded preschool HighScope curriculum. Obtaining a curriculum for implementation will assist early learning programs to improve or maintain effectively identified quality improvement needs, thus meeting and supporting Continuous Quality Improvement Plan goals. The success of this activity will be measured by tracking programs who receive curriculum support. Our reach for this activity was 50. </t>
  </si>
  <si>
    <t>As a part of the strategic plan for WSNCT career pathways, WSNCT has offered 64 participants who work for WSNCT programs scholarships to enroll in CDA preparation courses with Green Space. These courses are virtual and self-paced.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and the number of individuals who receive their CDA. Our estimated reach for CDA and scholarships is 64 served. 4; WSNCT early childhood program staff</t>
  </si>
  <si>
    <t xml:space="preserve">Texas Rising Star Early Childhood Specialists conducted 32 professional development sessions with 350 participants offering 46 clock hours for participants to use towards achieving their annual hours.  </t>
  </si>
  <si>
    <t xml:space="preserve">As a part of the strategic plan for WSNCT quality child care, WSNCT will provide CLASS assessments for 52 classrooms and 2 reliably double coded classrooms total 54 classroom in Colin and Denton County in the Fall and the Spring. CLASS gives Early Childhood Specialists the tools, data, and framework to objectively and accurately support teacher-child interactions. These assessments will be completed by a contracted CLASS certified observers. Success of this program will be based on CLASS scores provided from the Fall and Spring assessments. 8 programs
</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</si>
  <si>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</si>
  <si>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Paid subcontractors to conduct a Texas Rising Star Star Level Evaluation and to participate in quarterly meetings for Texas Rising Star-related trainings.  WSNCT shares 9 Texas Rising Star Assessors with Workforce Solutions Greater Dallas and Workforce Solutions for Tarrant County.  The Texas Rising Star Assessors are contracted vendors and expenditures for payments come out of CCQ funding. </t>
  </si>
  <si>
    <t xml:space="preserve">As a part of the strategic plan for WSNCT quality child care, WSNCT will extend an opportunity for fifty newly certified and existing Texas Rising Star-certified programs to acquire multiple TEA approved curriculums a TEA-approved curriculum. With an approved TEA curriculum, key area learning domains and weekly instructional plans will be followed and implemented by a classroom early learning professionals with fidelity. Early learning programs that receive the grant will attend the required curriculum training and be given coaching support by Early Childhood Specialists. Obtaining a curriculum for implementation will assist early learning programs to improve or maintain effectively identified quality improvement needs, thus meeting and supporting Continuous Quality Improvement Plan goals. The success of this activity will be measured by tracking programs who receive curriculum support. </t>
  </si>
  <si>
    <t xml:space="preserve">As a part of the strategic plan for WSNCT quality child care, WSNCT will offer opportunities for 100 new and existing providers to acquire resources based on the program's assessment needs. Addressing quality enrichment needs and providing developmentally appropriate resources to enhance early learning environments will either increase, improve or sustain star-level status for certified Texas Rising Star early learning programs. We will measure success based on participation and Texas Rising Star assessment scores. 
</t>
  </si>
  <si>
    <t xml:space="preserve">As a part of the strategic plan for WSNCT career pathways, WSNCT has offered 25 CDA scholarship participants financial incentives based on participants position in the Workforce Registry career lattice. These 25 participants submitted proof of completion for their CDA course and their CDA certification. We will measure the success by tracking the number of staff who move up the career lattice. Our estimated reach for Professional Development Registry Career Pathways is 40 served. </t>
  </si>
  <si>
    <t xml:space="preserve">As a part of the strategic plan for WSNCT career pathways, WSNCT provided childcare-related professional development opportunities for Early Learning Programs, including one large conference. This structured professional development endeavors will help individuals obtain their needed annual training clock hours and provide the information necessary to improve care for the children in their classroom and/or program. These activities also allow early learning programs to receive intentional training that pairs with and supports goals within their Continuous Quality Improvement Plan (CQIP). 
The Building Bridges to Quality: Regional Child Care Conference was held August 26, 2023. 216 WSNCT early learning program staff attended. </t>
  </si>
  <si>
    <t xml:space="preserve">
We will measure the success of these activities by tracking the number of individuals who attend and complete each training session and the information extracted from evaluations after each training. </t>
  </si>
  <si>
    <t xml:space="preserve">As a part of the strategic plan for WSNCT, WSNCT will offer 1 virtual training of weekly childcare-related professional development opportunities with quarterly all-day Saturday in person training from November 1, 2022-September 30, 2023. Additionally, we will offer 26 additional full-day training. These trainings will all focus on quality early childhood education and improve the quality of care for children in participant's programs. These activities will help individuals obtain their needed annual training clock hours for Child Care Regulation. Additionally, professional development provides the necessary information to improve care for the children in their classrooms and/or programs, thereby improving on identified needs that meet and/or support the program's Continuous Quality Improvement Plan goals. 
576 (382 attended virtually and 194 attended in person) WSNCT early learning program staff attended trainings from March-September.  During this time training was offered on 37 separate days. 6 of these days offered in-person and the remaining trainings were offered virtual. All trainings were instructor-led and offered training hours to the participants to support Texas Rising Star requirements and quality improvement. 
</t>
  </si>
  <si>
    <t xml:space="preserve">We will measure the success by tracking the number of individuals who attend and the provider and staff feedback extracted from evaluations after each training. </t>
  </si>
  <si>
    <t xml:space="preserve">Texas Rising Star Early Childhood Specialists provided professional development trainings directly related to early learning and child development for 486 administrators and teachers.  These allowed for individuals to obtain the required annual clock hours of training needed for Child Care Regulation and gain information needed to make improvements in their child care classroom and/or program.
Texas Rising Star Early Childhood Specialists conducted 5 virtual and 16 in person  professional development sessions with  participants offering 42.5 clock hours for participants to use towards achieving their annual hours.  As a part of the onboarding process, Texas Rising Star Early Childhood Specialists conducted 4 in person and 10 virtual Texas Rising Star orientations and Facilities Assessment Record Forms overview for 180 onboarding administrators and staff awarding 18.5 annual hours. </t>
  </si>
  <si>
    <t xml:space="preserve">After completing the ASQ Train the Trainer (TOT) offered as a grant from TWC and becoming certified, 1 Sr. Early Childhood Specialist hosted a professional development training for a certified ELP (19 staff) utilizing the ASQ screening tool. This training provided knowledge and skill development for participants to offer create effective and engaging learning experiences while using the ASQ-3 and/or ASQ:SE-2. </t>
  </si>
  <si>
    <t>Two Early Childhood Specialist completed the Coaching /Mentoring certificate course with Camp Fire First Texas. This is an advanced level course for mentors that impact the work of early coeducation teachers. The course has 5 sessions, 16-hours that is focused on increasing skills to facilitate the professional growth of ECE teachers.</t>
  </si>
  <si>
    <t xml:space="preserve">Paid salaries and benefits for sixteen (17) Texas Rising Star Board Staff.  These Board Staff ensure the continuation of the Texas Rising Star program activities for our Workforce Development Board Area through mentoring, assessment, outreach, and program support services.  We have 14 Texas Rising Star Mentor/Early Childhood Specialists, 2 Texas Rising Star Program Supervisors, and 1 Child Care Manager, and salaries for the positions come out of CCQ funding. </t>
  </si>
  <si>
    <t xml:space="preserve">As a part of the strategic plan for WSNCT Child Care Quality, WSNCT provided an one-time incentive to 848 Child Care staff that have been employed for 4 months or longer at their current child care facility. The programs selected to receive these funds  will also be required to accept business coaching. A second Wage Supplement will be offered to staff of previously qualifying programs. To qualify staff must have been employed since July 1, 2022 at their current child care program. We will measure the success of this program through signature pages and a post Wage Supplement Survey. Our estimated number served is 1,192.  </t>
  </si>
  <si>
    <t xml:space="preserve">As a part of the strategic plan for WSNCT resource development, WSNCT will implement activities needed to provide Early Learning programs with staff recruitment tools, informational materials, and documents to promote quality child care. Marketing materials help to support the program's events and provide a way to inform the community of upcoming activities and resources. 
82  Texas Rising Star certified early learning programs received Texas Rising Star banners. WSNCT also received 2,500 window clings, 3000 Texas Rising Star provider brochures, and 750 English/750 Spanish Texas Rising Star parent brochures which were created based on preapproved TWC templates to promote and inform regarding quality early learning education and the importance of Texas Rising Star. </t>
  </si>
  <si>
    <t xml:space="preserve">We will measure the success by tracking effectiveness through early learning programs that have started the assessment certification process (onboarding) and/or newly certified early learning programs. </t>
  </si>
  <si>
    <t xml:space="preserve">As a part of the strategic plan for WSNCT quality child care, WSNCT will provide 6 programs who participated in CLASS in 2023 to receive quality enrichment materials as a support for their quality improvement if they agree to participate in CLASS in 2024. Addressing quality enrichment needs and providing developmentally appropriate resources to enhance early learning environments will either increase, improve or sustain star-level status for certified Texas Rising Star early learning programs. Consistency in program's CLASS participation provides longitudinal data on the teacher-child interactions which can provide the tools, data, and framework to objectively and accurately support teacher-child interactions.
6 WSNCT early learning programs who participated in CLASS in FY23 received quality enrichment materials. An application process was required and as a part of this application process these programs have agreed to continue their participation in the CLASS Project in FY24. </t>
  </si>
  <si>
    <t xml:space="preserve">As a part of the strategic plan for WSNCT career pathways, WSNCT will offer scholarships for up to 40-60 individuals per event to attend conferences for FY2023 including Frog Street Splash Conference. These activities will help individuals obtain their needed annual training clock hours for Child Care Regulation and provide them with information about the latest trends, theories, and techniques from Early Childhood Education Professionals across the state and nation.
38 WSNCT early learning program staff received reimbursement scholarships for the 2023 Frog Street Splash Conference. </t>
  </si>
  <si>
    <t xml:space="preserve">38 out of the 40-60 planned WSNCT early learning program staff received reimbursement scholarships for the 2023 Frog Street Splash Conference. </t>
  </si>
  <si>
    <t xml:space="preserve">WSNCT will offer financial aid/scholarships for select staff who qualify and participate in the Camp Fire Apprenticeship Program. Providing educational scholarships allows Early Childhood professionals to take advantage of an educational and career pathway building program. Apprenticeships offer specific knowledge and skills to participants to increase and sustain quality employees. Success of these activities will be measured by how many participants enroll. 
38 WSNCT early learning program staff participated in the Camp Fire Apprenticeship program. WSNCT early learning participants collectively received the following services 3 CDA Stipends, 29 CDA Courses, 6 EEI Stipends,  24 EEI Courses, 2 ECE TCC Tuition, books, and fees. 12 graduated and received a completion stipend. 
</t>
  </si>
  <si>
    <t xml:space="preserve">Success of these activities will be measured by how many participants enroll. </t>
  </si>
  <si>
    <t xml:space="preserve">As a part of the strategic plan for WSNCT career pathways, WSNCT will offer early learning programs financial incentives based on participants position in the Workforce Registry career lattice. 
1 staff received this incentive this quarter
CDA certificate of completion and certificate for completing the CDA course were both submitted to qualify. 26 participants in total have qualified and received a stipend. </t>
  </si>
  <si>
    <t xml:space="preserve">We will measure the success by tracking the number of staff who move up the career lattice. Our estimated reach for Professional Development Registry Career Pathways is 40 served; however WSNCT only had 26 served. </t>
  </si>
  <si>
    <t>TECPDS Registry training</t>
  </si>
  <si>
    <t>Tarrant County College Scholarships</t>
  </si>
  <si>
    <t>new Texas Rising Star staff stipends</t>
  </si>
  <si>
    <t xml:space="preserve">Other (Shared Services, Pre-K Partnerships) </t>
  </si>
  <si>
    <r>
      <t xml:space="preserve">Number and Type of Participants 
</t>
    </r>
    <r>
      <rPr>
        <i/>
        <sz val="12"/>
        <rFont val="Calibri"/>
        <family val="2"/>
        <scheme val="minor"/>
      </rPr>
      <t>(if applicable)</t>
    </r>
  </si>
  <si>
    <t>Increase number of early childhood program educators attaining CDA. The Board has a minimum goal of 5 participants receiving a CDA. If this participant completes their certificate, this will be 20% of the minimal goal.</t>
  </si>
  <si>
    <t>Provided 48 unduplicated participants from 1 early learning program working towards Texas Rising Star certification and 17 Texas Rising Star certified early learning programs with scholarships for TSI testing, tuition, and books to obtain their Associates degree in Early Childhood Education or Education (ECE). 
Funding Source: CQF</t>
  </si>
  <si>
    <t xml:space="preserve">An increase in the number of child care teachers pursuing or attaining a college degree in early childhood education. The Board has met 190% of the goal to serve 25 participants with educational scholarships. At the end of the semester seven(7) participants graduated with AAS in ECE, seven (7) participants completed an CDEC admin certification, eight (8) participants completed a CDEC provider certification. </t>
  </si>
  <si>
    <t>Provided access to Teaching Strategies-Creative Curriculum for Infant and Toddlers via 20 cloud access accounts for the 10 early learning programs that previously had access during the TWC initiative with Teaching Strategies. 
Funding Source: CQF</t>
  </si>
  <si>
    <t>The 10 early learning programs, all have achieved or maintained Four-Star certification during Recertification, 1 early learning program was able to attain NAEYC accreditation in part due to the access to Teaching Strategies-Creative Curriculum.</t>
  </si>
  <si>
    <t>Provided 20 staff with professional development access to Teaching Strategies-Creative Curriculum for Infant and Toddlers for the 10 early learning programs that previously had access during the TWC initiative with Teaching Strategies. This provides professional development to staff to support them with curriculum implementation. 
Funding Source: CCQ</t>
  </si>
  <si>
    <t>1 early learning program opened 2 or more classrooms within the last 12 months and was awarded an Expansion Grant (budget) to use with Lakeshore to order materials and furniture for the expanded child care for infants by 12 slots.
Funding Source: CQF</t>
  </si>
  <si>
    <t xml:space="preserve"> Measurable outcomes include an increase the number of child care spots in early learning programs, some in child care deserts, and additional children and families being served.  The early learning program added 12 infant spots. </t>
  </si>
  <si>
    <t>1 early learning program opened 2 or more classrooms within the last 12 months and was awarded an Expansion Grant (budget) to use with Lakeshore to order materials and furniture for the expanded child care for preschool by 12 slots.
Funding Source: CQF</t>
  </si>
  <si>
    <t xml:space="preserve"> Measurable outcomes include an increase the number of child care spots in early learning programs, some in child care deserts, and additional children and families being served.  The early learning program added 12 preschool spots. </t>
  </si>
  <si>
    <t>Personnel costs for 8 Texas Rising Star staff (4 staff at 1.00 FTE; 2 staff at .75 FTE and .25 other FTE; 1 staff at .50 FTE and .50 other FTE; 1 staff at 1.00 other FTE)
Funding Source: CCQ mentor-specific funding</t>
  </si>
  <si>
    <t>Measurable outcomes include an increase in Texas Rising Star participation and/or certified star levels and an increase in retention of Texas Rising Star certified programs.
Outcomes are TBD.</t>
  </si>
  <si>
    <t xml:space="preserve">2 Texas Rising Star programs received mentor approved infant/toddler materials and equipment for either their Initial Texas Rising Star Assessment or their annual missed monitoring assessment
Funding Source: CCQ  </t>
  </si>
  <si>
    <t>2 Texas Rising Star programs now have new developmentally appropriate infant/toddler materials and equipment to help maintain their Texas Rising Star designation. CCS has completed 2% of this goal in the 1st quarter.</t>
  </si>
  <si>
    <t>27 child care program staff attended an in person training titled "Behavioral Considerations for Infants/Toddlers" 
Funding Source: CCQ</t>
  </si>
  <si>
    <t>To increase child care program staff knowledge to help with behavioral considerations in the classroom with infants and toddlers.</t>
  </si>
  <si>
    <t xml:space="preserve">29 child care program staff attended an in person training titled "Behavioral Considerations for Preschoolers"
Funding Source: CCQ </t>
  </si>
  <si>
    <t>To increase child care program staff knowledge to help with behavioral considerations in the classroom with preschoolers.</t>
  </si>
  <si>
    <t xml:space="preserve">29 child care program staff attended a Zoom Training titled "Pajamas and Puzzle Pieces-Autism Filling In the Missing Pieces" 
Funding Source: CCQ  </t>
  </si>
  <si>
    <t>To increase child care program knowledge to help identify the characteristics of Autism and learn how it is diagnosed, red flags and gather local resources to use in their classroom.</t>
  </si>
  <si>
    <t xml:space="preserve">17 child care program staff received college scholarships for child development courses for the Fall 2024 semester
Funding Source: CCQ  </t>
  </si>
  <si>
    <t>To increase the number of child care program staff who obtain their CDA or college degree in Early Childhood and to possibly acquire higher scores for the Texas Rising Star program site - CCS has completed 34% of this goal in the 1st quarter.</t>
  </si>
  <si>
    <t xml:space="preserve">2 Texas Rising Star programs (12 child care program staff) attended an in-person conference hosted by Texas Licensed Child Care Association. The two programs were reimbursed for the training for their child care program staff to attend. 2 early learning programs, 12 participants
Funding Source: CCQ  </t>
  </si>
  <si>
    <t>Reimbursement for training - To increase the knowledge of early childhood education by learning practical strategies for the classroom, from play-based learning to creative inquiry. To also increase director/owners knowledge in leadership techniques, staff motivation and creating a strong center culture. CCS has completed 3% of this goal in the 1st quarter.</t>
  </si>
  <si>
    <t xml:space="preserve">1 Texas Rising Star program (11 child care program staff) attended an in-person training on "Fire Safety and More" hosted by Hub City Childcare Association. The program was reimbursed for the training for their child care program staff to attend. 1 early learning program, 11 participants
Funding Source: CCQ  </t>
  </si>
  <si>
    <t>Reimbursement for training - To increase the program's knowledge for a safe environment for children and meet Child Care Regulation standards. CCS completed 3% of this goal in the 1st quarter.</t>
  </si>
  <si>
    <t xml:space="preserve">4 Texas Rising Star programs received mentor approved preschool/school age materials and equipment for missed Texas Rising Star annual monitoring
Funding Source: CCQ  </t>
  </si>
  <si>
    <t>4 Texas Rising Star programs now have new developmentally appropriate preschool/school age materials and equipment to help maintain Texas Rising Star designation. CCS has completed 6% of this goal in the 1st quarter.</t>
  </si>
  <si>
    <t xml:space="preserve">5 Texas Rising Star initial assessment programs received mentor approved preschool/school age materials and equipment for their initial assessment
Funding Source: CCQ </t>
  </si>
  <si>
    <t>5 Texas Rising Star initial assessment programs now have new developmentally appropriate preschool/school age materials and equipment to help maintain Texas Rising Star designation. CCS has completed 10% of this goal in the 1st quarter.</t>
  </si>
  <si>
    <t xml:space="preserve"> 3 Texas Rising Star programs received a "staff incentive reimbursement" for 25 child care program staff for attaining Texas Rising Star certification, with the amount based on the licensed capacity and the star level obtained.
Funding Source: CCQ  </t>
  </si>
  <si>
    <t>25 child care program staff at 3 Texas Rising Star program locations now have monetary incentives to acknowledge their part in obtaining the Texas Rising Star certification. CCS has completed 3% of this goal in the 1st quarter.</t>
  </si>
  <si>
    <t xml:space="preserve">The FROG Bus delivered materials, equipment and information to 21 CCS rural Texas Rising Star programs. 21 Texas Rising Star rural programs were delivered materials, equipment, and information. The FROG bus aims at increasing the number of CCS rural programs who are exposed to the information about the Texas Rising Star program so programs know the benefits for them and the families and children they serve. 
Funding Source: CCQ  </t>
  </si>
  <si>
    <t>CCS has completed 17% of this goal in the 1st quarter.</t>
  </si>
  <si>
    <t>5 Texas Rising Star Staff salaries, fringe, travel, etc.
Funding Source: CCQ  mentor-specific funding</t>
  </si>
  <si>
    <t>To maintain/increase current staffing levels in order to complete necessary mentoring and onboarding of all CCS programs and to maintain compliance with the Texas Rising Star program.</t>
  </si>
  <si>
    <t>Staff salaries and benefits for staff members to ensure mandated state guidelines requiring participating CCAS centers currently being integrated into the Texas Rising Star program to be mentored. (5 total mentoring staff) Staff will support the current 37 Texas Rising Star-certified early learning programs in our local board area and 41 Entry Level programs.
Funding Source:  CCQ mentor-specific funding</t>
  </si>
  <si>
    <t>15 scholarships for child care early learning program staff to take the Infant/Toddler CDA course were paid for by Workforce Solutions North Texas. This project aligns with our goal to enhance the quality of education and care to our clients and enhances their Texas Rising Star star-level quality scores of the center.
Funding Source:  CCQ</t>
  </si>
  <si>
    <t>TBD; course is in progress and expected to end June 2025, enrollments 100% of goal.</t>
  </si>
  <si>
    <t>Staff salaries and benefits for Infant Toddler Specialist to mentor and train child care program staff serving infants and toddlers, particularly classroom teachers., and provide technical assistance and cross-training on infant and toddler-focused topics to local Texas Rising Star mentors who are not certified Infant-Toddler Specialists. In October, 5 early learning programs were provided training and technical assistance for the following areas: indoor and outdoor environment, and classroom setup.  One training was held for all programs over Circle Activity with 29 participants. In November, 2 early learning programs were provided trainings and technical assistance for the following areas:  Observation of indoor environment, and Read with Me training. One training was held for all providers over Move With Me with 21 participants. In December, 2 early learning programs were provided trainings and technical assistance for the following areas: Classroom observation. There were a total of 50 participants from 9 early learning programs.
Funding Source: CCQ</t>
  </si>
  <si>
    <t>First quarter Infant Toddler Specialist activities total of 50 participants attending Infant Toddler specific training. 29 participants trained in Oct., 21 participants trained in November. There were 9  early learning programs  that received specific individualized training. This is 62% of the Board's goal to train 80 early learning staff in FY25.</t>
  </si>
  <si>
    <t>11 scholarships for child care early learning program staff to take the Pre-K CDA course were paid for by Workforce Solutions North Texas. This project aligns with our goal to enhance the quality of education and care to our clients and enhances their Texas Rising Star star level quality scores of the center.
Funding Source:  CCQ</t>
  </si>
  <si>
    <t>TBD; course is in progress and expected to end June 2025, enrollments 73% of goal.</t>
  </si>
  <si>
    <t>Directors and assistant directors of child care programs are required to maintain at least 36 hours of child care training. Training on early learning and child development topics, including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This quarter, the Director's Luncheon training was over "Texas Rising Star Facility Assessment Record Form Series 1-Category 1: Qualifications and Training". We had 18 participants  (13 in person,  5 virtual).
Funding Source: CCQ</t>
  </si>
  <si>
    <t>Training and knowledge gained.
Directors/Assistant Directors from our contracted early learning programs (25%) received 2 hours of training.</t>
  </si>
  <si>
    <t>All early learning program staff of child care programs are required to maintain at least 30-36 hours of child care training. Training on early learning and child development topics held by third party host, including,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This quarter the Connection's Training had two guest speakers. The trainings were held at Region 9 with guest speakers training over "The Art of Art" and "Addressing Child Behaviors". We had 43 in-person participants.
Funding Source: CCQ</t>
  </si>
  <si>
    <t>Training and knowledge gained.
Participants received 6 hours of training regarding teacher/child interaction. This activity increased the number of required training hour completion rate of participants by 6 hours for the quarter resulting in the 43 participants acquiring 20% of the 30 hour staff training requirement.</t>
  </si>
  <si>
    <t>Directors and assistant directors of child care programs are required to maintain at least 36 hours of child care training. Workforce Solutions North Texas paid the costs for a Director and Assistant Director from two child care programs to attend TXAEYC October 2024. Impact was the application of new skills acquired through additional training and insight received at the conference. Progression will be tracked through evaluation and quarterly observations. 2 director, 2 assistant director
Funding Source:  CCQ</t>
  </si>
  <si>
    <t>Training and knowledge gained.
Workforce Solutions North Texas provided 4 participants the opportunity to attend the Texas Association for the Education of Young Children (TXAEYC) conference. Participants were able to gain 8 of the required 36 Texas Rising Star training hours by attending the conference. Attendance at the conference also provided 8 of the 15 required Texas Rising Star in-person training hours.</t>
  </si>
  <si>
    <t>Staff salaries and benefits for additional staff member to ensure mandated state guidelines requiring participation in the required Texas Early Childhood Professional Development System (TECPDS) program. Staff will support the Texas Rising Star mentors in onboarding and support the current Texas Rising Star certified centers in our local board area and all Entry Level programs. The TECPDS specialist helped 87 participant from 52 early learning programs with set up and completion of their TECPDS account.
Funding Source: CCQ</t>
  </si>
  <si>
    <t>TECPDS specialist has coached and assisted 87 participants from 52 early learning programs with TECPDS specific required account set up and completion to enhance scores on Texas Rising Star measures - Category 1 specifically. This is 65% of the Board's goal to assist 80 early learning programs in FY25.</t>
  </si>
  <si>
    <t>Beyond the Page is a quality initiative that focuses on the professional development of early learning program classroom teachers. The initiative focuses on early childhood literacy. This quarter, Texas Rising Star staff choose a theme, an age-appropriate book, and supplemental manipulative aimed to  assist classroom teachers on strategic read-aloud and techniques. 341 books were purchased this quarter for each classroom. Each mentor provided lesson plans to go with each book and trained each classroom on the lesson plan provided.  The reach was 78 early learning programs and 341 classrooms. 
Funding Source:   CCQ</t>
  </si>
  <si>
    <t>100% of the Board's goal to reach 37 Texas Rising Star early learning programs and 41 Entry Level programs with this activity has been reached.</t>
  </si>
  <si>
    <t>2 Texas Rising Star mentors and 2 other Texas Rising Star staff attended the 2024 TXAEYC conference in Frisco, TX in October.
Funding Source:  CCQ mentor-specific funding</t>
  </si>
  <si>
    <t>Training and knowledge gained.
Texas Rising Star mentors were able to gain 8 of the 36 training hours that Texas Rising Star mentors are required to maintain yearly.</t>
  </si>
  <si>
    <t>Infant Toddler Specialist provided 3 hour of virtual ELITE support to 5 classroom teachers serving infant and toddlers participating in the Infant Toddler Specialist Network. The Infant Toddler Specialist conducted 3 virtual professional development trainings on Infant Toddler Best Practices with 18 attendees and one virtual training on the Infant Toddler Curriculum Overview with 5 participants totaling 23 participants receiving a total of 6 annual clock hours.  (28 total virtual participants) 
Funding Source: CCQ mentor-specific funding</t>
  </si>
  <si>
    <t>The Board served 3 of the 15 unduplicated early learning programs and increase the opportunities early learning programs have to access training in their area and provide opportunities to meet both Child Care Regulations and Texas Rising Star annual training hours requirements. 20% of the Board's goal has been met in Q1.</t>
  </si>
  <si>
    <t>Mentors conducted 8 Texas Rising Star orientations (3 in person with 38 attendees and 5 virtual webinars with 81 attendees), including the TWC Background Check Portal presentation for administrators and staff and 2 virtual webinars covering the Facilities Assessment Record Form Overview with 4  administrative attendees, awarding 13.5 annual hours. (total of 123 attendees; 38 in person, 85 virtual)
Funding Source: CCQ mentor-specific funding</t>
  </si>
  <si>
    <t>A total of 123 participants received 13.5 professional development hours to use toward achieving their annual hours. These hours assist with maintaining licensing requirements, which can result in lower licensing deficiencies regarding professional development. They also meet the Texas Rising Star requirements for the obtainment of annual clock hours. 49.2% of the boards goal for 250 participants has been met this quarter.</t>
  </si>
  <si>
    <t>Texas Rising Star mentors conducted 6 virtual webinars with 114 participants and 16 in-person training/workshops professional development sessions with 194 attendees totaling 308 participants, offering 26.5  clock hours for participants to use towards achieving their annual hours. (308 attendees; 194 in person, 114 virtual) 
Funding Source: CCQ mentor-specific funding</t>
  </si>
  <si>
    <t>A total of 308 participants received 26.5 professional development hours to use toward achieving their annual hours. These hours assist with maintaining licensing requirements, which can result in lower licensing deficiencies regarding professional development. They also meet the Texas Rising Star requirements for the obtainment of annual clock hours. 61.6% of the boards goal for 500 participants has been met this quarter.</t>
  </si>
  <si>
    <t>Paid salaries and benefits for 18 Texas Rising Star Staff.  These Board Staff ensure the continuation of the Texas Rising Star program activities for our Workforce Development Board Area through mentoring, assessment, outreach, and program support services. We have 14 Texas Rising Star mentors, 1 Early Childhood Program Coordinator, 2 Texas Rising Star Program Supervisors, and 1 Child Care Manager. 
Funding Source: CCQ mentor-specific funding</t>
  </si>
  <si>
    <t>364 entry-level designated programs and 291 certified early learning programs are receiving mentoring assistance to attain, maintain, or increase certification level. This is 100% of the Board's goal to serve 655 early learning programs.</t>
  </si>
  <si>
    <t>2 mentors are participating in the Continuous Quality Improvement: Mechanisms for Strengthening ECE Program Quality and Workforce Competency research-policy partnership grant between CLI and TWC. Phase 1 of this research grant designed to explore implementation variability in Texas Rising Star Continuous Quality Improvement plan delivery, receipt, and response had concluded. The mentors provided specified mentoring to 5 early learning programs, 5 administrators and  3  educators. Mentor participation includes trainings and Micro credential PLCs. Cohort 1 for the study participants has ended and recruitment and selection for Cohort 2 has begun.
Funding Source: CCQ mentor-specific funding</t>
  </si>
  <si>
    <t>TBD. Cohort 2 began the recruitment and selection process in October/November 2024. Mentors will be notified of their selected and assigned early learning programs in January 2025 (quarter 2).</t>
  </si>
  <si>
    <t xml:space="preserve">3 mentors conducted LENA Grow virtual individual coaching sessions with 7 participating early learning programs with 14 teachers participating in the sessions. LENA Grow is an evaluation tool that tracks and measures teacher-child interactions over 11 weeks with guided coaching sessions. Individual coaching sessions provides support for Category 2: Teacher-Child Interactions in the Texas Rising Star assessment tool. 
Funding Source: CCQ mentor-specific funding
</t>
  </si>
  <si>
    <t>Mentors conducted 43 virtual coaching hours virtually with 14 participating teachers in 7 early learning programs to increase the quality and quantity of talk with children. Teachers gained skills that improved classroom conversations in Category 2 Language Facilitation and Support measures. This was 100% of the Board's goal to have 7 early learning programs and 14 participants for this activity.</t>
  </si>
  <si>
    <t>Mentors participated in professional development: 
18 attended the 2024 Texas Early Learning Interagency Collaborative Symposium hosted by hosted by TWC. This virtual Symposium is specifically for staff who contribute to supporting the quality of early childhood programs in Texas to continue our work of cross-collaboration to build high-quality child care in Texas. Symposium attendees received 2.5 annual clock hours for participation. 
2 staff attended the ITSN workshop, Nature Matters: How Outdoor Learning Supports ECE.  Workshop attendees received 2 annual clock hours for participation. 
1 mentor attended the Texas Rising Star Early Educator Conference in Dallas from October 28-30, 2024. Attendees received 10 annual clock hours for participation.
Funding Source: CCQ mentor-specific funding</t>
  </si>
  <si>
    <t xml:space="preserve"> 100% of the board staff attended professional development training accumulating 14.5 professional development hours to use towards their required annual clock hours. 2 staff attended an Infant Toddler Specialist Network workshop, enhancing their ability to support and guide infant toddler educators. These staff are equipped with the latest research-based strategies and best practices. This is 100% of the Board's goal for Board staff to attend professional development training to meet their required annual hours.</t>
  </si>
  <si>
    <t>2 mentors renewed their certification as a Pre-K CLASS Observer. A CLASS Observer is certified to collect CLASS data in a classroom setting for the specific designated age levels. In order to receive this certification, staff must pass a reliability test following training and maintain that certification by passing an annual recertification test.
Funding Source: CCQ mentor-specific funding</t>
  </si>
  <si>
    <t>Upon completion of the test, mentor staff were awarded their designated CLASS Observer certification. This will assist our mentors with improving program scores in Category 2: Teacher Child interactions which carries the heaviest weight under the Texas Rising Star Guidelines. 2 out of 2 mentors renewed their CLASS certification, meeting 100% of the board goals.</t>
  </si>
  <si>
    <t>WSNCT mentors provided technical assistance and mentoring to  386 entry-level designated programs to help them meet the requirements for becoming certified with Texas Rising Star. At the beginning of quarter 1, the board had 269 certified early learning programs. At the end of quarter 1, 22 entry level early learning programs were  Texas Rising Star certified.
Funding Source: CCQ mentor-specific funding</t>
  </si>
  <si>
    <t>The Board's goal to increase the number of certified early learning programs by the end of the year is 308. 95% of the boards goal has been met.</t>
  </si>
  <si>
    <t>Paid salaries and benefits for 1 North Texas Director of Child Care Quality, 1 Managing Director of Quality Child Care, 2 TECPDS Specialists, 1 Administrative Assistant, and 2 Special Projects Coordinators. The Special Projects Coordinators, Administrative Assistant, and Early Education Professional Development Specialist will work to produce all agreed upon deliverables in a productive and effective way increasing the overall productivity of overall child care.
Funding Source: CCQ mentor-specific funding</t>
  </si>
  <si>
    <t>Currently hiring staff for open Mentor positions. The Texas Early Childhood Professional Development System (TECPDS) SME assisted 7 out of 32 directors with account creation.   Based on the deliverable, this was 22% of the goal to serve 32 programs this quarter.</t>
  </si>
  <si>
    <t xml:space="preserve"> 4 Texas Rising Star mentors attended the October 2024 Texas Rising Star Early Educator Conference. Texas Rising Star is a quality rating and improvement system used for early learning programs. The Texas Rising Star Early Educator Conference featured informational panels related to early childhood education, rules and regulations, and staff and business development. The Texas Rising Star mentors received training pertinent to their roles, and they also received necessary annual training hours. This activity was expended from the FY2024 CCQ fund; however, the activity was implemented in fiscal year 2025.
Funding Source: FY2024 CCQ</t>
  </si>
  <si>
    <t xml:space="preserve"> There was 130 programs who received mentoring services utilizing information gathered from the mentors attending this conference. Our goal was to support 575 early learning programs in FY25. In Q1 this activity completed 23% of the goal to support 575 early learning programs from Texas Rising Star support staff in FY25. Texas Rising Star mentors who attended also received 13 training hours each, which will go towards their required 36 training hours in early childhood education or related field.</t>
  </si>
  <si>
    <t xml:space="preserve"> 5 Texas Rising Star staff attended the 2024 National Association for the Education of Young Children annual conference in November 2024. This conference gathers early childhood educators from around the globe to connect, collaborate, and learn together. The Texas Rising Star staff received training pertinent to their roles, and they also received necessary annual training hours. This activity was expended from the FY2024 CCQ fund; however, the activity was implemented in fiscal year 2025. 
Funding Source: FY2024 CCQ</t>
  </si>
  <si>
    <t>There was 78 programs who received mentoring services utilizing information gathered from the mentors who attended. Our goal was to support 575 early learning programs in FY2025. In Q1 the board completed 14% of the goal to support 575 early learning programs from Texas Rising Star support staff in FY25. Texas Rising Star mentors who attended also received 18 training hours each, which will go towards their required 36 training hours in early childhood education or related field.</t>
  </si>
  <si>
    <t xml:space="preserve">Texas Early Childhood Professional Development System (TECPDS) Specialist support: The TECPDS Specialist provided individuals with in-person and virtual training/support in Q1. 
     255 individuals attended the in person trainings during the months of October, November &amp;     December 2024
     13 programs and 112 individuals attended the in person training during the months of October, November and December 2024
     60 individuals attended the virtual trainings during the months of October, November, and December 2024
Funding Source: CCQ </t>
  </si>
  <si>
    <t xml:space="preserve"> Our goal is to supply professional development to 1,400 early learning staff and the TECPDS Specialist provided support to 255 early learning program staff. In Q1 this activity constitutes 30% of the overall  goal of "Professional Development Opportunities" listed in the Annual Expenditure Plan to support 1400 early learning staff with professional development in FY25.</t>
  </si>
  <si>
    <t>Infant Toddler Specialist support:  The Board's Infant Toddler Specialist provided individuals with  3 virtual trainings; one in October, one in November, and one in December.  23 individuals attended the virtual trainings.
Funding Source: CCQ</t>
  </si>
  <si>
    <t xml:space="preserve"> Our goal is to supply professional development to 1400 early learning staff and the Infant Toddler Specialists supported 23 early learning program staff. In Q1 this activity constitutes 2% of the overall  goal of "Professional Development Opportunities" listed in the Annual Expenditure Plan to support 1400 early learning staff with professional development in FY25.</t>
  </si>
  <si>
    <t xml:space="preserve">Infant Toddler Specialist support:  Currently the 2 Texas Infant-Toddler Specialists are working with 12 early learning programs. The Infant Toddler Specialists spent a combined total of 17.25 contact hours on infant-toddler activities. (Not PD)
Funding Source: CCQ </t>
  </si>
  <si>
    <t xml:space="preserve"> Our goal was to support 75 early learning programs in FY2025. There was 12 programs that were supported by the Board's Infant Toddler Specialists. In Q1 the Board completed 16% of the goal to support 75 early learning programs from the Board's Infant Toddler Specialists in FY25. </t>
  </si>
  <si>
    <t>Texas Early Childhood Professional Development System (TECPDS) Specialist support: The TECPDS Specialist provided users currently employed with an Entry Level-designated program support to create an account. 35,021 users and 76 programs received this support.  Many of the users do not add their current employment to their account. Additionally, 601 users from those 76 programs were outreached via email post account creation for follow -up
Funding Source: CCQ</t>
  </si>
  <si>
    <t xml:space="preserve"> Our goal was to support 575 early learning programs in FY2025. There was 76 programs that were supported by our TECPDS support staff. In Q1 the board completed 13% of the goal to support 575 early learning programs from TECPDS staff in FY25. </t>
  </si>
  <si>
    <t xml:space="preserve">Texas Rising Star Staff Personnel: Positions supported are 20 mentors and 15 support staff to include, the North Texas Region Quality, Director of Quality Child Care, Program Support Manager, Assistant Quality Manager, TECPDS Specialists, Special Projects Coordinators, Administrative Assistants, Information Technology Support staff, and Inclusion mentors. Positions include managerial positions that provide oversight of the Texas Rising Star &amp; Quality Initiatives Team. The remaining support staff implemented approved quality initiatives, support TECPDS and career lattice movement, provide necessary data entry, and support the Inclusion Rate program for children with disabilities.
There was 562 programs who received mentoring and other various support services during Q1.
Funding Source: CCQ  and CCQ mentor-specific funding </t>
  </si>
  <si>
    <t xml:space="preserve">Our estimated number to reach was 575 early learning programs. 562 programs received various support services from our quality support staff. Our goal was to support 575 early learning programs under activity "Texas Rising Star &amp; Quality Initiatives Support Staff Personnel" in FY2025. In Q1 the Board supported 98% of early learning programs through Texas Rising Star and quality initiative activities. </t>
  </si>
  <si>
    <t xml:space="preserve">Provided 12 hours of virtual business training on a variety of topics held monthly to 167 participants
Funding Source: CCQ </t>
  </si>
  <si>
    <t>In Q1, the Board has reached 65% of the goal of 800 participants for providing professional development to early learning programs. We will continue to provide business training throughout the program year.</t>
  </si>
  <si>
    <t xml:space="preserve">Provided 9 hours of in-person training over the Texas Rising Star categories to 32 participants
Funding Source: CCQ </t>
  </si>
  <si>
    <t>In Q1, the Board has reached 65% of the goal of 800 participants for providing professional development to early learning programs. We will continue to provide training on the Texas Rising Star categories throughout the program year.</t>
  </si>
  <si>
    <t xml:space="preserve">Provided 14 hours of training on a variety of topics from contracted trainers to 312 participants
(11.5 hours were virtual with 250 participants) and (2.5 were in-person with 62 participants)
Funding Source: CCQ </t>
  </si>
  <si>
    <t>In Q1, the Board has reached 65% of the goal of 800 participants for providing professional development to early learning programs. We will continue to provide training over a variety of topics identified in the child care minimum standards throughout the program year.</t>
  </si>
  <si>
    <t>Provided 24 hours of in-person Pre-Service training to early learning programs in partnership with Educational First Steps to 7 total participants
Funding Source: CQF</t>
  </si>
  <si>
    <t>In Q1, the Board has reached 7% of the goal for providing professional development to early learning programs. We completed the projected initiative in Q1.  In Q2, we will contact the participants from the Pre-Service/ Refresher training to track the retention of the participants. A stipend will be provided to the participants who are continuously employed at the facility. The tracking of this initiative is on-going. We have scheduled this initiative once a month throughout the program year.</t>
  </si>
  <si>
    <t xml:space="preserve">Provided 24 hours of in-person First Aid/CPR classes to 60 early learning programs from October-December 2024, supporting a total of 98 participants
Funding Source: CCQ </t>
  </si>
  <si>
    <t>In Q1, the Board has completed 49% of our goal of reaching 200 early learning programs with First Aid/CPR training.  This is an on-going initiative throughout the program year.</t>
  </si>
  <si>
    <t xml:space="preserve">Purchased CPR Pocket Mask for 100 participants who attended the monthly First Aid/ CPR training from 60 early learning programs
Funding Source: CCQ </t>
  </si>
  <si>
    <t>In Q1, the Board has completed 100% of goal by providing every participant of First Aid/CPR training with pocket pouches. We anticipate having to order more pouches in Q2 for the participating attendees at our First Aid/ CPR training.</t>
  </si>
  <si>
    <t xml:space="preserve">Purchased Educational Language &amp; Literacy materials from Lakeshore for 3 early learning programs who completed the Fall 2024 LENA Grow Cycle
Funding Source: CCQ </t>
  </si>
  <si>
    <t>In Q1, the Board reached 100% of the estimated reach of 50 children participating in the LENA Grow program.  We will order materials in Q2 for our 2nd LENA Grow cycle.</t>
  </si>
  <si>
    <t xml:space="preserve">Provided $300 stipends to 3 teachers who obtained their Child Development Associate Credential (CDA)
Funding Source: CCQ </t>
  </si>
  <si>
    <t>In Q1, the Board has reached 3% for the goal of 100  participants receiving a stipend for educational coursework attainment. This initiative will last throughout the program year.</t>
  </si>
  <si>
    <t>Provided monetary stipends to 57 early learning programs who achieved or maintained Texas Rising Star certification (55 new and 2 recertifications)
Funding Source: CQF</t>
  </si>
  <si>
    <t xml:space="preserve">In Q1, the Board has reached 10% of the goal for providing stipends to 600 early learning programs for becoming Texas Rising Star certified. This initiative is provided monthly throughout the end of the program year. </t>
  </si>
  <si>
    <t>Purchased educational materials for 50 teachers enrolled in the Child Development Associate (CDA) Cohort from 20 early learning programs.
Funding Source: CQF</t>
  </si>
  <si>
    <t>In Q1, the Board has reached  25% of the goal for providing educational materials to 200 early learning programs staff participating in CDA coursework. The CDA cohort began in December 2024 but will continue throughout the program year. We have 50 individual teachers enrolled in the cohort and purchased their CDA books.</t>
  </si>
  <si>
    <t xml:space="preserve">Purchased educational materials for participants for the Administrator's Summit on February 15, 2025 (projected- 100). These events are future events and represent the quantity of materials purchased.
Funding Source: CCQ </t>
  </si>
  <si>
    <t>In Q1, the Board projects to surpassed their goal of 75 participants for the Administrator's Summit. The Administrator's Summit is scheduled for February 2025.  We are anticipating 100 administrators in attendance.  The registration opened for the summit in Q1. We completed the purchase of the resource books for the Administrator's Summit.</t>
  </si>
  <si>
    <t>Researched and contacted companies to provide quotes for Infant/ Toddler educational materials and curriculum.
Funding Source: no funds spent this quarter</t>
  </si>
  <si>
    <t xml:space="preserve">In Q1, the Board has received quotes from procured vendors for Infant/Toddler educational materials and Infant/Toddler curriculum. Our Quality Initiatives Coach has completed 75% of the requirements to be part  of the Infant Toddler Support Network.  We've scheduled 6 Infant/Toddler trainings in Q2 for early learning programs to attend.  We are providing Infant / Toddler educational materials for the participants who attend the future scheduled trainings in Q2. </t>
  </si>
  <si>
    <t>Wage Supplement, Substitute Pay, and Reimbursement initial planning to identify the purpose, who will be eligible to participate, and when the disbursements will take place. The process is being finalized to ensure that all documentation, financial needs, and participant parameters are in compliant. 
Funding Source: no funds spent this quarter</t>
  </si>
  <si>
    <t>The initiative for Wage Supplement, Substitute Pay, and Reimbursement is in its initial planning phase. This initiative is ongoing and will run through quarter four. 
Measurable outcomes are TBD.</t>
  </si>
  <si>
    <t>We've researched and received quotes for procured vendors for the indoor/outdoor environment and grant.  We've vetted and identified the early learning programs who are eligible to receive the Indoor Environment Award for Q2.
Funding Source: no funds spent this quarter</t>
  </si>
  <si>
    <t>In Q1, Contractor has met with procured vendors to provide a quote of materials to enhance the outdoor area.  We've scheduled the outdoor trainings from our contracted trainers for Q2 &amp; Q3. Measurable outcomes are TBD.</t>
  </si>
  <si>
    <t>The Quality Coach has received and reviewed data to identify eligible early learning programs to participate in the upcoming cycle of LENA in Q2.  
Funding Source: no funds spent this quarter</t>
  </si>
  <si>
    <t>In Q1, the Board has 3 programs that reached 100% of the goal of 50 children, 24% of the 25 teachers participating and 25% of the 20 classrooms participating. The coach has completed a LENA overview Zoom meeting to share the LENA program.  Our coach has completed the director's and teacher's meeting &amp; orientation.  The LENA cycle will begin in Q2.</t>
  </si>
  <si>
    <t>The quality department met with community partners, United Way &amp; Help Me Grow North Texas, to restructure our delivery and support for future Ages and Stages trainings.
Funding Source: no funds spent this quarter</t>
  </si>
  <si>
    <t>The scheduled Ages and Stages trainings will begin in Q2. 
Measurable outcomes are TBD.</t>
  </si>
  <si>
    <t>Met with Wonderschool and Funshine organizations to discuss management product and support.
Funding Source: no funds spent this quarter</t>
  </si>
  <si>
    <t>In Q1, contractor has met with Wonderschool who shared some additional services of the Wonderschool platform and reviewed the status of the 5 early learning programs that are currently using the Wonderschool System. We've met with Funshine to receive a product demonstration of their management platform for directors. 
Measurable outcomes are TBD.</t>
  </si>
  <si>
    <t>Texas Rising Star Personnel Costs. Travel, benefits, salaries, etc. for 20 mentors and 2 managers.
Funding Source: CCQ</t>
  </si>
  <si>
    <t xml:space="preserve">The Board has served 722 early learning programs. This is 100% of the programs Dallas Board serves. </t>
  </si>
  <si>
    <t>Northeast</t>
  </si>
  <si>
    <t>Provided early learning programs access to a portal to order materials and/or equipment needed for infants &amp; toddlers. Centers new to Texas Rising Star received $2000 each, centers who have been Texas Rising Star for longer received $1500 each. 32 early learning programs total were assisted.
Funding Source: CQF</t>
  </si>
  <si>
    <t>The Board assisted 32 early learning programs in Q1. The Board's goal was to assist 57 early learning programs in FY25. In Q1 the Board has completed 56% of this goal.</t>
  </si>
  <si>
    <t>Renewed contract with LENA Grow for 20 more classrooms in 2-5 early learning programs. This activity will help programs detect delayed communication early on so that more attention can be given to the children that might be struggling. Also, help  the teacher to understand her relationships with her students better.
Funding Source: CCQ</t>
  </si>
  <si>
    <t>Increased kindergarten readiness. 
Reports are shared with child care program staff for them to physically see their growth as well as the children in their classrooms. 
Data TBD.</t>
  </si>
  <si>
    <t>Provided Brightwheel Learning to 62 early learning programs. This is utilized for attendance tracking, billing processes, and parent communication. 
Funding Source: CCQ</t>
  </si>
  <si>
    <t>Child care programs are utilizing Brightwheel to submit attendance to KinderConnect. 
Increased communication between program and parents. 
The Board's goal of providing 62 programs with Brightwheel has been met at 100%</t>
  </si>
  <si>
    <t>Workforce Solutions Northeast Texas provided support via mentor training and paid for a speaker for the Fall 2024 Paris Junior College Childcare Workshop. 110 early learning program staff attended in person.
Funding Source: CQF</t>
  </si>
  <si>
    <t xml:space="preserve"> TBD</t>
  </si>
  <si>
    <t>Paid deposit for Keynote Speaker for our annual conference scheduled for March 29, 2025. Approximately 200 early learning program staff are expected to attend i- person from 62 early learning programs.
Funding Source: CQF</t>
  </si>
  <si>
    <t xml:space="preserve">The Board aims to assist 200 staff members with required training hours for Child Care Regulation. The event will take place next quarter. </t>
  </si>
  <si>
    <t>Registered child care program and workforce staff for Texas Licensed Child Care Association Spring conference. 23 early learning staff attended in-person.
Funding Source: CQF</t>
  </si>
  <si>
    <t xml:space="preserve">Provides staff with required training hours and also increases quality in the classroom. 
Decrease in number of licensing deficiencies cited by Child Care Regulation.  
Certificates will be uploaded to TECPDS and verified by mentors. 
Child Care Regulation Data TBD. </t>
  </si>
  <si>
    <t>Paid for lodging for child care program staff to attend the fall Texas Licensed Childcare Fall Conference. 17 early learning staff attended in person.
Funding Source: CQF</t>
  </si>
  <si>
    <t xml:space="preserve">Provides staff with required training hours and also increases quality in the classroom. 
Decrease in number of licensing deficiencies cited by Child Care Regulation.  
Child care staff received 7 hours per day from the 2-day conference and uploaded them to their TECPDS accounts that are monitored by their mentors. 
Child Care Regulation Data TBD. </t>
  </si>
  <si>
    <t>Provided various director and staff trainings monthly. 468 early learning staff attended both in person and virtually. (371 virtually, 97 in person)
Funding Source: CQF</t>
  </si>
  <si>
    <t xml:space="preserve">Provides staff with required training hours and also increases quality in the classroom. 
Decrease in number of licensing deficiencies cited by Child Care Regulation. 
Certificates uploaded to TECPDS and verified by mentors. 
Child Care Regulation Data TBD. </t>
  </si>
  <si>
    <t>Provided wage incentives to child care program staff based on Staff Retention. Staff had to be employed at least 90 days. The amounts received were determined by longevity at the center and the individuals Early Childhood Education levels. 
The amounts for longevity are: $25 employed 3-6 months, $50 7-12, $100 13-36, $200 37-60, $350 31-120, &amp; $500 121-200 months. Plus educational level: CDA Certificate $50  / $150 for an associates degree. 
Funding Source: CQF</t>
  </si>
  <si>
    <t xml:space="preserve">Measurable outcome TBD when distributing the 2nd round of incentives in Q3. </t>
  </si>
  <si>
    <t>Paid for CDA classes for 2 early learning program staff. 
Funding Source: CQF</t>
  </si>
  <si>
    <t>Personnel costs for Texas Rising Star staff employed with WFSNETX. 4 mentors continue to provide quality training to child care programs and they are also constantly in search of trainings to provide and participate in. The Board has assisted 60 early learning programs in Q1.
Funding Source: CCQ mentor-specific funding</t>
  </si>
  <si>
    <t>The Board has assisted 60 early learning programs in Q1. The Board's goal is to assist 60 early learning programs. The Board has completed 100% of this goal in Q1.</t>
  </si>
  <si>
    <t>Expenses related to Texas Rising Star van which is used by mentors to transport materials to child care programs (oil maintenance, fuel, insurance). Regular maintenance is required to keep the Texas Rising Star van operable. Mentors are able to deliver items to programs without the use of their personal vehicles. The Board served 60 early learning programs.
Funding Source: CCQ mentor-specific funding</t>
  </si>
  <si>
    <t>The Board served 60 of the planned 60 early learning programs utilizing the Texas Rising Star Van. This is 100% of the goal complete.</t>
  </si>
  <si>
    <t>Purchase fencing for 1 early learning program 
Funding Source: CCQ</t>
  </si>
  <si>
    <t>Program meets safety requirement for Child Care Regulation. This activity has completed 10% of the Board's goal to assist 10 early learning programs with health and safety.</t>
  </si>
  <si>
    <t>Purchased playground equipment for infant toddler playgrounds at 3 programs
Funding Source: CCQ</t>
  </si>
  <si>
    <t>100% infant toddler classes at 3 programs utilizing increase outdoor environment scores</t>
  </si>
  <si>
    <t>Purchased infant toddler curriculum sets for 9 programs 
Funding Source: CCQ</t>
  </si>
  <si>
    <t>90% programs I/T classes will meet P-PM=03 developmentally appropriate curriculum</t>
  </si>
  <si>
    <t>Purchased classroom equipment/materials for I/T in 17 programs
Funding Source: CQF</t>
  </si>
  <si>
    <t>90% programs I/T class environments meet indoor environment assessment measures</t>
  </si>
  <si>
    <t>Texas Rising Star staff provided 63 live and in person trainings for 489 Texas Rising Star program staff
Funding Source: CCQ mentor-specific funding</t>
  </si>
  <si>
    <t>30% of the goal to provide training to 200 early learning programs and 43% of program staff was met in Quarter 1.</t>
  </si>
  <si>
    <t>Reimbursed training registrations for 47 staff from 8 programs
Funding Source: CQF</t>
  </si>
  <si>
    <t>47% of the goal to provide reimbursement to 100 early learning program staff was met in Quarter 1.</t>
  </si>
  <si>
    <t>Awarded college tuition reimbursement for 1 early learning program staff 
Funding Source: CQF</t>
  </si>
  <si>
    <t>The Board has a goal to assist 100 early learning staff and has assisted 1 in Quarter 1.</t>
  </si>
  <si>
    <t>Purchased Pre-K curriculum sets for 8 programs
Funding Source: CQF</t>
  </si>
  <si>
    <t>90% programs Pre-K will meet P-PM-03 developmentally appropriate curriculum</t>
  </si>
  <si>
    <t>Purchased playground equipment for PreK playgrounds for 8 programs
Funding Source: CCQ</t>
  </si>
  <si>
    <t>PreK playground assessment scores for 8 programs are expected to increase from previous assessments, TBD</t>
  </si>
  <si>
    <t>Purchased classroom equipment/materials for Pre-K classrooms in 19 programs
Funding Source: CQF</t>
  </si>
  <si>
    <t>Environments in Pre-K classes are expected meet 80% of indoor environment assessment measures, TBD</t>
  </si>
  <si>
    <t>Awarded initial monetary incentives to 5 programs beginning the Texas Rising Star certification process. Each early learning program received $1000
Funding Source: CQF</t>
  </si>
  <si>
    <t>10% of the Board's goal to support 40 new early learning programs was met in Q1</t>
  </si>
  <si>
    <t>Paid salary and benefits for 6 Texas Rising Star staff                                                         
Funding: CCQ mentor-specific funding</t>
  </si>
  <si>
    <t>100 % Texas Rising Star staff compensated for mentoring caseloads averaging 40 early learning programs.</t>
  </si>
  <si>
    <t>Awarded monetary bonus to 5 programs achieving Three- or Four-Star certification. Awards based on licensing capacity -homes- $500; centers under 50 -$$750; centers 51 to 150 - $1000; centers over 151 -$1500
Funding Source: CQF</t>
  </si>
  <si>
    <t>The Board's goal is to support 45 programs with this incentive. The Board has completed 11% of this goal in Quarter 1.</t>
  </si>
  <si>
    <t>Staff salaries and benefits for 3.50 full time Texas Rising Star Staff who mentored 135 teaching staff members to help maintain and/or increase star level within 68 Texas Rising Star programs.
23 programs that provide child care services, received targeted mentoring to help onboard them to Texas Rising Star.
The TECPDS Specialist provided support to 72 staff in creating Texas workforce registry accounts and 60 staff's professional development certificates were validated.
Funding Source: CCQ mentor-specific funding</t>
  </si>
  <si>
    <t>The Board reached 74% of the goal in Q1 by supporting 68 of the 92 Texas Rising Star programs. 
The Board also reached 51% of the goal in Q1 to assist a total of 45 early learning programs to be onboarded to Texas Rising Star.</t>
  </si>
  <si>
    <t xml:space="preserve">5 programs requested support for their infant and toddler spaces/environments. WSB purchased educational materials specific to supporting infant and toddler development and equipment that is age appropriate to assist the programs in meeting the Texas Rising Star criteria. 
Funding Source: CQF </t>
  </si>
  <si>
    <t>WSB will track and identify the outcomes of the participating early learning programs upon the completion of their assessment. The Board has met 25% of the goal to assist 20 early learning programs with equipment and materials.</t>
  </si>
  <si>
    <t>WSB provided registration slots to a local early childhood conference - the Paso Del Notre Chapter of Texas Association for the Education of Young Children (TXAEYC) local training and conference. The Planting Seeds of Wonder conference took place on October 26, 2024.  The participants were able to select from over 8 variety of educational topics. There were 60 individual participants at this event from 36 early learning programs.
Funding Source: CCQ</t>
  </si>
  <si>
    <t xml:space="preserve"> This training supported 75% of the 80 goal to support with professional development opportunities.</t>
  </si>
  <si>
    <t>WSB purchased developmentally appropriate supplemental curriculum "Celebrate Successful Early Learning (SEL)" for home-based and early learning programs. To support the early learning program's use of this curriculum, WSB provided in-person training on the utilization and implementation of this curriculum as a supplement to their existing curriculum and day to day activities. WSB hosted a refresher training for 90 individuals on the use of and best practices to implement Celebrate Social-Emotional Learning Curriculum. The training took place on November 2, 2024 and offered a session in English where 43 teachers attended and in Spanish where 47 teachers attended. Participants were from 55 early learning programs.
Funding Source: CQF</t>
  </si>
  <si>
    <t>This training supported 45% of the 200 goal to support with professional development opportunities.</t>
  </si>
  <si>
    <t>WSB provided a refresher training on the implementation of the infant through PreK Frog Street curriculum to 20 directors and/or assistant directors from center based facilities who are new to the curriculum and needed further support and guidance. The training was provided by the Frog Street on November 15, 2024.  
Funding Source: CCQ</t>
  </si>
  <si>
    <t>A total of 20 attendees from 14 child early learning programs participated.  This is 143% of the Board's goal to assist 14 early learning staff with Professional Development. This is beyond the Board's goal to serve 14 participants.</t>
  </si>
  <si>
    <t>WSB provided a training on the implementation of the infant through PreK Frog Street curriculum to 36 early learning program staff who are new to the exposure of the curriculum and needed further support and guidance. The training was provided by Frog Street on November 16, 2024.
Funding Source: CCQ</t>
  </si>
  <si>
    <t>A total of 36 early learning program staff attended from 14 early learning programs. This is beyond the goal for the Board to serve 14 participants.</t>
  </si>
  <si>
    <t>The Board assisted early learning programs on meeting and maintaining Texas Rising Star certification by purchasing equipment and materials for 6 early learning programs during this quarter. The educational materials, equipment, and resources are specific to supporting PreK through School-age development and meeting the Texas Rising Star criteria. 
Funding Source: CQF</t>
  </si>
  <si>
    <t>WSB will track the number of early learning programs receiving materials and/or equipment and if they attain or maintain the met category for indoor and outdoor criteria upon assessment. The Board has met 12% of the goal to assist 50 early learning programs with equipment and materials.</t>
  </si>
  <si>
    <t>WSB purchased educational equipment and materials to support early learning programs with planning intentional spaces and activities that will help children grow and develop through the Resource Room. This resource room provides immediate and easy access to the materials and equipment that would assist them in their environments and meet the Texas Rising Star criteria. There was a total of 25 programs that utilized the resource room and obtained materials and equipment for their child care facility.  
Funding Source: CCQ</t>
  </si>
  <si>
    <t>Surveys will be distributed  to those who have benefited from the resource room and overall results will be reported in the next quarter report. The measurable outcome is TBD.</t>
  </si>
  <si>
    <t>WSB used CCQ funds to continue to employ 1 TECPDS Specialist in order to meet the requirements to have designated staff to support programs with the TECPDS Workforce Registry. The staff provided support to both the early learning programs and Texas Rising Star mentor staff. The TECPDS Specialist validated 488 records this quarter and offered training to child care programs on how to open a TECPDS registry account and upload documents. 
Funding Source: CCQ</t>
  </si>
  <si>
    <t xml:space="preserve">WSB exceeded the 95% validation target for this quarter. WSB validated 488 records this quarter, our percentage for this quarter is 122%. </t>
  </si>
  <si>
    <t>WSB is using CCQ funds to continue to employ 2 part-time Infant-Toddler Specialists in order to meet the requirements to have designated staff to support programs who serve infants and toddlers and participate in the Texas Infant-Toddler Specialist Network.  The Infant-Toddler Specialists are scheduled to attain certification in January 2025.  The Infant-Toddler Specialists will at minimum provide 3 group training sessions and work with 30 early learning programs for this fiscal year.  
Funding Source: CCQ</t>
  </si>
  <si>
    <t>WSB is using CCQ funds to continue to employ 6 Texas Rising Star mentors who are currently support 289 early learning contracted programs with obtaining and maintaining their Texas Rising Star certification level through mentoring services that include but not limited to, guidance, coaching, and mentoring. 
Funding Source: CCQ mentor-specific funding</t>
  </si>
  <si>
    <t>Texas Rising Star mentors conducted 272 program visits where they provided guidance, coaching, and mentoring support during this quarter. The Board has assisted 94% of the goal to assist 289 early learning programs.</t>
  </si>
  <si>
    <t xml:space="preserve">WSB Quality Support Oversight Manager conducted oversight of the 6 Texas Rising Star mentor's activities that consisted of mentoring programs that are on the Texas Rising Star pathway and/or certified. The manager provided support, guidance and tracked the outcomes of Initial Assessments. This quarter there were 36 programs scheduled for initial Texas Rising Star assessment. 
Funding Source: CCQ </t>
  </si>
  <si>
    <t>Of the 36 programs scheduled for an Initial Assessment, 33 or 92% of the programs received Texas Rising Star certification.</t>
  </si>
  <si>
    <t>First Aid and CPR Training was provided to 32 participants from 7 early learning programs.
Funding Source:  CCQ</t>
  </si>
  <si>
    <t>The Board's goal is to support 90 early learning programs with CPR/First aid training.  The Board has met 7% of this goal in Q1, serving 7 early learning programs.</t>
  </si>
  <si>
    <t>FBI Fingerprints reimbursements to 6 early learning programs for 12 participants.
Funding Source:  CCQ</t>
  </si>
  <si>
    <t>The Board's goal is to support 90 early learning programs with FBI fingerprints. The Board has met 6% of this goal in Q1 assisting 6  early learning programs.</t>
  </si>
  <si>
    <t>Infant Toddler Specialist provided training expertise specific to the Infant and Toddler staff allowing for improvement in quality care.  The Infant Toddler Specialist provided in-person training to 34 early learning programs with 179 participants. 
Funding Source:  CCQ mentor-specific funding</t>
  </si>
  <si>
    <t>The Board's goal is to support 90 early learning programs.  The Board met 38%  of this goal in Q1.</t>
  </si>
  <si>
    <t>Infant/Toddler expansion for 1 early learning program.  Provided 1 changing table, 1 - 10 cubby wall locker, ad 10 cribs to expand the early learning program's infant capacity. 10 new infant slots were generated.
Funding Source: CCQ</t>
  </si>
  <si>
    <t>Expanding Texas Rising Star programs by providing materials and equipment to increase capacity for Infant and toddler classrooms in our Board area.  The Board's goal is to increase 10 Texas Rising Star infant slots.  The Board met 100% of their goal in Q1.</t>
  </si>
  <si>
    <t>Provided Back-office solutions to 8 early learning programs to allow for Director/Administrators to be out of the office more and into the classroom working with teachers.
Funding Source:  CCQ</t>
  </si>
  <si>
    <t>To decrease the number of licensing deficiencies cited by Child Care Regulation specific to paperwork. The measurable outcome is TBD.</t>
  </si>
  <si>
    <t>Provided a stipend to pay for CDA application to 1 individual for obtaining a Child Development Associates credential in order to increase the quality of care at the child care program.
Funding Source: CCQ</t>
  </si>
  <si>
    <t xml:space="preserve"> The Board's goal is to reach 20 individuals within our Board area to obtain their credential.  The Board met 5% of their goal in Q1</t>
  </si>
  <si>
    <t>Provided Lakeshore kits to every early learning program classroom after they submitted their Texas Rising Star assessment request. 5 early learning programs received $500 Lakeshore Kits grant for requesting to become Texas Rising Star certified.
Funding Source:  CCQ</t>
  </si>
  <si>
    <t>The Board's goal is to distribute 40 kits.  The Board has distributed 27 kits to 5 early learning programs which met 68% of this goal in Q1.</t>
  </si>
  <si>
    <t>2 early learning programs received a $3,000 outdoor equipment grant for obtaining Texas Rising Star certification.
Funding Source:  CCQ</t>
  </si>
  <si>
    <t>Provide $3,000 to each early learning program that obtains their Texas Rising Star certification to increase their scores in Category 4 of the Classroom Assessment Record Form.  The Board's goal is to support 90 centers.  The Board met 2% of this goal in Q4.</t>
  </si>
  <si>
    <t>4 early learning programs received a $4,000.00 stipend for achieving a Texas Rising Star certification 
Funding Source: CCQ</t>
  </si>
  <si>
    <t xml:space="preserve">  The Boards goal is 40 centers.  The Board met 10% of their goal.</t>
  </si>
  <si>
    <t>32  early learning programs received tiered financial Recognition Incentives based on the number of Child Care Services children they have in their center. Amounts were based on the percentage of CCS children 30-50%  (Homes $1500/ Centers $ 3000), 51-75%, (Homes $ 2500/ Centers  $ 5000) 76-100% (Homes $ 3500 / Centers  $7000).
Funding Source:  CQF</t>
  </si>
  <si>
    <t>To increase the number of Child Care Services scholarship children in our  early learning programs.  The goal is to reach 60  early learning programs.  The Board met 53% of their goal in Q1.</t>
  </si>
  <si>
    <t>Texas Rising Star Personnel costs for 4 mentors/staff
Funding Source: CCQ mentor-specific funding</t>
  </si>
  <si>
    <t>100% of the Board's goal to support 90 early learning programs was met in Q1.</t>
  </si>
  <si>
    <t>Provided 3 full time Texas Rising Star staff with salaries, benefits and travel.
Funding source: CCQ mentor-specific funding</t>
  </si>
  <si>
    <t>Continue to assist child care programs in maintaining quality care throughout the Concho Valley through mentoring services. The Board has assisted 45 early learning programs of the 51 goal the Board has set for FY25. 88.24% of the Board's goal has been met.</t>
  </si>
  <si>
    <t>3 Texas Rising Star staff members have attended 3 out of the 3 offered Peer Learning Communities groups offered this quarter to assist mentoring staff with best practices, engagement activities and peer feedback. Mentors have been in attendance and videos have been submitted. The intent of this activity is for Texas Rising Star staff to attain new skills to better assist the child care programs within our region. The impact would be for all eligible child care programs to become Texas Rising Star certified and retain or go up in star level for already certified programs by their eligibility deadlines.  
Funding source: CCQ mentor-specific funding</t>
  </si>
  <si>
    <t>Hosted an Ages and Stages Implementation in-person training for early learning program directors and administrative staff. The reach and impact of this activity was to 16 early learning program directors and administrative staff, representing 8 child care programs. ASQ Implementation Training took place on 11/2/2024.
Funding source: no funds were expended to support this activity for Q1</t>
  </si>
  <si>
    <t xml:space="preserve">16 participants of the 20 (80%) participant goal for Professional Development has been reached in for this activity Quarter 1. </t>
  </si>
  <si>
    <t>Hosted 3 virtual Infant and Toddler Training Events for early learning program practitioners provided by the Board's Infant Toddler Specialist. The reach and impact of this activity was to 40 early learning program practitioners, representing 3 child care programs. Infant and Toddler Training events took place on 10/15/2024, 11/19/2024, and 12/17/2024.
Funding source: no funds were expended to support this activity for Q1</t>
  </si>
  <si>
    <t xml:space="preserve">The Board originally planned to provide this Professional Development opportunity to 20 participants. The Board provided this activity to 40 participants, exceeding the Board's original goal. </t>
  </si>
  <si>
    <t>Hosted an in-person "Rural Child Care Collaboration Summit Training Event" for rural early learning program practitioners and directors. The reach and impact was to 17 early learning program practitioners and directors, representing 3 child care programs. The training event took place on 11/9/2024.
Funding source: CCQ 2%  (besides Texas Rising Star mentor staff mileage reimbursement, no funds were expended to support this activity for Q1)</t>
  </si>
  <si>
    <t xml:space="preserve">17 participants of the 20 (85%) participant goal for Professional Development has been reached in for this activity Quarter 1. </t>
  </si>
  <si>
    <t>Hosted director and practitioner Peer Learning Communities on topics requested by early learning program data from the 2024-2025 Concho Valley Early Learning Programs Professional Development Survey, (completed by all Concho Valley early learning programs- September 4, 2024-September 11, 2024). The reach and impact was to 22 early learning program practitioners and directors, representing 2 child care programs. 
Funding source: no funds were expended to support this activity for Q1</t>
  </si>
  <si>
    <t xml:space="preserve">The Board originally planned to provide this Professional Development opportunity to 20 participants. The Board provided this activity to 22 participants, exceeding the Board's original goal. </t>
  </si>
  <si>
    <t>Infant Toddler Guidelines Training  - 2 Hours,  in person training with 44 attendees
 This activity is based on needs assessments and interviews to obtain firsthand data about current training  needs of early learning programs.   
Funding Source: CCQ</t>
  </si>
  <si>
    <t>We estimate to have up to 300 total professional development participants. In Q1 Heart of Texas has reached about 15% of this goal with this activity.
Success will also be measured by the number of participants, increase in knowledge, sustained motivation and job satisfaction. We will use pre- and post-surveys, CQIPs, decrease in deficiencies from Child Care Regulation, and the increase in Texas Rising Star certification levels. By the end of the 1st quarter, we have met 25% of our targeted outreach and goal for the year.</t>
  </si>
  <si>
    <t>Pre-K Guidelines Training - 2 Hours, in-person training with 47 attendees
 This activity is based on needs assessments and interviews to obtain firsthand data about current training  needs of early learning programs.   
Funding Source: CCQ</t>
  </si>
  <si>
    <t>We estimate to have up to 300 total professional development  participants.  In Q1 Heart of Texas has reached about 16% of this goal with this activity. 
Success will also be measured by the number of participants, increase in knowledge, sustained motivation and job satisfaction. We will use pre- and post-surveys, CQIPs, decrease in deficiencies from Child Care Regulation, and the increase in Texas Rising Star certification levels. By the end of the 1st quarter, we have met 25% of our targeted outreach and goal for the year.</t>
  </si>
  <si>
    <t>Virtual Texas Rising Star Category 2 &amp; 4 - 2 Hours with 30 attendees
This activity is based on needs assessments and interviews to obtain firsthand data about current training needs of early learning programs. 
Funding Source: CCQ</t>
  </si>
  <si>
    <t>We estimate to have up to 300 total professional development participants.  In Q1 Heart of Texas has reached  10% of the goal with this activity.
Success will also be measured by the number of participants, increase in knowledge, sustained motivation and job satisfaction. We will use pre- and post-surveys, CQIPs, decrease in deficiencies from Child Care Regulation, and the increase in Texas Rising Star certification levels. By the end of the 1st quarter, we have met 25% of our targeted outreach and goal for the year.</t>
  </si>
  <si>
    <t>Virtual Texas Rising Star Category 1 &amp; 3 - 2 Hours with 19 attendees
This activity is based on needs assessments and interviews to obtain firsthand data about current training needs of early learning programs.   
Funding Source: CCQ</t>
  </si>
  <si>
    <t>We estimate to have up to 300 total professional development participants.  In Q1 Heart of Texas has reached about 6% of the goal with this activity.
Success will also be measured by the number of participants, increase in knowledge, sustained motivation and job satisfaction. We will use pre- and post-surveys, CQIPs, decrease in deficiencies from Child Care Regulation, and the increase in Texas Rising Star certification levels. By the end of the 1st quarter, we have met 25% of our targeted outreach and goal for the year.</t>
  </si>
  <si>
    <t>Minimum Standards Training provided by Child Care Regulation staff  - 3 hours,  in-person with 37 attendees
This activity is based on needs assessments and interviews to obtain firsthand data about current training  needs of early learning programs.
Funding Source: CCQ</t>
  </si>
  <si>
    <t>We estimate to have up to 300 total professional development participants. Heart of Texas has reached about 12% of the goal with this activity.
Success will also be measured by the number of participants, increase in knowledge, sustained motivation and job satisfaction. We will use pre- and post-surveys, CQIPs, decrease in deficiencies from Child Care Regulation, and the increase in Texas Rising Star certification levels. By the end of the 1st quarter, we have met 25% of our targeted outreach and goal for the year.</t>
  </si>
  <si>
    <t>Provided grants to 22 early learning program staff to attend Texas Association for the Education of Young Children State Conference
This activity is based on needs assessments and interviews to obtain firsthand data about current training needs of early learning programs.  
Funding Source: CCQ</t>
  </si>
  <si>
    <t>We estimate to have up to 300 total professional development participants.  Heart of Texas has reached about 7% of the goal with this activity.
Success will be measured by the number of participants, increase in knowledge, sustained motivation and job satisfaction. We will use pre- and post-surveys, CQIPs, decrease in deficiencies from Child Care Regulation, and the increase in Texas Rising Star certification levels. By the end of the 1st quarter, we have met 25% of our targeted outreach and goal for the year.</t>
  </si>
  <si>
    <t>Texas Rising Star Personnel Costs
Pay salary and fringe for 4 full-time mentors, 1 part-time quality initiative coach, 1 Texas Rising Star support staff, and 1 full-time Provider Services Manager, plus materials, supplies, and travel. This activity aligns with the Boards Plan to increase the supply of quality child care. Staff provided 544 mentoring hours to an estimated 107 early learning programs to support obtaining, maintaining, or increasing star level within Texas Rising Star.  
Funding Source: CCQ mentor-specific funding</t>
  </si>
  <si>
    <t xml:space="preserve"> Staff provided 544 mentoring hours to an estimated 107 early learning programs to support obtaining, maintaining, or increasing star level within Texas Rising Star. 
This quarter included 12 new/initial Texas Rising Star-certified programs and 8 recertified Texas Rising Star programs who either maintained or increased their star level. Heart of Texas has reached about  40% of the goal for this activity. </t>
  </si>
  <si>
    <t>Texas Rising Star Initial or Recertification Stipends
This activity is based on Texas Rising Star assessment results and Continuous Quality Improvement Plans of early learning programs. This activity provided 18 programs who achieve initial certification or recertification with a stipend. It provided materials, equipment, and resources to assist in meeting Texas Rising Star requirements, including but not limited to, classroom furniture, developmentally appropriate learning materials, outdoor equipment, and gross motor equipment. Stipends for staff may also be provided.  
Funding Source: CCQ</t>
  </si>
  <si>
    <t xml:space="preserve">The estimated reach will be 20 Entry Level-designated early learning programs who attain certification and 35 early learning programs who maintain their Texas Rising Star Certification. We met 60% of our goal for initial Texas Rising Star Certifications and 23% of our goal for recertifications.
</t>
  </si>
  <si>
    <t>CPR and First Aid
This activity provided monthly First Aid/CPR classes for 63 staff of early learning programs. The class will enhance continuous health &amp; safety in early learning  programs.  
Funding Source: CCQ</t>
  </si>
  <si>
    <t xml:space="preserve">We estimate 300 participants annually. This quarter, 63 early learning  program staff were either initially certified or recertified. This is 21% of the Board's goal to serve 300 participants.  </t>
  </si>
  <si>
    <t>Provided in-house training to Texas Rising Star-certified and Entry Level-designated programs using qualified Texas Rising Star Staff with the goal of helping educators meet their annual training requirements. No quality funds were used for these trainings. A total of 656 early learning staff received training hours in Quarter 1.  88 In-Person; 568 Virtual
Funding Source: No quality funds used.</t>
  </si>
  <si>
    <t xml:space="preserve">As of Quarter 1 the Board has achieved 43% of our 95% goal of providing training to 1,500 Directors and Teachers in FY2025. </t>
  </si>
  <si>
    <t>11 scheduled subcontracted trainings were held in the 1st Quarter. All trainings are research-based to help early learning programs meet their annual training requirement. A total of 277 early learning staff participated and received training hours.  81 In-Person; 196 Virtual
Funding Source: CCQ</t>
  </si>
  <si>
    <t xml:space="preserve">As of Quarter 1 the Board has achieved 18% of our 95% goal of providing training to 1,500 Directors and Teachers in FY2025. </t>
  </si>
  <si>
    <t>CPR, First Aid and AED Training was provided to early learning program staff. A total of 5 classes were conducted in the 1st Quarter, 3 in English and 2 in Spanish. 124 early learning staff participated and received their First Aid/CPR Certification during that time (these numbers were counted toward live/in-person training on the quarterly data tab). 
Funding Source: CCQ</t>
  </si>
  <si>
    <t xml:space="preserve">As of Quarter 1 the Board has achieved 41% of our 95% goal of providing First Aid/CPR to 300 early learning program staff in FY2025. </t>
  </si>
  <si>
    <t>Maintained CLASS Assessment Certification for 1 Texas Rising Star staff already certified to assist programs with measuring effective interactions. This will assist mentors with improving program scores in Category 2, which is weighted heavier under the Texas Rising Star Guidelines. 
Funding Source: CCQ</t>
  </si>
  <si>
    <t xml:space="preserve">The measurable outcome for this activity will be assessed at the end of the Fiscal Year. </t>
  </si>
  <si>
    <t xml:space="preserve">Texas Rising Star Staff salary and expenditures. Workforce Solutions Capital Area maintained 11 Texas Rising Star mentors and an Industry Support Specialist in Quarter 1. Throughout the First Quarter, Texas Rising Star mentors provided in-person or virtual mentoring to 198 unduplicated early learning programs. 
Funding Source: CCQ mentor-specific funds </t>
  </si>
  <si>
    <t xml:space="preserve">As of Quarter 1 the Board has achieved 56% (198) of our 95% goal of providing mentoring to 349 unduplicated Early Learning Programs throughout FY2025. </t>
  </si>
  <si>
    <t xml:space="preserve">12  early learning program staff received ASQ-3 Training in Quarter 1. These 12 staff were included in the Professional Development in-person numbers on the Quarterly Data tab. 
Funding Source: Training was done in-house therefore no quality funds were used. </t>
  </si>
  <si>
    <t xml:space="preserve">1 program received 2 ASQ-3 starter kits (1 English, 1 Spanish) in Quarter 1 in order to begin utilizing ASQ in their programs. Kits were purchased in previous Fiscal Year, therefore no current funds were used. </t>
  </si>
  <si>
    <t>Professional Development for Infant/Toddler (health &amp; safety)
Family Engagement (Part 1) - Partnering with Families
Family Engagement (Part 2) - Play Based Learning
13 Individuals attended trainings on family engagement for infant and toddlers, increasing awareness and knowledge on how to better engage families of infants and toddlers in their learning helping these individuals maintain or increase their Category 2 scores. 
Funding: CQF</t>
  </si>
  <si>
    <t>13 of 65 (total goal) individuals received training on Family Engagement and obtained tools for engaging families enrolled in their infant and toddler classrooms. Star-level designation currently not available due to delay in assessments by the CAE.</t>
  </si>
  <si>
    <t>CPR &amp; First Aid Certification
17 individuals from 8 early learning programs received in-person CPR &amp; First Aid training in Cedar Park, adding to workplace safety, life-saving skills, and  compliance with regulations, decreasing potential instances of citations from Child Care Regulation due to non-compliance for their early learning program, thus maintaining their Texas Rising Star certification status.  
Funding: CCQ</t>
  </si>
  <si>
    <t xml:space="preserve">17  individuals from 8 different early learning programs, earned their CPR &amp; First Aid certification. Certification is good for two years, ensuring licensing deficiencies cited by Child Care Regulation for expired CPR &amp; First Aid Certification are reduced. 8 of 120 (total goal) early learning programs were served. </t>
  </si>
  <si>
    <t>Professional Development Opportunities
Directors Conversations - Community of Practice
80 Director's came together to learn and discuss the benefits of Early Childhood Intervention and the referral process, Infant &amp; Toddler Specialist Network resources, increasing their knowledge of Early Childhood Intervention services and the referral process.
20 Infant and Toddler professionals came together to discuss the benefits of Family Engagement and exchange ideas for best practices, increasing their knowledge of best practices for family engagement helping their programs increase or maintain their star level rating. 
100 total participants.
Funding: CQF</t>
  </si>
  <si>
    <t xml:space="preserve">Ongoing </t>
  </si>
  <si>
    <t xml:space="preserve">80 of 600 (goal) directors participated in a community of practice presentation. Potentially increasing in the number of referrals for early childhood intervention or health care. According to the survey, 88% felt confident with the process after the discussion. Star-level designation currently not available due to delay in assessments by the CAE.
20 out of 65 (total goal) staff participated in a professional learning community discussion on best practices for family engagement specific to infant toddler. Star-level designation currently not available due to delay in assessments by the CAE.
</t>
  </si>
  <si>
    <t>Texas Rising Star Staff salaries, travel, benefits, etc. 
11 Early Education Specialists (mentors) continued to provided mentoring services in order to assist early learning programs in obtaining or maintaining Texas Rising Star certification. Mentoring took place either virtually or in person and in various formats: 1-on-1, Peer Learning Community, or Director's Conversation. 254 early learning programs received 1:1 mentoring services during Q1. 
80 early learning program representatives participated in Director Conversations. 
Staff supports 318 programs in the Board area.
Additionally, 3 quality support staff were funded during this time.
Funding: CCQ mentor-specific funding</t>
  </si>
  <si>
    <t xml:space="preserve">254 early learning programs received 1:1 mentoring services during Q1. 80 early learning program representatives participated in Director Conversations. Staff supports 318 programs in the Board area. 
Complete outcomes are TBD. </t>
  </si>
  <si>
    <t xml:space="preserve">Complete outcomes are TBD. </t>
  </si>
  <si>
    <t>PBS Child Care Partnership 
Rural Capital  partnered with Capital Area and PBS Kids to support early learning programs serving CCS families by providing PBS Kids resources to support quality learning. This was accomplished through workshops, training, coaching, technology support, and establishing Home-to-School Connections within partner programs. All participating early learning programs utilizes PBS Kids within their daily curriculum. 
All 10 participating early learning programs received an iPad and individual mentoring and training on how to utilize them in the classroom. Each classroom received a classroom set of books for cultivation in the class and at home. Each teacher received 1 hour of training for this quarter. 
12 teachers at 10 different centers in Rural Capital received equipment and mentoring from PBS Austin. Each participating teacher earned at least 1 hour of training for this quarter.
Funding: CQF</t>
  </si>
  <si>
    <t xml:space="preserve"> This year 4 early learning programs have graduated from the project allowing 4 new programs to join. 
This activity is on going, complete outcomes are TBD. </t>
  </si>
  <si>
    <t>Shared Service Alliance Initiative
Rural Capital has provided this opportunity to early learning programs in 4 of the 9 counties. There are 2 different service contractors covering 2 different areas. In total the service contractor has held 5 initial interest meetings in Q1. There are a total of 25 early learning programs that have joined the Shared Services Alliance. 
Funding: CCQ</t>
  </si>
  <si>
    <t xml:space="preserve">Williamson County is serving 10 early learning programs with 3 more in pipeline who will be joining in the next quarter. Bastrop, Hays, and Fayette County is serving 15 early learning programs. 
This activity is on going, complete outcomes are TBD. </t>
  </si>
  <si>
    <t xml:space="preserve">2 mentors attended a third party TWC annual conference in Grapevine, TX 12/04-12/06/2024
Funding Source: CCQ </t>
  </si>
  <si>
    <t xml:space="preserve">Increased knowledge of Workforce programs and the integration of services that are provided through the Texas Workforce Commission across the State of Texas. </t>
  </si>
  <si>
    <t xml:space="preserve">Lunch and Learn 12/10/2024 - An information session on Texas Rising Star updates was provided to 33individuals in person &amp; 15 virtually from 48 programs.  
120 programs received the updates electronically
Funding Source:  CCQ </t>
  </si>
  <si>
    <t>Increase knowledge of changes to Texas Rising Star Self-Assessment effective 10/01/2024,  specific to requirements for the Structural Assessments (Desk Review) for Entry Level-designated programs. 120 programs received the updates electronically with 48 programs receiving the information in person and or virtually. Our target goal was to reach 100% of our providers. The information was distributed to all 120 programs, allowing for 100% of participation.</t>
  </si>
  <si>
    <t>Texas Rising Star Personnel - 3 mentors and 1 Child Care Coordinator (staff)
Funding Source: CCQ mentor-specific funding</t>
  </si>
  <si>
    <t>Staff salaries and benefits for Texas Rising Star mentors who will provide mentoring for centers/homes at Entry Level designation and existing centers/homes who wish to maintain or increase their Texas Rising Star star-level. (80 child care centers/homes)
Funding Source: CCQ Mentor-specific funds</t>
  </si>
  <si>
    <t>Actual YTD certified: 66%
Texas Rising Star-certified programs 2023-2024: 100% due to mandatory Texas Rising Star
(all others waiting on assessments or assessment date)</t>
  </si>
  <si>
    <t>Educational Incentives were given to 15 child care staff who obtained their CDA ($1000)
Funding Source: CCQ</t>
  </si>
  <si>
    <t>15 Child Care staff received an incentive for obtaining their CDA, this is approximately 104% of the staff who have received a CDA thus far. (remaining $250.00 will be given upon continued employment verification after 3 months)</t>
  </si>
  <si>
    <t>Board paid for hotel and registration fees for 33 child care program staff (representing 16 child care centers &amp; 2 child care homes) to attend the TXAEYC Conference in Frisco. Child care staff attended the annual TXAEYC conference to obtain required training hours.
Funding Source: CQF</t>
  </si>
  <si>
    <t>33 child care staff attended the TXAEYC Conference to obtain Child Care Regulation required training hours on topics relevant to Texas Rising Star and their classroom. This is 5% of the Board's goal to support 650 staff with training opportunities.</t>
  </si>
  <si>
    <t>First Aid/CPR Training provided to  57 child care staff
Funding Source: CCQ</t>
  </si>
  <si>
    <t>57 child care staff members received First Aid/CPR training as required by Child Care Regulation. This is 29% of the Board's goal to have 200 providers CPR/First Aid certified in FY25.</t>
  </si>
  <si>
    <t>Texas Rising Star mentors provided training on topics specific to Texas Rising Star measures to 76 child care staff.
Funding Source: CCQ</t>
  </si>
  <si>
    <t>76 child care staff members received training hours on topics relevant to Texas Rising Star. This is 12% of the Board's goal to support 650 staff with training opportunities.</t>
  </si>
  <si>
    <t>2 hrs. of training was provided for infant/toddler teachers this quarter. The training topic was Building Bonds: Positive Teacher-Child Interactions. This is related to the Infant and Toddler HUB Training as described in the annual expenditure plan. Outreach was conducted to 108 early learning programs, with 26 participants attending Positive Interaction Training.  The focus on Positive Interaction training aligns with training topics such as the TX Early Learning Guidelines and Social &amp; Emotional Development, addressing children's social-emotional learning. 
Funding Source: CQF</t>
  </si>
  <si>
    <t>The success/outcome of these efforts will be measured over time through CQIP goals that evaluate improvements in children’s developmental milestones. TBD</t>
  </si>
  <si>
    <t>56 hrs. of professional development was provided this quarter. The training topics were Need Help Uploading your Texas Early Childhood Professional Development System (TECPDS) and CLI Documents? We've Got You Covered!, Building Connections: Texas Rising Star Category 2 Teacher Child Interactions, Advising Early Learning Programs: WFB 18's Role in Navigating Texas Rising Star Program Updates, Leading with Impact: Effective Leadership and Management, Talent Magnet: Strategies for staff recruitment and retention, If Not You Than Who - Positive Teacher Child Interactions, Managing Challenging Behaviors: Effective Strategies for Supporting Children with Special Needs, Leadership Essentials: Navigating Inclusion, Assessments, and System Updates, Mastering the Classroom: Effective Management and Behavior Guidance, Weekly Lesson Plans that Engage and Inspire, and Supporting Children with Special Needs: Social Emotional and Behavior.
These efforts/trainings align with improving teacher-child interactions (Category 2) and qualifications and training (Category 1). There was a total of 379 individual participants from 62 Early Learning Programs.
Funding Source: CQF</t>
  </si>
  <si>
    <t>The success/outcome of these efforts is measured over time through CQIP goals that evaluate improvements in children’s developmental milestones. TBD</t>
  </si>
  <si>
    <t>We provided 27 early learning programs with materials to help improve and/or maintain their quality of care to help prepare for their upcoming recertification assessment in 2025. (Linked to Recertification Incentive via Annual Expenditure Plan).
Funding Source: CQF</t>
  </si>
  <si>
    <t>Success/outcome was measured by retention rates of Texas Rising Star-certified programs, completion of CQIP requirements, and pre/post tests and surveys. 
Of the 27 Certified Texas Rising Star programs eligible for recertification in 2024-25, 6 were eligible in Quarter 1, and all 6 met the goal, achieving 22% of the Board’s annual target. The technical support provided during Quarter 1 played a key role in these recertification successes. However, none of the 6 programs have been assessed yet, so the final outcome is still to be determined. Retention rates for Texas Rising Star certifications and ongoing survey feedback will continue to evaluate the effectiveness of the support provided.</t>
  </si>
  <si>
    <t>Texas Rising Star Personnel costs for 5 mentors
Funding Source: CCQ mentor-specific funding</t>
  </si>
  <si>
    <t>n/a</t>
  </si>
  <si>
    <t>Frog Street Curriculum kits Infant, Toddler, Three's and PreK were purchased for each center.  Newly contracted centers received kits and training was offered on how to utilize the age appropriate kits. Implementation of Curriculum occurred in the classrooms. 268 classrooms in 62 early learning programs were impacted. 
Funding: CQF</t>
  </si>
  <si>
    <t>Centers using the Frog Street Curriculum are scoring on average a 3 on Texas Rising Star assessments for Category 3: P-PM-03 and P-PM-04. A 3 or better was our goal.  Currently we are meeting this goal and will continue to monitor on an ongoing basis. (12-31-2024)</t>
  </si>
  <si>
    <t xml:space="preserve">Vickie Maertz, certified Texas Early Childhood Professional Development System Trainer, offered a workshop on STEM Centers on Oct. 19, 2024. 23 attendees in-person training
Funding:  CCQ </t>
  </si>
  <si>
    <t>23 early learning staff were provided Professional Development in Q1. This is 4% of the Board's goal to provide Professional Development to 600 participants in FY25.</t>
  </si>
  <si>
    <t>Both Texas Rising Star mentors completed the Infant Toddler Specialist Training by Jan. 31, 2025. Start date was 10-1-2024. Training was completed and certification was awarded as a certified Infant Toddler Specialist.
Funding: CCQ mentor-specific funding</t>
  </si>
  <si>
    <t xml:space="preserve">Both mentors completed the training and were certified by Jan. 31, 2025. This goal is met. </t>
  </si>
  <si>
    <t>Texas Rising Star Personnel - 2 staff supported 58 early learning programs
Funding: CCQ mentor-specific funding</t>
  </si>
  <si>
    <t>2 staff supported 58 early learning programs in Q1 out of the 62 total number of early learning programs Golden Crescent serves.</t>
  </si>
  <si>
    <t>Indoor Learning Environments were identified as a need based on the first needs assessment for this quarter.  We purchased indoor materials for 62 early learning programs which included literacy materials, center materials such as soft seats for infants and toddlers as well as age appropriate bookshelves for all age groups, books on tape with Bluetooth tape recorders and books at varied age ranges. 
Funding: CCQ</t>
  </si>
  <si>
    <t>62/62 centers received the ordered items. Mentors verified the items being used in classrooms. 100% of the goal to assist 62 early learning programs was met this quarter.</t>
  </si>
  <si>
    <t>National Accreditation support by providing scholarships to 8 early learning programs to cover accreditation fees for Cognia, NAEYC, and NAFCC (5 licensed child care centers, 3 licensed or registered child care homes) These scholarships covered the initial or renewal accreditation fees, all 8 programs are certified programs and this assistance supports their certification and enhancing quality in their program.
Funding Source: CQF</t>
  </si>
  <si>
    <t xml:space="preserve">The Board has completed 26% of the goal to assist 30 early learning programs with National Accreditation financial support. </t>
  </si>
  <si>
    <t xml:space="preserve">Provided monetary incentives to child care staff that recently received initial certification. The incentive was based on the star level received during the assessment. 78 program staff received this incentive from 10 programs. Each staff received the following based on the star level; Two-Star- $75, Three-Star- $150 and Four-Star- $300.
Funding Source: CQF </t>
  </si>
  <si>
    <t>Program staff received an incentive for achieving certification. This is 10 of the 299 programs to receive an incentive in FY25.</t>
  </si>
  <si>
    <t>Provided 1076 individuals retention bonuses to 87 Texas Rising Star certified  programs to support staffing and retention.
Funding Source: CQF</t>
  </si>
  <si>
    <t>Program staff received a retention bonus to support staffing at certified programs 87 Texas Rising Star programs. This is 36% of the 1076 individuals to receive a bonus in FY25.</t>
  </si>
  <si>
    <t xml:space="preserve">Provided 8 scholarships to child care program staff for CDA renewals
Funding Source: CCQ </t>
  </si>
  <si>
    <t>The number of child care program staff attaining CDA. This is 22% of the Board's goal to assist 36 individuals with CDA renewals in FY25.</t>
  </si>
  <si>
    <t xml:space="preserve">Provided virtual training and in person opportunities to 708 registered child care professionals at 137 early learning programs over 15 different topics in English and Spanish (i.e., Social Emotional Development, CPR/First Aid Training, Assessments, Director Series, Play Series, Pre-K Interactive and Shared Writing, Early Childhood Education Trauma Informed Care, Family &amp; Culture and Pre-K Read Aloud)
There were 77 virtual participants and 631 in-person participants.
Funding source: CCQ </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</si>
  <si>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100% of the 200 registrants attending training in FY25</t>
  </si>
  <si>
    <t>Provided mentoring services to 579 early learning programs (277 Entry Level, 302 Texas Rising Star certified), 16 mentors, this includes their salaries, benefits, and travel.
Funding Source: CCQ mentor-specific funding</t>
  </si>
  <si>
    <t>This is 105% of the 550 programs of the goal to assist in enhancing quality.</t>
  </si>
  <si>
    <t xml:space="preserve">Provided business services to 98 early learning programs, 1 Business Specialist, this includes their salaries, benefits, and travel.
Funding Source: CCQ </t>
  </si>
  <si>
    <t>This is 17% of the goal to support 550 early learning programs with business supports. The Board tracks this through visits conducted by the business coach and the agreements signed for each program.</t>
  </si>
  <si>
    <t>Provided incentives to 65 Texas Rising Star programs to maintain certification. This activity provided a monetary incentive of $1,000 to $3,000 for programs to purchase materials for indoor/outdoor environment to enhance quality. 
Funding source: CQF</t>
  </si>
  <si>
    <t>This is 21% of the Boards goal to assist 302 certified providers.</t>
  </si>
  <si>
    <t xml:space="preserve">To enhance the quality of care for all children, educational materials/equipment were provided to 1 program (Pat's Day Care # 504592).  Educational materials/equipment will enhance the classroom in order to meet the children physical, cognitive, social/emotional and language and literacy domains.  
Funding Source: CCQ </t>
  </si>
  <si>
    <t xml:space="preserve">The Board measure the success of this activity by early learning programs maintaining or increasing their Texas Rising Star level of certification. </t>
  </si>
  <si>
    <t>Texas Rising Star Personnel - 4 mentors/staff
Funding Source: CCQ mentor-specific-funding</t>
  </si>
  <si>
    <t xml:space="preserve">Texas Rising Star mentor staff salaries
The 9 Texas Rising Star mentors provided mentoring services to 64 certified Texas Rising Star child care centers and 56 entry level designated child care centers for a total of 120 child care centers during the first quarter of BCY2025.   
Funding Source:  CCQ mentor-specific funding
</t>
  </si>
  <si>
    <t>The Texas Rising Star mentors are currently providing mentoring services to about 84% of our child care programs. As of December 31, 2024, there are 71 certified child care programs and 56 child care programs who have Entry Level extension waivers that are valid through September 30, 2025 and are identified as "assessment ready".  The mentors performance will ultimately be based on the Texas Rising Star star-level(s) each of their child care programs achieve on their initial Texas Rising Star assessment.</t>
  </si>
  <si>
    <t>8 Texas Rising Star mentor staff attended the Texas Association for the Education of Young Children (TXAEYC) Conference in Frisco, TX from 10-10-2024 to 10-12-2024.  The mentors participated in breakout sessions on various early childhood education topics and Texas Workforce Commission updates. This information will enhance their knowledge of early childhood education.
Funding Source:  CCQ mentor-specific funding</t>
  </si>
  <si>
    <t xml:space="preserve">The 8 Texas Rising Star mentors who attended the TXAEYC Conference in October 2024 received up to 13 clock hours of professional development training to help them satisfy the requirement of obtaining a minimum of 36 hours of professional development training annually. </t>
  </si>
  <si>
    <t>2 Texas Rising Star mentor staff attended the Texas Rising Star Early Educator Conference in Dallas, TX from 10-28-2024 to 10-30-2024. The mentors participated in breakout sessions on various early childhood education topics and Texas Workforce Commission updates. This information will enhance their knowledge of early childhood education.
Funding Source:  CCQ mentor-specific funding</t>
  </si>
  <si>
    <t xml:space="preserve">The 2 Texas Rising Star mentors who attended Texas Rising Star Early Educator Conference in October 2024 received up to 10 clock hours of professional development training to help them satisfy the requirement of obtaining a minimum of 36 hours of professional development training annually.                                                         </t>
  </si>
  <si>
    <t>Purchased instructional resources from Lakeshore for 30 Entry Level-designated programs.
Funding Source:  CQF</t>
  </si>
  <si>
    <t xml:space="preserve">Measurable outcome is TBD. </t>
  </si>
  <si>
    <t>Texas Rising Star child care programs were given the opportunity to attend the 2024 NAEYC Conference.  6 program staff attended a nationally known conference and learned about the latest research and best practices in the field of early childhood.  They also had the opportunity to participate in a wide range of networking opportunities at the 2024 NAEYC Conference. The selection process was tracked through an application tracking system, and the teachers were notified directly upon being selected to attend. 
Funding Source:  CCQ 2%</t>
  </si>
  <si>
    <t>The Board met 100% of the goal to serve 6 early learning staff with this activity.</t>
  </si>
  <si>
    <t>28 Texas Rising Star programs were awarded a research-based Curriculum for their classrooms to close achievement gaps and address any instructional needs in the age groups they serve. (Infant/ Toddler/ Threes/ Pre-K Curriculum). Teachers are scheduled to attend a training on how to implement the curriculum in their classroom on February 8, 2025. 
Funding Source:  CCQ 2%</t>
  </si>
  <si>
    <t xml:space="preserve"> 35% of the 80 estimated reach of this activity has been completed.</t>
  </si>
  <si>
    <t>45 Texas Rising Star programs were awarded a research-based School Age Curriculum and the Implementation Training to close achievement gaps and address any instructional needs in the age groups they serve. Teachers are scheduled to attend a training on how to implement the curriculum in their classroom on January 18, 2025. 
Funding Source: CCQ 2%</t>
  </si>
  <si>
    <t xml:space="preserve"> 68.18% of the 66 estimated reach of this activity has been completed.</t>
  </si>
  <si>
    <t>11/2/2024 - Virtual Session.  Child care professionals participated in 2 (1.5) hour sessions with presenter Keith Scott with KAS Consulting Group. 1st session A Survival Guide for Child Care Providers: Training was based on the book "A Survival Guide for Child Care Providers" by Karen Levin. Practical tips and reflections based upon observations of educators with years of resourceful experiences and seven guiding principles for early childhood education were shared. In addition, participants learned how to establish and achieve SMART, stretch, short and long term, professional development goals. 2nd Session Improving Customer Service in Early Childhood Education: In this interactive session, participants learned the latest methods for enhancing customer service and handling problems as childcare providers. The session assisted participants on becoming "Customer Driven" and learned how to take customer service to the next level in childcare. Participants gained proficiency in identifying their customer/children/parent needs and wants. 140 virtual attendees
Funding Source: CCQ 2%</t>
  </si>
  <si>
    <t xml:space="preserve">The Board continues to be on track towards reaching the goal of 2,130 of teachers receiving ongoing professional development opportunities to help child care professionals recognize childhood behaviors and understand developmental stages and milestones. (140 out of 2,130, 6.5%)                                                                                                      </t>
  </si>
  <si>
    <t>12/7/2024 - Child care professionals participated in 2 (3) hour sessions with presenter Susan J. Hancock with Hancock Professional Development Resources. 1st session Our Interruptive Lives in This Upside-Down World: The primary learners for this presentation were adult early childhood educators and directors/administrators who were interested in obtaining information on how to work through emotions during catastrophic circumstances within communities and work with children and families in their care.  2nd Session Helping Young Children Make Good Choices: This interactive session offered strategies on how educators can avoid power struggles and help children learn to make acceptable choices. Instead of trying to control children’s behavior and making all the choices for them, children need to be taught to make their own choices, and they can be guided in making “good” ones. When children feel empowered, they learn more and they learn more, because less time is spent trying to control their behavior. 92 in-person attendees
Funding Source: CCQ 2%</t>
  </si>
  <si>
    <t xml:space="preserve">The Board continues to be on track towards reaching the goal of 2,130 of teachers receiving ongoing professional development opportunities to help child care professionals recognize childhood behaviors and understand developmental stages and milestones.  (140+92= 232 out of 2,130, 10.8%)                                                                                                          </t>
  </si>
  <si>
    <t>The Texas Early Childhood Professional Development System (TECPDS) Specialist provided specific TECPDS support to 13 child care programs such as providing on-site visits to assist in scanning and entering certificates into TECPDS. In addition, the TECPDS Specialist also provided support by validating training, education and employment certificates/documents to 91 child care programs. 104 child care programs total.
Funding Source: CCQ 2%</t>
  </si>
  <si>
    <t>Validating certificates for 91 child care programs (approximately  68 directors and 135 teachers) and providing specific TECPDS onsite support to 13 child care programs (14 directors and 14 staff) helped child care programs with the Texas Rising Star Assessment Category 1 Director and Staff Qualification and Training measures.                                                                                                                                    The Board has successfully assisted 4 early learning programs out of the goal to assist 163, which is 2.45% of the Board's goal.</t>
  </si>
  <si>
    <t>Salaries for 13 Texas Rising Star mentor Staff. The Board continues to work towards reaching the goal of having 14 Texas Rising Star mentor Staff.
Funding Source: CCQ mentor-specific funding</t>
  </si>
  <si>
    <t>The Board has successfully assisted 4 early learning programs achieve certification out of the goal to assist 163, which is 2.45% of the Board's goal.</t>
  </si>
  <si>
    <t>Board sent 1 mentor to the NAEYC Annual Conference in Anaheim, CA. New resources and research were provided. Mentor has developed more in-depth CQIP with child care programs. New trainers and topics added to vendor list for future conference.
Funding Source: CCQ</t>
  </si>
  <si>
    <t>By attending the conference, the mentor is complying with the required 36 hours of annually professional development as outlined in §809.136. The mentor completed 16 hours of training, which is 44 % of their required annual professional development.</t>
  </si>
  <si>
    <t>The Board's Infant Toddler Specialist hosted 2 webinars which covered two topics: Language Strategies for Infant and Toddlers and CIRCLE Infant and Toddler Foundations Training Social &amp; Emotional. 43 early learning staff participated in this training.
Funding Source: CCQ</t>
  </si>
  <si>
    <t xml:space="preserve">30 of 43 teachers reported in a post-assessment survey that they have a better understanding of infant and toddler education, feel more confident in their classrooms, and are willing to continue working in the early childhood field, which will assist them in Category 2. The other 13 teachers did report a better understanding, but did request additional support in their classrooms. The 7 directors reported they have improved their information dissemination to their staff and have improved their training plans to better align with Texas Rising Star requirements. </t>
  </si>
  <si>
    <t>Mentors hosted a Peer Learning Community (PLC) session for 43 child care teachers to provide an in-depth review of Category 2 and assist teachers to develop a better understanding of the 6 subcategories and Key Behaviors. A star was created for each subcategory that contains key points and ideas. Teachers will place the stars on the wall to serve as reminders of what to focus on.
Funding Source: CCQ mentor-specific funding</t>
  </si>
  <si>
    <t>The Board hosted a Celebrate Social Emotional Learning bootcamp. The purpose is assist programs in maintaining and increasing the overall Texas Rising Star Category 2. 58 programs with 2 participants from each program were part of this pilot program - total of 116 participants.
Funding Source: CCQ</t>
  </si>
  <si>
    <t>This was second and final training of the pilot group from the 2023-24. An overall 85% of the early learning programs report that they now utilize Celebrate when developing their lesson plans and has cross-trained their teaching staff to use the activities in their classrooms. In a post-assessment conducted, 100% of the bootcamp attendees report that the training sessions helped to clarified their understanding and application of the program. 25 Directors who participated in the training stated that they understand how this can help with classroom interactions.</t>
  </si>
  <si>
    <t>The Board's TECPDS Specialist assisted programs by scheduling support sessions to help the program staff link their TECPDS accounts to their program and upload certificates to comply with training plans requirements. 159 participants were assisted.
Funding Source: CCQ</t>
  </si>
  <si>
    <t>All attendees were successful in linking their accounts and uploading any pending certificates that will assist the programs to comply with Category 1 measure P-CQT-04. This was 28.8% of the Board's goal to assist approximately 550 early learning staff.</t>
  </si>
  <si>
    <t>The Board is fully staffed and has 6 FTE mentors, 1 FTE quality initiative coordinator, and 1 FTE Program Support Specialist. Board is using CCQ funding for 2 FTE positions: Child Care Quality Initiative Coordinator and Texas Rising Star Onboarding Specialist.  The Program Support Specialist is also the Board's TECPDS Specialist. 1 mentor serves as the Board's Infant and Toddler Specialist. There are no current vacancies.
Funding Source: CCQ mentor-specific and CCQ</t>
  </si>
  <si>
    <t>Texas Rising Star mentors have worked with 143 early learning programs (as of 12/31/2024) to meet the compliance of the Texas Rising Star Program and have assisted 44 early learning programs earn a Four-Star certification on their initial or recertification assessments (09/01/24-12/31/24). The Board's Child Care Quality Initiative Coordinator has helped the Board increase the professional development opportunities to early learning programs from 3 to 7, an increase of 133.33%. The Board's TECPDS Specialist worked to increase TECPDS utilization among early learning programs and currently has outreached 28.7% of the early learning programs.</t>
  </si>
  <si>
    <t>Purchased materials and equipment to assist 2 early learning programs with the certification process. The items will assist improving in areas of concerns in Category 4
Funding Source: CCQ</t>
  </si>
  <si>
    <t>Mentors report that both programs have updated the classroom environment of their pre-school classrooms. Project is ongoing and final yearly outcome will be updated in a later report.</t>
  </si>
  <si>
    <t xml:space="preserve">Contracted staff fees for mentors who work with current Texas Rising Star programs along with Entry Level programs in the process of pursuing Texas Rising Star.
Data noted here are all programs in our area that either are Texas Rising Star (31) or are pursuing certification and in Entry Level-designated status (21). 
7 facilities attained Texas Rising Star certification during this quarter.
Funding Source: CCQ mentor-specific </t>
  </si>
  <si>
    <t>Followed Texas Rising Star Guidelines related to required activities for all Texas Rising Star and Entry Level-designated programs. The mentoring process is ongoing as Entry Level-designated programs prepare for a Texas Rising Star assessment, thus the activity status is ongoing. 
Outcomes are TBD at this point.</t>
  </si>
  <si>
    <t xml:space="preserve">The Board TECPDS Specialist has been validating documents in TECPDS for child care programs that were/are pending their initial assessment or recertification assessment for Texas Rising Star. 10 early learning programs reviewed, encompassing 34 staff
Funding Source: CCQ mentor-specific </t>
  </si>
  <si>
    <t>Reviewed staff documents loaded into TECPDS to support the Texas Rising Star process for education and professional development hours to ensure accuracy. Processing facilities that are pending an initial assessment (those now marked as Ready for Assessment). As this process will continue into next fiscal year, marked as ongoing. Outcomes are TBD at this point.</t>
  </si>
  <si>
    <t>Supported 7 newly certified Texas Rising Star facilities with a monetary incentive and a recognition banner as a result of their certification. 
Funding Source: CQF - Incentive for certification achievement; 
CCQ - Texas Rising Star Banners</t>
  </si>
  <si>
    <t>Increased Texas Rising Star facilities by 7 in this quarter. Marked this activity as ongoing as we continue to bring new programs into Texas Rising Star.
Outcomes for the year are TBD at this point.</t>
  </si>
  <si>
    <t>Conducted a general training session titled From Stressful to Joyful: Lessons Learned from Little Humans on 11/19/24.
27 attendees from 6 centers and 2 homes participated.
Funding Source: CQF</t>
  </si>
  <si>
    <t>Increased knowledge of 27 staff on various professional development topics related to child development, specifically related to social/emotional issues and challenging behaviors.
Participants in the professional development activity completed satisfaction evaluations at the conclusion of the event and reported that items learned could be taken back and used in the classroom.
Data noted above was determined based on professional development satisfaction evaluations taken at the conclusion of the event. This training is considered successful since at least 15 participants attended the event and noted that they can take lessons learned back to their classroom for implementation.</t>
  </si>
  <si>
    <t>Conducted a general training session titled Splish, Splash, Feel: Sensory Play is Important on 12/10/24.
17 attendees from 4 centers and 2 homes participated.
Funding Source: CQF</t>
  </si>
  <si>
    <t>Increased knowledge of 17 staff on various professional development topics related to child development.
Participants in the professional development activity completed satisfaction evaluations at the conclusion of the event and reported that items learned could be taken back and used in the classroom. 
Data noted above was determined based on professional development satisfaction evaluations taken at the conclusion of the event. This training is considered successful since at least 15 participants attended the event and noted that they can take lessons learned back to their classroom for implementation.</t>
  </si>
  <si>
    <t xml:space="preserve">Offered an incentive for educational attainment for a Child Development Associate - Occupational Skills Award (1 staff) and earning the National Child Development Associate (CDA) Credential (2 staff), from two facilities. One of these same staff people also earned a three month continued employment incentive as a result. 
Funding Source: CQF </t>
  </si>
  <si>
    <t>Outcomes are TBD at this point.</t>
  </si>
  <si>
    <t xml:space="preserve">Offered reimbursements to 4 Texas Rising Star early learning programs for required CPR/First-Aid trainings for 11 staff.
Funding Source: CCQ </t>
  </si>
  <si>
    <t>Began conducting an Ages and Stages Questionnaire (ASQ) Assessment Project with 8 early learning programs/classes (6 centers and 2 homes). Participants underwent two training sessions and have conducted their initial assessments. Final assessments should be conducted by 4/30/25.
8 facilities/classes have already conducted initial child assessments on each member of the class. Final assessments for the same class will be conducted by 4/30/25.
Funding Source: CCQ</t>
  </si>
  <si>
    <t>From the Board Strategic Planning session, our Board understood the need for a review of school readiness and started with a small assessment project for BCY'24 and are continuing this with a larger group of providers in BCY'25. 
Outcomes for the year are TBD at this point.</t>
  </si>
  <si>
    <t xml:space="preserve">Supported Ages and Stages Questionnaire project participants with three training sessions with the final session conducted on 10/3/24. 15 participants went through three training sessions for the Ages and Stages Questionnaire project.
Funding Source: CCQ </t>
  </si>
  <si>
    <t>The professional development aspect of this program has been completed with all 8 participants/facilities receiving training on the Ages and Stages Questionnaire. This was considered successful as all participating programs were trained. The Evaluation and Assessment aspect of this continues into Spring 2025. 
Outcomes are TBD at this point.</t>
  </si>
  <si>
    <t>During this Quarter, increased the infant capacity by 79 slots for our Board area due to an additional 7 Texas Rising Star programs attaining certification.
Funding Source: CQF</t>
  </si>
  <si>
    <t>As this project is a continual activity, it has been marked as ongoing as current Child Care Services programs work within their respective 24-month timeframe to achieve Texas Rising Star accreditation. As the year progress, additional infant slots will be added as more providers attain Texas Rising Star status.</t>
  </si>
  <si>
    <t>During this Quarter, increased the toddler capacity by 151 slots for our Board area due to an additional seven Texas Rising Star programs attaining certification.
Funding Source: CQF</t>
  </si>
  <si>
    <t>As this project is a continual activity, it has been marked as ongoing as current Child Care Services providers work within their respective 24-month timeframe to achieve Texas Rising Star accreditation. As the year progress, additional toddler slots will be added as more providers attain Texas Rising Star status.</t>
  </si>
  <si>
    <t>Our board collaborated with our local Central Texas Chapter of the Texas Association for the Education of Young Children as part of recognizing the contributions of the NAEYC (National Association for the Education of Young Children) Accredited programs that are either 3 - Star or 4 - Star Texas Rising Star, we purchased "learning enhancements kits" for each of our 12 accredited programs that included equipment and materials that will focus on Science, Engineering, Math and Science for children birth through school age. This activity aligned with our goal of increasing scores in all categories of the Texas Rising Star assessment. Approximately $120,000 of our total expenditure budget was spent on this activity, serving 12 or 3 -star or 4 - star Texas Rising Star programs who are also accredited.
Funding Source: CCQ</t>
  </si>
  <si>
    <t>In quarter 1 the board provided learning materials and equipment to the 12 National Association for the Education of Young Children early learning programs in our board area. We completed 100% this goal.</t>
  </si>
  <si>
    <t>Purchased classroom materials for all current entry level and Texas Rising Star-certified programs that need to replenish their learning centers. Based on mentors' Continuous Quality Improvement Plans and observations, decisions were made as to what specific materials each program needs.
This activity aligns with our goal of increasing scores in all categories of the Texas Rising Star assessment. Approximately 50% of our total expenditure budget was spent on this activity, and will serve approximately 113 (depending on their needs) programs who are working on increasing their scores in all categories with the goal of distributing these materials over Quarter 1 and 2.
Funding Source: CCQ</t>
  </si>
  <si>
    <t>In quarter 1, materials and equipment were purchased for 80 center-based early learning programs who are entry level and Texas Rising Star certified to replenish and enhance their learning centers. About 10% of these materials were provided to about 1/2 of the 80 early learning programs. Over quarter 2 the remaining materials will be distributed to the remaining programs who were identified as needing these. This activity is ongoing.</t>
  </si>
  <si>
    <t>The Board continues to rent a secure storage facility to store materials and equipment for Texas Rising Star programs.
Funding Source: CCQ</t>
  </si>
  <si>
    <t>The Board has the goal to serve 260 early learning programs in FY25. This storage space allows Central Texas Board Area to serve approximately 31% of those programs by utilizing this storage space.</t>
  </si>
  <si>
    <t>Outdoor equipment was purchased for 2 family child care programs who received design plans from Nature Explore that was suggested for their completion of the outdoor space. Purchases totaling about $2,000 per program was budgeted to provide suggested materials for the programs' outdoor space. These 2 programs are currently 4 star and are accredited as well.
Funding Source: CCQ</t>
  </si>
  <si>
    <t>In FY2024 two accredited family childcare programs received Nature Explore Outdoor Classrooms. As their progresses toward completion and certification is pending,  in quarter 1 FY2025 outdoor equipment was purchased (approximately $2,000 per program) to assist in meeting their completion goals. This activity is complete.</t>
  </si>
  <si>
    <t>Staff salaries and benefits for one coordinator; one support staff; 5 full time mentors; 1 mentor who is also ITSN and one mentor who is also SME. Currently 113 Texas Rising Star certified programs; all others are entry level who are working on making application or applicants waiting on assessments. We are continuing to outreach new providers.
Funding Source: CCQ mentor-specific funding</t>
  </si>
  <si>
    <t>7 Texas Rising Star mentor staff along with a support staff and a coordinator provided mentoring services and support to 147 early learning programs who are not currently Texas Rising Star certified. Additional mentoring support was provided to the 113 of the 260 programs who have an agreement for Texas Rising Star mentoring. We currently have 43% of our total number of programs with Child Care Services Agreements who are Texas Rising Star Certified.</t>
  </si>
  <si>
    <t>Provided consultation services to 2 programs seeking re-accreditation; and 5 programs seeking accreditation. 
Funding Source: CCQ</t>
  </si>
  <si>
    <t>In Q1 the Board assisted 35% of the  of the Board's goal to assist 7 early learning programs with National Accreditation support by providing consultation services to review portfolios, observe classrooms and the overall facility, and to advise program administrators on their plan of action for the year.</t>
  </si>
  <si>
    <t>We reimbursed one of our accredited programs for their annual accreditation fees which was $925.
This activity aligned with our goal of continuing to support National Accreditation to benefit the families in our community (and those who are military families) with the highest quality of early care and education by reimbursing programs for the annual accreditation fees.
Funding Source: CCQ</t>
  </si>
  <si>
    <t>In quarter 1 the board assisted one of the twelve (approximately 8%) of the currently accredited National Association for the Education of Young Children programs by reimbursing them for their annual fees.</t>
  </si>
  <si>
    <t>2 Child Development Associates in-person classes were held with a contracted trainer who taught the courses in Spanish. 12 staff from 5 Texas Rising Star certified programs are participating in the class currently. These 12 attendees are receiving scholarships for the course work of 120 hours and our board will pay the application fees for certification if funding is not secured through other available scholarships.
Funding Source: CCQ</t>
  </si>
  <si>
    <t>In FY2025 quarter 1, a contracted trainer provided 2 of the 6 (33%) of the scheduled training classes to 12 Spanish speaking staff from 5 Texas Rising Star certified programs. This activity is ongoing.</t>
  </si>
  <si>
    <t>A final Train the Trainer in-person session for those who attended the 2 previous training sessions and need assistance in completing applications and to submit their information to the Texas Early Childhood Professional Development System (TECPDS). 11 people attended from 11 programs (home providers and center-based) Texas Rising Star programs. Participants are included through scholarship. 
Funding Source: CCQ</t>
  </si>
  <si>
    <t>The measurable outcome has not yet been determined because there isn't any data available to verify how many of the participants have become certified trainers to date. TBD.</t>
  </si>
  <si>
    <t>The Board co-sponsored 2 professional development in-person sessions with our local Central Texas Association for the Education of Young Children chapter to 51 people from 28 programs throughout Central Texas
Funding Source: CCQ</t>
  </si>
  <si>
    <t>During quarter 1 our board co-sponsored 2 of the anticipated 5 planned training activities (25%) that our local chapter of the Texas Association for the Education of Young Children will participate in co-sponsoring during FY2025. We have currently reached about 25% of the goal of reaching at least 800 individual total staff with professional development opportunities.</t>
  </si>
  <si>
    <t>We contracted with highly qualified certified trainers to conduct 4 in-person sessions including topics around person stress management, developmentally appropriate activities, classroom management and "back to basics" (foundational skills/licensing standards) to 86 teachers and administrators from 34 programs (both entry level and Texas Rising Star certified).
Funding Source: CCQ</t>
  </si>
  <si>
    <t>In quarter 1, we provided in-person training to approximately 33% of the targeted 800 participants in our board area.</t>
  </si>
  <si>
    <t>One virtual program administrator meeting was conducted where Child Care Services and Texas Rising Star updates were reviewed, upcoming program calendar events, and special guests (Child Care Regulation supervisors) were present to answer questions and provide clarifications on any standards requested. 90 administrators from 66 programs were in attendance.
Funding Source: CCQ</t>
  </si>
  <si>
    <t xml:space="preserve">During quarter 1 our board conducted one of the four planned Program Administrators meetings. 35% of the targeted Texas Rising Star Services contracted programs were in attendance. </t>
  </si>
  <si>
    <t>Texas Rising Star mentor staff conducted virtual training (available to all entry level and Texas Rising Star programs) on topics including Texas Rising Star Orientation, PreK Guidelines, and Children's Learning Institute Classroom Management. 117 staff from 56 programs.
Funding Source: CCQ</t>
  </si>
  <si>
    <t>During quarter 1, 45% of the 800 targeted participants from all programs received training via a virtual platform, conducted by Texas Rising Star mentor staff.</t>
  </si>
  <si>
    <t>During quarter 1, 17.5% of the goal of 40 total participants participated in the Conscious Discipline book study</t>
  </si>
  <si>
    <t>One virtual session on the topic of Infant and Toddler Early Learning Guidelines was conducted with 4 directors from 3 programs in attendance. 
Funding Source: CCQ</t>
  </si>
  <si>
    <t>Virtual training for Infant/Toddler Early Learning Guidelines was provided to anyone employed in a Texas Rising Star certified or entry level program. .5% of the 800 targeted participated.</t>
  </si>
  <si>
    <t>Scholarships offered to 25 program staff to receive their CDA 
Funding Source: CCM FY24</t>
  </si>
  <si>
    <t>18 of the 25 participants finished the class. Still pending outcomes due to students waiting for CDA council to schedule their testing. (TBD)</t>
  </si>
  <si>
    <t>Scholarship offered for a program (2 staff) to attend the 2024 NAEYC conference in Nov. 
Funding Source: CCQ FY24</t>
  </si>
  <si>
    <t>The Board had a goal of supporting 4 early learning staff with scholarships for conferences. The Board has completed 50% of this goal in Q1.</t>
  </si>
  <si>
    <t xml:space="preserve">Infant/Toddler at Home English/Spanish Kits - MRG region provided parent kits to 40 programs participating in the MRG region quality cohort for parents to take home then return, to complete activities with their children
Funding Source: CCQ </t>
  </si>
  <si>
    <t>Success will be measured by monitoring assessment results in Category 3 measures. Increase in Texas Rising Star certification results in Category 3 measures. TBD</t>
  </si>
  <si>
    <t>Texas Rising Star Personnel: travel, salary, benefits, and operational costs. 3 Mentors
Funding Source: CCQ mentor-specific funding</t>
  </si>
  <si>
    <t>The Board has served 41 of 42 early learning programs, therefore completing 100% of the goal for Q1.</t>
  </si>
  <si>
    <t>Provided 20 programs who will receive Texas Rising Star certification or working on maintaining/increasing star-levels with materials.
Funding Source: CCQ</t>
  </si>
  <si>
    <t>Curriculum was provided for 6 early learning programs.
Funding Source: CCM</t>
  </si>
  <si>
    <t>The Board had a goal of supporting 8 early learning programs with curriculum. The Board has competed 75% of this goal.</t>
  </si>
  <si>
    <t>For the first quarter of FFY 2025, 437 of 5,000 child care programs have received professional development both face to face and virtually. We have achieved 11% of the total activity goal, with 4,563 child care programs remaining. We do not have any measurable outcomes pertaining to increased knowledge gained, to report at this time.</t>
  </si>
  <si>
    <t>Salaries and travel reimbursement for 32 mentor staff
Mentor support provided to 1,819 Texas Rising Star and Entry Level-designated programs. 
Funding Source: CCQ mentor-specific funding</t>
  </si>
  <si>
    <t>For the first quarter of FFY 2025, a total of 437 child care programs participated in professional development. 33 professional development opportunities were offered to programs within the first quarter. Professional development topics included topics such as, "Overcoming Challenging Behaviors, A Well-Planned Day: Classroom Layout, Scheduling, and Management, Establishing Your Program Culture and Climate, Creating an Effective Classroom Environment, Teacher-Child Interactions, Team Work Makes the Dream Work (English and Spanish) and SIDS, Shaken Baby, and Brain Development."
64 early learning staff participated virtually and 373 early learning staff participated in-person, for a total of 437 participants.
Funding Source: CCQ</t>
  </si>
  <si>
    <t>Virtual badges earned. Texas Rising Star staff are steadily increasing utilization of required Continuous Quality Improvement Plans (CQIP) with programs and program staff to inform of opportunities to provide coaching and training. Staff have created and begun utilization of 62 Continuous Quality Improvement Plans (CQIP).</t>
  </si>
  <si>
    <t>Board Support Industry Specialist Supports
The Board's Industry Support Specialist attended and led several meetings and discussions that increases the knowledge of stakeholders. These efforts consist of technical assistance, capacity-building support, and professional development resources. This staff has attended 2 meetings to support the Early Education pipeline with a local training provider. This staff attended 6 TECPDS Office hours to maintain the Specialist designation. This staff attended 25 meetings through coalitions and other community organization conversations that support the Early Education Industry. This staff has collaborated on 1 internal and 2 external meetings among individuals that support programs and their needs. 
The Board's Industry Support Specialist supported 9 child care businesses with business services support. 
Funding: CQF</t>
  </si>
  <si>
    <t xml:space="preserve">Mentors report that 100% of the teachers who participated are implementing the star technique in their classrooms. Teachers are reporting that the reminders are useful and have helped them improve interactions with their students.
</t>
  </si>
  <si>
    <t>One of our mentors conducted a virtual session reviewing the Conscious Discipline: Building Resilient Classrooms book. This is the first of a series with this cohort of learners. 7 attendees from 3 programs were in this first session.
Funding Source: CCQ</t>
  </si>
  <si>
    <t>7 Texas Rising Star staff completed Children's Learning Institute's Peer Learning Community (CLI PLC) for each month as part of their required duties to earn badges for the mentor micro-credential.
Funding Source:  CCQ mentor-specific funding</t>
  </si>
  <si>
    <t>TOTAL Expended</t>
  </si>
  <si>
    <t>Other % of Total</t>
  </si>
  <si>
    <t>Other Activities Expenditures CQF</t>
  </si>
  <si>
    <t>Other Activities Expenditures CCQ</t>
  </si>
  <si>
    <t>NA % of Total</t>
  </si>
  <si>
    <t>National Accreditation Expenditures CQF</t>
  </si>
  <si>
    <t>Eval % of Total</t>
  </si>
  <si>
    <t>Eval &amp; Assessment Expenditures CQF</t>
  </si>
  <si>
    <t>Eval &amp; Assessment Expenditures CCQ</t>
  </si>
  <si>
    <t>H/S % of Total</t>
  </si>
  <si>
    <t>TRS % of Total</t>
  </si>
  <si>
    <t>Texas Rising Star Expenditures Mentor Funding</t>
  </si>
  <si>
    <t>Texas Rising Star Expenditures CQF</t>
  </si>
  <si>
    <t>Texas Rising Star Expenditures CCQ</t>
  </si>
  <si>
    <t>PD % of Total</t>
  </si>
  <si>
    <t>Professional Development Expenditures CQF</t>
  </si>
  <si>
    <t>Professional Development Expenditures CCQ</t>
  </si>
  <si>
    <t>I/T % of Total</t>
  </si>
  <si>
    <t>Infant Toddler Expenditures CQF</t>
  </si>
  <si>
    <t>Infant Toddler  Expenditures CCQ</t>
  </si>
  <si>
    <t>Board 
Number</t>
  </si>
  <si>
    <t>Infant Toddler Total</t>
  </si>
  <si>
    <t>PD Total</t>
  </si>
  <si>
    <t>Texas Rising Star Total</t>
  </si>
  <si>
    <t>Eval/Assess Total</t>
  </si>
  <si>
    <t>National Accreditation Total</t>
  </si>
  <si>
    <t>Other Total</t>
  </si>
  <si>
    <t>Health &amp; Safety Expenditures CCQ Only</t>
  </si>
  <si>
    <t>National Accreditation Expenditures CCQ</t>
  </si>
  <si>
    <t>Personnel costs for 8 Texas Rising Star staff (4 staff at 1.00 FTE; 2 staff at .75 FTE and .25 other FTE; 1 staff at .50 FTE and .50 other FTE; 1 staff at 1.00 other FTE).
This includes the Infant Toddler Specialist and the Texas Early Childhood Professional Development Specialist.
Funding Source: CCQ mentor-specific funding</t>
  </si>
  <si>
    <t>Measurable outcomes include an increase in Texas Rising Star participation and/or certified star levels and an increase in retention of Texas Rising Star-certified programs.
Outcomes are TBD.</t>
  </si>
  <si>
    <t>Provided 5 unduplicated participants from 4 Texas Rising Star-certified early learning programs, and 29 duplicated participants from a total of 14 certified programs and 1 Entry Level program with scholarships for Texas Success Initiative testing, tuition, and books to obtain their Associates degree in Early Childhood Education or Education. 
Funding Source: CQF</t>
  </si>
  <si>
    <t>The Board has met 210% of the goal to serve 25 participants with educational scholarships. All 14 programs have a current Continuous Quality Improvement Plan with programs having 1 to 5 goals assigned. Scores of Category 1 in Texas Rising Star assessments ranged from 2.50 to 3.00. Staff that participate in the scholarship gain education and training hours that can be measured in the program's Category 1 scores. 
Outcomes are TBD.</t>
  </si>
  <si>
    <t>Provided education bonuses to 9 scholarship participants who completed either a Provider Certification, Administrator Certification, or an Associate Degree in Child Development.  
Recipients include 2 individuals completing Provider Certification, 3 individuals completing an Admin Certification, and 4 individuals completing an Associate degree in Child Development.
Funding Source: CCQ</t>
  </si>
  <si>
    <t>The Board will measure the success of this activity through early learning programs meeting their Continuous Quality Improvement Plan goals for teacher education. Measurable outcomes include an increase in the number of child care teachers pursuing or attaining a college degree in early childhood education.  Awardees have continued to participate in the scholarships to move to the next certification. Those that have completed an associate degree in child development have continued in the classroom or at their program and applied for the wage supplement program. Outcomes are TBD.</t>
  </si>
  <si>
    <t xml:space="preserve">Provided Wage Supplement awards to 10 teachers working in 7 Texas Rising Star-certified programs that met criteria that includes number of hours working in direct care, wage currently making, length of time working for the early learning program, education, and experience.  
Funding Source: CQF </t>
  </si>
  <si>
    <t>The Board will measure the success of this activity through early learning program feedback on teacher and staff retention. Measurable outcomes include an increase in the number of child care teachers pursuing or attaining a college degree in early childhood education along with increasing the number of staff working in the child care field. Awards are given out two times a year, one last budget year and one in January. One of the awardees was awarded in the last budget year and again in this time. The wage supplement has helped the Texas Rising Star program to retain this employee for the last year. A requirement of the award is that the employee be employed for the 6 months prior to the award and during the award process. All awardees are still employed at their programs. Outcomes are TBD.</t>
  </si>
  <si>
    <t>Provided program bonuses to 8 early learning programs completing recertification and 3 early learning programs completing initial certifications (11 total). This activity supports programs to promote Texas Rising Star Quality.                                                                                             
Funding Source: CCQ</t>
  </si>
  <si>
    <t>The Board will measure the success of this activity by early learning programs meeting their Continuous Quality Improvement Plan goals. Measurable outcomes include an increase the number of early learning programs participating in the Texas Rising Star program and higher assessment scores. Of the 8 early learning programs completing recertification, 5 of the programs maintained their Four-Star certification and 3 of the programs raised their certification to a Four-Star certification. 3 early learning programs completed initial certification with one program attaining Two-Star certification, one program attaining Three-Star certification and one program attaining Four-Star certification. Feedback from programs receiving the bonuses notes that they were used to support staff wages and or bonuses assisting in staff retention. Staff retention supports quality in teacher child interactions. The bonuses aided the Four-Star programs to continue to maintain quality and the bonuses aided 3 programs to attain a higher star level.  
Outcomes are TBD.</t>
  </si>
  <si>
    <t>Provided reimbursement for 103 unduplicated child care teachers from 2 early learning programs working towards Texas Rising Star certification and 19 Texas Rising Star-certified early learning programs for attending a local Early Childhood Education Conference.                                                                                                                                                 
Funding Source: CCQ</t>
  </si>
  <si>
    <t>The Board will measure the success of this activity through early learning programs meeting their Continuous Quality Improvement Plan goals for child care teacher training.  Measurable outcome include an increase in delivery of higher quality interactions and a decrease in the number of Child Care Regulation deficiencies. Staff from the 21 programs in attendance earned 6 instructor led training hours toward the 30 or 36 training hours required by Texas Rising Star for professional development. By attaining instructor led training hours they will meet training requirements from CCR and Texas Rising Star making deficiencies from CCR and not meeting Texas Rising Star requirements less likely.  
Outcomes are TBD.</t>
  </si>
  <si>
    <t>9 Texas Rising Star programs received mentor approved infant/toddler materials and equipment for either their Initial Texas Rising Star assessment, recertification or their annual missed monitoring assessment    
Funding Source: CCQ</t>
  </si>
  <si>
    <t>9 Texas Rising Star programs now have new developmentally appropriate infant/toddler materials and equipment to help maintain their Texas Rising Star certification. CCS has completed 10% of this goal for the combined 1st and 2nd quarter. Measurable outcomes related to assessment results are TBD.</t>
  </si>
  <si>
    <t>25 early learning program staff attended the Virtual Zoom "Infant and Toddler Specialist Network (ITSN) and You" Training presented by the Infant Toddler Specialist.      
Funding Source: CCQ mentor-specific Funding</t>
  </si>
  <si>
    <t>Increased child care program staff knowledge of the Infant Toddler Specialist Network. This outcome is based on a post-training survey.</t>
  </si>
  <si>
    <t>30 early learning program staff virtually attended the "Texas Early Childhood Development System (TECPDS) and You" training  Via Zoom presented by the TECPDS Specialist    
Funding Source: CCQ mentor-specific Funding</t>
  </si>
  <si>
    <t>Increased knowledge of TECPDS and increased number of child care program staff on the Workforce Registry in order to have electronic records in place for Texas Rising Star and Child Care Regulation.</t>
  </si>
  <si>
    <t>33 early learning program staff attended the Live Training of "Recognizing Red Flags and Making Referrals from ECI."     
Funding Source: N/a</t>
  </si>
  <si>
    <t>Increased child care program staff's knowledge of ECI and the benefits they offer along with learning how to recognize red flags in the classroom an how to make referrals to local ECI. Data collected through a post-training survey.</t>
  </si>
  <si>
    <t>21 early learning program staff received college scholarships for child development courses for the Spring 2025 semester       
Funding Source: CCQ</t>
  </si>
  <si>
    <t xml:space="preserve">Increased number of child care program staff who obtain their CDA or college degree in Early Childhood and to possibly acquire higher scores for the Texas Rising Star program site - CCS has completed 76% of this goal for the combined 1st and 2nd quarter. </t>
  </si>
  <si>
    <t>7 early learning programs with a total of 31 early learning staff were reimbursed for the "Marjorie Collins Early Learning Conference" hosted by Texas Tech Child Development Research Center         
Funding Source: CCQ</t>
  </si>
  <si>
    <t>Reimbursement for training - To increase the program's knowledge of Early Childhood Education with various training sessions offered.  Also the ability to tour a NAEYC and Four-Star Texas Rising Star facility. CCS has achieved 8% of the goal for child care programs and 36% of the goal for child care program staff for the combined 1st and 2nd quarter.</t>
  </si>
  <si>
    <t>6 early learning programs with a total of 82 participants had Category 2 Teacher-Child Interaction in-person trainings provided by mentors at their facilities. 
                                                                                                                                                                                                                                                  Funding Source: CCQ  mentor-specific funding</t>
  </si>
  <si>
    <t>Increased knowledge of Teacher child interactions that will help improve their classroom observation scores at assessment and provide quality care every day. This is TBD based off of assessment scores.</t>
  </si>
  <si>
    <t>1 early learning program with a total of 31 participants had an in-person Category 4 Indoor and Outdoor Learning Environment training provided by mentor at their facility  
Funding Source: CCQ  mentor-specific funding</t>
  </si>
  <si>
    <t>Increased knowledge of indoor and outdoor learning environments to child care program quality care for children and to increase scores at assessment. This is TBD based off of assessment scores.</t>
  </si>
  <si>
    <t>5 early learning programs with a total of 75 staff had an in-person TECPDS training by mentor at their main facility.                                                                                                                                        
Funding Source: CCQ  mentor-specific funding</t>
  </si>
  <si>
    <t>Increased staff utilizing the Texas Workforce Registry  in order to have electronic records in place for Texas Rising Star and Child Care Regulation. This is TBD based off of assessment scores.</t>
  </si>
  <si>
    <t xml:space="preserve"> 15 early learning programs with a total of 86 staff were reimbursed for First Aid/CPR trainings.   
Funding Source: CCQ</t>
  </si>
  <si>
    <t>Reimbursement for FA/CPR to help alleviate the cost and repurpose the capitol used to maintain current staffing levels for Texas Rising Star programs to be able to increase and or maintain star level.  CCS has completed 46% of the goal of 300 staff</t>
  </si>
  <si>
    <t>3 early learning programs with a total of 51 staff were reimbursed for background checks.                                                                                                                                                                                                                                                                                                                                                                                                 
Funding Source: CCQ</t>
  </si>
  <si>
    <t>Reimbursement for background checks to help alleviate the cost and repurpose the capitol used to maintain current staffing levels for Texas Rising Star programs to be able to increase and or maintain star level.  CCS has completed 46% of the goal of 300 staff</t>
  </si>
  <si>
    <t xml:space="preserve">1 early learning program received reimbursement for NAEYC annual fees                                               
Funding Source: CQF                       </t>
  </si>
  <si>
    <t>Reimbursement for NAEYC annual fees helps alleviate the cost for the child care program by supporting their certification to  maintain their quality status. CCS has completed 50% of this goal for the 1st and 2nd quarter</t>
  </si>
  <si>
    <t>14 Texas Rising Star initial assessment programs received mentor approved preschool/school age materials and equipment for their initial assessment                                                                               
Funding: CCQ</t>
  </si>
  <si>
    <t>Texas Rising Star programs now have new developmentally appropriate preschool/school age materials and equipment to help maintain Texas Rising Star certification. CCS has completed 36% of this goal for the combined 1st and 2nd quarter.</t>
  </si>
  <si>
    <t>11 Texas Rising Star programs received a "staff incentive reimbursement" for 103 early learning program staff for attaining Texas Rising Star certification, with the amount based on the licensed capacity and the star level obtained.                                                                                                                
Funding: CQF</t>
  </si>
  <si>
    <t xml:space="preserve">103 child care program staff at 11 Texas Rising Star program locations now have monetary incentives to acknowledge their part in obtaining the Texas Rising Star certification. CCS has completed 11% of this goal for the combined 1st and 2nd quarter. </t>
  </si>
  <si>
    <t xml:space="preserve">The FROG Bus delivered materials, equipment and information to 21 CCS rural Texas Rising Star-certified programs, as well as non-certified Texas Rising Star programs. The FROG bus aims to increasing the number of CCS rural programs who are exposed to the information about the Texas Rising Star program so programs know the benefits for them and the families and children they serve.  The mentors take turns on the route for scheduled mentor meetings.                                                                                                     
Funding Source: CCQ  </t>
  </si>
  <si>
    <t>CCS has completed 34% of this goal for the combined 1st and 2nd quarter</t>
  </si>
  <si>
    <t>5 Texas Rising Star Staff salaries, fringe, travel, etc.                                                                                                  
(this includes the TECPDS and Infant and Toddler Specialist)
Funding Source: CCQ  mentor-specific funding</t>
  </si>
  <si>
    <t>2 early learning programs have a new Formal Pre k Partnership with ISDs and 7 early learning programs have had an existing partnership with Head Start and Early Head Start  (9 partnerships total)                                                                                                                                                         
Funding Source: none</t>
  </si>
  <si>
    <t xml:space="preserve">Increased partnerships between school districts and Head Start and Early Head Start Programs. Children enrolled in these programs will have a priority status on the wait list to enroll Into these facilities </t>
  </si>
  <si>
    <t>Staff salaries and benefits for 5 staff members to ensure mandated state guidelines requiring participating CCS centers currently being integrated into the Texas Rising Star program to be mentored. Staff will support the current 45 Texas Rising Star-certified early learning programs in our local board area and 31 Entry Level programs.
Funding Source:  CCQ mentor-specific funding</t>
  </si>
  <si>
    <t>Staff salaries and benefits for Infant Toddler Specialist to mentor and train child care program staff serving infants and toddlers, particularly classroom teachers, and provide technical assistance and cross-training on infant and toddler-focused topics to local Texas Rising Star mentors who are not certified Infant-Toddler Specialists.
Funding Source: CCQ</t>
  </si>
  <si>
    <t>In January, 4 early learning programs were provided training and technical assistance for the following areas from the Board's Infant Toddler Specialist: Core competencies and needs assessment for infant/toddler room.  One training was held for all programs over Core Competencies: Child Growth &amp; Development with 18 participants. 
In February, 4 early learning programs were provided trainings and technical assistance for the following areas:  Infant Toddler Specialist Network (ITSN) with CLI, ITSN training topics, social &amp; emotional for classroom, and classroom setup.  
In March, 6 early learning programs were provided trainings and technical assistance for the following areas: classroom setup, assessment briefing, classroom observation, needs assessment for classroom, and core competencies. One training was held for all early learning programs over Core Competencies for Practitioners: Responsive Interactions and Guidance with 21 participants. There were a total of 39 participants from 14 early learning programs.
Funding Source: CCQ</t>
  </si>
  <si>
    <t>Second quarter Infant Toddler Specialist activities total of 39 participants attending infant toddler specific training. 18 participants trained in January, 21 participants trained in March. There were 14 early learning programs that received specific individualized training. This is 51% of the Board's goal to train early learning staff in FY25.</t>
  </si>
  <si>
    <t>This quarter, the Director's Luncheon training was over "Texas Rising Star Category 3: program administration, family involvement, and family education". We had 9 participants  (6 in person,  3 virtual).
Funding Source: CCQ</t>
  </si>
  <si>
    <t>Training and knowledge gained.
Directors/Assistant Directors from our contracted early learning programs (12%) received 2 hours of training.</t>
  </si>
  <si>
    <t>This quarter the Connection's Training had one guest speaker. The trainings were held at Region 9 with guest speaker training over combing strategies to address the impact of trauma and stress on young children and learn tools for fostering executive function and self-regulation. We had 73 in-person participants.
Funding Source: CCQ</t>
  </si>
  <si>
    <t>Training and knowledge gained.
Participants received 6 hours of training regarding teacher/child interaction. This activity increased the number of required training hour completion rate of participants by 6 hours for the quarter resulting in the 73 participants acquiring 20% of the 30 hour staff training requirement.</t>
  </si>
  <si>
    <t>Staff salaries and benefits for additional staff member to ensure mandated state guidelines requiring participation in the required Texas Early Childhood Professional Development System (TECPDS) program. Staff will support the Texas Rising Star mentors in onboarding and support the current Texas Rising Star certified centers in our local board area and all Entry Level programs. 
Second quarter the TECPDS specialist has coached and assisted 52 participants 
Funding Source: CCQ</t>
  </si>
  <si>
    <t>Second quarter the TECPDS specialist has coached and assisted 52 participants.</t>
  </si>
  <si>
    <t>The TECPDS specialist helped 52 participants from 32 early learning programs with set up and completion of their TECPDS account.
Funding Source: CCQ</t>
  </si>
  <si>
    <t>TECPDS specialist has coached and assisted 52 participants from 32 early learning programs with TECPDS specific required account set up and completion to enhance scores on Texas Rising Star measures - Category 1 specifically. This is 40% of the Board's goal to assist 80 early learning programs in FY25.</t>
  </si>
  <si>
    <t>Virtual badges earned. Texas Rising Star staff are steadily increasing utilization of required Continuous Quality Improvement Plans (CQIP) with programs and program staff to inform of opportunities to provide coaching and training. Staff have created and begun utilization of 62 CQIPs.</t>
  </si>
  <si>
    <t>Beyond the Page is a quality initiative that focuses on the professional development of early learning program classroom teachers. The initiative focuses on early childhood literacy. This quarter, Texas Rising Star staff chose a theme, an age-appropriate book, and supplemental manipulative aimed to  assist classroom teachers on strategic read-aloud and techniques. 341 books were purchased this quarter for each classroom. Each mentor provided lesson plans to go with each book and trained each classroom on the lesson plan provided.  The reach was 76 early learning programs and 341 classrooms. 
Funding Source:   CCQ</t>
  </si>
  <si>
    <t>100% of the Board's goal to reach 45 Texas Rising Star early learning programs and 31 Entry Level programs with this activity has been reached.</t>
  </si>
  <si>
    <t>4 Texas Rising Star mentors attended the Texas Rising Star Staff Meeting in Austin, TX in January.
Funding Source:  CCQ mentor-specific funding</t>
  </si>
  <si>
    <t xml:space="preserve">Training and knowledge gained. Success will be measured by tracking reports that will offer insights to mentor effectiveness. TBD.
</t>
  </si>
  <si>
    <t>Workforce Solutions North Texas provided  17 contracted child care programs indoor and outdoor items to increase student learning and engagement as well as to meet Texas Rising Star standards and measures in Category 2 (Teacher/Child Interactions) and Category 4 (Indoor/Outdoor Learning Environments), (excluding play ground equipment, shade structures, cameras or other security equipment, and smart boards). 
Funding Source: CQF</t>
  </si>
  <si>
    <t>22% of the Board's goal was reached with 17 contracted child care programs with this activity.</t>
  </si>
  <si>
    <t xml:space="preserve">WSNCT offered an Infant Toddler CDA course with application fee scholarships for those achieving an infant or toddler CDA credential. 18 participants have received a scholarship to pursue their Infant Toddler CDA and have begun the required courses for this opportunity.
Funding Source: CQF 4% </t>
  </si>
  <si>
    <t xml:space="preserve">18/30 have begun their Infant Toddler CDA coursework through the Infant Toddler CDA Scholarship. We have 60% of the projected number of participants for this activity. Success will be measured by course completion and end of year surveys. </t>
  </si>
  <si>
    <t>One Infant Toddler Specialist provided 2 hours of in person and 1 hour virtual of ELITE support to a total of 3 early learning programs and 3 classroom teachers serving infant and toddlers participating in the Infant Toddler Specialist Network. 
The Infant Toddler Specialists conducted 2 virtual professional development trainings on Infant Toddler Best Practices (43 attendees) and 1 virtual professional development training on Infant Toddler Early Learning Guideline Social Emotional (32 attendees). 
The reach and impact of these activities was 75 total attendees receiving  5.5 annual clock hours each.
Funding Source: CCQ mentor-specific funding</t>
  </si>
  <si>
    <t>3 of the 15 unduplicated early learning programs were served in Q2 totaling 6 programs participating in the ELITE program. 20% of the Board's goal of for early learning programs and 150% of the Boards goal of 50 infant/toddler teachers has been met in Q2. The Board exceeded the infant/toddler teacher goal by 50%. Based on the survey results following the trainings, 80.8% of the participants strongly agreed and 19.2% agreed that the things they learned would help improve their interactions with children.</t>
  </si>
  <si>
    <t>WSNCT offered Preschool and Family Care CDA course and application fee scholarships to eligible child care program staff. 35 participants have received a scholarship to pursue their Preschool or Family Care CDA and have begun the required courses for this opportunity. 
Funding Source: CQF 4%</t>
  </si>
  <si>
    <t xml:space="preserve">35/70 have begun their Preschool or Family Care CDA coursework through the CDA Scholarship. We have reached 50% of the projected number of participants for this activity. Success will be measured by course completion and end of year surveys.  </t>
  </si>
  <si>
    <t xml:space="preserve">WSNCT offered financial aid/scholarships for select staff who qualify and participate in the Apprenticeship Program. Financial supports were offered to a local apprenticeship program to support 16 enrolled participants. 
Funding Source: CQF 4% </t>
  </si>
  <si>
    <t xml:space="preserve">16/20 of the projected number of participants were served with this initiative. We reached 80% of our projected number of participants for this activity. Success will be measured by how many participants enroll in and complete the Apprenticeship program. </t>
  </si>
  <si>
    <t xml:space="preserve">Texas Rising Star Early Childhood Program Coordinator and Early Childhood Specialists (mentors) conducted a total of 15 (6 virtual and 9 in person) Texas Rising Star orientations including the TWC Background Check Portal presentation for administrators, owners and staff. The reach and impact of this activity was 56 virtual and 103 in person participants, awarding 1.5 clock hours to use towards achieving their annual hours. These hours assist with maintaining licensing requirements, which can result in lower licensing deficiencies regarding professional development. They also meet the Texas Rising Star requirements for the obtainment of annual clock hours.
Funding Source: no additional funds were used for this activity (mentor salary)
</t>
  </si>
  <si>
    <t xml:space="preserve">A total of 159 participants received 1.5 professional development hours to use toward achieving their annual hours.  63.6% of the boards goal for 250 participants has been in Q2. The Board has exceeded the goal of a total of 250 participants in the combines quarter 1 and quarter 2 attendance by 12.8%. </t>
  </si>
  <si>
    <t>Texas Rising Star Early Childhood Specialists (mentors) conducted 9 virtual webinars and 25 in-person professional development sessions, including various topics such as Early Learning Guidelines Overview, The Value of Play, and Learning Centers. Not just Child's Play, Final Understanding the Connection Brain, Body, and Behavior in Early Childhood Development and Learning the Executive Function: Why Is it Important. 
The reach and impact of these activities were 275 virtual participants and 432 in person attendees, totaling 707 participants. Each session offered participants between 1-2 clock hours towards their annual hours. These hours assist with maintaining licensing requirements, which can result in lower licensing deficiencies regarding professional development. They also meet the Texas Rising Star requirements for obtaining annual clock hours.
Funding Source: no additional funds were used for this activity (mentor salary)</t>
  </si>
  <si>
    <t>A total of 707 participants attended either one or multiple professional development sessions. Each session offered between 1 to 2 professional development hours for participants to use toward achieving their annual hours. The Board exceeded the goal of 500 participants this quarter by 41.4%, meeting its original goal of 500 participants.</t>
  </si>
  <si>
    <t xml:space="preserve">Based on needs assessment survey feedback regarding professional development, a Texas Rising Star Early Childhood Specialist (mentor) conducted 5 virtual Lunch and Learns over Category 2 Teacher/Child Interactions professional development for early learning programs administrators and teaching staff. The reach and impact of this activity was 105 participants, offering 1.5 clock hours for participants to use towards achieving their annual hours. These hours assist with maintaining licensing requirements, which can result in lower licensing deficiencies regarding professional development. They also meet the Texas Rising Star requirements for obtaining annual clock hours, empowering the participants in their professional growth.  
Funding Source: no additional funds were used for this activity (mentor salary)                                                                                                                                                                                                        </t>
  </si>
  <si>
    <t xml:space="preserve">A total of 105 participants received 1.5 professional development hours to use toward achieving their annual hours.  42% of the boards goal for 250 participants has been met this quarter. </t>
  </si>
  <si>
    <t>The ASQ Team of Early Childhood Specialists (mentors) provided ASQ-3 training through 2 virtual webinars. This training equipped early childhood professionals with the knowledge and skills to effectively administer, score, and interpret the Ages &amp; Stages Questionnaire (ASQ-3) for developmental screening in children from 1 month to 5 ½ years. Participants learned how to engage with families, understand developmental milestones, and take appropriate follow-up actions based on results. The reach and impact of this activity was to 4 early learning directors and administrative staff representing 4 early learning programs, thereby enhancing the quality of early childhood education. 
Funding Source: no additional funds were used for this activity (mentor salary)</t>
  </si>
  <si>
    <t>4 early learning programs out of the Boards goal of 12 (33.33%) has been reached for this activity in Quarter 2.</t>
  </si>
  <si>
    <t>2 Texas Early Childhood Professional Development Specialists provided support sessions to both early learning programs and Texas Rising Star mentor staff by conducting 6 virtual webinars this quarter on TECPDS related topics. The reach and impact of these activities was 206 attendees receiving a total of 6 clock hours. 
Funding Source: CCQ 2%</t>
  </si>
  <si>
    <t xml:space="preserve">A total of 206 participants received 6 professional development hours to achieve their annual hours. The goal of 40 participants per training was exceeded by 128.75% of their target outcome. 100% of training participants had TECPDS accounts and received a validated certificate for the training hours received, which will assist programs in complying with the Category 1 measure.	</t>
  </si>
  <si>
    <t xml:space="preserve">WSNCT offered Entry Level-designated and Texas Rising Star-certified programs a $3,750 equipment stipend to acquire resources which meet the needs of the program based on Texas Rising Star standards. 166 Entry Level-designated early learning programs qualified to receive quality enrichment to enhance early learning environments to increase selected programs Texas Rising Star readiness.
Funding Source: CQF 4% </t>
  </si>
  <si>
    <t xml:space="preserve">166/200 of the projected number of participants were served with this initiative. We reached 83% of our projected number of participants for this activity. Success will be measured by surveys and Texas Rising Star assessment scores. </t>
  </si>
  <si>
    <t>Paid salaries and benefits for 1 North Texas Director of Child Care Quality, 1 Managing Director of Quality Child Care, 2 Texas Early Childhood Professional Development System (TECPDS) Specialists, 1 Administrative Assistant, and 2 Special Projects Coordinators, 1 Quality Lead, 1 Quality Supervisor. The Special Projects Coordinators, Administrative Assistant, and Early Education Professional Development Specialist will work to produce all agreed upon deliverables in a productive and effective way increasing the overall productivity of overall child care. TECPDS Specialists validated 932 documents this quarter and assisted 43 Entry Level-designated early learning program directors with account creation. 
Funding Source: CCQ 2% and mentor-specific funding</t>
  </si>
  <si>
    <t>Hired 1 Quality Supervisor and 1 Quality Lead. Currently hiring for 8 open mentor positions and 1 open special Projects Coordinator position. 
Based on the TECPDS Specialists' deliverable, this was 84% of the goal to serve 51 programs this quarter.</t>
  </si>
  <si>
    <t>2 Early Childhood Specialists (mentors) are participating in the Continuous Quality Improvement: Mechanisms for Strengthening ECE Program Quality and Workforce Competency research-policy partnership grant between CLI and TWC. Phase 1 of this research grant designed to explore implementation variability in Texas Rising Star Continuous Quality Improvement plan delivery, receipt, and response had concluded and Phase 2 has begun. The mentors provide specified mentoring to 8 early learning programs (8 administrators and 3 educators). Mentor participation includes trainings and Micro credential PLCs. 
Funding Source: no additional funds were used for this activity (mentor salary)</t>
  </si>
  <si>
    <t>TBD. Mentors were notified in March 2025 of their selected and assigned early learning programs including their randomized tier levels.</t>
  </si>
  <si>
    <t>Texas Rising Star Supervisors and mentors participated in professional development: 
16 out of 17 Board staff attended the meeting hosted by TWC and CLI in Austin Jan 29-30, 2025. Attendees received 12.5 annual clock hours for participation. 
2 mentors attended the Beyond School Hours conference in Orlando, FL from 2/13-2/16/26. Attendees received 14.75 annual clock hours for participation. 
Funding Source: no additional funds were used for this activity (mentor salary)</t>
  </si>
  <si>
    <t xml:space="preserve"> 94% of the board staff attended professional development training accumulating 27.25 professional development hours to use towards their required annual clock hours. Board staff has completed 75% of their required 36 annual hours of professional development.</t>
  </si>
  <si>
    <t>Texas Rising Star Early Childhood Specialists (mentors) provided technical assistance and mentoring to 316 Entry Level-designated programs to help them meet the requirements for becoming certified with Texas Rising Star. In quarter 2, 93 Entry Level-designated programs became Texas Rising Star certified and 6 new early learning programs became Entry Level-designated.
Funding Source: no additional funds were used for this activity (mentor salary)</t>
  </si>
  <si>
    <t>The Board's goal to increase the number of certified early learning programs by the end of the year is 308. 30.2% of the boards goal has been met in quarter 2. Based on the combined totals for Q1 and Q2 the Board has met and exceeded the 10% increase goal for certified early learning programs from 269 to 384 (24.7%).</t>
  </si>
  <si>
    <t>Paid salaries and benefits for 17 Texas Rising Star Staff.  These Board Staff ensure the continuation of the Texas Rising Star program activities for our Workforce Development Board Area through mentoring, assessment, outreach, and program support services. We have 10 Texas Rising Star mentors, 3 Lead Mentors, 1 Early Childhood Program Coordinator, 2 Texas Rising Star Program Supervisors, and 1 Child Care Manager. 
Funding Source: CCQ mentor-specific funding</t>
  </si>
  <si>
    <t>694 early learning programs receive mentoring services. There are 316 early programs with entry level designation status and not currently certified. 45.5% of our total number of programs with Child Care Services Agreements are being prepared for Texas Rising Star certification.</t>
  </si>
  <si>
    <t xml:space="preserve">WSNCT provided incentives to Child Care staff that have been employed for 6 months or longer at their current child care facility and meet all other requirements. The first round of Wage Supplements were distributed in March. 1,355 participants from 118 early learning programs qualified to receive a Wage Supplement. 
Funding Source: CQF 4%  </t>
  </si>
  <si>
    <t>1,355/1,500 participants from 118 early learning programs qualified to receive a Wage Supplement. We reached 90% of our projected number of participants for this activity. We will measure the success of this program through signature pages, data collection, retention tracking, and a final survey.</t>
  </si>
  <si>
    <t xml:space="preserve">Educational scholarships provide an opportunity for Early Childhood professionals to move up in their career lattice in the Texas Early Childhood Professional Development System (TECPDS), which is in alignment with the strategic plan for Workforce Solutions for Tarrant County.                                                                                                                                                                                                                                    4 early learning staff  received a scholarship to pay for their application fee for their CDA certificate.  
Funding Source: CQF </t>
  </si>
  <si>
    <t xml:space="preserve">Our target number is to reach 40 child care program teachers/ or directors. 4 teachers/ or directors received their CDA certificate through the Council for Professional Recognition. In Q2, the Board completed 1% of the goal to support 40 child care programs teachers/or directors. </t>
  </si>
  <si>
    <t>The Wage Supplement program to child care programs for their early learning staff for reasons listed in the annual expenditure plan.                                                                                                                                           576 individuals received a wage supplement due to obtainment of Two-, Three-, and Four-Star certification for newly certified programs, star level increases, recertification star level increases, and those that maintain Four-Star after assessment. 
48 teachers across 11 programs received the wage supplement due to the completion of ASQ. 
65 individuals received a wage supplement due to retention of employment at a Texas Rising Star facility as evidenced through the use of their completed TECPDS account. 
Overall, 119 early learning programs with 689 participants were supported through the wage supplement program for Q2. 
 Funding Source: CQF</t>
  </si>
  <si>
    <t>Our target number is  560 early learning programs to  receive wage supplement. 119 early learning programs received a  wage supplement for their child care staff. In Q2, the Board completed 21% of the goal to support 560 early learning program.</t>
  </si>
  <si>
    <t>22 individuals received the education wage supplement based off of the obtainment of CDA, Associates Degree, Bachelor's Degree, Master's Degree, and Registered Apprenticeship program. 
15 programs participated in the education wage supplement. 
Funding Source: CQF</t>
  </si>
  <si>
    <t>Our goal is to supply professional development to 1,400 early learning staff. In Q2, this activity constitutes an additional 1% of the overall  goal of "Professional Development Opportunities" listed in the Annual Expenditure Plan to support 1,400 early learning staff with professional development in FY25.</t>
  </si>
  <si>
    <t>Infant Toddler Specialist support:  The Board's Infant Toddler Specialists provided individuals with  1  virtual training in March 2025.  47 individuals attended the virtual trainings.
Funding Source: CCQ</t>
  </si>
  <si>
    <t xml:space="preserve"> Our goal is to supply professional development to 1,400 early learning staff and the Infant Toddler Specialists supported 47 early learning program staff. In Q2, this activity constitutes an additional 3% (which leads to a cumulative 5%) of the overall  goal of "Professional Development Opportunities" listed in the Annual Expenditure Plan to support 1,400 early learning staff with professional development in FY25.</t>
  </si>
  <si>
    <t xml:space="preserve">Texas Early Childhood Professional Development System (TECPDS) Specialist support: The TECPDS Specialist provided individuals with in-person and virtual training/support in Q2. 
     70 individuals attended the in person trainings during the months of January, February  &amp;  March 2025
     4  programs and 71 individuals attended the in person training during the months of  January, February  &amp;  March 2025
     1 individual attended the virtual trainings during the months of January, February  &amp;  March 2025
Funding Source: CCQ </t>
  </si>
  <si>
    <t>Our goal is to supply professional development to 1,400 early learning staff and the TECPDS Specialist provided support to 142 early learning program staff. In Q1, this activity constitutes an additional 10% (which leads to a cumulative 40%) of the overall  goal of "Professional Development Opportunities" listed in the Annual Expenditure Plan to support 1,400 early learning staff with professional development in FY25.</t>
  </si>
  <si>
    <t xml:space="preserve">On October 15, 2024 the Workforce Solutions for Tarrant County Child Care Advisory Council convened for discussion on the FY25 Quality Plan and members reported a community need for National Accreditation fee reimbursement, which supported the data collected by the Child Care Directors' survey.                                                                                                                                                                            2 programs received  National Accreditation reimbursement by completing an application and providing proof of payment. 
Funding Source: CQF </t>
  </si>
  <si>
    <t xml:space="preserve">Our target number has been adjusted to reach 5 child care programs  to receive reimbursement for National Accreditation fees. 2 early learning programs applied for National Accreditation reimbursement. In Q2, the Board completed 40% of the goal to support 5 child care programs. </t>
  </si>
  <si>
    <t xml:space="preserve">For indoor environment materials/equipment, 33% of mentors working with after-school programs, 33.3% of  mentors working with home-based programs, and 27.8% of mentors working with licensed centers reported a need for the program with which they are working. Amount each program receives depends on number of participating programs and documented need based off of Continuous Quality Improvement Plan (CQIP) goals.                                                                                                                                                               387 programs received a Lakeshore order.  
50 programs received CWD Kaplan materials. 
Funding Source: CQF </t>
  </si>
  <si>
    <t>Our target number is 189 early learning programs to receive materials. 437 early learning programs received materials. In Q2, the Board completed 100% of the goal to support 189 early learning programs. More programs have been and will be supported based on need throughout the remainder of the fiscal year.</t>
  </si>
  <si>
    <t xml:space="preserve">9 early learning programs who have not received curriculum from Workforce Solutions for Tarrant County before and/or do not have a standard curriculum in place for specific age groups received Teaching Strategies curriculum. 
Funding Source: CQF </t>
  </si>
  <si>
    <t xml:space="preserve">Our target number is 20 early learning programs to receive curriculum. 9 early learning programs received curriculum. In Q2, the Board completed 45% of the goal to support 20 early learning programs. </t>
  </si>
  <si>
    <t xml:space="preserve">Texas Rising Star Staff Personnel: Positions supported are 20 mentors and 14 support staff to include, the North Texas Region Quality, Director of Quality Child Care, Quality Manager, Quality Supervisor, TECPDS Specialists, Special Projects Coordinators, Administrative Assistants, Information Technology Support staff, and Inclusion mentor. Positions include managerial positions that provide oversight of the Texas Rising Star &amp; Quality Initiatives Team. The remaining support staff implemented approved quality initiatives, support TECPDS and career lattice movement, provide necessary data entry, and support the Inclusion Rate program for children with disabilities.
There was 563 programs who received mentoring and other various support services during Q2.
Funding Source: CCQ and CCQ mentor-specific funding </t>
  </si>
  <si>
    <t xml:space="preserve">563 programs received various support services from our quality support staff. Our goal was to support 575 early learning programs under activity "Texas Rising Star &amp; Quality Initiatives Support Staff Personnel" in FY2025. In Q2, the Board supported 97% of early learning programs through Texas Rising Star and quality initiative activities. </t>
  </si>
  <si>
    <t>TECPDS Specialist support: The TECPDS Specialist provided users currently employed with an Entry Level-designated program support to create an account. 
37,735 users and 100 programs received this support. Many of the users do not add their current employment to their account. Additionally, 1,090 users from those 100 programs were outreached via email post account creation for follow -up
Funding Source: CCQ</t>
  </si>
  <si>
    <t xml:space="preserve"> Our goal was to support 575 early learning programs in FY2025. There were 100 programs that were supported by our TECPDS support staff. In Q2, the Board completed an additional 17% (which leads to a cumulative 30%) of the goal to support 575 early learning programs in FY25. </t>
  </si>
  <si>
    <t xml:space="preserve">Infant Toddler Specialist support:  Currently the 2 Infant-Toddler Specialists are working with 11 early learning programs. The Infant Toddler Specialists spent a combined total of 14.08 contact hours on infant-toddler activities. (Not PD)
Funding Source: CCQ </t>
  </si>
  <si>
    <t xml:space="preserve"> Our goal was to support 75 early learning programs in FY2025. There was 11 programs that were supported by the Board's Infant Toddler Specialists. In Q2, the Board completed an additional 14%  (which leads to a cumulative 30%) of the goal to support 75 early learning programs in FY25. </t>
  </si>
  <si>
    <t>Provided a total of 18 hours of business training on a variety of topics (virtual) for 230 child care program staff. These trainings were held monthly.
Funding Source: CCQ</t>
  </si>
  <si>
    <t>In quarter 2, the Board has exceeded the goal of 800 participants for providing professional development to early learning programs. We will continue to provide training on the Texas Rising Star categories throughout the program year. Measurable outcomes related to meeting  required minimum standards annual required hours as well as programs maintaining Texas Rising Star certification are TBD.</t>
  </si>
  <si>
    <t>Provided a total of 5.3 hours of training over the Texas Rising Star categories (in-person) for 60 child care program staff.        
Funding Source: CCQ</t>
  </si>
  <si>
    <t>Provided a total of 26.45 hours of training on a variety of topics from contracted trainers for 437 child care program staff. 8.45 hours were virtual with 312 participants and 18 hours were in-person with 125 participants
Funding Source: CCQ</t>
  </si>
  <si>
    <t>In quarter 2, the Board has exceeded our goal of 800 participants for providing professional development to early learning programs. We will continue to provide training over a variety of topics identified in the child care minimum standards throughout the program year. Measurable outcomes related to meeting  required minimum standards annual required hours as well as programs maintaining Texas Rising Star certification are TBD.</t>
  </si>
  <si>
    <t>Provided a total of 72 hours of Pre-Service training to 31 child care program staff in partnership with Educational First Steps (in-person). Three 24-hour sessions were provided.
Funding Source: CQF</t>
  </si>
  <si>
    <t>In quarter 2, the Board has reached 38% of our goal of reaching 100 early learning programs with pre-service/ refresher training. In quarter 3, we will contact the participants from the Pre-Service/ Refresher training to tract the retention of the participants. A stipend will be provided to the participants who are continuously employed at the facility. The tracking of this initiative is on-going. We have scheduled this initiative once a month throughout the program year.</t>
  </si>
  <si>
    <t>Provided adaptable resources to 4 early learning programs who received observations from our inclusion specialist. 
Funding Source: CCQ</t>
  </si>
  <si>
    <t>In quarter 2, the Board has reached 16% of our goal of 25 early learning programs to receive these resources. Measurable outcomes related to meeting  required minimum standards annual required hours as well as programs maintaining Texas Rising Star certification are TBD.</t>
  </si>
  <si>
    <t>Provided 46 early learning staff with the Director's Administrative Credential Course (virtual)
Funding Source: CCQ</t>
  </si>
  <si>
    <t>In quarter 2, 46 participants completed the classes, 38 of the 46 have passed their exam and have received their credentials. We have reached 83% of our goal of 46 early learning directors receiving their credentials. The remaining participants are scheduled to test in March &amp; April 2025. Measurable outcome related to the pre- and post-surveys are TBD.</t>
  </si>
  <si>
    <t>Provided 76 scholarships to child care program staff to support obtaining training/coursework towards a CDA credential (32), certificate (1), AAS (23), BAS (13), TSI (3) and developmental courses (4).
Funding Source: CCQ</t>
  </si>
  <si>
    <t>In quarter 2, 38% of our goal has been enrolled in training towards obtaining a CDA credential (32), certificate (1), AAS (23), BAS (13), TSI (3) and developmental courses (4).</t>
  </si>
  <si>
    <t>Provided a total of 27 hours of in-person First Aid/CPR classes to 92 child care program staff from January-March 2025 
Funding Source: CCQ</t>
  </si>
  <si>
    <t>In quarter 2, the Board has completed 95% of our goal of reaching 200 early learning programs with First Aid CPR training. This is an on-going initiative throughout the program year. (Q1 98 + Q2 92=190 total). 
Measurable outcomes related to a decrease in Child Care Regulation deficiencies is TBD.</t>
  </si>
  <si>
    <t xml:space="preserve">Purchased CPR Pocket Mask for 40 programs (100 participants) who attended the monthly First Aid/ CPR training.
Funding Source: CCQ </t>
  </si>
  <si>
    <t>The Board has completed 100% of goal by providing every participant of First Aid/CPR training with pocket pouches. We anticipate having to order more pouches in Q3 for the participating attendees at our First Aid/ CPR training.</t>
  </si>
  <si>
    <t>Provided monetary stipends to 12 early learning programs who achieved Texas Rising Star certification or recertification. February = 11 New &amp; 1 Recertification
Funding Source: CQF</t>
  </si>
  <si>
    <t xml:space="preserve">In quarter 2, the Board has reached 12% of the goal for providing stipends to 600 early learning programs for becoming Texas Rising Star certified. This initiative is provided monthly throughout the end of the program year. </t>
  </si>
  <si>
    <t>Provided a total of 9 hours of Infant/Toddler training through the Connect with Me Series monthly to 437 child care program staff (Virtual)
Funding Source: CCQ</t>
  </si>
  <si>
    <t>In quarter 2, the Board has reached 87% of the goal of 500 participants for providing Infant/ Toddler professional development to early learning programs. We will continue to provide training throughout the year.</t>
  </si>
  <si>
    <t xml:space="preserve">Purchased Educational Infant/Toddler materials/kits from Kaplan for 20 early learning programs that completed the Connect with Me Infant/Toddler training series
Funding Source: CCQ </t>
  </si>
  <si>
    <t>In quarter 2, we have reached 40% of our goal of providing materials for infant/ toddlers to 50 early learning programs for their Infant Toddler classrooms. 
Measurable outcomes related to the Board's goal of building capacity for infants and toddlers is TBD.</t>
  </si>
  <si>
    <t>The Quality Coach has received and reviewed data to identify 4 eligible early learning programs to participate in the upcoming cycle of LENA in quarter 2.  This will support 50 children &amp; 9 teachers.
Funding Source: No funds spent this quarter.</t>
  </si>
  <si>
    <t>In quarter 1, the Board has reached 100% of the goal of 50 children, 40% of the 25 teachers participating and 25% of the 20 classrooms participating. The coach has completed a LENA overview Zoom meeting to share the LENA program. Our coach has completed the director's and teacher's meeting &amp; orientation.  The LENA cycle will begin in quarter 3.</t>
  </si>
  <si>
    <t>Business Management Systems - WFSDallas Wonderschool Pilot Project 
The application was developed and available for early learning programs to apply for the business management system pilot project.  The results from the applications have been shared with the vendor, Wonderschool. Interested applicants have been contacted and screened for the pilot. There are 16 early learning programs who are currently enrolled in the pilot. 
Funding Source: CCQ</t>
  </si>
  <si>
    <t>64% of the goal has been met with 16 early learning programs enrolled in the pilot. 
Additional measurable outcomes TBD.</t>
  </si>
  <si>
    <t>The initiative for Wage Supplement, Substitute Pay, and Reimbursement is in its initial planning phase. A plan has been developed to identify the purpose, who will be eligible to participate, and when the disbursements will take place. The process is being finalized to ensure that all documentation, financial needs, and participant parameters are in compliant.                                                                
Funding Source: No funds spent this quarter</t>
  </si>
  <si>
    <t>This initiative is ongoing and will run through quarter four. 
Measurable outcome TBD.</t>
  </si>
  <si>
    <t>The Board researched and received quotes for procured vendors for the indoor/outdoor environment and grant. The Board has vetted and identified the early learning programs who are eligible to receive the Indoor Environment Award for quarter 2. The Board received 25 applications for the grant and eligible programs will be awarded in April 2025 (Quarter 3).
Funding Source: No funds spent this quarter</t>
  </si>
  <si>
    <t>The Board used the Texas Rising Star Category 4 scores from their assessment to determine needs.  Programs who scored 2 and below on these measures were eligible to apply for the grant. 
Measurable outcome TBD.</t>
  </si>
  <si>
    <t>The Board researched and contacted companies to provide quotes for Infant/Toddler educational materials and curriculum. We will provide Infant / Toddler educational materials for the participants who attend the future scheduled trainings in quarter 3. 
Funding Source: No funds spent this quarter</t>
  </si>
  <si>
    <t>Measurable outcome TBD.</t>
  </si>
  <si>
    <t>The quality department met with community partners, United Way &amp; Help Me Grow North Texas, to restructure our delivery and support for future Ages and Stages trainings.
Funding Source: No funds spent this quarter</t>
  </si>
  <si>
    <t>We have monthly scheduled trainings that are at no cost.  The scheduled Ages and Stages conference is scheduled for August 2025 in quarter 4. We will purchase materials for the conference in quarter 3.</t>
  </si>
  <si>
    <t>To provide a one-time stipend for early learning programs who are currently accredited to apply for reimbursement of accreditation fees, an application process was created. The application will be available in April 2025.  
Funding Source: No funding spent this quarter</t>
  </si>
  <si>
    <t>Mentor staff participated in Peer Learning Communities, which support mentors with increasing the quality of coaching they provide to early learning programs. PLCs support mentors in the following areas: Characteristics of effective specialists, communication, observation skills, providing feedback, fostering reflective thinking, demonstration and cues, and support for continuous improvement. Participation is part of the mentors' role and responsibilities.
Funding Source: CCQ mentor-specific</t>
  </si>
  <si>
    <t>In Quarter 2, 20 mentors completed 45 PLCs. The Texas Rising Star mentors have scheduled dates to attend the Peer Learning Communities. 
Measurable outcomes are TBD.</t>
  </si>
  <si>
    <t>The contractor met with Texas Workforce Commission- PreK Partnership department to gain an understanding of the process and to review the list of our current partners with TWC and Childcare Group. An application was developed for distribution for the eligible programs to apply to receive the stipend for their child care teacher participating in the PreK Partnership class. Childcare Group received a current list of all Dallas County partnership programs. Stipends to be paid in quarter 3.                                       
Funding Sources: No funds spent this quarter</t>
  </si>
  <si>
    <t>Texas Rising Star Infant Toddler Specialist and Texas Early Childhood Professional Development System (TECPDS) Specialists personnel costs
Our Quality Initiative Coach became a certified Infant Toddler Specialist. One Texas Rising Star Program Manager and the Quality Initiative Manager is also certified with the program. Currently the TECPDS Specialist position is vacant. 
Funding Source: CCQ</t>
  </si>
  <si>
    <t>Texas Rising Star Personnel Costs. Travel, benefits, salaries, etc. for 20 mentors and 2 managers.
Funding Source: CCQ mentor-specific</t>
  </si>
  <si>
    <t xml:space="preserve">The Board has served 770 early learning programs. This is 100% of the programs Dallas Board serves. </t>
  </si>
  <si>
    <t>Personnel costs for Texas Rising Star staff employed with Workforce Solutions Northeast Texas. 4 mentors continue to provide quality training to child care programs and they are continuously searching for trainings to provide and participate in. The Board has assisted 60 early learning programs in quarter 2.
Funding Source: CCQ mentor-specific funding</t>
  </si>
  <si>
    <t>The Board has assisted 60 early learning programs in Q2. The Board's goal is to assist 60 early learning programs. The Board has completed 100% of this goal in Q2.</t>
  </si>
  <si>
    <t>Paid for lodging for 17 child care program staff to attend the spring Texas Licensed Child Care Spring Conference. 
Third party conference, in person.
Funding Source: CQF</t>
  </si>
  <si>
    <t>Provided staff with the opportunity to obtain required training hours and to support an increase of quality interactions in the classroom. 
The TLCCA Conference provided the providers who attended, 14.50 hours of the TRS required 36 hours  for directors and 30 hours for teaching staff.  This training which covers child development, health, program management, administration, teacher/child interactions, classroom activities and parent involvement. 
Assessment scores for early learning programs new to Texas Rising Star and those due for recertifications will depict the impact of our training.</t>
  </si>
  <si>
    <t>Provided Brightwheel Learning to 60 early learning programs. This is utilized for attendance tracking, billing processes, and parent communication. 
Funding Source: CCQ</t>
  </si>
  <si>
    <t xml:space="preserve">Child care programs are utilizing Brightwheel to submit attendance to KinderConnect. 
Increased communication between program and parents. 
Data regarding an increase in parent/teacher communication is ongoing, however, at least 50% of parent communication is done using Brightwheel. 
The Board's goal of providing 60 programs with Brightwheel has been met at 100%. </t>
  </si>
  <si>
    <t>Paid balance for Keynote Speaker for the Board's annual child care conference March 29, 2025. 170 early learning program staff attended in-person from 60 early learning programs.
Board's conference, in person.
Funding Source: CQF</t>
  </si>
  <si>
    <t>Provided staff with required training hours and to support an increase of quality interactions in the classroom. Child care staff received 7 training hours and uploaded their certificates to their TECPDS accounts monitored by the Texas Rising Star mentors.
Data TBD
Assessment scores for early learning programs new to Texas Rising Star and those due for recertifications will depict the impact of our training.</t>
  </si>
  <si>
    <t>Paid remaining balance on awning for shade on playground for 1 early learning program. 
Funding Source: CCQ</t>
  </si>
  <si>
    <t xml:space="preserve">Early learning program reported satisfaction with Texas Rising Star services. Early learning program emailed and sent pictures per our request to show completion of implementation. </t>
  </si>
  <si>
    <t>Paid for the venue and 9 speakers to provide breakout sessions during the annual child care conference. 40 early learning programs registered and 39 early learning programs participated with 170 early learning educators.
Board conference, in person.
Funding Source: CQF</t>
  </si>
  <si>
    <t xml:space="preserve">Provided staff with required training hours and to support an increase of quality interactions in the classroom. Child care staff received 7 training hours and uploaded their certificates to their TECPDS accounts monitored by the Texas Rising Star mentors.
Teachers were required to turn in a survey at the end of the conference in order to receive their certificates. Survey data from 153 respondents concluded overall satisfactory experience with subject matter and speakers.
Child Care Regulation Data TBD. </t>
  </si>
  <si>
    <t>Provided various director and staff trainings monthly. 697 early learning staff attended in person.
Funding Source: CQF</t>
  </si>
  <si>
    <t xml:space="preserve">Provided staff with required training hours and to support an increase of quality interactions in the classroom.  Certificates uploaded to TECPDS and verified by mentors.  
Data TBD
Decrease in number of licensing deficiencies cited by Child Care Regulation. 
Child Care Regulation Data TBD. </t>
  </si>
  <si>
    <t>Purchased gift cards to vendors as educational incentives for early learning programs who attended  the annual childcare conference. 39 early learning programs received the gift cards.
Board conference, in person.
Funding Source: CQF</t>
  </si>
  <si>
    <t>Early learning programs received incentives for educational materials to bring their staff to attend a 7 hour training on Saturday. We anticipate this will assist with higher quality teacher-child interactions in classrooms resulting in less licensing deficiencies for teachers. Teachers were required to use TECPDS to receive certificates in order to measure the number of teachers attending and increase the scoring of the measure P-CQT-04 (utilization of TECPDS accounts).
The Board will review assessment scores for the participating programs to confirm measurable outcome.</t>
  </si>
  <si>
    <t xml:space="preserve">Purchased books for breakout session and transition cards for all participants coming to the annual childcare conference. Anticipating around 50 early learning program staff to attend between 2 sessions. 
Board Conference, in person.
Funding Source: CQF
</t>
  </si>
  <si>
    <t>Teachers will be able to incorporate books and link age appropriate activities into the lesson plans to increase the score of Texas Rising Star measure P-IFAL-05 (repeated exposure of new concepts). Transition cards will support teachers to help the children move from one activity to another promoting an efficient learning experience throughout the day and increase the score of Texas Rising Star measure P-IFAL-03 (routines and transitions). Teachers received certificates for each class through their personal TECPDS accounts. 
The Board will review assessment scores for the participating programs to confirm measurable outcome.</t>
  </si>
  <si>
    <t>Paid for speakers to provide Breakout Sessions at the spring Child Care Workshop at Paris Junior College.
Board hosted, in person.
Funding Source: CQF</t>
  </si>
  <si>
    <t>Early learning program staff receive certificates through TECPDS which are monitored regularly by their Texas Rising Star mentors. Through this, we can see the number of teachers impacted by each breakout session and their personal accounts. 
Participants received 7 of the 30 annual quality training hours to meet the Texas Rising Star training requirements.</t>
  </si>
  <si>
    <t>Facilitated venue for 3 Infant Toddler trainings provided by the Infant Toddlers specialists. Training was provided at no cost to early learning programs. Total of 60 teachers were in attendance. ITSN funded the training for our local area. Virtual conference
Funding Source: N/A - no costs incurred</t>
  </si>
  <si>
    <t>The conference improved teacher and director morale and classroom interactions that is essential to creating a positive effective learning environment for the children as observed by the mentors during their visits. These improvements are based on Category 2:Teacher/Child Interactions scores.</t>
  </si>
  <si>
    <t>Purchased cameras for 1 early learning program
Funding Source: CCQ</t>
  </si>
  <si>
    <t>Program meets safety requirement for Child Care Regulation. This activity has completed 10% of the Board's goal to assist 10 early learning programs with health and safety. Outcomes based on Child Care Regulation screenings are TBD.</t>
  </si>
  <si>
    <t>Purchased playground equipment for infant toddler playgrounds at 4 programs
Funding Source: CCQ</t>
  </si>
  <si>
    <t>100% infant toddler classes at these 4 programs  are anticipated to increase their outdoor environment scores on their upcoming assessments. TBD.</t>
  </si>
  <si>
    <t>The 9  infant and toddler classes utilizing this curriculum met P-PM=03 developmentally appropriate curriculum in their most recent assessment.</t>
  </si>
  <si>
    <t>Purchased classroom equipment and materials for Infants and Toddlers for 11 programs
Funding Source: CQF</t>
  </si>
  <si>
    <t>90% programs I/T class environments meet indoor environment assessment measures Upcoming assessments will provide results compared to last year's results, TBD.</t>
  </si>
  <si>
    <t>Texas Rising Star staff provided 47 live and in person trainings for 454 Texas Rising Star program staff
Funding Source: CCQ mentor-specific funding</t>
  </si>
  <si>
    <t>24% of the goal to provide training to 200 early learning programs and 43% of program staff was met in Quarter 2.</t>
  </si>
  <si>
    <t>Reimbursed training registrations for 60 staff from 9 programs
Funding Source: CQF</t>
  </si>
  <si>
    <t>60% of the goal to provide reimbursement to 100 early learning program staff was met in Quarter2.</t>
  </si>
  <si>
    <t>The Board has a goal to assist 100 early learning staff and has assisted 1 in Quarter 1. Credential achievement is TBD.</t>
  </si>
  <si>
    <t>Purchased Pre-K curriculum sets for 9 programs
Funding Source: CQF</t>
  </si>
  <si>
    <t xml:space="preserve">The 9 program Pre-K classes utilizing this curriculum meet P-PM-03 developmentally appropriate curriculum. </t>
  </si>
  <si>
    <t>Purchased playground equipment for PreK playgrounds for 12 programs
Funding Source: CCQ</t>
  </si>
  <si>
    <t>PreK playground assessment scores for 12 programs are expected to increase from previous assessments, TBD</t>
  </si>
  <si>
    <t>Purchased classroom equipment/materials for Pre-K classrooms in 12 programs
Funding Source: CQF</t>
  </si>
  <si>
    <t>Awarded initial monetary incentives to 8 programs beginning the Texas Rising Star certification process. Each early learning program received $1000
Funding Source: CQF</t>
  </si>
  <si>
    <t>20% of the Board's goal to support 40 new early learning programs was met in Q1</t>
  </si>
  <si>
    <t>Paid salary and benefits for 6 Texas Rising Star staff (mentor staff are designated Infant Toddler Specialist and Texas Early Childhood Professional Development System Specialist)                                                        
Funding: CCQ mentor-specific funding</t>
  </si>
  <si>
    <t>Purchased sleeping mats for 2 early learning programs - cited by Child Care Regulation
Funding Source: CCQ</t>
  </si>
  <si>
    <t>Programs meet health requirement for Child Care Regulation. This item completed 20 % of the board's goal to assist 10 early learning programs with health and safety. Outcomes based on Child Care Regulation screenings is TBD.</t>
  </si>
  <si>
    <t>Awarded retention stipends to 520 staff members of 114 certified early learning programs; First of 2 planned for FY 25
Funding Source: CCF</t>
  </si>
  <si>
    <t>100% retention stipends awarded; staff retention following award is TBD</t>
  </si>
  <si>
    <t>Awarded monetary bonus to 11 programs achieving Three- or Four-Star certification. Awards based on licensing capacity: homes- $500; centers under 50 -$$750; centers 51 to 150 - $1000; centers over 151 -$1500
Funding Source: CQF</t>
  </si>
  <si>
    <t xml:space="preserve">The Board's goal is to support 45 programs with this incentive. The Board has completed 22% of this goal in Quarter 2. </t>
  </si>
  <si>
    <t>Staff salaries and benefits for 4.50 full time Texas Rising Star Staff who mentored 200 teaching staff members to help maintain and/or increase star level within 86 Texas Rising Star programs.
15 Entry Level-designated programs received targeted mentoring to help onboard them to Texas Rising Star.
The TECPDS Specialist provided support to 88 staff to validate professional development certificates at 8 early learning programs. 
Funding Source: CCQ mentor-specific funds; CCQ for TECPDS Specialist</t>
  </si>
  <si>
    <t xml:space="preserve">The Board reached 93% of the goal in Q2 by supporting 86 of the 92 Texas Rising Star programs.
The Board reached 33% of the goal in Q2 to assist a total of 45 early learning programs to be onboarded to Texas Rising Star. 
The Board reached 53% of the goal in Q2 to assist 15 early learning programs with TECPDS and validating records. </t>
  </si>
  <si>
    <t>5 Texas Rising Star staff attended the TWC Texas Rising Star staff meeting in Austin. 
Funding Source: CCQ 2%</t>
  </si>
  <si>
    <t xml:space="preserve">5 Texas Rising Star staff attended the TWC Texas Rising Star staff meeting. This met the goal of 100% as all relevant staff attended. </t>
  </si>
  <si>
    <t>First Aid and CPR Training was provided to 40 participants from 9 early learning programs.
Funding Source:  CCQ</t>
  </si>
  <si>
    <t>The Board's goal is to support 90 early learning programs with CPR/First aid training. The Board has met 10% of this goal in Q2, serving 9 early learning programs.</t>
  </si>
  <si>
    <t>FBI Fingerprints reimbursements to 5 early learning programs for 13 participants.
Funding Source:  CCQ</t>
  </si>
  <si>
    <t>The Board's goal is to support 90 early learning programs with FBI fingerprints. The Board has met 6% of this goal in Q2 assisting 5 early learning programs.</t>
  </si>
  <si>
    <t>Infant Toddler Specialist provided training expertise specific to the Infant and Toddler staff allowing for improvement in quality care. The Infant Toddler Specialist provided in-person training to 40 early learning programs with 207 participants. 
Funding Source:  CCQ mentor-specific funding</t>
  </si>
  <si>
    <t>The Board's goal is to support 90 early learning programs. The Board met 44% of this goal in Q2.</t>
  </si>
  <si>
    <t>Infant/Toddler expansion for 1 early learning program. Provided materials and equipment to furnish on new Toddler classroom. 14 new toddler slots were generated.
Funding Source: CCQ</t>
  </si>
  <si>
    <t>Expanding Texas Rising Star programs by providing materials and equipment to increase capacity for Infant and toddler classrooms in our Board area. The Board's goal is to increase Texas Rising Star toddler slots by 10. The Board met 100% of their goal in Q2.</t>
  </si>
  <si>
    <t>Provided back-office solutions to 27 early learning programs to allow for Director/Administrators to be out of the office more and into the classroom working with teachers.
Funding Source:  CCQ</t>
  </si>
  <si>
    <t>To increase the number of early learning programs using Back Office Software in order to decrease the number of licensing deficiencies cited by Child Care Regulation by allowing directors more time in the classrooms observing teachers. The measurable outcome is TBD.</t>
  </si>
  <si>
    <t>6 early learning programs received a $4,000.00 stipend for achieving Texas Rising Star certification 
Funding Source: CCQ</t>
  </si>
  <si>
    <t>The Board's goal is to award 40 early learning programs with this stipend.  The Board met 15% of their goal in Q2.</t>
  </si>
  <si>
    <t>7 early learning programs received a $3,000 outdoor equipment grant for obtaining Texas Rising Star certification.
Funding Source:  CCQ</t>
  </si>
  <si>
    <t>Provide $3,000 to each early learning program that obtains their Texas Rising Star certification to increase their scores in Category 4 of the Classroom Assessment Record Form.  The Board's goal is to support 24 centers. The Board met 29% of this goal in Q2.</t>
  </si>
  <si>
    <t xml:space="preserve">Provided Child Care Conference to 431 individuals to assist them in obtaining their required annual training hours.
                                                                                                                                                                                                                                                                                                                                                                                                                                   Funding Source:  CCQ                                                                                           </t>
  </si>
  <si>
    <t>To decrease the number of licensing deficiencies cited by Child Care Regulation specific to staff training hours. The measurable outcome is TBD.</t>
  </si>
  <si>
    <t>Texas Rising Star Personnel costs for 4 mentors/staff (This includes 1 Infant Toddler Specialist)
Funding Source: CCQ mentor-specific funding</t>
  </si>
  <si>
    <t>100% of the Board's goal to support 90 early learning programs was met in Q2.</t>
  </si>
  <si>
    <t>Continue to assist child care programs in maintaining quality care throughout the Concho Valley through mentoring services. The Board has assisted 45 early learning programs of the 52 goal the Board has set for FY25. 86.54% of the Board's goal has been met.</t>
  </si>
  <si>
    <t>3 Texas Rising Star staff members have attended 3 out of the 3 offered Peer Learning Communities (PLC) groups offered this quarter to assist mentoring staff with best practices, engagement activities and peer feedback. Mentors have been in attendance and videos have been submitted. The reach of this activity is for Texas Rising Star staff to attain new skills to better assist the child care programs within our region. The impact would be for all eligible child care programs to become Texas Rising Star Certified and retain or go up in star level for already certified programs by their eligibility deadlines.  
Funding source: CCQ mentor-specific funding</t>
  </si>
  <si>
    <t>Hosted 1 virtual Infant and Toddler training event for early learning program practitioners provided by the Board's Certified Infant Toddler Specialist/Texas Rising Star mentor. The training event took place on 2/18/2025. 1 virtual training event scheduled for 1/21/2025 was cancelled due to staff illness. 
Funding source: no funds were expended to support this activity for Q2</t>
  </si>
  <si>
    <t>3 participants of the 20 (15%) participant goal for Infant/Toddler Professional Development has been reached in for this activity Quarter 2.</t>
  </si>
  <si>
    <t>Hosted a "Challenging Behaviors-Prevention and Strategies" in-person training on 2/11/2025 for 7 early learning program homes. 
Funding source: no funds were expended to support this activity for Q2</t>
  </si>
  <si>
    <t>7 participants of the 20 (35%) participant goal for Professional Development has been reached in for this activity Quarter 2.</t>
  </si>
  <si>
    <t>Hosted director and practitioner Peer Learning Communities (PLCs) on topics requested by early learning programs from the 2024-2025 Professional Development Survey (completed by all Concho Valley early learning programs September 4, 2024-September 11, 2024). The reach and impact was to 31 early learning program practitioners and directors, representing 2 child care programs. 
Funding source: no funds were expended to support this activity for Q2</t>
  </si>
  <si>
    <t xml:space="preserve">Infant and Toddler Curriculum purchased during quarter 2. 
Frog Street Press Infant Toddler curriculum purchased for 9 early learning programs.
Funding source: CCQ                           
                                                                                                                                                                                                                                               </t>
  </si>
  <si>
    <t xml:space="preserve">Curriculum purchased during quarter 2. 
Frog Street Press Preschool/Pre K Curriculum purchased for 8 early learning programs. 
Funding source: CCQ                                                                                                                                                                                                                                                                     </t>
  </si>
  <si>
    <t xml:space="preserve">Board purchased Life Vac anti-choking devices and first aid kits for 50 contracted CCS early learning programs (Goodfellow AFB CDC and GAFB School-Age declined). Each facility received 2 devices and 2 kits to cover multiple buildings and/or spaces. (100 total devices purchased)
Funding source: CCQ </t>
  </si>
  <si>
    <t>50 of the 50 (100%) program goal has been reached for this activity in Quarter 2. Total number of programs served is 50 early learning programs. Measurable Data TBD</t>
  </si>
  <si>
    <t>In-person professional development training on Texas Rising Star Category 2 &amp; 4 - 3 hours with 28 attendees. This activity is based on needs assessment and interviews to obtain firsthand data about current training needs of early learning programs. 
Funding Source: CCQ</t>
  </si>
  <si>
    <t>We estimate to have up to 300 total professional development participants. Heart of Texas has reached about 9% of the goal with this activity.
Success will also be measured by the number of participants, increase in knowledge, sustained motivation and job satisfaction. We will use pre- and post-surveys, Continuous Quality Improvement Plans, decrease in deficiencies from Child Care Regulation, and the increase in Texas Rising Star certification levels. By the end of the 2nd quarter, we have met 62% of our targeted outreach and goal for the year.</t>
  </si>
  <si>
    <t>In-person professional development training on Texas Rising Star Orientation - 2 hours with 5 attendees.
This activity is based on needs assessment and interviews to obtain firsthand data about current training needs of early learning programs.   
Funding Source: CCQ</t>
  </si>
  <si>
    <t>We estimate to have up to 300 total professional development participants. Heart of Texas has reached about 2% of the goal with this activity.
Success will also be measured by the number of participants, increase in knowledge, sustained motivation and job satisfaction. We will use pre- and post-surveys, Continuous Quality Improvement Plans, decrease in deficiencies from Child Care Regulation, and the increase in Texas Rising Star certification levels. By the end of the 2nd quarter, we have met 62% of our targeted outreach and goal for the year.</t>
  </si>
  <si>
    <t>In-person professional development training on Texas Rising Star Category 2 - 3.5 hours with 19 attendees. This activity is based on needs assessment and interviews to obtain firsthand data about current training needs of early learning programs. 
Funding Source: CCQ</t>
  </si>
  <si>
    <t>We estimate to have up to 300 total professional development participants. Heart of Texas has reached about 6% of the goal with this activity.
Success will also be measured by the number of participants, increase in knowledge, sustained motivation and job satisfaction. We will use pre- and post-surveys, Continuous Quality Improvement Plans, decrease in deficiencies from Child Care Regulation, and the increase in Texas Rising Star certification levels. By the end of the 2nd quarter, we have met 62% of our targeted outreach and goal for the year.</t>
  </si>
  <si>
    <t>In-person professional development training on Creating a Child's Portfolio - 9 hours with 44 attendees. This activity is based on needs assessment and interviews to obtain firsthand data about current training needs of early learning programs. 
Funding Source: CCQ</t>
  </si>
  <si>
    <t>We estimate to have up to 300 total professional development participants. Heart of Texas has reached about 15% of the goal with this activity.
Success will also be measured by the number of participants, increase in knowledge, sustained motivation and job satisfaction. We will use pre- and post-surveys, CQIPs, decrease in deficiencies from Child Care Regulation, and the increase in Texas Rising Star certification levels. By the end of the 2nd quarter, we have met 62% of our targeted outreach and goal for the year.</t>
  </si>
  <si>
    <t>Virtual professional development training on Early Learning Guidelines Training - 2 hours with 17 attendees.                                                                                                              
This activity is based on needs assessment and interviews to obtain firsthand data about current training needs of early learning programs. 
Funding Source: CCQ</t>
  </si>
  <si>
    <t>Virtual professional development training on Pre-K Guidelines Training - 2 hours with 17 attendees.                                                                                           
This activity is based on needs assessment and interviews to obtain firsthand data about current training needs of early learning programs. 
Funding Source: CCQ</t>
  </si>
  <si>
    <t>In-person professional development training on Teacher Child Interactions- 2 hours with 7 attendees. This activity is based on needs assessment and interviews to obtain firsthand data about current training needs of early learning programs. 
Funding Source: CCQ</t>
  </si>
  <si>
    <t>We estimate to have up to 300 total professional development participants. Heart of Texas has reached about 3% of the goal with this activity.
Success will also be measured by the number of participants, increase in knowledge, sustained motivation and job satisfaction. We will use pre- and post-surveys, Continuous Quality Improvement Plans, decrease in deficiencies from Child Care Regulation, and the increase in Texas Rising Star certification levels. By the end of the 2nd quarter, we have met 62% of our targeted outreach and goal for the year.</t>
  </si>
  <si>
    <t>In-person professional development training on CDA Portfolio - 2 hours with 8 attendees. This activity is based on needs assessment and interviews to obtain firsthand data about current training needs of early learning programs. 
Funding Source: CCQ</t>
  </si>
  <si>
    <t>In-person professional development training on Lena Grow Orientation- 1 hour with 7 attendees. This activity is based on needs assessment and interviews to obtain firsthand data about current training needs of early learning programs. 
Funding Source: CCQ</t>
  </si>
  <si>
    <t>We estimate to have up to 300 total professional development participants. Heart of Texas has reached about 1% of the goal with this activity.
Success will also be measured by the number of participants, increase in knowledge, sustained motivation and job satisfaction. We will use pre- and post-surveys, Continuous Quality Improvement Plans, decrease in deficiencies from Child Care Regulation, and the increase in Texas Rising Star certification levels. By the end of the 2nd quarter, we have met 62% of our targeted outreach and goal for the year.</t>
  </si>
  <si>
    <t>In-person professional development training on Minimum Standards provided by Child Care Regulation staff - 3 hours, with 29 attendees.
This activity is based on needs assessment and interviews to obtain firsthand data about current training  needs of early learning programs.
Funding Source: CCQ</t>
  </si>
  <si>
    <t>Provided grants to 23 early learning program directors to participate in the Leadership Academy. Each received a $1,000 stipend to address their Early Childhood Work Environment Survey assessment data for continuous quality improvement to the work environment. A positive work environment contributes to staff retention and greater outcomes for children and families.
Funding Source: CQF</t>
  </si>
  <si>
    <t xml:space="preserve">We estimate to have 25 directors and administrators of Texas Rising Star programs participate in a leadership academy designed to support early learning program administrators to embrace change, improve administrative practices and embark on a journey of continuous improvement at the individual and organizational levels. 23 directors completed the academy which is 92% of the Board's goal.                             </t>
  </si>
  <si>
    <t>Provided CPR and First Aid classes for 65 early learning program staff. The class will enhance continuous health &amp; safety in early learning  programs. 
Funding Source: CCQ</t>
  </si>
  <si>
    <t xml:space="preserve">We estimate 300 participants annually. This quarter, 65 early learning  program staff were either initially certified or recertified. This is 22% of the Board's goal to serve 300 participants.  </t>
  </si>
  <si>
    <t>Texas Rising Star Personnel Costs
Pay salary and fringe for 4 full-time mentors, 1 quality initiative coach, 1 Texas Rising Star support staff, and 1 full-time Provider Services Manager, plus materials, supplies, and travel. This includes the Infant Toddler Specialist and Texas Early Childhood Professional Development System Specialists. This activity aligns with the Board's plan to increase the supply of quality child care. Staff provided 544 mentoring hours to an estimated 107 early learning programs to support obtaining, maintaining, or increasing star level within Texas Rising Star.  
Funding Source: CCQ mentor-specific funding</t>
  </si>
  <si>
    <t xml:space="preserve"> Staff provided 572 mentoring hours to an estimated 107 early learning programs to support obtaining, maintaining, or increasing star level within Texas Rising Star. 
This quarter included 12 new/initial Texas Rising Star-certified programs and 8 recertified Texas Rising Star programs who either maintained or increased their star level. Heart of Texas has reached about 40% of the goal for this activity. </t>
  </si>
  <si>
    <t>Provided Texas Rising Star Initial or Recertification Stipends based on Texas Rising Star assessment results and Continuous Quality Improvement Plans of early learning programs. This activity provided 18 programs who achieved initial certification or recertification with a stipend. These stipends can be used for materials, equipment, and resources to assist in meeting Texas Rising Star requirements, including but not limited to, classroom furniture, developmentally appropriate learning materials, outdoor equipment, and gross motor equipment or directly to staff.
Funding Source: CQF</t>
  </si>
  <si>
    <t xml:space="preserve"> The estimated reach will be 20 Entry Level-designated early learning programs who attain certification. The estimated reach will be 35 certified early learning programs that are up for recertification in FY 2025. This quarter we have certified 2 Entry Level-designated early learning programs, and recertified 6 early learning programs. This is 10% and 17% of the Board's goal. Of the 8 programs who received a stipend, 2 were certified at Two-Star, 3 were certified at Three-Star, and 3 were certified at Four-Star.</t>
  </si>
  <si>
    <t>Curriculum was purchased based on needs assessments interview, and Texas Rising Star assessment results to obtain firsthand data about current needs of early learning programs. The activity provided a curriculum for Entry Level-designated programs. 17 programs received the curriculum and will participate in implementation training and have the opportunity for additional support from the Quality Initiative Coach. Support includes lesson planning that is aligned with the learning domains and guidelines. Obtaining a curriculum to implement will support programs to improve and maintain quality improvements.                                                                                                                                          
Funding Source: CCQ</t>
  </si>
  <si>
    <t xml:space="preserve">The estimated reach will be 8 early learning programs.
This quarter we purchased curriculum for 17 early learning programs. This is over double of the Board's goal. This is ongoing as these early learning programs will be attending implementation training next quarter to satisfy the other half of the measurable outcome.           </t>
  </si>
  <si>
    <t xml:space="preserve">In-Person Apprenticeship Program Support. This activity supports and addresses the professional development needs of 11 early care and education apprentices by integrating college coursework, cohort learning,  on-the-job-training, coaching, and increased compensation.   
Funding Source: CCQ and CCM                                                                                                                                                                                                                                                                                                                                                                                                                          </t>
  </si>
  <si>
    <t xml:space="preserve">This quarter 11 apprentices in Cohort 2 have participated in 4 professional development opportunities. They also received classroom materials and curriculum based on the needs identified using the  CLI Classroom Environment Checklist. These supports have assisted apprentices to achieve their on-the-job learning goals and quality improvement plans.                                                                                 </t>
  </si>
  <si>
    <t>Provided LENA Grow program to 4 Texas Rising Star programs. This activity is based on needs assessment and interviews to obtain firsthand data about current needs of early learning programs. Teachers will participate in professional development through out the LENA Grow cycle. LENA is a data-driven, evidence-based program that supports children's literacy, language, and social-emotional development through conversations between the teacher and the student. This aligns with the teacher-child interactions in Category 2 of Texas Rising Star.                                                                                                          
Funding Source: CCQ</t>
  </si>
  <si>
    <t>Our estimated reach is 4 programs which will support up to 5 classrooms/5 teachers and approx.40 children. This quarter we provided the LENA Grow program to 4 Texas Rising Star Programs , 5 classrooms, and 7 teachers and 40 children. According to the data there was an increase of 104%  teacher child interactions with students who previously were experiencing less talk than their peers. This shows the program created more equitable talk environments. The data also showed that 100% of the teachers recommend LENA Grow to other teachers and feel more confident in their teaching abilities.  48% of all children were experiencing 15+ conversational turns per hour by the end of the program. 6 out of 7 teachers successfully met the requirements and became LENA Grow Certified teachers.</t>
  </si>
  <si>
    <t>Provided in-house training to Texas Rising Star certified and Entry Level designated programs using qualified Texas Rising Star Staff with the goal of helping educators meet their annual training requirements. No quality funds were used for these trainings. A total of 602 early learning staff received training hours in Quarter 2.  153 In-Person; 449 Virtual.
Funding Source: No quality funds used.</t>
  </si>
  <si>
    <t xml:space="preserve">As of quarter 2 the Board has achieved 83% (1,258) of our goal of providing training to 1,500 Directors and Teachers in FY2025. </t>
  </si>
  <si>
    <t>8 scheduled subcontracted trainings were held in quarter 2. All trainings are research-based to help early learning programs meet their annual training requirement. A total of 396 early learning staff participated and received training hours.  43 In-Person; 353 Virtual.
Funding Source: CCQ</t>
  </si>
  <si>
    <t xml:space="preserve">As of quarter 2, the Board has achieved 46% (691) of our goal of providing training to 1,500 directors and teachers in FY2025.  </t>
  </si>
  <si>
    <t xml:space="preserve">CPR, First Aid and AED Training was provided to early learning program staff. A total of 3 classes were conducted in quarter2 , 2 in English and 1 in Spanish. 149 early learning staff participated and received their First Aid/CPR Certification during that time.
Funding Source: CCQ </t>
  </si>
  <si>
    <t xml:space="preserve">As of quarter 2, the Board has achieved 91% (273) of our goal of providing First Aid/CPR to 300 early learning program staff in FY2025. </t>
  </si>
  <si>
    <t>Conscious Discipline trainings were provided to 99 early learning program staff (directors and teachers). A total of 3 classes were conducted in quarter 2, 2 in English and 1 in Spanish. 
Funding Source: CQF</t>
  </si>
  <si>
    <t xml:space="preserve">Only 1 of the 3 classes has concluded (with the second half of the other two classes scheduled in quarter 3). Based on the results of a post survey from the class that concluded in quarter 2, 31 of 34 (91%) respondents rated the class as "Very Beneficial". Category 2 impact will be evaluated at the conclusion of all scheduled Conscious Discipline Classes. </t>
  </si>
  <si>
    <t>Our first Spanish CDA Course began in February. A total of 3 CDA classes were held in quarter 2 with 20 early learning staff receiving CDA scholarships to attend. An additional 4 classes will occur in quarter 3 and a second CDA class will be conducted in quarters 3 and 4.
Funding Source: CQF</t>
  </si>
  <si>
    <t xml:space="preserve">To date, 100% of those staff registered for the CDA class are still enrolled. Therefore,  we are on track to meet our goal of 85% of participants completing the course. </t>
  </si>
  <si>
    <t>Capital Area partnered with PBS Kids to support early learning programs in quarter 2 by providing PBS Kids resources to support quality learning. In quarter 2, 10 teachers have received professional development or coaching support from PBS Kids (these numbers were counted toward live/in-person training on the quarterly data tab). 
Funding Source: CCQ</t>
  </si>
  <si>
    <t>The measurable outcome for this activity will be assessed at the end of the Fiscal Year.  TBD.</t>
  </si>
  <si>
    <t>Assisted with the payment of National Accreditation fees for 14 early learning programs in quarter 2. Fees were reimbursed for annual fees paid by Child Care Services contracted early learning programs to Texas Rising Star recognized National Accrediting entities. 
Funding Source: CQF</t>
  </si>
  <si>
    <t xml:space="preserve">As of the end of the 2nd quarter, all 14 programs (100%) who received reimbursement for National Accreditation fees remain nationally accredited, thereby meeting our outcome of maintaining National Accreditation. </t>
  </si>
  <si>
    <t>Equipment and Resources for early learning programs: A total of 114 Texas Rising Star certified or Entry Level-designated programs were purchased early learning resources in quarter 2. These resources included playground equipment, furniture, shelving and toys and will help programs maintain and achieve Texas Rising Star certification through supporting quality environments. 
Funding Source: CQF</t>
  </si>
  <si>
    <t xml:space="preserve">With many Texas Rising Star assessments still pending, we will wait until the end of the 4th quarter to determine if our goal of seeing an increase in Category 4 scores was met. </t>
  </si>
  <si>
    <t>Texas Rising Star Staff salary and expenditures. Workforce Solutions Capital Area maintained  our current staffing levels with 12 Texas Rising Star mentors in quarter 2. Throughout the second quarter, Texas Rising Star mentors provided in-person or virtual mentoring to all early learning programs. 
Funding Source: CCQ mentor-specific</t>
  </si>
  <si>
    <t xml:space="preserve">As of quarter 2 the Board has achieved 80% (280) of our 95% goal of providing mentoring to 349 early learning programs throughout FY2025. </t>
  </si>
  <si>
    <t>Capital Area continued to employ an Industry Support Specialist who serves as both the Board designated Texas Early Childhood Professional Development System (TECPDS) Specialist and Infant/Toddler Specialist. Industry Support Specialist provided targeted, center wide TECPDS Support for a total of 11 early learning programs in quarter 2, in additional to monthly TECPDS Trainings and office hours. 
Funding Source: CCQ</t>
  </si>
  <si>
    <t xml:space="preserve">As of quarter 2 the Board has achieved 80% (280) of our 95% goal of providing mentoring to 349 unduplicated early learning programs throughout FY2025. </t>
  </si>
  <si>
    <t>In Quarter 2, CLASS Assessment Certifications were maintained for 2 Texas Rising Star staff already certified and Capital Area purchased CLASS Assessment Training for 1 additional staff member to gain certification.  A total of 2 CLASS Assessments were conducted for 2 different early learning programs in quarter 2. Total of 3 Texas Rising Star staff.
Funding Source: CCQ</t>
  </si>
  <si>
    <t>The measurable outcome for this activity will be assessed at the end of the fiscal year. TBD.</t>
  </si>
  <si>
    <t>Capital Area held 2 scheduled Infant/Toddler specific subcontracted trainings in the 2nd quarter, one in English and one in Spanish. A total of 68 early learning staff participated in these in-person Infant/Toddler specific trainings. Additional Infant/Toddler trainings are schedule for future quarters. 
Funding Source: CCQ</t>
  </si>
  <si>
    <t xml:space="preserve">As of quarter 2 the Board has achieved 90% (68) of our 95% goal of having 75 early learning staff participate in an Infant/Toddler specific training throughout FY2025. </t>
  </si>
  <si>
    <t>Infant/Toddler Outdoor Enhancement Grant -  Capital Area purchased Infant/Toddler specific playground materials for 32 early learning programs in quarter 2. These materials included trikes, gross motor activity centers, rest areas, infant corrals, and buggy strollers. 
Funding Source: CCQ</t>
  </si>
  <si>
    <t>Since materials were purchased and delivered within quarter 2, we will wait to assess the impact of this activity until the end of the fiscal year to allow assessments to occur with the new materials in place. Therefore the measurable outcome will be assessed at the end of the fiscal year. TBD.</t>
  </si>
  <si>
    <t xml:space="preserve">Brazos Valley paid registration for child care programs and their staff that attended the BVAEYC  local chapter Conference held in Bryan, Texas on 3/22/2025 to ensure that the child care programs and staff are able to attend the professional development training provided at the conference. 
69 child care staff attended from 33 programs        
Funding Source: CQF                </t>
  </si>
  <si>
    <t>Staff professional development training hours are a requirement of licensing and for Texas Rising Star, Category 1. The Board's goal is to support 80 staff in attending conferences throughout FY25; 69 child care program staff attended and 33 programs were represented. 
We have supported 86.25% of our target.</t>
  </si>
  <si>
    <t>Lunch and Learn 2/10/2025 - A training on "Stress Management for Early Childhood Professionals" was attended by 22 individuals in-person and 11 attended virtually from 33 child care programs. The training provided informative and helpful information in managing the unique challenges that come with working in the field of Early childhood. The presenter provided many examples of stressors and how to manage the stressors in a positive way and when to seek professional help.  
Funding Source: CQF</t>
  </si>
  <si>
    <t xml:space="preserve">The Board's  goal was to reach 100% of our child care programs. 33 programs out of 109 attended, which was 30.27% of the Board's goal. </t>
  </si>
  <si>
    <t>Blinn College Child Development 2025 Spring Semester tuition, fees and textbooks - a total of 9 child care program staff attended 
Funding Source: CQF</t>
  </si>
  <si>
    <t>By providing staff professional development in the area of Child Development this will improve Category 1.  The Board's goal is to have 10 child care program staff enroll in Child Development Courses. We are at 90% of our target.</t>
  </si>
  <si>
    <t xml:space="preserve">Texas Rising Star Personnel - 3 mentors, 1 Child Care Coordinator, and 1 Program manager
Funding Source: CCQ mentor -specific funding </t>
  </si>
  <si>
    <t>Texas Rising Star staff is currently working with 35 of the 63 child care programs to achieve Texas Rising Star status. We're currently at 22.05% who have achieved certification.</t>
  </si>
  <si>
    <t>5 Texas Rising Star staff attended a 7 hour Texas Early Childhood Summit - The Intersection of Early Childhood Research and Policy presented by Texas A &amp; M Institute for Early Childhood Development &amp; Education. This provided the staff an opportunity to explore the critical connections between research and policy in early childhood.  The staff was able to make connections with some of the presenters to collaborate on future projects and trainings that will benefit the child care programs.
Funding Source: CCQ 2%</t>
  </si>
  <si>
    <t>By attending the Texas Early Childhood Summit the Texas Resting Staff were able to obtain 7 hours of their 36 annual trading required. Currently the staff are at 70% for their training hours required.  We've been contacted by one of the presenters from the summit to be part of their advisory committee as well as collaborating on future professional development with a target of reaching child care programs, their staff and their parents. Our goal is to provide professional development to all our 109 child care programs at our local annual conference in August. We plan on providing a family literacy event with one of the presenters from the Summit to present on the importance of Language and Literacy targeting at least 50 Child Care Services families.  Our Exact numbers will be reported in our 3rd and 4th quarters.</t>
  </si>
  <si>
    <t>Staff salaries and benefits for 4 Texas Rising Star mentors who will provide mentoring for centers/homes at Entry Level designation and existing centers/homes who wish to maintain or increase their Texas Rising Star star-level. (80 child care centers/homes, includes Infant Toddler and Texas Early Childhood Professional Development System Specialists)
Funding Source: CCQ Mentor-specific funds</t>
  </si>
  <si>
    <t>First Aid/CPR Training provided to 43 child care staff
Funding Source: CCQ</t>
  </si>
  <si>
    <t>43 child care staff members received First Aid/CPR training as required by Child Care Regulation. This is 50% of the Board's goal to have 200 early learning programs CPR/First Aid certified in FY25. The measurable outcome related to the decrease in the number of programs being cited by Child care Regulation is TBD.</t>
  </si>
  <si>
    <t>Texas Rising Star mentors provided in-person training on topics specific to Texas Rising Star measures to 94 child care staff.
Funding Source: CCQ</t>
  </si>
  <si>
    <t>94 child care staff members received training hours on topics relevant to Texas Rising Star. This is 26% of the Board's goal to support 650 staff with training opportunities. Measurable outcomes associated with and increase in assessment scores is TBD.</t>
  </si>
  <si>
    <t>Educational Incentives were given to 20 child care staff who obtained their CDA 
Funding Source: CCQ</t>
  </si>
  <si>
    <t>5 Child Care staff received a $1,000 incentive for obtaining their CDA, this is approximately 42% of the staff who have received a CDA. 15 Child Care staff received remaining $250.00 for continued employment verification after 3 months of first incentive. Measurable outcomes related to the in scores for P-PM-01 &amp; P-CQT-01 are TBD.</t>
  </si>
  <si>
    <t>Materials purchased to create sensory boards at professional development event. The sensory board will assist in meeting Texas Rising Star measures P-ILE-01 (interest areas), P-ILE-03 (visual materials), P-ILE-04 (appear inviting),  P-ILE-05 (real items), and assist in transitions when needed.  The sensory board could also assist in regulation of emotions if placed in "calming centers." 32 boards were purchased and any extras will be used at future trainings. 19 early learning directors and 2 owners of home early learning programs were served.
Funding Source: CQF</t>
  </si>
  <si>
    <t>21 Sensory Boards were made at a professional development event.  This is 66% of the Board's goal for enhancing the learning environments at the child care centers and homes.  Measurable outcomes associated with and increase in assessment scores is TBD.</t>
  </si>
  <si>
    <t>Provide materials, equipment, and resources to assist 5 programs in meeting Texas Rising Star requirements including but not limited to classroom furniture, developmentally appropriate learning materials, curriculum, gross motor equipment and resource books solely for children 3 years and older. The Board served 14 early learning programs and 1 home program.
Funding Source: CCQ</t>
  </si>
  <si>
    <t>14 early learning programs and 1 home program received age-appropriate materials for preschool and school age children.  This is 19% of the Board's goal for purchasing items to help enhance learning environments in the infant and toddler classrooms.</t>
  </si>
  <si>
    <t>Provide materials, equipment, and resources to assist 5 programs in meeting Texas Rising Star requirements including but not limited to classroom furniture, developmentally appropriate learning materials, curriculum, gross motor equipment and resource books solely for infants and toddlers
Funding Source: CCQ</t>
  </si>
  <si>
    <t>5 early learning programs received age-appropriate materials for infants and toddlers.  This is 6% of the Board's goal for purchasing items to help enhance learning environments in the infant and toddler classrooms. Measurable outcomes related to an increase in P-SCR-01 scores is TBD.</t>
  </si>
  <si>
    <t>100 CDA Competency Standards Preschool Edition books were purchased for child care staff to use when enrolled in CDA training. 33 were distributed this quarter. 
Funding Source: CCQ</t>
  </si>
  <si>
    <t>33 preschool child care staff are currently enrolled in CDA courses to obtain their CDA virtually.  Staff received books from the Board.  This is 110% of the Board's goal.</t>
  </si>
  <si>
    <t>100 CDA Competency Standards Infant Toddler Edition books and  150 Essentials for Working with Young Children and Essentials Workbooks were purchased for child care staff to use when enrolled in CDA training. 13 were distributed this quarter.
Funding Source: CCQ</t>
  </si>
  <si>
    <t>13 infant and toddler child care staff are currently enrolled in CDA courses to obtain their CDA virtually.  Staff received books from the Board.  This is 43% of the Board's goal.</t>
  </si>
  <si>
    <t>Board purchased 32 tablets for all directors attending the retreat. Tablets will be used to support directors in utilizing TECPDS and CLI Engage, as well as upload Texas Rising Star documents. Training was conducted at the retreat (which occurred in Q3) on how to do all of these things on the tablet.  
27 Tablets were purchased for child care staff and 5 tablets for Texas Rising Star staff to use for training purposes
Funding Source: CCQ and CCQ mentor-specific funds</t>
  </si>
  <si>
    <t>Board had a goal of 32 directors attending this retreat and 21 attended.  This was 66% of our goal.  Follow-up survey being sent for more feedback on retreat.</t>
  </si>
  <si>
    <t>Scholarships given to 3 child care staff to obtain CDA. The scholarship paid for the 120 CDA training hours for each participant
Funding Source: CQF</t>
  </si>
  <si>
    <t>3 child care staff are currently enrolled in CDA courses through the CDA Council to obtain their CDA.  The staff provided proof of enrollment.  This is 15% of the Board's goal to enroll 20 participants.</t>
  </si>
  <si>
    <t>Supplemental curriculum that aligns with Texas Early Learning Guidelines and Frog Street curriculum that includes but not limited to phonemic awareness, math, repetition, science, and nursery rhymes was purchased for 78 child care programs. This curriculum will be used for enrichment activities and transition times throughout the day. This activity supports Texas Rising Star measures  P-IFAL-03, P-IFAL-04, P-IFAL-05 and all Language and Facilitation Support measures. 
Funding Source: CQF</t>
  </si>
  <si>
    <t>78 Child Care centers and homes received supplemental curriculum to enhance learning in the early childhood classroom. This meets 98% of the Board's goal for supplying supplemental curriculum in all Texas Rising Star early learning programs. Measurable outcomes related to higher scores on program CARFs is TBD.</t>
  </si>
  <si>
    <t>A total of 9 hours of in person training were provided for infant/toddler teachers on Developmental Milestones, Daily Routines, and Early Learning Guidelines. During Quarter 2 outreach was conducted to 100 early learning programs, with 110 participants attending the in-person training.
                                                                                                                                                                                            Funding Source: CQF</t>
  </si>
  <si>
    <t>Success was measured using pre- and post-training surveys. According to the survey data, 100% of respondents found the Developmental Milestones training engaging and informative, providing valuable insights into brain development and age-related expectations. Additionally, 80% of participants in the Intentional Interactions session found it interesting and beneficial, gaining practical tips for improving classroom routines.</t>
  </si>
  <si>
    <t>The Infant Toddler Expansion Project was designed to increase access to quality infant and toddler care for children ages 0-3 by building capacity in this age group. During Quarter 2, a total of 6 early learning programs received materials to expand their infant and toddler capacity.  A total of 72 Infant and Toddler Slots were opened due to this activity (30 infant slots and 42 toddler slots).
                                                                                                                                                                                      Funding Source: CQF</t>
  </si>
  <si>
    <t>6 Texas Rising Star early learning programs opened 30 infant slots and 42 toddler slots.  This equates to a 180% success rate compared to the original objective.</t>
  </si>
  <si>
    <t>This activity was designed to provide in person curriculum training for teachers of early learning programs in the greatest need. The need was determined by a needs assessment conducted. During Quarter 2, in-person curriculum training was provided for 56 teachers across 11 early learning programs.
                                                                                                                                                                                                  Funding Source: CQF</t>
  </si>
  <si>
    <t>Success/outcomes were measured through Continuous Quality Improvement Plan observations.  Continuous Quality Improvement Plan observations showed a 100% improvement in management techniques, increased positive teacher-child interactions, and the integration of new strategies. 100% of participants in the post-training survey expressed that the curriculum was comprehensive, with particular emphasis on understanding developmental readiness for children.</t>
  </si>
  <si>
    <t>A total of 34 hours of virtual professional development was provided on topics such as Texas Early Childhood Professional Development System (TECPDS) Management, Teacher-Child Interactions, Leadership, Behavior Management, and Lesson Planning. In Quarter 2, 319 participants from 45 early learning programs attended virtual trainings.
Funding Source: CCQ</t>
  </si>
  <si>
    <t>Survey results indicated that 100% of participants found the Leading with Impact training informative. Meanwhile, 66% of participants in Managing Challenging Behaviors gained strategies for identifying, de-escalating, and managing challenging behaviors. Additionally, 66% of participants in weekly lesson plans reported finding the training engaging and helpful in improving their lesson planning techniques.</t>
  </si>
  <si>
    <t>The Spring in-person Conference was designed for teachers and administrators from Texas Rising Star child care programs to gain professional development hours. It addressed specific training needs, validated by data collected from needs surveys conducted three times per year. Attendees received training on topics including but not limited to: Texas Early Learning Guidelines, Play-Based Learning, Social &amp; Emotional Development, Positive Teacher-Child Interactions, Infant and Toddler Care, Lesson Planning, Outdoor Learning, Inclusion, and Health &amp; Safety. These trainings aligned with Category 1 (Director and Staff Qualifications and Training) and Category 2 (Teacher-Child Interactions).  During Quarter 2, Southeast Texas and Gulf Coast partnered together to host the Child Care Regulation Conference. A total of 697 participants representing 381 facilities attended. (In-person with partnership with Gulf Coast Workforce Board, 14 were from Southeast Texas)
                                                                                                                                                                                            Funding Source: CCQ</t>
  </si>
  <si>
    <t>Success was demonstrated through the participation of 12.12% of the child care centers in the Southeast Board area, representing 12 early learning programs supporting 14 participants. The training was aligned with Texas Rising Star Categories 1 (Director and Staff Qualifications) and 2 (Teacher-Child Interactions).</t>
  </si>
  <si>
    <t>There was a need for high quality learning equipment at 1 PreK-Partnership between World of Color Child Development Center, a certified Texas Rising Star early learning program and Beaumont ISD.  During Quarter 2, a needs assessment identified opportunities to enhance technology integration within Pre-K Partnership classrooms. In response, 2 Interactive Inspired Junior Screens and 7 Little Learner Tablets were purchased to support and enrich classroom learning experiences. These tools are intended to promote greater student engagement, support differentiated instruction, and foster development in key early learning domains such as literacy, numeracy, and social-emotional skills.
                                                                                                                                                                                            Funding Source: CCQ</t>
  </si>
  <si>
    <t>Success was demonstrated through full alignment with the Pre-K Partnership’s Continuous Quality Improvement Plan, with all technology integration and classroom enhancement action items completed on schedule. Formal assessments using CIRCLE Progress Monitoring showed remarkable student growth: math skills increased on average by 56%, phonological awareness on average by 54%, and rapid vocabulary by 50%. These results confirm effective resource use and alignment with grant goals. Additionally, provider survey data reflected positive classroom engagement, with children showing increased excitement for learning, asking more questions about numbers and letters, and expressing enthusiasm for the Inspire Jr. program.</t>
  </si>
  <si>
    <t>This activity was designed as part of the curriculum initiative to provide curriculum to early learning programs in need. The need was determined by a needs assessment conducted. The curriculum materials were distributed to early learning programs. 11 programs received Preschool Curriculum, while 7 of those programs also received Infant and Toddler Curriculum. During Quarter 2, Curriculum was awarded to 37 classrooms in 11 early learning programs.   
                                                                                                                                                                                                               Funding Source: CQF</t>
  </si>
  <si>
    <t>Success/outcomes were measured through Continuous Quality Improvement Plan observations. Observations showed a 10% improvement in management techniques, increased positive teacher-child interactions, and integration of new strategies.</t>
  </si>
  <si>
    <t>This project involved purchasing 96 digital tablets for 15 Three- and Four-Star Texas Rising Star-certified early learning programs during Quarter 2 to enhance classroom learning experiences.
Funding Source: CCQ</t>
  </si>
  <si>
    <t>The success was measured by the delivery and use of 96 tablets across Three- and Four-Star Texas Rising Star-certified early learning programs to enhance classroom learning experiences. 68% of the programs that applied successfully received tablets, contributing to enhanced learning experiences in these programs. 
Measurable outcomes are TBD</t>
  </si>
  <si>
    <t>7 BEAM Pro Mobiles were purchased for 7 Four-Star Texas Rising Star-certified early learning programs to enhance afterschool classroom experiences in Quarter 2.
                                                                                                                                                                                     Funding Source: CCQ</t>
  </si>
  <si>
    <t>Success will be measured by improvements in completed CQIP requirements and participant surveys. 
Measurable outcomes are TBD.</t>
  </si>
  <si>
    <t>This project involved purchasing Frogstreet Infant and Toddler Curriculum and Learning Without Tears Preschool Curriculum for Texas Rising Star early learning programs. Frogstreet and Learning Without Tears curriculums were purchased for 11 early learning programs based on structural measure data collection. Materials and supplies were provided to meet the needs of each early learning program. This initiative ensured that activities and lessons are age-appropriate and cover a range of learning areas. During Quarter 2, we were able to purchase 13 Infant Frogstreet Curriculums, 13 Toddler Frogstreet Curriculums, and 19 Learning Without Tears Preschool curriculums for 11 early learning programs.
Funding Source: CQF</t>
  </si>
  <si>
    <t>Success was shown by increased access to age-appropriate lessons and learning materials for 11 early learning programs supporting 45 classrooms. Recipients will complete a post survey once curriculum has been successfully implemented. 
Measurable outcomes are TBD</t>
  </si>
  <si>
    <t>The LENA Grow activity delivered a single, straightforward, evidence-based solution to boosting children's language, literacy, and social-emotional development while improving both teacher satisfaction and classroom quality. This activity was created in response to early learning programs' specific needs as validated by the data collected from the needs assessment survey. Once completed the teachers received their LENA Grow Certification and a $550.00 stipend. There were 10 teachers from Quarter 2 who completed this certification and received a stipend.
                                                                                                                                                                                                                                          Funding Source: CCQ</t>
  </si>
  <si>
    <t>Success was measured through the completion of a five-week cycle for 5 programs. The initiative exceeded its goals by impacting 10 lead teachers, 10 classrooms, and 84 children, achieving a 127% success rate. Improvements were seen in Category 2 scores and CQIP outcomes related to language, literacy, and social-emotional development.</t>
  </si>
  <si>
    <t>This activity was created in response to early learning programs' specific needs. CDA scholarships were awarded to practitioners from Texas Rising Star early learning programs to gain in-person college hours and complete CDA credentials. During Quarter 2, 7 teachers were awarded the CDA scholarship and attended i- person classes.
Funding Source: CCQ</t>
  </si>
  <si>
    <t>The success/outcomes will be measured by the number scholarship recipients who will complete the coursework and gain their CDA. 35% of our goal has been completed for the year. Another round of scholarships will be issued in Quarter 4. 
Measurable outcomes are TBD</t>
  </si>
  <si>
    <t>The Recertification Incentive initiative offered certified early learning programs both materials/resources and financial support to assist in maintaining or enhancing their star rating during the Recertification Assessment process. In Quarter 2, a total of 27 programs received materials to support their facilities in alignment with Category 4 standards. The following matrix was used: LCCH/RCCH 12 children or less - Two-Star $2,000, Three-Star $2,500, Four-Star $3,000; LCCC: Less than 50 Children - Two-Star $3,500, Three-Star $4,000, Four-Star $4,500; LCCC: 51 - 100 children - Two-Star $4,500, Three-Star $5,000, Four-Star $5,500; LCCC: 101 - 150 children - Two-Star $5,500, Three-Star $6,000, Four-Star $6,500; LCCC: 150+ children - Two-Star $6,500, Three-Star $7,000, Four-Star $7,500
                                                                                                                                                                                                                                                                                                                                                                                                                                                 Funding Source: CQF</t>
  </si>
  <si>
    <t>Success will continued to be measured based on the completion and retention of the early learning program's certification. To date, 27% of the 27 early learning programs have successfully completed and achieved their Recertification Assessment, indicating progress toward retention of Texas Rising Star-certified programs.  
100% received the materials and resources to support them in attaining recertification. 6 out of the 27 have been assessed. 4 early learning programs (centers) received a Four-Star recertification. 2 early learning programs (centers) received Three-Star recertification.</t>
  </si>
  <si>
    <t>The Recertification Incentive initiative offered certified early learning programs both materials/resources and financial support to assist in maintaining or enhancing their star rating during the Recertification Assessment process. In Quarter 2,  6 early learning programs received stipends. The following matrix was used: LCCH/RCCH 12 children or less - Two-Star $2,000, Three-Star $2,500, Four-Star $3,000; LCCC: Less than 50 Children - Two-Star $3,500, Three-Star $4,000, Four-Star $4,500; LCCC: 51 - 100 children - Two-Star $4,500, Three-Star $5,000, Four-Star $5,500; LCCC: 101 - 150 children - Two-Star $5,500, Three-Star $6,000, Four-Star $6,500; LCCC: 150+ children - Two-Star $6,500, Three-Star $7,000, Four-Star $7,500  
                                                                                                                                                                                                                                                                                                                                                                                                                                                              Funding Source: CQF</t>
  </si>
  <si>
    <t>The Certification Incentive initiative offered stipends to Entry Level early learning programs upon successful completion of their Initial Certification Assessment. In Quarter 2, 10 early learning programs received stipends in recognition of meeting the requirements of their Initial Certification Assessment. The following matrix was used: LCCH/RCCH 12 children or less - Two-Star $2,000, Three-Star $2,500, Four-Star $3,000; LCCC: Less than 50 Children - Two-Star $3,500, Three-Star $4,000, Four-Star $4,500; LCCC: 51 - 100 children - Two-Star $4,500, Three-Star $5,000, Four-Star $5,500; LCCC: 101 - 150 children - Two-Star $5,500, Three-Star $6,000, Four-Star $6,500; LCCC: 150+ children - Two-Star $6,500, Three-Star $7,000, Four-Star $7,500                                                                                                                                                                                                                                                                                                                                                                                                                                                                                                                       Funding Source: CQF</t>
  </si>
  <si>
    <t xml:space="preserve">The success will continued to be measured by the increase in the number of Texas Rising Star certified early learning programs. Since the beginning of FY25, there has been an 18% growth in the number of certified programs.  10 early learning programs received Two-Star certification (6 centers and 4 homes)
</t>
  </si>
  <si>
    <t>5 Texas Rising Star mentors participate in Professional Learning Communities (PLCs) designed to enhance their understanding of high-quality coaching competencies. These PLCs aim to strengthen mentoring practices and support the attainment of micro-credentials. Focused on effective classroom strategies, the PLCs are conducted in small groups and offered virtually with flexible scheduling options.  
Funding Source: CCQ mentor-specific funds</t>
  </si>
  <si>
    <t>5 Texas Rising  Star mentors participated in 11 PLCs. Deedra Young completed 3 PLC's and earned 4.5 hours. Stephanie Carter completed 2 PLC's and earned 3 hours. Gabriella Hendon completed 9 PLC's and earned 11.75 hours.  Araina Daniels completed 3 PLC's and earned 4.5 hours.  Marida Joubert completed 8 PLC's and earned 10.5 hours.</t>
  </si>
  <si>
    <t>There are a total number of staff 10 members who are supporting early learning programs in Southeast. This include 5 mentors, one Infant Toddler Specialist/mentor, one Inclusion Specialist/mentor, 1 Program Support Specialist-Texas Rising Star/TECPDS Specialist, 1 Quality Coach/TECPDS Specialist, 1 Sr. Provider Services Manager, 1 Director of Quality, and 1 CDU/Board Supervisor. 
Funding Source: CCQ mentor-specific funding</t>
  </si>
  <si>
    <t>Measurable outcomes are TBD.</t>
  </si>
  <si>
    <t>CPR/First Aid training was provided to child care program staff. The intent of this activity was designed to decrease non-compliance barriers to Texas Rising Star early learning programs and increase teacher awareness and safety knowledge. During Quarter 2, a session was offered to 25 participants from 4 early learning programs who received their CPR &amp; First Aid Certification.
Funding Source: CCQ</t>
  </si>
  <si>
    <t>Success was measured by 100% of participants who registered and earned their CPR &amp; First Aid Certification.  (25 registered and 25 completed the session.) 
Measurable outcomes are TBD.</t>
  </si>
  <si>
    <t>Routines &amp; Transitions In-Person Workshop on 3-8-25. This targets Texas Rising Star P-IFAL-04: Planned Transition Times. 30 attendees participated.
Funding Source: CCQ</t>
  </si>
  <si>
    <t>30 participants will be able to plan &amp; utilize transitions to avoid disruptions in learning and long wait times between activities. Goal is to educate 600 center staff in Texas Rising Star topics by the end of Q4. 97 /600 center staff have received training to date. Other measurable outcomes are TBD.</t>
  </si>
  <si>
    <t>Routines &amp; Transitions In-Person Workshop on 1-18-25. This targets Texas Rising Star P-IFAL-04: Planned Transition Times. 44 participants attended.
Funding Source: CCQ</t>
  </si>
  <si>
    <t>44 participants received training on utilizing routines &amp; transitions in the classroom.  This will support shorter wait times and increase incidental learning in the classrooms. Goal is to educate 600 center staff in Texas Rising Star topics by the end of Q4. 97 /600 center staff have received training to date. 
Measurable outcomes are TBD.</t>
  </si>
  <si>
    <t>Texas Rising Star centers received Retention Stipends for their staff who had 6-month continuous employment at same center.  112 early learning staff received a stipend of $250.00 each.
Funding Source: CQF</t>
  </si>
  <si>
    <t xml:space="preserve">We will see staff remain employed at the same center to support consistent high quality childcare. During the 1st 6 months, 112 out of 118 eligible, retained employment. A 95% retention rate </t>
  </si>
  <si>
    <t>Texas Rising Star Personnel - 2 staff supported 62 early learning programs
Funding Source: CCQ mentor-specific funding</t>
  </si>
  <si>
    <t>2 staff supported 62 early learning programs in Q2 out of the 62 total number of early learning programs Golden Crescent serves.</t>
  </si>
  <si>
    <t>Provided 5 scholarships to child care program staff for CDA renewals
Funding Source: CQF</t>
  </si>
  <si>
    <t>The number of child care program staff attaining CDA. This is 36% of the Board's goal to assist 36 individuals with CDA renewals in FY25. Assessment results shows an average score of 2.35 for points-based measures in Category 1 for 17 of the 21 Initial Assessments.</t>
  </si>
  <si>
    <t>Provided virtual training (25 sessions) and in person (4 sessions) opportunities to 1,349 registered child care professionals at 211 early learning programs over 29 different topics in English and Spanish (i.e., Social Emotional Development, Health &amp; Safety, Assessments &amp; Observations, Director Series, Special Needs, Facilities Management, DAP, Serve &amp; Return, Marketing, Sensory Play, Challenging Behaviors, and Communications). 
There were 1,191 virtual participants and 158 in-person participants.
Funding Source: CCQ</t>
  </si>
  <si>
    <t xml:space="preserve">Professional development provided will increase the opportunities child care programs have to access to training in their area and provide opportunities to meet Child Care Regulation's annual training requirements and Texas Rising Star certification training requirements. This is 100% of the 200 registrants attending training in FY25. </t>
  </si>
  <si>
    <t xml:space="preserve">Professional Development </t>
  </si>
  <si>
    <t>Provided in-person training over Frog Street Curriculum and Teaching Strategies for Directors and preschool teachers over administrators implementation overview and preschool curriculum. 46 attended the Director/preschool in-person curriculum training (26 Directors and 20 preschool teachers)
Funding Source: CCQ</t>
  </si>
  <si>
    <t>This is 92% of the goal to have 50 professionals register for curriculum training. 
Activity outcomes are TBD.</t>
  </si>
  <si>
    <t>Provided a scholarship to 1 early learning program to cover accreditation fees for NAEYC, licensed child care center. This scholarship covered the initial accreditation fee. The program is a certified program and this assistance supports their certification and enhancing quality in their program.
Funding Source: CCQ</t>
  </si>
  <si>
    <t>The Board has completed 30% of the goal to assist 30 early learning programs with National Accreditation financial support. 
Activity outcomes are TBD.</t>
  </si>
  <si>
    <t>16 mentors provided mentoring services to 578 early learning programs (252 Entry Level and 326 Texas Rising Star-certified programs). This includes their salaries, benefits, and travel.
Funding Source: CCQ mentor-specific funding</t>
  </si>
  <si>
    <t>The Board's Business Specialist provided business services to 135 early learning programs (59 Rural &amp; 76 Bexar). This includes their salary, benefits, and travel.
Funding Source: CCQ</t>
  </si>
  <si>
    <t>This is 25% of the goal to support 550 early learning programs with business supports. The Board tracks this through visits conducted by the business coach and the agreements signed for each program.</t>
  </si>
  <si>
    <t>Provided in-person training over Frog Street Curriculum and Teaching Strategies for Infant and Toddler curriculum. 41 teachers attended the infant/toddler in-person curriculum training. 
Funding Source: CCQ</t>
  </si>
  <si>
    <t>This is 20% of the goal to have 200 professionals register for infant and toddler specific training. Measurable outcomes TBD.</t>
  </si>
  <si>
    <t xml:space="preserve">Provided monetary incentives to child care staff that recently received initial certification. The incentive was based on the star level received during the assessment. 50 program staff received this incentive from 6 programs. Each staff received the following based on the star level; Two-Star- $75, Three-Star- $150 and Four-Star- $300.
Funding Source: CQF </t>
  </si>
  <si>
    <t>Program staff received an incentive for achieving certification. This is 16 (5% of the Board goal) of the 299 programs to receive an incentive in FY25. (10 programs in Q1 and 6 in Q2= 16 programs of the 299). The Board has seen an increase in certifications, as there were 21 programs that received initial certification in Q2 in comparison to Q1.</t>
  </si>
  <si>
    <t>Texas Rising Star mentor staff salaries (one mentor staff is the Infant Toddler Specialist and Texas Early Childhood Professional Development System Specialist)
The 9 Texas Rising Star mentors provided mentoring services to 100 certified Texas Rising Star child care centers and 86 Entry Level-designated child care centers for a total of 186 child care centers during the second quarter of BCY2025.   
Funding Source:  CCQ mentor-specific funding</t>
  </si>
  <si>
    <t>The Texas Rising Star mentors are currently providing mentoring services to 100% of our child care programs.  As of March 31, 2025, there are 100 Texas Rising Star certified and 86 Entry Level-designated child care programs in the Coastal Bend region. The mentors performance will ultimately be based on the Texas Rising Star certification level(s) each of their child care programs achieve on their initial Texas Rising Star assessment. TBD</t>
  </si>
  <si>
    <t xml:space="preserve">6 Texas Rising Star mentor staff attended the Texas Rising Star Staff Meeting held in Austin, TX 01-29-2025 to 01-30-2025. The mentors participated in breakout sessions on various early childhood education topics and Texas Workforce Commission updates. This information will enhance their knowledge of early childhood education.
Funding Source:  CCQ mentor-specific funding </t>
  </si>
  <si>
    <t>The 6 Texas Rising Star mentors who attended the Texas Rising Star Staff Meeting in January 2025 received 10 clock hours of professional development training to help them satisfy the Child Care Regulations requirement of obtaining a minimum of 36 hours of professional development training annually.</t>
  </si>
  <si>
    <t xml:space="preserve">On March 8, 2025, a trainer from the Lakeshore Professional Development Department presented a workshop titled "The Pyramid Model Tiers 1 and 2".  This training allowed child care center staff to gain a better understanding of how to set children up for success. They also learned how to proactively model, teach, and reteach developmentally appropriate social-emotional skills including self-regulation. 36 attendees from 11 early learning programs participated.
Funding Source: CCQ funding (2%) </t>
  </si>
  <si>
    <t>Participants received a certificate for 6 clock hours of training that will count towards the Child Care Regulation annual training requirement. The Board’s goal is to train at least 20 participants per professional development training workshop.  We exceeded this goal for this professional development training workshop.</t>
  </si>
  <si>
    <t>A "New" Texas Rising Star Orientation Meeting was held on 03-29-2025. The purpose of this meeting is to provide an overview of the Texas Rising Star program. The mentors review the Texas Rising Star Guidelines, the classroom assessment record form and the facility assessment records forms with child care center directors and assistant directors to ensure they are aware of and understand what the Texas Rising Star program entails. 30 attendees from 24 early learning programs participated.
Funding Source:  CCQ funding (2%)</t>
  </si>
  <si>
    <t>Child care programs that participate in a "New" Texas Rising Star Orientation Meeting will meet the criteria for attaining Texas Rising Star Two-Star on their initial Texas Rising Star assessment. Participants received a certificate for 6 clock hours of training that will count towards the Child Care Regulation annual training requirement. The Board’s goal is to train at least 20 participants per professional development training workshop.  We exceeded this goal for this professional development training workshop.</t>
  </si>
  <si>
    <t xml:space="preserve">01/10/2025 – A one-time wage incentive package was provided to 567 child care program staff within 193 Texas Rising Star programs to support staff retention. This initiative helped improve staff stability by encouraging loyalty and job satisfaction among child care employees. The incentive aims to boost morale, promote consistency, and support the retention of highly skilled teachers—all critical to maintaining quality care.
Funding Source: CQF </t>
  </si>
  <si>
    <t xml:space="preserve">The Board met 84.63% of the goal to support 670 child care program staff.       </t>
  </si>
  <si>
    <t>01/11/2025 –  In Person Sessions. Texas Rising Star Child Care Conference
An in-person conference was held for early learning professionals, offering concurrent workshops across all age groups, including sessions specifically for Directors and Administrators. The event welcomed 398 attendees, providing professional development and networking opportunities.
Funding Source: CCQ</t>
  </si>
  <si>
    <t xml:space="preserve">The Board continues to be on track towards reaching the goal of 2,130 teachers receiving ongoing professional development opportunities to help child care professionals recognize childhood behaviors and understand developmental stages and milestones.  (6+140+92+398+68+84+129+54+103+95= 1169 out of 2,130, 54.88%)                                                                                                       </t>
  </si>
  <si>
    <t>01/18/2025 – Virtual Session. MindWorks Virtual Curriculum Implementation Training
A 1-hour virtual training session was delivered by MindWorks to equip 68 teachers with the knowledge and support necessary for effective curriculum implementation.
Funding Source: CCQ</t>
  </si>
  <si>
    <t xml:space="preserve">02/01/2025 – In Person Sessions. Easter Seals RGV Help Me Grow Child Care Conference
An in-person conference was held for early learning professionals, featuring concurrent workshops across all age groups, including specialized sessions for Directors and Administrators. The event was attended by 84 participants, supporting professional growth and best practices in early childhood care.
Funding Source: CCQ </t>
  </si>
  <si>
    <t xml:space="preserve">02/08/2025 – In Person Sessions. Frog Street Curriculum Implementation Training
Frog Street trainers delivered 3-hour training sessions to equip 129 teachers with the knowledge and support needed for effective curriculum implementation. These sessions aimed to strengthen instructional quality and promote consistency across classrooms.
Funding Source: CCQ </t>
  </si>
  <si>
    <t xml:space="preserve">02/22/2025 – In Person Session. Employment Laws &amp; Regulations Training for Child Care Programs
A total of 54 early learning program directors and owners attended a 3-hour professional development session focused on Employment Laws and Regulations. The training, led by Tommy Simmons of the Texas Workforce Commission (TWC), covered key topics including wage and hour laws, payroll issues, and an introduction to creating effective policy handbooks and employee benefit plans.
Mr. Simmons also addressed critical legal considerations related to recruitment, hiring practices, and voluntary/involuntary separations. To support ongoing compliance, each attendee received a hard copy of the Texas Guidebook for Employers as a reference tool.
Funding Source: CCQ </t>
  </si>
  <si>
    <t xml:space="preserve">03/08/2025 – In Person Sessions. Professional Development Sessions with Emergent ED Child Care Consulting, Inc.
A total of 103 early learning professionals participated in two 3-hour training sessions led by Emergent ED Child Care Consulting, Inc.  Session 1: Building Foundational Communication  Participants explored strategies to enhance communication skills, including active listening, providing clear guidance, and addressing the diverse communication needs of children and families.  Session 2: Critical Thinking in the Child Care Setting.  This session focused on empowering child care professionals to foster critical thinking in young children, while also strengthening their own problem-solving and decision-making skills.
Funding Source: CCQ </t>
  </si>
  <si>
    <t>01/2025 – Spring 2025 Semester: CDA Certification Opportunity
Through a partnership with South Texas College (STC), child care teachers were given the opportunity to pursue their Child Development Associate (CDA) credential. The program covered tuition for CDA I and CDA II, along with the cost of required textbooks.
A total of 15 participants enrolled in this professional development opportunity to strengthen their skills and advance in the early childhood education field.  
Funding Source: CCQ</t>
  </si>
  <si>
    <t xml:space="preserve">The Board is at 60% of the 25 scholarship goal.  </t>
  </si>
  <si>
    <t>03/22/2025 -In Person Sessions. 95 early learning professionals participated in two three-hour training sessions led by Keith Scott of KAS Consulting Group. Session 1: Effective Partnering with Families and the Community, provided participants with strategies for improving communication, building family engagement, and implementing family-friendly practices. Additionally, they learned techniques to enhance customer service for both parents and the community.  Session 2: How to Improve Staffing and Retention in Early Childhood Education, focused on best practices for recruiting and hiring high-quality staff. Participants also gained insights on developing and retaining skilled employees, even during times of crisis or change. 
Funding Source:  CCQ</t>
  </si>
  <si>
    <t xml:space="preserve">03/22/2025 -Virtual Session. Families participated in a Family Engagement Virtual Session with Online Parenting Programs. The interactive session allowed 62 families to engage with both the presenter and one another while learning about Growing Minds: Understanding Developmental Stages and Positive Discipline for Children Ages 0–12. Participating families received an incentive as a thank-you, and the child care program with the highest family attendance was also recognized with an incentive.
Funding Source: CCQ </t>
  </si>
  <si>
    <t>The Board continues to achieve its goal of engaging families to strengthen the connection between parents and their children's development. The Board has successfully assisted 62 families out of the goal to assist 1,500 families, which is 4.13% of the Board's goal.</t>
  </si>
  <si>
    <t>03/24/2025 - Families received a Family Monthly Calendar highlighting the wide range of emotions children experience. As part of this initiative, children enrolled in Texas Rising Star programs were invited to submit emotion-themed drawings, with selected winners to be featured in our upcoming 2025 calendar titled "Our Many Emotions."  The calendar also included a directory of community resources to further support families in nurturing their children’s emotional development.
Funding Source: CCQ</t>
  </si>
  <si>
    <t xml:space="preserve">The Board  successfully reached the projected families for this initiative. This extended reach allowed us to engage even more families and children than initially projected. This is expected to contribute positively to improvements in Category 3: Program Administration scores for participating Texas Rising Star programs. Formal assessment of program score improvements will be conducted during upcoming Texas Rising Star assessments. These outcomes are TBD.  </t>
  </si>
  <si>
    <t>03/24/2025 - 20 child care programs were awarded learning packages through the 2025 Preschool and School-Age Initiative Grant. Each package included age-appropriate materials and furniture tailored for either a preschool or school-age classroom.
Funding Source: CCQ</t>
  </si>
  <si>
    <t>The Board met 100% of the goal to support 20 child care programs, increasing the number of programs by 20 that will have new age-appropriate materials that will support high-quality care for preschool children, school-age children, their families, and teachers that work with this age group.</t>
  </si>
  <si>
    <t>The Texas Early Childhood Professional Development System (TECPDS) Specialist provided specific TECPDS support to 11 child care programs such as providing on-site visits to assist programs scan and enter certificates into TECPDS. In addition, the TECPDS Specialist also provided support by validating training, education and employment certificates/documents to 106 child care programs. 117 child care programs total.
Funding Source: CCQ</t>
  </si>
  <si>
    <t>Validating certificates for 117 child care programs (approximately 79 directors and 98 teachers) and providing specific TECPDS onsite support to 11 child care programs (9 directors and 10 staff) helped child care programs with Texas Rising Star Category 1: Director and Staff Qualification and Training measures.                                                                                                                                   
The Board has successfully assisted 26 early learning programs out of the goal to assist 163, which is 18.4% of the Board's goal. (4+26=30 out of 163)</t>
  </si>
  <si>
    <t>Texas Rising Star Staff Personnel costs for 14 Texas Rising Star mentor staff. The Board continues to work towards reaching the goal of having 14 Texas Rising Star mentor staff.
Funding Source: CCQ mentor-specific</t>
  </si>
  <si>
    <t>The Board has successfully assisted 26 early learning programs out of the goal to assist 163, which is 18.4% of the Board's goal. (4+26=30 out of 163)</t>
  </si>
  <si>
    <t xml:space="preserve">Contracted staff fees for 2 contracted mentors who work with current Texas Rising Star programs along with Entry Level programs in the process of pursuing Texas Rising Star.
Data noted here are all programs in our area that either are certified (32) or are pursuing certification and in Entry Level-designated status (21). 
2 facilities attained Texas Rising Star certification during this quarter. 
Funding Source: CCQ mentor-specific </t>
  </si>
  <si>
    <t xml:space="preserve">Texas Rising Star Staff personnel: 2 contracted Texas Rising Star mentors serve as the Infant Toddler Specialists for the Texoma Board while one of them also serves as the Texas Early Childhood Professional Development System Specialist for our Board.
Funding Source: CCQ mentor-specific </t>
  </si>
  <si>
    <t>Supported 2 newly certified Texas Rising Star facilities with a monetary incentive of $2,000 each and a recognition banner as a result of their certification. 
Funding Source: 
CQF - Incentive for certification achievement 
CCQ - Texas Rising Star Banners</t>
  </si>
  <si>
    <t>Increased certified Texas Rising Star facilities by 2 in this quarter. Marked this activity as ongoing as we continue to bring new programs into Texas Rising Star.
Outcomes for the year are TBD at this point.</t>
  </si>
  <si>
    <t>Conducted an in-person general training session titled "Look What I Can Do! Building Cognitive Skills Through Play" on 1/16/25.
25 attendees from 5 centers and 3 homes participated.
Funding Source: CQF</t>
  </si>
  <si>
    <t>Increased knowledge of 25 staff on various professional development topics related to child development.
Participants in the professional development activity completed satisfaction evaluations at the conclusion of the event and reported that items learned could be taken back and used in the classroom. 
Data noted above was determined based on professional development satisfaction evaluations taken at the conclusion of the event. This training is considered successful since at least 15 participants attended the event and noted that they can take lessons learned back to their classroom for implementation.</t>
  </si>
  <si>
    <t>Mentor staff conducted an in-person owner/director specific Peer Learning Community on 1/21/25 titled "Cut Costs, Not Quality… What is in Your Control?" on 1/21/25.
21 attendees from 13 centers.
Funding Source: CCQ mentor-specific funding</t>
  </si>
  <si>
    <t>Increased knowledge of 21 staff on various professional development topics related to child development.
Participants in the professional development activity completed satisfaction evaluations at the conclusion of the event and reported that items learned could be taken back and used in the classroom. 
Data noted above was determined based on professional development satisfaction evaluations taken at the conclusion of the event. This training is considered successful since at least 15 participants attended the event and noted that they can take lessons learned back to their classroom for implementation.</t>
  </si>
  <si>
    <t>Conducted an in-person general training session titled "Supporting Children with ADD, Autism, &amp; Sensory Disorder in the Classroom" on 2/27/25.
25 attendees from 7 centers and 2 homes participated.
Funding Source: CQF</t>
  </si>
  <si>
    <t>Conducted an in-person general training session titled "Managing Time Wisely for Early Childhood Educators" on 3/25/25.
29 attendees from 8 centers and 6 homes participated.
Funding Source: CQF</t>
  </si>
  <si>
    <t>Increased knowledge of 29 staff on various professional development topics related to child development.
Participants in the professional development activity completed satisfaction evaluations at the conclusion of the event and reported that items learned could be taken back and used in the classroom. 
Data noted above was determined based on professional development satisfaction evaluations taken at the conclusion of the event. This training is considered successful since at least 15 participants attended the event and noted that they can take lessons learned back to their classroom for implementation.</t>
  </si>
  <si>
    <t>Mentor staff conducted an in-person owner/director specific Peer Learning Community on 3/29/25 titled "Healthy Bites, Big Smiles."
9 attendees from 5 centers and 1 home participated.
Funding Source: CCQ mentor-specific funding</t>
  </si>
  <si>
    <t>Increased knowledge of 9 staff on various professional development topics related to child development.
Participants in the professional development activity completed satisfaction evaluations at the conclusion of the event and reported that items learned could be taken back and used in the classroom. 
Data noted above was determined based on professional development satisfaction evaluations taken at the conclusion of the event. While this training is considered successful because evaluations noted that participants can take lessons learned back to their classroom for implementation, less than 15 people attended and the general Board goal is 15 per training event.</t>
  </si>
  <si>
    <t xml:space="preserve">Offered an incentive for educational attainment for a Child Development Associate Degree (1 staff) and one other staff person that previously earned an education attainment incentive earned a six-month continued employment incentive during this quarter. Incentives were given in the amount of $1,500 for the Degree attainment incentive and $500 for a six month employment retention incentive.
Funding Source: CQF </t>
  </si>
  <si>
    <t xml:space="preserve">Sponsored 12 participants from 8 centers with Scholarships to support their pursuit of educational attainment in either one of the following programs: Child Development Associate - Occupational Skills Award, a Child Development Certificate, or a Child Development Administrators Certificate. Scholarships were available at either of our two local junior colleges.
Funding Source: CQF </t>
  </si>
  <si>
    <t>Increased education and encouraged continued professional development  in child development courses to further assist with teacher knowledge and the intention to increase CCS capacity at quality facilities. 
Outcomes are TBD at this point.</t>
  </si>
  <si>
    <t>Assisted area centers and homes with adding to or supplementing their developmental resources and equipment needs with this reimbursement grant opportunity. Outcomes are TBD as this opportunity has not been finalized.</t>
  </si>
  <si>
    <t>Offered a quality program called STEAM to area child care programs, with math as the focus in the 5th year. This program was open to classes for ages 3-5 and individual children ages 6-12. 
For the classes, ages 3-5, 717 children participated from 54 classes at 26 centers and 4 homes.
For the individual children, ages 6-12, 120 children participated from 10 centers and 3 homes (inclusive of those facilities already noted above).
Funding Source: CCQ</t>
  </si>
  <si>
    <t xml:space="preserve">
This activity far exceeded the Board's target of 8 facility participants as 30 facilities participated, including 837 children.</t>
  </si>
  <si>
    <t>Purchased materials to set up an emergency "go bag" for 26 early learning programs represented at the in-person training on March 29, which included many first aid items and a LifeVac anti-choking device.                                                            
Funding Source: CCQ</t>
  </si>
  <si>
    <t>We successfully met our goal of providing valuable health and safety materials, along with equipment, to support a six-hour training focused on emergency response and evacuation planning. While we prepared provisions for 50 child care program staff, only 41 administrators representing 26 programs participated. Our overarching objective is to reduce deficiencies in Child Care Regulation standards. Although it is too early to measure success by a decrease in deficiency numbers, participant evaluations of the training were overwhelmingly positive and encouraging.</t>
  </si>
  <si>
    <t>Two of the seven programs receiving consultation services have completed their site reaccreditation visits and are currently awaiting results. The remaining 5 programs are continuing to work toward candidacy and are preparing for their accreditation site visits. As of the second quarter, we have achieved 35% of our goal to have 20 programs accredited. Family Satisfaction survey results are TBD.</t>
  </si>
  <si>
    <t>The Board continues to rent a secure storage facility to store materials and equipment for Texas Rising Star programs.
Funding Source: CCQ</t>
  </si>
  <si>
    <t>Staff salaries and benefits for one coordinator; one support staff; 5 full time mentors; 1 mentor who is also the Infant Toddler Specialist and one mentor who is also the TECPDS Specialist. Currently 122 Texas Rising Star-certified programs; all others are Entry Level who are working on making application or applicants waiting on assessments. We are continuing to outreach new child care programs.
Funding Source: CCQ mentor-specific funding</t>
  </si>
  <si>
    <t>7 Texas Rising Star mentor staff, along with one support staff member and a coordinator, provided mentoring services to 73 early learning programs that are not yet Texas Rising Star certified. Additional mentoring was provided to the 122 Texas Rising Star-certified programs. Currently, 63% of 195 programs with CCS agreements are Texas Rising Star certified.</t>
  </si>
  <si>
    <t>The Board purchased 100 window clings for Texas Rising Star-certified programs to use in their program front windows and doors to indicate their participation in the program.                                                                                            
Funding Source: CCQ</t>
  </si>
  <si>
    <t>Our goal was to offer an alternative way for programs, such as home-based programs to showcase their Texas Rising Star certification, rather than using large banners. To date, we have distributed 40% of these window clings.</t>
  </si>
  <si>
    <t xml:space="preserve">The Board purchased Frog Street curriculum for 31 early learning programs who are Texas Rising Star certified.                                                                                                                                                                                        
Funding Source: CCQ (50%) and CQF (50%)                                                                                                                                                                                             </t>
  </si>
  <si>
    <t>25% percent of our total number of 122 Texas Rising Star-certified programs received curriculum to assistance them in their goal of retaining or attaining a higher star level. The outcome is TBD.</t>
  </si>
  <si>
    <t>Purchased curriculum and supplemental materials for 10 home early learning programs who responded to the request offered to all Texas Rising Star-certified home child care programs. Our goal was to provide curriculum and supplemental materials to Texas Rising Star-certified home programs that did not receive them during  FY 2023-2024. These 10 programs are focused on maintaining their certification, working toward national accreditation, or improving their star level.                                                             
Funding Source: CQF</t>
  </si>
  <si>
    <t>The programs have only just received the materials, the actual outcomes are yet to be determined</t>
  </si>
  <si>
    <t xml:space="preserve">Virtual training sessions targeted to infant and toddler teachers and administrators were offered on the topics of "Grow With Me" by our board area Infant Toddler Specialist and by various mentors on Sudden Infant Death Syndrome, Brain Development, and Shaken Baby Syndrome. 168 participants from 68 programs with Child Care Services agreements participated. 
Funding Source: CCQ mentor-specific </t>
  </si>
  <si>
    <t>In quarter 2, Texas Rising Star mentor staff trained 21% of the 800 targeted total to receive training. Measurable outcomes TBD.</t>
  </si>
  <si>
    <t xml:space="preserve">An in-person training was provided on the Infant Toddler Specialist Network Family Engagement Series by our Board area specialist. Family Engagement Kits were purchased for attendees (both teachers/administrators and families) in attendance. We had 44 early childhood staff in attendance from 14 programs; also 6 home staff members from 4 of those programs attended.                                                                                                                  
Funding Source: CCQ mentor-specific </t>
  </si>
  <si>
    <t>We purchased infant/toddler sensory materials, books, and self-regulation teacher resources to support the co-sponsored Winter Conference hosted with Central Texas Association for the Education of Young Children chapter. The Children's Learning Institute Infant Toddler Specialist Network staff presented two in-person sessions and two other local trainers presented topics specifically targeted to infant and toddler teachers. 139 people attended from 37 different programs.                                                                                                                                                                                                                                                                                                                                 
Funding Source: CCQ</t>
  </si>
  <si>
    <t>This conference reached 17% of our goal to train 800 participants this year, with attendees receiving materials for their classrooms. Measurable outcomes are TBD.</t>
  </si>
  <si>
    <t>Our Board provided in-person training to early childhood professionals on a variety of topics including lesson planning, emergency planning, successful classroom environments, and stress management. 124 people attended from 72 programs (both Texas Rising Star-certified and Entry Level).                                                                                                                                                                                                                                                           
Funding Source: CCQ</t>
  </si>
  <si>
    <t>These in person sessions reached 16% of our goal to train 800 participants this year. Measurable outcomes are TBD.</t>
  </si>
  <si>
    <t>2 Child Development Associates in-person classes were held with a contracted trainer who taught the courses in Spanish. 12 staff from 5 Texas Rising Star-certified programs are participating in the class currently (same participants as previous quarter). These 12 attendees are receiving scholarships for the course work of 120 hours and our Board will pay the application fees for certification if funding is not secured through other available scholarships. 
Funding Source: CCQ</t>
  </si>
  <si>
    <t>In quarter 2, a contracted trainer continued to provide 2 classes as part of a series that began in Qtr.1. These Child Development Associates preparation training classes are provided to 12 Spanish speaking staff from 5 Texas Rising Star-certified programs. This activity is ongoing and outcomes TBD.</t>
  </si>
  <si>
    <t>Virtual training sessions were provided for all CCS programs to attend which included topics such as Classroom Management and a Program Administrator meeting/training. 125 participants from 97 programs participated.
No funds were spent.</t>
  </si>
  <si>
    <t>During quarter 2, 16% of the 800 targeted participants from all programs received training via a virtual platform, conducted by Texas Rising Star mentor staff. 
Measurable outcomes are TBD.</t>
  </si>
  <si>
    <t>Our Board reimbursed 2 of our programs who are Texas Rising Star-certified and accredited with the National Association for the Education of Young Children for their attendance at the Texas Association for the Education of Young Children conference.
Funding Source: CCQ</t>
  </si>
  <si>
    <t xml:space="preserve"> This support has enabled these programs to further enhance their professional development and stay updated on best practices in early childhood education.</t>
  </si>
  <si>
    <t>One of our mentors conducted 11 virtual Peer Learning Community sessions reviewing the book, Conscious Discipline: Building Resilient Classrooms. 114 participants representing 40 programs attended these sessions.
Funding Source: CCQ mentor-specific</t>
  </si>
  <si>
    <t>During quarter 2 the goal of 40 participants in the Conscious Discipline book study was exceeded. Due to this overwhelming response, a second book study with opportunities for new participants to join will begin in quarter 3.</t>
  </si>
  <si>
    <t>Our Board area co-sponsored a Winter Conference with Central Texas Association for the Education of Young Children that was targeted to teachers and administrators who provide care for infants and toddlers. 39 programs were represented with 139 attendees.                                                                                                                                                                                                                                                                                                                 
Funding Source: CCQ</t>
  </si>
  <si>
    <t>This conference provided training for 17% of the targeted 800 people we hope to train during FY2025. Measurable outcomes are TBD.</t>
  </si>
  <si>
    <t xml:space="preserve">A total of 240 early learning programs received this incentive in quarter two for existing infant and toddler classrooms. 88 Entry Level-designated programs received a $1,000 monetary incentive and 152 certified programs received a $2000 monetary incentive. Early learning programs purchased equipment, material, curriculum, and/or manipulatives to support the growth, development and learning environment. 
Funding Source: CQF </t>
  </si>
  <si>
    <t xml:space="preserve">This incentive remains ongoing and we plan to disseminate a survey when the incentives are completed to gauge early learning programs' satisfaction with the Board's response to the their needs. Our goal is to provide 700 incentive grants to early learning programs. 
Measurable outcomes are TBD.
</t>
  </si>
  <si>
    <t>Professional development opportunities were offered only in March 2025 due to the transition of services from the contractor to the Board. Professional development opportunities were offered both in-person and virtually, as well as in English and Spanish. Topics of the opportunities offered, included but are not limited to the following: Personnel Issues and Solutions in Early Child Care Education, "Quality" in Early Childhood Education: What Does it Look Like, Culturally responsive family engagement, Creating an Inclusive Culture and Positive Communication as in Early Childhood Teacher. (206 attended in person, 36 attended virtually)
Funding Source: CCQ and CQF (used CQF for this quarter activity)</t>
  </si>
  <si>
    <t>In Quarter two,  242 early learning programs attended professional development opportunities offered. Through survey data collected, 96% of attendees reported an increased knowledge of the topics presented after attending the professional development offerings. Our goal is to provide professional development to 5,000 individuals.</t>
  </si>
  <si>
    <t xml:space="preserve">The Board provided conference scholarships for registration fees for 250 child care practitioners to attend a local early education conference on March 29, 2025. 
Funding Source: CCQ </t>
  </si>
  <si>
    <t>Post conference survey results indicate that the opportunity to attend the conference was valuable to 97% of attendees. We exceeded the goal by providing 250 scholarships.</t>
  </si>
  <si>
    <t>A total of 338 early learning staff received monetary stipends in quarter two. Of the 338 recipients, 96 are home-based early learning programs and 242 are licensed child care centers.                                                                               Monetary stipends have been distributed in the following amounts: 
Registered/Licensed Home-Based early learning programs: $750 to 32 Entry Level, $850 to 9 Two-Star,  $1,000 to 22 Three-Star, and $1,500 to 33 Four-Star
Licensed Child Care Centers: $3,000 to 44 Entry Level, $4250 to 59 Two-Star, $5,000 to 14 Three-Star, and $6,500 to 125 Four-Star. 
Funding Source: CQF</t>
  </si>
  <si>
    <t>Early learning programs will be surveyed in the next quarter, as this incentive remains open. The goal is to provide an incentive to 1,800 early learning programs. 
Measurable outcomes are TBD.</t>
  </si>
  <si>
    <t>Salaries and travel reimbursement for 37 (temporary) mentor staff
Funding Source: CCQ mentor-specific funding</t>
  </si>
  <si>
    <t>Mentors support provided to 1,829 Texas Rising Star and Entry Level-designated programs</t>
  </si>
  <si>
    <t xml:space="preserve">A total of 488 families received services this quarter. Families were outreached via email to receive resources to include but not limited to the following: financial stability, financial literacy and child development and growth. Family kits, books and resources have been shared with families at five community events. 
Funding Source: CCQ </t>
  </si>
  <si>
    <t>Outreach and engagement activities for families within the region remains ongoing to reach our goal of 2,000. We will report survey results to measure their level of satisfaction with information and resources provided to families in the third and fourth quarters. 
Measurable outcomes are TBD.</t>
  </si>
  <si>
    <t xml:space="preserve">Early learning programs within the Gulf Coast Region were invited to attend the Child Care Regulation Conference. The conference was held at San Jacinto College-Central Campus. 800 early learning programs received a social-emotional kit containing toys and books to assist young children with regulating their emotions. The contents of the social-emotional kit are to support decreasing the number of deficiencies in health and safety regulations. 
Funding Source: CCQ </t>
  </si>
  <si>
    <t>We were able to distribute 800 kits instead of 1,000 due to lower enrollment and attendance at the conference.
Measurable outcomes related to decrease in health and safety deficiencies are TBD.</t>
  </si>
  <si>
    <t xml:space="preserve">We offered $1,850 incentives to 34 Texas Rising Star-certified programs with Pre-K partnerships with an Independent School District or Charter School to support partnerships that strengthen learning opportunities for children and support sustainable relationships between child care and school systems.    
Funding Source: CCQ </t>
  </si>
  <si>
    <t>We have maintained 34 of the 35 partnerships. No new partnerships have been added. 
Measurable outcomes are TBD.</t>
  </si>
  <si>
    <t xml:space="preserve">26 child care programs received a reimbursement of 50% of their membership fees for TXAEYC Shared Services. Programs utilized this reimbursement to support the ongoing need for resources related to maintaining a small business. 
Funding Source: CCQ </t>
  </si>
  <si>
    <t>Of the 26 programs surveyed, 54% of recipients have been a member with TXAEYC SSA for 2 years, 23% 1 year, 15% 3 or more years, and 8% had less than a year of membership. 26% of people utilized affordable health insurance the most, 24% used professional development, 17% used ready-to-use resources. 17% used financial insights. More specific resources include: 21% accessed affordable health care, 21% attended webinars, 8% attended in person trainings, 13% utilized online templates, 14% used personal coaching, 12% used personal business coaching, 11% received assistance with quarterly financial reports, 2% used other miscellaneous services.  100% of recipients used the information and resources shared with them in a tangible manner, and 100% found the information shared with them helpful. 62% of recipients renewed the membership with an average rating of 4.65 stars out of 5. Our goal of providing this incentive to 200 programs is ongoing, and we will continue to offer this opportunity through the 4th quarter.</t>
  </si>
  <si>
    <t xml:space="preserve">18 child care programs serving children with disabilities received monetary incentives to purchase classroom materials and resources to provide a successful and inclusive environment for children.  
Funding Source: CCQ </t>
  </si>
  <si>
    <t>Child care programs receiving this incentive will be surveyed in the next quarter, as the incentive remains open. Our goal is to provide the incentive to 25 child care programs. 
Measurable outcomes TBD.</t>
  </si>
  <si>
    <t xml:space="preserve">50 child care programs in Child Care desert received a $3,00 incentive to assist with purchasing early learning equipment and materials for their classrooms. 
Funding Source: CCQ </t>
  </si>
  <si>
    <t xml:space="preserve">Child care programs that received this incentive will be surveyed and the data will be provided in the next quarter. </t>
  </si>
  <si>
    <t>The Board is fully staffed with 6 FTE mentors, 1 FTE quality initiative coordinator, and 1 FTE Program Support Specialist. Board is using CCQ funding for 2 FTE positions: Child Care Quality Initiative Coordinator and Texas Rising Star Onboarding Specialist.  The Program Support Specialist is also the Board's Texas Early Childhood Professional Development System (TECPDS) Specialist. 1 mentor serves as the Board's Infant and Toddler Specialist. There are no current vacancies.
Funding Source: CCQ mentor-specific and CCQ</t>
  </si>
  <si>
    <t>Texas Rising Star mentors have worked with 153 early learning programs (as of 03/31/2025) to meet the compliance of the Texas Rising Star Program and have assisted 44 early learning programs earn a Four-Star certification on their initial or recertification assessments (09/01/24-12/31/24). The Board's Child Care Quality Initiative Coordinator has helped the Board increase the professional development opportunities to early learning programs from 3 to 7, an increase of 133.33%. The Board's TECPDS Specialist works to increase TECPDS utilization among early learning programs and currently has outreached 46.7%% of the early learning programs.</t>
  </si>
  <si>
    <t>4 mentors attended the Texas Rising Star Staff meeting in Austin, January 29-30, 2025. This staff bootcamp was hosted by TWC in partnership with CLI.
Funding Source: CCQ</t>
  </si>
  <si>
    <t>All who attended reported that the this meeting helped them stay informed with recent updates. In a questionnaire, they also reported in back that they now have a better understanding of how CAE is handling the assessment process, and now have clearer communication and expectations when working with the assessors. Additionally, the meeting made them understand the expectation from the CAE, which has helped support their programs. The Board goals were for Texas Rising Star staff to network with mentors and assessors and to receive a clearer understanding of the issues that may impact their early learning programs. After deciphering the responses from the questionnaire, the goals were met.</t>
  </si>
  <si>
    <t>Early learning programs who attended the Infant Educator training in January 2025 received a $5,000.00 infant classroom stipend from Lakeshore Learning Materials. This allowed 109 early learning programs to order indoor and outdoor equipment and materials to support the techniques the teachers learned at the training. 
Funding Source: CQF</t>
  </si>
  <si>
    <t xml:space="preserve">
109 early learning programs received the stipend and the project aligns with the goal of assisting programs achieve a Four-Star in Category 4 at the time of initial assessment or recertification. The Board's goal is to have 90% of programs achieving the status by the end of the contract year. The Board will report updates of this activities in future reports.</t>
  </si>
  <si>
    <t>The Board hosted an Infant Educator training on January 25, 2025 for 215 child care program staff. The purpose was to provide age-specific training and equipment to early learning programs to remain in compliance with Child Care Regulation and to maintain or increase the number of programs who score at the Four-Star level in Category 4. The goal was to have at least 90% of programs achieving the goal. 
Administrators nominated an infant educator who demonstrated professionalism, excellence in care and learning potential to attend the training. The Board partnered with Lakeshore Learning Materials, Child Care Regulation, Easterseals RGV, and Region One ESC to provide a 6-hour training on Literacy, Language and Communication, Basic Care for Infant and Early Motor Development. 
Funding Source: CQF</t>
  </si>
  <si>
    <t>215 participants from 109 early learning program attended the training and received the Lakeshore stipend. 
The project aligns with the goal of assisting programs achieve a Four-Star in Category 4 at the time of initial assessment or recertification. The Board's goal is to have 90% of programs achieving the status by the end of the contract year. The Board will report updates of this activities in future reports.</t>
  </si>
  <si>
    <t>The Board hosted a Bilingual Early Learning Program Administrator Training on February 8, 2025.
165 participants attended sessions in effective communication, beating burnout, leaders vs. managers, and team building. The Board partnered with professional development teams from Lakeshore Learning Materials, Celebrate SEL's, and Drum Cafe.
The training allowed administrators to gain knowledge and new perspectives to better assist the operation and management of their business, while attaining the 6 in-person business hours for Texas Rising Star and Child Care Regulation. 
Funding Source: CCQ</t>
  </si>
  <si>
    <t>100% of attendees reported through a post conference feedback survey that this training has assisted them in Texas Rising Star measure S-DQT-04 by provided them with the 6 hours in program administration, management, and supervision for directors.</t>
  </si>
  <si>
    <t>The Board's TECPDS Specialist assisted programs by scheduling support sessions to help their program staff link their TECPDS accounts to their program and upload certificates to comply with training plan requirements. 159 participants were assisted.
Funding Source: CCQ</t>
  </si>
  <si>
    <t>All 159 attendees were successful in linking their accounts and uploading any pending certificates that will assist the programs to comply with Category 1 measure P-CQT-04. The Board's TECPDS Specialist has assisted 51.4% (N=257) of the forecasted 500 early learning staff the Board intends to work with.</t>
  </si>
  <si>
    <t>The Board provided a Texas Rising Star certification incentive to 10 early learning programs who had an initial assessment. The incentive amount, which is tied to the certified star level, will help acquire program materials and equipment. These materials are to assist with the program's lowest scoring measure and improve in areas of concern during their unannounced monitoring. 
Funding Source:  CCQ</t>
  </si>
  <si>
    <t xml:space="preserve">Incentives have been awarded to 10 early learning programs (11% of the goal), with the goal to have 90 programs receive the incentive by the end of the contract year. Currently, the 10 programs that been awarded have reported updating classroom equipment and materials. Mentors report that during their follow-up mentor visit 2 administrators reported an increase of teacher engagement and management skills.  The Board will report updates of this activity in future reports. </t>
  </si>
  <si>
    <t>WSB utilized our local Region 19 Education Service Center Special Education Department to provide an in-person training on emotional awareness aimed to improve communication and emotional support with children, families, and coworkers. The Embracing Emotions to Enhance Passion and Best Practices took place on January 19, 2025. There were 42 individual participants at this event from 26 early learning programs.
Funding Source: CCQ</t>
  </si>
  <si>
    <t>This training supported 70% of the goal to support 60 early learning program staff with professional development opportunities.</t>
  </si>
  <si>
    <t>WSB purchased developmentally appropriate curriculum "Teaching Strategies" for home-based early learning programs. To support the early learning program's use of this curriculum, WSB provided in-person training on the utilization and implementation of this curriculum.  WSB hosted a refresher training in for 12 individuals on the use of and best practices to implement the curriculum.  The training took place on January 25, 2025 and offered a session in Spanish where 12 teachers attended.  Participants were from 7 early learning programs.
Funding Source: CQF</t>
  </si>
  <si>
    <t>This training supported 71% of the goal to support 17 early learning program staff with professional development opportunities.</t>
  </si>
  <si>
    <t>WSB purchased developmentally appropriate curriculum "Teaching Strategies" for home-based early learning programs. To support the early learning program's use of this curriculum, WSB provided in-person training on the utilization and implementation of this curriculum.  WSB hosted a refresher training in for 11 individuals on the use of and best practices to implement the curriculum. The training took place on February 8, 2025 and offered a session in English where 11  teachers attended.  Participants were from 10 early learning programs.
Funding Source: CQF</t>
  </si>
  <si>
    <t>This training supported 110% of the goal to support 10 early learning programs with professional development opportunities.</t>
  </si>
  <si>
    <t>WSB provided a training on Social and Emotional Support in the Classroom for home-based and early learning programs. The in-person training provided strategies to support children's Social and Emotional competence and importance of a well managed classroom to support children's social and emotional development. The training took place on March 8, 2025 and offered a session in English where 24 teachers attended and in Spanish where 22 teachers attended. Participants were from 21 early learning programs.                                                                                
Funding Source: CCQ</t>
  </si>
  <si>
    <t>This training supported 77% of goal to support 60 early learning program staff with professional development opportunities.</t>
  </si>
  <si>
    <t xml:space="preserve">WSB provided a training on Self-Care for Caregiver in-person for home-based and early learning programs. The training provided tools and techniques to help manage an reduce stress in the classroom and every day life.  The training took place on February 22, 2025 and had 19 teachers attended. Participants were from 19 early learning programs.
                                                                                                                                                                                                                                  Funding Source: CCQ                                                                                          </t>
  </si>
  <si>
    <t>This training supported 100% of the goal to support 19 early learning programs with professional development opportunities.</t>
  </si>
  <si>
    <t>WSB utilized our local Paso Del Norte Early Childhood Intervention (ECI) organization to provide training on children's health and family well-being called Help Me Grow. The training took place on March 25, 2025. There were 42 individual participants at this event from 26 early learning programs.
Funding Source: CCQ</t>
  </si>
  <si>
    <t>WSB provided scholarship assistance for teachers and directors to enroll and participate in early education college credit course through our local community college, El Paso Community College.  This quarter WSB assisted 46 teachers/directors with scholarship assistance. 
Funding Source: CCQ</t>
  </si>
  <si>
    <t xml:space="preserve">WSB is at 76.6% of the goal to support 60 teachers and directors with educational scholarships. The students are currently taking their course and therefore the Board cannot yet determine successful completion and impact in Category 1.  </t>
  </si>
  <si>
    <t>WSB provided teachers stipend tied to continuing and/or completion of early education college degree, as well as continuation of employment with their employer after they graduate. WSB issued 46 stipends this quarter and will be providing the director a survey during the 3rd quarter to evaluate the retention rate. 
Funding Source: CQF</t>
  </si>
  <si>
    <t>Surveys will be distributed  to the directors during the 3rd quarter to determine the retention rate. The measurable outcome is TBD.</t>
  </si>
  <si>
    <t>WSB provided information sessions on the child care quality initiatives to the child care programs throughout our board area as a means to go over all the initiatives available to them and have a Q/A opportunities. We offered three sessions this quarter with a goal of having 30 early learning programs attend per session. The first session took place on February 20, 2025 which had 28 attendees from 17 early learning programs. The second session took place on March 18, 2025 which had 22 attendees from 15 early learning programs. The third  took place on March 19, 2025 which had 14 attendees from 10 early learning programs. The fourth session will take place in the third quarter.  In total, we had 64 early learning programs attend. 
Funding Source: CCQ</t>
  </si>
  <si>
    <t xml:space="preserve">This session supported 82% of the goal to offer information on the child care initiatives to 90 early learning programs. </t>
  </si>
  <si>
    <t>WSB used CCQ funds to continue to employ 1 Texas Early Childhood Professional Development System (TECPDS) Specialist in order to meet the requirements to have designated staff to support programs with the TECPDS Workforce Registry. The staff provided support to both the early learning programs and Texas Rising Star mentor staff. The TECPDS Specialist validated 120 records this quarter and offered training to child care programs on how to open a TECPDS registry account and upload documents. 
Funding Source: CCQ</t>
  </si>
  <si>
    <t xml:space="preserve">WSB experienced a staff change and therefore was not going to be able to meet the quarter target.  We fell below the 95% validation target for this quarter. WSB validated 120 records this quarter - 30% of the goal. </t>
  </si>
  <si>
    <t>WSB used CCQ funds to continue to employ 2 part-time Infant-Toddler Specialists in order to meet the requirements to have designated staff to support programs who serve infants and toddlers and participate in the Texas Infant-Toddler Specialist Network. The Infant-Toddler Specialists received their certification in January 2025. The Infant-Toddler Specialists provided 2 group training sessions for 20 early learning programs.  
Funding Source: CCQ</t>
  </si>
  <si>
    <t>WSB is at 67% of the goal to offer 3 group trainings per quarter and 67% of the goal to work with 30 early learning programs in this specific age group.</t>
  </si>
  <si>
    <t>WSB used CCQ mentor-specific funds to continue to employ 6 Texas Rising Star mentors who currently support 289 early learning contracted programs with obtaining and maintaining their Texas Rising Star certification level through mentoring services that include but not limited to, guidance, coaching, and mentoring throughout the fiscal year. This quarter 64 early learning programs were assessed of which 3 programs scored below Two-Star status. 
Funding Source: CCQ mentor-specific funding</t>
  </si>
  <si>
    <t xml:space="preserve">Texas Rising Star mentors provided guidance, coaching, and mentoring support to the 64 early learning programs that were assessed during this quarter. WSB has met the 95% goal of having the early learning programs attain a Two-Star or higher certification status. </t>
  </si>
  <si>
    <t>WSB used CCQ funds to continue to employ the WSB Quality Support Oversight Manager who conducted oversight of the 6 Texas Rising Star mentor's activities that consisted of mentoring programs that are on the Texas Rising Star pathway and/or certified. The manager provided support, guidance and tracked the outcomes of initial assessments. This quarter there were 64 programs scheduled for initial Texas Rising Star assessment. 
Funding Source: CCQ</t>
  </si>
  <si>
    <t>Of the 64 programs scheduled for an initial assessment, 61 (95.3%) of the programs received Texas Rising Star certification.</t>
  </si>
  <si>
    <t>WSB supported the Ft. Bliss military base child care and after-school programs with equipment and materials to assist with maintaining their national accreditation. WSB supported 2 early learning programs who maintained their national accreditation and met Texas Rising Star requirements.
Funding Source: CCQ</t>
  </si>
  <si>
    <t>Of the 2 early learning programs assisted, 100% maintained their accreditation.</t>
  </si>
  <si>
    <t xml:space="preserve">To enhance the quality of care for all children, educational materials/equipment were provided to 8 programs (Training Wheels Learning Center #1661913, Kids "R" Us Child Care and Learning Center #1562364, The Education Center #558846, Precious Angels Day Care &amp; Learning Center #1053508, Julissa Rangel #1740644, New Land Kindergarten #1688817, My Little College #866039, Champions Christian Academy #1725289).  Educational materials/equipment will enhance the classroom in order to meet the children physical, cognitive, social/emotional and language and literacy domains.  
Funding Source: CCQ </t>
  </si>
  <si>
    <t>The Board will measure the success of this activity by early learning programs maintaining or increasing their Texas Rising Star level of certification. Results TBD.</t>
  </si>
  <si>
    <t xml:space="preserve">TBD </t>
  </si>
  <si>
    <t xml:space="preserve">This activity is ongoing, thus complete outcomes are TBD. </t>
  </si>
  <si>
    <t xml:space="preserve">11  individuals from 8 different early learning programs, earned their CPR &amp; First Aid certification. Certification is good for two years, ensuring licensing deficiencies cited by Child Care Regulation for expired CPR &amp; First Aid Certification are reduced. 16 (cumulative total) of 120 (total goal) early learning programs have been served. </t>
  </si>
  <si>
    <t xml:space="preserve">17 individuals began the Conscious Discipline Cohort. Data not available as it is still in progress. </t>
  </si>
  <si>
    <t xml:space="preserve">This activity is on going, thus complete outcomes are TBD. </t>
  </si>
  <si>
    <t xml:space="preserve">8 programs of the 20 (goal) began the process of implementing the Ages and Stages Questionnaire helping parents and teachers identify potential delays in developmental milestones early. </t>
  </si>
  <si>
    <t>Professional Development for Infant/Toddler Specific Training (Virtual Delivery)
ITSN Foundations Language and Communication
57 Individuals attended trainings on the following topics: Infant and Toddler Best Practices, Infant and Toddler Social Emotional, and Language and Communication for infant and toddlers, increasing awareness and knowledge on how to better engage infants and toddlers in their learning helping these individuals maintain or increase their Category 2 scores. 
6 individuals participated in Peer Learning Communities centering on Infant and Toddler. The topics were Best Practices and Language and Communication, potentially helping these individuals maintain or increase their Category 2 scores. 
Funding: CQF</t>
  </si>
  <si>
    <t>6 individuals participated in Peer Learning Communities centering on Infant and Toddler. The topics were Best Practices and Language and Communication, potentially helping these individuals maintain or increase their Category 2 scores. 
Funding: CQF</t>
  </si>
  <si>
    <t>CPR &amp; First Aid Certification (In Person Delivery)
11 individuals from 8 early learning programs received in-person CPR &amp; First Aid training in Cedar Park, adding to workplace safety, life-saving skills, and  compliance with regulations, decreasing potential instances of citations from Child Care Regulation due to non-compliance for their early learning program, thus maintaining their Texas Rising Star certification status.  
Funding: CCQ</t>
  </si>
  <si>
    <t>Professional Development Opportunities (Virtual Delivery)
Directors' Conversations - Community of Practice
165 Directors came together to learn and discuss the benefits of the Infant &amp; Toddler Specialist Network and the resources, training, and coaching offered in order to assist in increasing or maintaining their Texas Rising Star certification as well as the benefits of Ages and Stages Questionnaire (ASQ) and how to use it in their early learning programs. 
Funding: CQF</t>
  </si>
  <si>
    <t>165 of 600 (goal) directors participated in a community of practice presentation, potentially helping these centers to increase their Texas Rising Star level. According to the survey, 89% felt confident with ASQ after the discussion. This was an increase from 48% who were confident about the subject prior to the discussion. 
According to the survey, 75% felt confident with the Infant and Toddler Specialist Network information after the discussion. This was an increase from 41% who were confident about the subject prior to the discussion. 
Star-level designation currently not available due to delay in assessments by the CAE.</t>
  </si>
  <si>
    <t>Professional Development Opportunities (Virtual (V) &amp; In person (IP) Delivery)
Training Calendar - Professional Development Training
108 early learning program personnel participated in various professional development trainings including: Implicit Bias (English and Spanish)(V), Respecting Each Other (English and Spanish) (V), Emergency Preparedness Planning(V), Collaborative Culture (IP), and Director's Credential(IP&amp;V). Each training helps the early learning program maintain, obtain, or increase their Texas Rising Star certification level. 
Total Virtual Participants: 66.  Total In-Person Participants: 56 = Total 122
Funding: CQF</t>
  </si>
  <si>
    <t>122 of 250 (goal) early learning workers participated in various professional development trainings helping their early learning programs potentially increase their Texas Rising Star certification level. 
According to the survey 96% of those who participated in the Implicit Bias training felt more confident and knowledgeable about the subject matter after the training. This was an increase from 67% who were confident about the subject prior to the discussion.
According to the survey 60% of those who participated in the Emergency Preparedness Training felt confident in the subject prior to the training. 80% of those who participated in the training felt confident in their understanding of the subject matter post training. 
According to the survey 100% of those who participated in the Respecting Each Other training felt confident in their understanding of the training. This is an increase from 60% of the participants feeling confident in the subject prior to the training. 
34 began the Director's Credential process. Data not available as it is still in progress.</t>
  </si>
  <si>
    <t>Professional Development (In-Person Delivery)
Conscious Discipline
17 individuals began the first Conscious Discipline Cohort of 2025, increasing their social-emotional understanding and potentially increasing Category 2 scores.
Funding Source: CQF</t>
  </si>
  <si>
    <t>ASQ Training
18 individuals from 8 programs attended training for the Ages and Stages Questionnaire in order to begin the implementation process and potentially identify delayed developmental milestones early. 
Funding Source: CCQ</t>
  </si>
  <si>
    <t>ASQ Kits
8 programs received the Ages and Stages Questionnaire kits (and training) in order to begin the implementation process and potentially identify delayed developmental milestones early. 
Funding Source: CCQ</t>
  </si>
  <si>
    <t>Board Support Industry Specialist Supports
The Board's Industry Support Specialist attended and led several meetings and discussions that increases the knowledge of stakeholders. These efforts consist of technical assistance, capacity-building support, and professional development resources. 
The Board's Industry Support Specialist supported 9 child care businesses with business services support. 
Funding: CCQ</t>
  </si>
  <si>
    <t xml:space="preserve">This staff attended 4 TECPDS Office hours to maintain the TECPDS Specialist designation. This staff attended 15 meetings through coalitions and other community organization conversations that support the Early Education Industry. This staff has collaborated on 1 internal and 2 external meetings among individuals that support programs and their needs. This staff has attended 2 meetings to support the Early Education pipeline with a local training entity. 
Complete outcomes are TBD. </t>
  </si>
  <si>
    <t>PBS Child Care Partnership 
Rural Capital partnered with Capital Area and PBS Kids to support early learning programs serving CCS families by providing PBS Kids resources to support quality learning. This was accomplished through workshops, training, coaching, technology support, and establishing Home-to-School Connections within partner programs. All participating early learning programs utilizes PBS Kids within their daily curriculum. 
12 teachers at 10 different centers in Rural Capital received mentoring from PBS Austin. Each participating teacher earned at least 1 hour of training for this quarter.
Funding: CQF</t>
  </si>
  <si>
    <t>PBS Child Care Partnership 
Rural Capital partnered with Capital Area and PBS Kids to support early learning programs serving CCS families by providing PBS Kids resources to support quality learning. This was accomplished through workshops, training, coaching, technology support, and establishing Home-to-School Connections within partner programs. All participating early learning programs utilizes PBS Kids within their daily curriculum. 
All 10 participating early learning programs received an iPad and individual mentoring and training on how to utilize them in the classroom. Each classroom received a classroom set of books for cultivation in the class and at home. Each teacher received 1 hour of training for this quarter. 
Funding: CQF</t>
  </si>
  <si>
    <t xml:space="preserve">
This activity is ongoing, thus complete outcomes are TBD. </t>
  </si>
  <si>
    <t>Shared Service Alliance Initiative
Rural Capital has provided this opportunity to early learning programs in 4 of the 9 counties. There are 2 different service contractors covering 2 different areas. There are a total of 27 early learning programs that have joined the Shared Services Alliance. Williamson County is serving 12 early learning programs. Bastrop, Hays, and Fayette County is serving 15 early learning programs. 
Funding: CCQ</t>
  </si>
  <si>
    <t>The Board has served 41 of 42 early learning programs, therefore completing 100% of the goal for Q2.</t>
  </si>
  <si>
    <t xml:space="preserve">66 early learning staff from 23 early learning programs participated in the professional development Getting Families Involved in Health.
Funding Source: CQF </t>
  </si>
  <si>
    <t>45 participants from 23 early learning programs earned their CPR/First Aid certification so the programs could meet the training requirements needed for Child Care Regulation standards.
Funding Source: CQF</t>
  </si>
  <si>
    <t>61 participants from 23 early learning programs participated in the professional development Teaching and Learning with Acorns.
Funding Source: CQF</t>
  </si>
  <si>
    <t>43 participants from 23 early learning programs participated in the professional development Teaching Environmental Stewardship.
Funding Source: CQF</t>
  </si>
  <si>
    <t>79 participants from 23 early learning programs participated in the professional development Building Resilient Partnerships with Parents.
Funding Source: CQF</t>
  </si>
  <si>
    <t>54 participants from 23 early learning programs participated in the professional development Key Aspects of Child Growth and Development.
Funding Source: CQF</t>
  </si>
  <si>
    <t>41 participants from 23 early learning programs participated in the professional development Promoting a Healthy, Safe and National Early Childcare Environment.
Funding Source: CQF</t>
  </si>
  <si>
    <t>67 participants from 9 early learning programs participated in the professional development Transitions/Movement without Chaos/Learn to Play and Play to Learn.
Funding Source: CQF</t>
  </si>
  <si>
    <t>6 participants from 6 early learning programs participated in the professional development Introduction to Active Supervision 
Funding Source: CQF</t>
  </si>
  <si>
    <t>12 participants from 5 early learning programs participated in ITSN-T-PLC: Connect with Me: Promoting Social Emotional Development.
Funding Source: CQF</t>
  </si>
  <si>
    <t>Scholarships offered to 4 program staff to receive or renew their CDA - no adjustments made from the original Expenditure 
Funding Source: CCM</t>
  </si>
  <si>
    <t xml:space="preserve">TBD - 4 renewed their CDA </t>
  </si>
  <si>
    <t>Leading teachers to a Professional Development Pathway (TECPDS dashboard update review)  
TECPDS Specialist trained early learning program directors on how to utilize the dashboard and how to enter documents into TECPDS. 
Funding Source: CQF</t>
  </si>
  <si>
    <t>77 participants from 14 early learning programs participated in the ITSN Teacher-PLC: Core Competencies for practitioners Area 1: Child Growth and Development  
Funding Source: CQF</t>
  </si>
  <si>
    <t>58 participants from 9 early learning programs participated in the ITSN T-PLC: Connect with Me: Promoting Social Emotional Development, Part 1  
Funding Source: CQF</t>
  </si>
  <si>
    <t>47 participants from 10 early learning programs participated in an AGES and Stages -3 Assessment Training  
Funding Source: CQF</t>
  </si>
  <si>
    <t xml:space="preserve"> TECPDS Specialist reviewed staff documents for 9 early learning programs loaded into the Workforce Registry to support the Texas Rising Star process for scoring education and professional development hours to ensure accuracy. TECPDS Specialist reviewed documents for facilities that are pending an initial assessment (those now marked as Ready for Assessment). As this process will continue into next fiscal year, marked as ongoing. Outcomes are TBD at this point.</t>
  </si>
  <si>
    <t>Offered Outdoor Classroom Equipment and Office Equipment Child Care Quality Reimbursement Grants to all licensed and registered facilities in our service area and had 41 facilities that were awarded grants. In this quarter, 11 facilities (10 centers and 1 home which includes 8 Texas Rising Star certified programs) have completed their purchasing and received reimbursement for requested developmental resources and equipment.
Funding Source: CQF</t>
  </si>
  <si>
    <t>Provided 17 scholarships to child care program staff for CDA renewals
Funding Source: CQF</t>
  </si>
  <si>
    <t xml:space="preserve"> This is 83% of the Board's goal to assist 36 individuals with CDA renewals in FY25 with 30 individuals assisted year to date. Assessment results show an average score of 2.02 for points-based measures in Category 1 of the 81 Initial Assessments that were conducted.</t>
  </si>
  <si>
    <t>Provided virtual training (10 sessions) and in person (3 sessions) opportunities to 639 registered child care professionals at 113 early learning programs over 13 different topics in English and Spanish (i.e., Basics of Phonological Teaching in PreK, Understanding Grief, Challenging Behaviors, Survival Guide for Child Care Programs, Power of Play, Responsive Guidance, Building Capacity: School Age, Understanding Autism, Teaching with Autism: How to Communicate, Engage &amp; Participate, Sensory Processing and Etc.). 
There were 520 virtual participants and 119 in-person participants.
Funding Source: CCQ</t>
  </si>
  <si>
    <t xml:space="preserve">Professional development provided will: increase the opportunities child care programs have to access to training in their area and provide opportunities to meet Child Care Regulation's annual training requirements and Texas Rising Star certification training requirements, increase the star-levels achieved from Texas Rising Star assessments, decrease the number of licensing deficiencies cited by Child Care Regulation for required annual training, and increase the number of CCS programs with Entry Level designation and eligible for certification. These measurable outcomes are TBD. The Board has reached 100% of the goal to have 200 registrants attending this training in FY25. 
</t>
  </si>
  <si>
    <t>Provided a scholarship to 5 early learning programs to cover accreditation fees for NAEYC and NAFCC, 2 licensed child care programs and 3 child care homes. This scholarship covered the renewal accreditation fee. The programs are Four-Star certified programs, and this assistance supports their certification and enhancing quality in their program.
Funding Source: CCQ</t>
  </si>
  <si>
    <t>The Board has completed 46% of the goal to assist 30 early learning programs with National Accreditation financial support. 14 programs have been assisted year to date. 
Activity outcomes are TBD.</t>
  </si>
  <si>
    <t>17 mentors provided mentoring services to 578 early learning programs (252 Entry Level and 326 Texas Rising Star-certified programs). This includes their salaries, benefits, and travel.
Funding Source: CCQ mentor-specific funding</t>
  </si>
  <si>
    <t>This is 105% of the goal to assist 550 programs to enhancing quality.</t>
  </si>
  <si>
    <t>The Board's Business Specialists provided business services to 135 early learning programs (59 Rural &amp; 76 Bexar). This includes their salary, benefits, and travel.
Funding Source: CCQ</t>
  </si>
  <si>
    <t>This is 25% of the goal to support 550 early learning programs with business supports. The Board tracks this through visits conducted by the business coach and the agreements signed for each program. Measurable outcomes on successful completion and maintenance of certification, the number of programs achieving certification, and the maintaining of certification are TBD.</t>
  </si>
  <si>
    <t xml:space="preserve">CLASS Training for mentors: 16 mentors and 2 mentor managers attended the CLASS training. 12 received Infant Toddler Class Observation and 6 received Pre-K Class Observation.
Funding Source: CCQ mentor-specific funding </t>
  </si>
  <si>
    <t>This is TBD as the mentors completed the training in July and will begin to implement in BCY 26</t>
  </si>
  <si>
    <t>Provided monetary incentives of $1,000 to $3,000 to 300 Texas Rising Star programs to purchase materials for their indoor/outdoor environment to enhance quality and to maintain certification. 
Funding source: CQF</t>
  </si>
  <si>
    <t>This is 99% of the Boards goal to assist 302 certified child care programs. Measurable outcomes regarding successful completion and maintenance of certification and number of programs maintaining certification are TBD.</t>
  </si>
  <si>
    <t>Provided virtual training (3 sessions) opportunities to 130 registered child care professionals at 46 early learning programs over 3 different topics in English and Spanish (i.e., Serve &amp; Return- Responding to Infants &amp; Toddlers and Understanding Developmental Domains 1 session in English and 1 session in Spanish ). 
Funding Source: CCQ</t>
  </si>
  <si>
    <t>This is 65% of the goal to have 200 professionals register for infant and toddler specific training. Measurable outcomes TBD.</t>
  </si>
  <si>
    <t xml:space="preserve">Provided monetary incentives to child care staff that recently received initial certification. The incentive was based on the star level achieved upon assessment. 290 program staff received this incentive from 42 programs. Each staff received the following based on the star level: Two-Star- $75, Three-Star- $150 and Four-Star- $300.
Funding Source: CQF </t>
  </si>
  <si>
    <t>This brings the total served to 58 (19% of the Board's goal) of the 299 programs to receive an incentive in FY25. (10 in Q1, 6 in Q2 and 42 in Q3 = 58 programs). The Board has seen an increase in certifications, as there were 81 (only 42 programs submitted the required documents to receive the incentive; remaining programs will be processed in Q4) programs that received initial certification in Q3 in comparison to Q2. Increases in overall certification is TBD.</t>
  </si>
  <si>
    <t>Provided 745 individuals retention bonuses to 86 Texas Rising Star-certified programs to support staffing and retention.
Funding Source: CQF</t>
  </si>
  <si>
    <t>Program staff received a retention bonus to support staffing at 86 certified Texas Rising Star programs. This is 24% of the Boards goal for 3,000 individuals to receive a bonus in FY25. Measurable outcomes regarding testimonials from staff and programs, the amount of staff retained per quarter/those left employment, the percentage of those who maintain employment after one year, and an increase in Texas Rising Star participation is TBD.</t>
  </si>
  <si>
    <t>WSB provided information sessions on the child care quality initiatives to the child care programs throughout the Board area as a means to go over all the initiatives available to them and have a Q/A opportunities. We offered a fourth and final session on April 5, 2025 which had 28 attendees from 21 early learning programs.
Funding Source: CCQ</t>
  </si>
  <si>
    <t xml:space="preserve">WSB is at 102% of the goal to offer information on the child care initiatives to 90 early learning programs. The first sessions took place in the 2nd quarter (64 participants) and 3rd quarter (28 participants). </t>
  </si>
  <si>
    <t>WSB provided registration slots to the second local early childhood conference held by Paso Del Norte Chapter of Texas Association for the Education of Young Children (TXAEYC).  Lighten &amp; Lift Your Load Leadership Conference took place on April 12, 2025.  The participants were presented a variety of management and leadership topics. There were 65 individual participants at this event from 39 early learning programs.  
Funding Source: CCQ</t>
  </si>
  <si>
    <t>This training supported 156% of the overall goal to support 80 individuals with professional development opportunities at the local early childhood conference.  The first sessions took place in the 1st quarter (60 participants) and 3rd quarter (65 participants).</t>
  </si>
  <si>
    <t>WSB utilized La Nube STEAM Discovery Center to provided training with focus on integrating STEAM (Science, Technology, Engineering Arts, and Math) concept into their daily curriculum, fostering creativity, problem-solving, and critical thinking in young children.  Empowering Daycare Providers Through STEAM took place April 12, 2025.  There were 62 individual participants at this event from 41 early learning programs.
Funding Source: CCQ</t>
  </si>
  <si>
    <t>WSB is at 56% of the goal of having 200 early learning programs participate in early learning development training.</t>
  </si>
  <si>
    <t>As part of supporting early childhood development WSB provided a minimum of 6 training sessions throughout the year. WSB utilized Region 19 Resource System Leadership team to provide a unified approach to early literacy through their session called Read, Talk, Play as a second training session.  The training took place April 26, 2025.  There were 50 individual participants at the event from 31 early learning programs. 
Funding Source: CCQ</t>
  </si>
  <si>
    <t>As part of supporting up to 75 early childhood programs with mental health support.  WSB worked with Region 19 Resource System team to offer mental and behavior health support training titled Emotions Matter: Elevate Your Classroom which took place May 31, 2025.  There were 46 individual participants at the training from 29 early learning programs. This is one of the trainings being offered by WSB under mental health support.  
Funding Source: CCQ</t>
  </si>
  <si>
    <t>This session supported 200% of the goal to offer information on mental health training supports to 75 early learning programs. The first session took place in the 1st quarter (56 attendees) and 3rd quarter (46 attendees).</t>
  </si>
  <si>
    <t>As part of supporting 75 early childhood programs with mental health support. WSB provided  Sensory Issues in the Classroom training which took place May 17, 2025.  As part of the training WSB utilized the Sensory Tool Box materials from Fun &amp; Function vendor that will be purchased for those early learning program that attended the training. There were 48 individual participants at the training  from 31 early learning programs.   
Funding Source: CCQ</t>
  </si>
  <si>
    <t xml:space="preserve">This session supported 200% of the goal to offer information on mental health training supports to 75 early learning programs. The first session took place in the 1st quarter (56 attendees) two session in the 3rd quarter (46 &amp; 48 attendees). </t>
  </si>
  <si>
    <t>WSB provided a training on the implementation of the infant through PreK Frog Street curriculum to 66 early learning program staff who are new to the exposure of the curriculum or needed a refresher.  The training was provided by Frog Street on June 21, 2025. There were two sessions, one in English where there were 50 individual participants and Spanish where there were 16 individual participants.  Curriculum will be purchased and reflected in the 4th quarter.   
Funding Source: CQF</t>
  </si>
  <si>
    <t xml:space="preserve">WSB is at 89% of the goal to offer curriculum training to 100 early learning programs. The first session took place in the 1st quarter (23 participants) and 3rd quarter (66 participants). </t>
  </si>
  <si>
    <t>WSB provided a training on the implementation of early literacy supplemental curriculum to 98 individuals from 52 early learning programs who are new to the exposure of the curriculum and needed further support and guidance. The training was provided by Celebrate Successful Early Learning (SEL)  on June 7, 2025.  One session was provided in English with 33 individual participants from 21 early learning programs.  We also one on Spanish with 65 individual participants from 31 early learning programs.  Curriculum will be purchased and reflected in the 4th quarter.   
Funding Source: CQF</t>
  </si>
  <si>
    <t xml:space="preserve">WSB is at 116% of the overall goal to support 200 early learning programs with utilization and implementation of curriculum.  The first session took place in the 1st quarter (90 participants) and 3rd quarter (98 attendees). </t>
  </si>
  <si>
    <t>WSB worked with Region 19 Resource System team to offer mental and behavior health support training.  The Cognitive Development session took place on June 28, 2025. There were 44 individual participants at the training from 28 early learning programs. This is one of the trainings being offered by WSB under mental health support. 
Funding Source: CCQ</t>
  </si>
  <si>
    <t xml:space="preserve">WSB is at 116% of the overall goal to support 200 early learning programs with utilization and implementation of curriculum.  The first session took place in the 1st quarter (90 participants) and two session in the 3rd quarter (98 &amp; 44 attendees). . </t>
  </si>
  <si>
    <t>WSB continues to employ 1 Texas Early Childhood Professional Development System (TECPDS) Specialist in order to meet the requirements to have designated staff to support programs with the TECPDS Workforce Registry. The staff provided support to both the early learning programs and Texas Rising Star mentor staff. The TECPDS Specialists validated 283 records this quarter and offered training to child care programs on how to open a TECPDS registry account and upload documents.
 Funding Source: CCQ</t>
  </si>
  <si>
    <t xml:space="preserve">WSB experienced a staff change and therefore still working towards meeting the quarter target.  We fell below the 95% validation target for this quarter. WSB validated 283 records this quarter, the percentage for this quarter is 71%. </t>
  </si>
  <si>
    <t>WSB continues to employ 2 part-time Infant-Toddler Specialists in order to meet the requirements to have designated staff to support programs who serve infants and toddlers and participate in the Texas Infant-Toddler Specialist Network.  The Infant-Toddler Specialists provided 3 group training sessions this quarter with a total of 22 attendees. 
Funding Source: CCQ</t>
  </si>
  <si>
    <t xml:space="preserve">WSB is at 73% of the goal of having 30 early learning programs participate in early learning development training and at 100% of providing at least 3 training sessions.  </t>
  </si>
  <si>
    <t>WSB continues to employ 6 Texas Rising Star mentors, (2 new full-time and 1 new part-time that are going through Texas Rising Star training).  The mentors are currently supporting 298 early learning  programs with obtaining and maintaining their Texas Rising Star certification level through mentoring services that include but not limited to, guidance, coaching, and mentoring throughout the fiscal year.  This quarter 24 early learning programs were assessed.   
Funding Source: CCQ mentor-specific funding</t>
  </si>
  <si>
    <t>Of the 24 programs scheduled for an Initial Assessment, all 24 (100%) of the programs achieved Texas Rising Star certification.</t>
  </si>
  <si>
    <t>WSB continues to employ a Quality Support Oversight Manager who conducted oversight of the 6 Texas Rising Star mentors' activities that consisted of mentoring programs that are on the Texas Rising Star pathway and/or certified. The manager provided support, guidance and tracked the outcomes of initial assessments. This quarter there were 24 programs scheduled for initial Texas Rising Star assessment. 
Funding Source: CCQ</t>
  </si>
  <si>
    <t>WSB continues to employ a Texas Rising Star mentor lead to support, coach and mentor the Texas Rising Star mentors.  The Texas Rising Star mentor lead will be certified, have an early learning program caseload, and lead Texas Rising Star prep classes to provide orientation and cover categories 1 and 3 of the Texas Rising Star certification process with Entry Level-designated programs starting the next quarter.   
Funding Source: CCQ mentor-specific funding</t>
  </si>
  <si>
    <t xml:space="preserve">WSB Texas Rising Star Lead staff is currently transitioning the responsibilities of previous position and obtain Texas Rising Star mentor training during the 4th quarter.  </t>
  </si>
  <si>
    <t>WSB provided a teacher retention stipend tied to continuing and/or completion of early education college degree, as well as continuation of employment with their employer after they graduate.  WSB issued 46 retention stipends this quarter for the teachers who attended the Spring 2025 semester at El Paso Community College and remained employed following their participation in the Spring 2025 educations scholarships initiative. 
Funding Source: CQF</t>
  </si>
  <si>
    <t xml:space="preserve">WSB is at 76.6% of the goal to support 60 teachers and directors with educational retention stipends.  </t>
  </si>
  <si>
    <t>WSB provided scholarship assistance for teachers and directors to enroll and participate in early education college credit course through our local community college, El Paso Community College.  This quarter WSB assisted 41 teachers/directors with scholarship assistance for the Summer I session. In the 4th quarter report the Summer II session outcomes will be reported as the invoice is submitted.   
Funding Source: CCQ</t>
  </si>
  <si>
    <t xml:space="preserve">The annual overall goal is supporting 60 students. Starting from Spring 2025 thru Fall 2025.  WSB is at 145% of the goal to support 60 teachers and directors with educational scholarships to support their education.  </t>
  </si>
  <si>
    <t>WSB provided a teacher retention stipend tied to continuing and/or completion of early education college degree.  WSB issued 41 stipends for the Summer I &amp; II students who attended El Paso Community College (EPCC) this quarter for the teachers to purchase books, supplies, and materials.   The director a survey will be sent out during the 4th quarter to evaluate the retention rate. 
Funding Source: CQF</t>
  </si>
  <si>
    <t>WSB sponsored CPR &amp; First Aid training slots to support early leaning program staff meet Child Care Regulation requirements.  ProAction is providing the training. The training took place on June 25th and June 28th with each session having 30 slots.  Cost will be reflective in 4th Qtr.  
Funding Source: CCQ</t>
  </si>
  <si>
    <t xml:space="preserve">WSB is at 60% of the goal to support 100 teachers with acquiring their CPR &amp; First Aid certification. </t>
  </si>
  <si>
    <t>Brazos Valley Workforce Solutions Board provided a Lunch &amp; Learn on May 13, 2025. Topic was "How to utilize TECPDS"  presented by Tracy Jones which provided information on how to best complete director tasks to be in compliance with Texas Rising Star measure P-CQT-04. Tracy also provided a Q&amp;A for directors. 25 participants attended in-person and 17 attended via zoom. 34 programs were represented.  
Funding Source: CQF</t>
  </si>
  <si>
    <t>The Board's goal was to reach 100% of our child care programs. 34 programs out of 109 attended which was 30% of the Board's goal. Post survey data is TBD.</t>
  </si>
  <si>
    <t>Brazos Valley Workforce Solutions Board paid for 1 Texas Rising Star mentor and 1 Texas Rising Star Child Care Coordinator to attend the Texas Rising Star Conference held in Dallas. The Texas Rising Staff were able to attend breakout sessions on a variety of topics for professional development and leadership.  This was the first time these staff members attended the training.
Funding Source: CCQ</t>
  </si>
  <si>
    <t xml:space="preserve">The Board's goal was to reach 100% staff participation Texas Rising Star conference/training based on the TWC allocated slots for our Board area. The Board met 50% of the participation goal. Participants completed 12 hours of trainings,  which is 33% of the total required annual training hours needed. </t>
  </si>
  <si>
    <t xml:space="preserve">Brazos Valley Workforce Solutions Board provided Child Development Associate (CDA)  Certification Reimbursement for 1 child care program staff.           
Funding Source: CCQ                                                                                                                                                                           </t>
  </si>
  <si>
    <t>The Board's goal is to assist 10 early learning program staff with completion of the coursework needed to achieve their Child Development Associates Certificate (CDA).  10% of the Board's goal has been met with 1 staff completed their Child Development Associate Certificate.</t>
  </si>
  <si>
    <t>Brazos Valley Workforce Solutions Board provided Curriculum Training to 18 child care programs who use Frog Street Curriculum. There were 77 educators who attended the in-person  training.
The Board provided Infant/toddler, 3year olds, and preschool age Curriculum Training to assist programs who currently use the Frog Street Curriculum with implementation. The attendees have requested that an intermediate training be offered for the next scheduled curriculum training.
Funding Source: CQF</t>
  </si>
  <si>
    <t xml:space="preserve">Based on Texas Rising Star mentors and child care program feedback, 26 early learning  programs are actively implementing Frog Street curriculum who attended the Frog Street Curriculum training.  We collected data from the child care programs that attended the Frog Street Curriculum training to assess the implementation and effectiveness.  
Measurable outcomes of self-reports from participants regarding utilizing the skills gained from the training as well as mentor observations of the implementation strategies is TBD. </t>
  </si>
  <si>
    <t>Brazos Valley Workforce Solutions Board employs 2 Texas Rising Star mentors with 1 vacancy. During this quarter, the Board provided two Texas Rising Star mentors a one-time bonus. 
Funding Source: CCQ mentor-specific funding</t>
  </si>
  <si>
    <t>This was awarded to compensate each mentor for the added duties taken on as a result of the recent vacancy. All  child care programs continued to receive mentor services. 100% of the early learning programs assisted were able to meet the documentation requirements for assessment/recertification.</t>
  </si>
  <si>
    <t>Brazos Valley Workforce Solutions Board provided a Family Literacy event for parents/families to learn about the importance of Language and Literacy.  There was a speaker who spoke to the 3 families who attended on the topic and was available to answer questions. Each child received a book, a snack and had the opportunity to interact with other children who attended.  
Funding Source: CCQ</t>
  </si>
  <si>
    <t xml:space="preserve">The Board's goal was to reach at least 50 parents/families, thus only 6% attended. Due to some challenges, to include Flash Flood warning issued for our county, the Board had difficulties meeting our target goal of 50 parents/families. We will offer this event in the Fall of 2025 at a child care program site who will offer this as a Family Engagement event for their parents/families. The Board will assist other programs who are interested in hosting the event at their program.  </t>
  </si>
  <si>
    <t>The Board is fully staffed with 6 FTE mentors, 1 FTE quality initiative coordinator, and 1 FTE Program Support Specialist. Board is using regular CCQ funding for 2 FTE positions: Child Care Quality Initiative Coordinator and Texas Rising Star Onboarding Specialist. The Program Support Specialist is also the Board's Texas Early Childhood Professional Development System (TECPDS) Specialist. 1 mentor serves as the Board's Infant and Toddler Specialist. There are no current vacancies.
Funding Source: CCQ mentor-specific and CCQ</t>
  </si>
  <si>
    <t>Texas Rising Star mentors have worked with 153 early learning programs (as of 06/30/2025) to meet the compliance of the Texas Rising Star Program and have assisted 67 early learning programs earn a Four-Star certification on their initial or recertification assessments (09/01/24-06/30/2024). The Board's Child Care Quality Initiative Coordinator has helped the Board increase the professional development opportunities provided to early learning programs from 3 to 7, an increase of 133.33%. The Board's TECPDS Specialist works to increase TECPDS utilization among all early learning programs and currently has outreached 54% of the early learning programs.</t>
  </si>
  <si>
    <t>4 mentors attended the Texas Rising Star Early Educator Conference in Dallas, April 7-9, where they participated in the mentor track. The sessions provided new tools and strategies to help them support directors and teachers. 
Funding Source CCQ</t>
  </si>
  <si>
    <t>By attending the conference, the mentors are complying with the required 36 hours of annually professional development as outlined in Child Care rule §809.136. The mentors obtained 9.75 hours of training.</t>
  </si>
  <si>
    <t>The Board sent 4 mentors/Infant Toddler Specialist to the 2025 ITSN Specialist Summit in Round Rock, TX May 8-9, 2025. New resources and research were provided. The mentors have developed more in-depth trainings with the child care programs. 
Funding Source: CCQ</t>
  </si>
  <si>
    <t>By attending the conference, the mentors/Infant Toddler Specialists are complying with the required 36 hours of annually professional development as outlined in Child Care rule §809.136. The mentors obtained 11 hours of training.</t>
  </si>
  <si>
    <t>The Board provided a Texas Rising Star certification incentive to 58 early learning programs who had an initial assessment. The incentive amount, which is tied to the certified star level achieved, will help acquire program materials and equipment. These materials are to assist with the program's lowest scoring measure and improve in areas of concern during their unannounced monitoring.
Funding Source:  CCQ</t>
  </si>
  <si>
    <t xml:space="preserve">Incentives have been awarded to a total of 68 early learning programs (76% of the goal), with the goal to have 90 programs receive the incentive by the end of the contract year. Currently, the 68 programs that been awarded have reported updating classroom equipment and materials. Mentors report that during their follow-up mentor visit, all programs have replaced old equipment and materials. The Board will report updates of this activity in future reports. </t>
  </si>
  <si>
    <t>The measurable outcome will be increase/maintain the number of programs who score at a Three-Star rating for Category 2: Teacher Child Interaction with at least 90% of programs achieving the success rate. The Board is still reviewing the scoring to determine success.</t>
  </si>
  <si>
    <t>The Board held an all-day in-person training with the Celebrate Successful Early Learning training team on how to implement the Celebrate SEL kits (English and Spanish) into their existing curriculum. 122 Participants learned familiar songs and chants to introduce the alphabet, colors, shapes and imaginative stories throughout the day, including transitions, outdoor play, circle time etc.  The goal was to purchase the Celebrate SEL kits and training to introduce literacy and basic skills through songs and stories into the program’s existing curriculum and daily schedules for the preschool classroom, as well as adapting the kits for younger children in the early learning programs.  Using the kits will help maintain/improve the scores for Texas Rising Star Category 2: Teacher Child Interaction.  
Funding Source: CQF</t>
  </si>
  <si>
    <t xml:space="preserve">The project aligned with our goal of assisting Texas Rising Star centers in maintaining/improving Texas Rising Star Category 2: Teacher Child Interaction with a score of a Three-Star or above, with at least 90% of preschool classrooms achieving this goal (based on 3rd quarter completed assessments). </t>
  </si>
  <si>
    <t>The Texas Rising Star mentors hosted an in-person Category 2 training series for Preschool/Afterschool teachers. 56 Teachers attended and learned about Category 2 measures and key behaviors. For each subcategory, each participant created a star-shape visual containing key points and ideas to that they can put on the walls in their classroom as a reference. The goal was to promote responsive and positive teacher-child interactions and language facilitation that can be applied immediately in the classroom. 
Funding Source: CCQ</t>
  </si>
  <si>
    <t xml:space="preserve">100% of participants demonstrated mastery of the content by scoring 100% on the post-test. Additionally, 100% of teachers have implemented the "Star" technique in their classrooms. </t>
  </si>
  <si>
    <t>The Texas Rising Star mentors hosted an in-person Category 2 training series for Infant/Toddler teachers. The series was divided into two age groups: Infant/Toddler. 57 Teachers attended and learned about Category 2 measures and key behaviors. For each subcategory, each participant created a star-shape visual containing key points and ideas to that they can put on the walls in their classroom as a reference. The goal was to promote responsive and positive teacher-child interactions and language facilitation that can be applied immediately in the classroom. 
Funding Source: CCQ</t>
  </si>
  <si>
    <t>The Infant Toddler Specialist hosted an in-person series of Infant/Toddler training using the ITSN's Grow with Me: Understanding and Using Developmental Assessment training. During the sessions, they reviewed developmental milestones, discussed the resources available to teachers using the CLI Milestones Checklist, and shared strategies for effectively communicating developmental concerns to families. 
Funding Source: CCQ</t>
  </si>
  <si>
    <t xml:space="preserve">100% of the participants felt more confident in their ability to guide teachers through the assessment process and planned to begin using the tools discussed during the session. </t>
  </si>
  <si>
    <t>The Child Care Quality Coordinator and 2 mentors attended the Family Art Fest, sponsored by the Harker Heights Library, and represented Workforce Solutions Central Texas providing parent outreach and education materials to families who stopped by. We also collaborated with the Central Texas Association for the Education of Young Children Chapter to provide an art activity - "Scribble Monsters" for children. While children participated in an art project, the family members were engaging with Child Care Quality Staff and discussing child care opportunities and resources available in the community. Additionally, we distributed one bilingual children's book to each family. The weather turned out really cold and rainy, so the number of attendees was greatly impacted. We visited with about 50 families in total.                                                                                                                       
Funding Source: CCQ</t>
  </si>
  <si>
    <t>Success will be measured by the reduction in child care moves from program to program based on feedback from Child Care Specialists and the Child Care Advisory Committee recommendations. We aim for a 5% decrease in the number of deficiencies with Child Care Regulation, and an increase the number of successful placements in Texas Rising Star-certified programs by 10%. Family satisfaction survey results will also be used for data collection. Measurable outcomes are to be determined.</t>
  </si>
  <si>
    <t xml:space="preserve">The Board purchased equipment for 1 Texas Rising Star-certified program to expand their capacity to include infants. This added an additional 5 infant slots in a county where there is little to offer for infant care.
Funding Source: CCQ                                                                                                                                                             </t>
  </si>
  <si>
    <t xml:space="preserve">5 additional infant slots were added in a county that lacks sufficient infant care. The mentor has verified that the classroom is operating with all infant slots full. In addition, the program is meeting all of the goals they set on the Quality Improvement Plan. This activity - to purchase equipment, furnishings and resources for those who are Texas Rising Star-certified that wish to increase capacity and open additional slots for infant and toddler care was identified in the annual expenditure plan in order to increase the number of available infant care slots and pull infants off the waiting list. Measurable outcomes are to be determined. </t>
  </si>
  <si>
    <t>Each Infant Toddler Specialist will share at least three key takeaways or strategies with local early learning programs within 60 days of the summit, as documented through training logs or mentoring visits. Measurable outcomes are to be determined.</t>
  </si>
  <si>
    <t>In quarter 3, Texas Rising Star mentor staff trained 91% of the 800 targeted total to receive training. Measurable outcomes are to be determined.</t>
  </si>
  <si>
    <t>Multicultural, social studies, and science/discovery play materials were purchased for 1 Texas Rising Star Four-Star certified program (4 classrooms) that is preparing for their accreditation visit from the National Association for the Education of Young Children.
                                                                                                                                                                                                                                                                                                                                               Funding Source: CCQ</t>
  </si>
  <si>
    <t xml:space="preserve">The classroom environments reflected increased alignment with NAEYC standards in curriculum diversity and inquiry-based learning. </t>
  </si>
  <si>
    <t>The Board continued to provide contracted consultation services to 5 early learning programs seeking national accreditation and to 2 early learning programs who have now received their reaccreditation to review their national accreditation decision report (they were reaccredited). There were no new programs added this quarter, as these are the same 5 early learning programs that we have been reporting since Quarter 1.
Funding Source: CCQ</t>
  </si>
  <si>
    <t>Two of the 7 early learning programs who have been receiving consultation services have completed their site reaccreditation visits and received their decision reports of reaccreditation. The remaining 5 early learning programs are continuing to work toward candidacy and are preparing for their national accreditation site visits. As of the third quarter, we have achieved 85% of our goal to have 20 programs nationally accredited. Family Satisfaction survey results are to be determined.</t>
  </si>
  <si>
    <t>Other Activities</t>
  </si>
  <si>
    <t>To promote staff retention and boost morale, the Board awarded employment and tenure-based incentives to 156 staff members across 20 Texas Rising Star-certified programs.
Funding Source: CQF</t>
  </si>
  <si>
    <t>The Board anticipates that within six months, participating programs will report at least a 10% improvement in staff retention rates or staff satisfaction, as measured through follow-up surveys or documented retention data. Measurable outcomes are to be determined.</t>
  </si>
  <si>
    <t>The Board purchased 70 copies of the book "Conscious Discipline: Building Resilient Classrooms". These books were given to each person attending the Conscious Discipline on-site training. In addition, each of these attendees will be using this book while participating in the Peer Learning Community Book Study. (Training listed separately)
Funding Source: CCQ</t>
  </si>
  <si>
    <t xml:space="preserve">We hope to gain significant data that will validate our goal of providing high-quality training to at least 20 programs and impacting at least 200 staff. Outcomes are to be determined. </t>
  </si>
  <si>
    <t>2 Child Development Associate in-person classes were held with a contracted trainer who taught the courses in Spanish. 12 staff from 5 Texas Rising Star-certified programs are participating in the class currently (same participants as previous quarter). These 12 attendees are receiving scholarships for the course work of 120 hours and the Board will pay the application fees for certification if funding is not secured through other available scholarships. 
Funding Source: CCQ</t>
  </si>
  <si>
    <t>In quarter 3, a contracted trainer continued to provide 2 classes as part of a series that began in quarter 1. These Child Development Associate preparation training classes are provided to 12 Spanish speaking staff from 5 Texas Rising Star-certified programs. This activity is ongoing and outcomes are to be determined.</t>
  </si>
  <si>
    <t xml:space="preserve"> 4 In-person trainings were held covering topics including Conscious Discipline, working with children who have special needs, and family child care best practices. 362 attendees from 192 programs attended the trainings.                                                                                                      
Funding Source: CCQ</t>
  </si>
  <si>
    <t>Early learning programs that participated in these professional development opportunities will demonstrate improved application of strategies, inclusive practices for children with special needs, and family child care best practices—measured through post-training evaluations, classroom observations, and feedback surveys. Measurable outcomes are to be determined.</t>
  </si>
  <si>
    <t>During quarter 3, we surpassed the goal of 800 targeted participants from all programs who received training via a virtual platform, conducted by Texas Rising Star mentor staff. 
Measurable outcomes for assessments results that will yield anticipated increases in both Category 2 and 4 are to be determined.</t>
  </si>
  <si>
    <t>Measurable outcomes are to be determined.</t>
  </si>
  <si>
    <t>7 Texas Rising Star mentor staff, along with one support staff member and a coordinator, provided mentoring services to 74 early learning programs that are not yet Texas Rising Star certified. Additional mentoring was provided to the 123 Texas Rising Star-certified programs. Currently, 62% of the 197 programs  with CCS agreements are Texas Rising Star certified.</t>
  </si>
  <si>
    <t>Provided 2 Local Match partner school districts who have on-site employee child care programs reimbursement to supplement staff salaries.  
Funding  Source: CCQ</t>
  </si>
  <si>
    <t>In conjunction with the professional development training and the classroom makeover grant, the Board purchased materials for 2 of our Texas Rising Star (Four-Star) certified programs. Materials were purchased to enhance their 2's and preschool classrooms (3 rooms) including rugs, unit blocks and accessories, shelving, and home living furniture.   
                                                                                                                                                                                 Funding source: CCQ</t>
  </si>
  <si>
    <t>The Board anticipates that Texas Rising Star assessment scores in Category 2 and Category 4 will increase, following the implementation of professional development training and the classroom makeover enhancements, as measured by official Texas Rising Star assessment results. Measurable outcomes are to be determined.</t>
  </si>
  <si>
    <t>Purchased curriculum and supplemental materials for 10 home-based programs who responded to the request offered to all Texas Rising Star-certified home-based child care programs. Our goal was to provide curriculum and supplemental materials to Texas Rising Star-certified homes that did not receive them during FY 2023-2024. These 10 programs are focused on maintaining their certification, working toward national accreditation, or improving their star level.                                                             
Funding Source: CQF</t>
  </si>
  <si>
    <t>The Infant Toddler Specialist will provide trainings on evidence-based, resilience-building strategies in infant and toddler classrooms to programs within the next quarter. Data from evaluations and feedback from attendees should yield positive results on assessment reports as well an increase in knowledge and skills. Measurable outcomes are to be determined.</t>
  </si>
  <si>
    <t>The Board sponsored 2 Infant Toddler Specialists (one is volunteer and one mentor staff) to attend the Children's Learning Institute Infant Toddler Network Specialist Summit and received further training and professional development to expand their knowledge and skills in infant and toddler care.
                                                                                                                                                                                                                                                                Funding Source: no funding used (Admin costs)</t>
  </si>
  <si>
    <t xml:space="preserve">6 Virtual training sessions were provided by mentors for all Child Care Services participants that included Infant/Toddler Early Learning Guidelines, Infant/Toddler Specialist Network modules, and Sudden Infant Death/Shaken Baby Syndrome/Infant Brain Development. 261 attendees from 77 programs participated in the trainings.   
                                                                                                                                                                                                                                                                                                                           Funding Source: CCQ mentor-specific funding </t>
  </si>
  <si>
    <t xml:space="preserve">Mentors and Child Care Quality Coordinators provided virtual training for all Child Care Services participants that included 4 program administrator meetings, PreK Guidelines, and classroom management. 223 people from 84 programs attended the trainings. 
Funding Source: CCQ mentor-specific funding                         </t>
  </si>
  <si>
    <t xml:space="preserve">A mentor provided an ongoing Professional Learning Community for a Conscious Discipline book study. 8 sessions in total were provided to 117 attendees from 40 programs.                                                                                                                                                                           
Funding Source: CCQ mentor-specific funding    </t>
  </si>
  <si>
    <t>The Board reimbursed Ft. Cavazos Child and Youth Services (CYS) Department (who operates 7 nationally accredited child care centers) to sponsor 20 Cavazos Child and Youth Services staff to attend the Texas Association for the Education of Young Children conference. This in an effort to strengthen community partnerships and support high-quality early childhood education.
                                                                                                                                                                                                                                                                                                                                                                                      Funding Source: CCQ</t>
  </si>
  <si>
    <t>Staff salaries and benefits for 1 coordinator; 1 support staff; 5 full time mentors; 1 mentor who is also the Infant Toddler Specialist and 1 mentor who is also the TECPDS Specialist. Currently the Board has 123 Texas Rising Star-certified programs. 74 are Entry Level who are working toward assessments or waiting on assessments. We are continuing to outreach new child care programs. 
Funding Source: CCQ mentor-specific funding</t>
  </si>
  <si>
    <t>The Board's certified Infant Toddler Specialist attended 2 free Peer Learning Community sessions on Resilient Classrooms.                                                                                                                                                                                
Funding Source: CCQ mentor-specific funding</t>
  </si>
  <si>
    <t>Provided 2 full time Texas Rising Star staff with salaries, benefits and travel. 3rd full-time mentor resigned 4/15/2025, new full-time mentor hired with anticipated start date 8/4/2025.
Funding source: CCQ mentor-specific funding</t>
  </si>
  <si>
    <t>Continue to assist child care programs in maintaining quality care throughout the Concho Valley with mentoring services. The Board has assisted 51 early learning programs of the 51 goal the Board has set for FY25. 100% of the Board's goal has been met.</t>
  </si>
  <si>
    <t>2 Texas Rising Star staff members have attended 3 out of the 3 offered Peer Learning Communities (PLC) offered this quarter to assist mentoring staff with best practices, engagement activities and peer feedback. Mentors have been in attendance and videos have been submitted. The impact would be for all eligible child care programs to become Texas Rising Star certified and retain or increase their star level by their eligibility deadlines.  
Funding source: CCQ mentor-specific funding</t>
  </si>
  <si>
    <t>Online Director Credentialing Coursework purchased for 1 early learning program staff. 
Funding source: CCQ</t>
  </si>
  <si>
    <t>Hosted an "Early Brain Development, Sudden Infant Death Syndrome, and Abusive Head Trauma: Shaken Baby Syndrome" in-person training on 4/8/2025 for 7 early learning program home staff. Training was presented by mentor staff. 
Funding source: CCQ mentor-specific funding</t>
  </si>
  <si>
    <t>7 participants of the 20 (35%) participant goal for Professional Development has been reached in for this activity Quarter 3. Survey data has been collected, however, the measurable outcomes from this feedback are TBD.</t>
  </si>
  <si>
    <t>Hosted director and practitioner Peer Learning Communities (PLCs) on topics requested by early learning programs from the 2024-2025 Professional Development Survey (completed by all Concho Valley early learning programs September 4, 2024-September 11, 2024). T 23 early learning program practitioners and directors, representing 1 child care program, attended the training presented by mentor staff. 
Funding source: CCQ mentor-specific funding</t>
  </si>
  <si>
    <t xml:space="preserve">Teaching Strategies "The Creative Curriculum" Infant Toddler curriculum purchased for 1 early learning program.
Funding source: CCQ                           
                                                                                                                                   </t>
  </si>
  <si>
    <t xml:space="preserve">Teaching Strategies "The Creative Curriculum" Preschool curriculum purchased for 1 early learning program.
Funding source: CCQ                                                                                                                                                                                                                     </t>
  </si>
  <si>
    <t xml:space="preserve">Assessment Stipends awarded to early learning programs as they became certified with Texas Rising Star and to existing certified programs. Stipends were awarded based on star level at the end of Q2 (3/31/2025) and paid out to programs in Q3.
Funding source: CQF                                                                                                                                                                                                                    </t>
  </si>
  <si>
    <t>Infant and Toddler Equipment and Materials were purchased for 19 early learning programs to focus on quality improvement in indoor environment and outdoor environment.
Funding source: CCQ and CQF</t>
  </si>
  <si>
    <t xml:space="preserve">Equipment and Materials were purchased for 26 early learning programs to focus on quality improvement in indoor environment and outdoor environment. 
Funding source: CCQ and CQF  </t>
  </si>
  <si>
    <t xml:space="preserve">Purchased CPR Pocket Mask for 124 participants who attended the monthly First Aid/ CPR training.
Funding Source: CCQ </t>
  </si>
  <si>
    <t>The measurable outcome for this initiative is equivalent to CPR class participants. The Board has met the goal by providing 124 individuals First Aid/CPR pouches as a tool to assist them should they need to perform CPR upon completion of their CPR Certification.</t>
  </si>
  <si>
    <t>124 participants attended the monthly First Aid/CPR training.
Funding Source: CCQ</t>
  </si>
  <si>
    <t>Dallas has met the target of 200. As of Quarter 3, Dallas exceeded this target by serving a total of 314. Measurable outcomes related to Child Care Regulation deficiencies is TBD.</t>
  </si>
  <si>
    <t>Provided monetary award to 15 Nationally Accredited programs that completed Cognia, National Association for the Education of Young Children, National Accreditation Commission, or National Early Childhood Program Accreditation. The award supplemented the fees associated with the application and/or maintenance of accreditation. 
Funding Source: CQF</t>
  </si>
  <si>
    <t xml:space="preserve">The Board has reached 60% of goal to support 25 programs towards National Accreditation. 15  Nationally Accredited programs received monetary awards. National Accredited programs serve as examples of programs dedicated to quality. This award recognizes such programs for their efforts. </t>
  </si>
  <si>
    <t>Provided two in-person Conscious Discipline trainings to 31 early learning staff from 30 early learning programs, including the use of curriculum and problem solving in learning environments. (Peer Learning Community)
Funding Source: CCQ</t>
  </si>
  <si>
    <t xml:space="preserve">31 early learning staff participated in Conscious Discipline in Quarter 3. The measurable outcome is to be determined by pre- and post-test data. </t>
  </si>
  <si>
    <t>Provided 14 Virtual Business Trainings for 309 child care staff including topics such as operations, increasing rates, understanding overhead costs, and maintaining compliance. 
Funding Source: CCQ</t>
  </si>
  <si>
    <t>The Board had a total of 309 individuals participate in Business Trainings in an effort to decrease in number of licensing deficiencies cited by Child Care Regulation and increase business acumen of child care programs. The measurable outcome will be based on the data from pre- and post-surveys, continuous quality improvement plans and the increase in Texas Rising Star certification levels. This data has not been compiled and is TBD.</t>
  </si>
  <si>
    <t>Provided a variety of in-person trainings for 690 child care teachers including classroom management, language expansion, movement, creating positive environments, and brain development. 
Funding Source: CCQ</t>
  </si>
  <si>
    <t>A total of 690 individuals participated in-person trainings in Quarter 3. Pre- and post-surveys, continuous quality improvement plans and the determination of increases in Texas Rising Star certification levels is to be determined.</t>
  </si>
  <si>
    <t>Provided a variety of virtual trainings for 755 child care teachers including classroom management, language expansion, movement, creating positive environments, and brain development.   
 Funding Source: CQF</t>
  </si>
  <si>
    <t xml:space="preserve">755 individuals participated in virtual trainings in Quarter 3. Pre- and post-surveys, continuous quality improvement plans and the determination of increases in Texas Rising Star certification levels is to be determined. </t>
  </si>
  <si>
    <t>Early Learning Basics: Provided a total of 72 hours of Pre-Service training to 30 child care program staff in partnership with Educational First Steps (in-person Peer Learning Community). Three 24-hour sessions were provided.
Funding Source: CQF</t>
  </si>
  <si>
    <t xml:space="preserve">30 teaching staff received Pre-Service training this quarter. Pre- and post-surveys, continuous quality improvement plans and the determination of increases in Texas Rising Star certification levels is to be determined. </t>
  </si>
  <si>
    <t>Provided Staff Retention Monetary Awards (one-time bonuses) to 383 child care program staff with the intent to be utilized as an incentive for classroom teachers and/or to supplement wages related to providing care.
Funding Source: CQF</t>
  </si>
  <si>
    <t>383 child care programs received monetary stipends to invest in their programs to retain and sustain staffing in the quality of their program. The measurable outcome is to increase in Texas Rising Star participation and certified star levels and retention and is TBD.</t>
  </si>
  <si>
    <t>Materials, Equipment, and Resources: Provided monetary awards to 87 child care programs with goal of enhancing indoor environments to engage children and potentially increase scores in Categories 2 and 4 with Texas Rising Star.                                                                                        
Funding Source: CQF</t>
  </si>
  <si>
    <t xml:space="preserve">87 programs received Indoor Environment monetary awards. The measurable outcome to decrease the number of licensing deficiencies cited by Child Care Regulation and improve Category 2 and 4 scoring for Texas Rising Star recertifications is to be determined. Additionally, the measurable outcome that determines increases in Texas Rising Star participation and/or certified star levels, and increase in retention of Texas Rising Star-certified programs is to be determined. </t>
  </si>
  <si>
    <t>Materials, Equipment, and Resources: Provided monetary awards to 25 child care programs with goal of enhancing outdoor environments to engage children and potentially increase scores in Categories 2 and 4 with Texas Rising Star.     
Funding Source: CQF</t>
  </si>
  <si>
    <t>25 programs received Outdoor environment monetary awards. The measurable outcomes to decrease the number of licensing deficiencies cited by Child Care Regulation and improve Category 2 and 4 scoring for Texas Rising Star recertifications is to be determined. Additionally, the measurable outcome that determines increases in Texas Rising Star participation and/or certified star levels, and increase in retention of Texas Rising Star-certified programs is to be determined.</t>
  </si>
  <si>
    <t>Provided 49 Texas Rising Star Assessment Awards to child care programs attaining Texas Rising Star certification or recertification. 
Funding Source: CQF</t>
  </si>
  <si>
    <t xml:space="preserve">49 programs participating in Texas Rising Star certification or recertification monetary award. There are 306 programs that have been assessed from October 2024 through July 29, 2025. The measurable outcome was to increase in Texas Rising Star participation and certified star levels and retention. This goal has been attained and is ongoing. </t>
  </si>
  <si>
    <t>Texas Rising Star Personnel Costs. Travel, benefits, salaries, etc. for 20 mentors and 2 managers. One mentor vacated their position on June 20, 2025.</t>
  </si>
  <si>
    <t>Business Management Systems - WFS Dallas Wonderschool Pilot Project
The application was developed and available for early learning programs to apply for the business management system pilot project. The results from the applications have been shared with the vendor, Wonderschool. Interested applicants have been contacted and screened for the pilot. There are 17 early learning programs who are currently enrolled in the pilot.
Funding Source: CCQ</t>
  </si>
  <si>
    <t>64% of the goal has been met with 17 early learning programs enrolled in the pilot.
Additional measurable outcomes TBD.</t>
  </si>
  <si>
    <t xml:space="preserve">The Boards hosts monthly scheduled trainings that are at no cost. The measurable outcome includes the determination of increasing the number of children screened and Help Me Grow North Texas referrals, which is to be determined. The results from the screener will be used for evaluation &amp; referrals. </t>
  </si>
  <si>
    <t>As of Quarter 3, the Board had 3 programs that reached 100% of the goal of 50 children, 24% of the 25 teachers participating and 25% of the 20 classrooms participating. The coach has completed a LENA overview Zoom meeting to share the LENA program.  Our coach has completed the director's and teacher's meeting &amp; orientation.  The LENA cycle will begin in Q4.</t>
  </si>
  <si>
    <t>Texas Rising Star staff personnel salaries and benefits.
22 Mentor staff participated in Peer Learning Communities (PLCs), which supports mentors with increasing the quality of coaching they provide to early learning programs. PLCs support mentors in the following areas: characteristics of effective specialists, communication, observation skills, providing feedback, fostering reflective thinking, demonstration and cues, and support for continuous improvement. Participation is part of the mentors' role and responsibilities.
Funding Source: CCQ mentor-specific</t>
  </si>
  <si>
    <t>The Quality Coach has received and reviewed data to identify eligible early learning programs to participate in the upcoming cycle of LENA in Q4. 
Funding Source: no funds spent this quarter</t>
  </si>
  <si>
    <t>Infant/Toddler Expansion
The project outfitted 3 early learning programs new classrooms with the essentials such as furniture, materials, equipment, and curriculum. Additionally, the Infant and Toddler Specialist provided mentoring for the classroom teachers. This increased capacity by a total of 31 infant and toddler slots (14 infant slots and 17 toddler slots) of which 13 slots are in a desert area.
Funding Source: CQF</t>
  </si>
  <si>
    <t>Our estimated reach was 30 Infant and Toddler slots, including desert areas. This quarter we provided 3 early learning programs with the furniture, equipment, and materials to increase capacity by a total of 31 infant and toddler slots (14 infant slots and 17 toddler slots) of which 13 slots are in a desert area. The increase of scores in Category 2 (Teacher/Child) and Category 4 - (Indoor/Outdoor) is TBD pending the Texas Rising Star recertification or monitoring of the early learning programs.</t>
  </si>
  <si>
    <t xml:space="preserve">"Week of the Young Child" Early Childhood Conference (Board hosted)
This activity provided in-person, one-day, six-hour conference for 214 child care program staff with training and professional development on a variety of topics including supporting children with disabilities and trauma for children in child care settings. 
Funding Source: CCQ
</t>
  </si>
  <si>
    <t>Our estimated reach was 150 participants from early learning programs in the region. 6 hours of training was provided at this one-day conference to 214 participants from 30 early learning programs across the region. 87 % of participants completed a post-training survey. 100% of the participants reported that they learned new information, the training helped them become a more effective early childhood educator, the information received helped them improve the quality of care they provide, and the sessions were relevant to the work they do.</t>
  </si>
  <si>
    <t>Ongoing Professional Development
This activity provided a variety of in-person professional development opportunities for 220 child care program staff on the following  topics: Curriculum Implementation, Creating Outdoor Classrooms, Incorporating Science, Technology, Engineering, Art, and Math (S.T.E.A.M) into the Early Education Classroom, Creating a Child's Portfolio, Diving into the Ages and Stages Questionnaire, Teacher Child interactions, Promoting Early Literacy Development, and the Texas Rising Star Facility and Classroom Record Forms.
                                                                                                                                                                                     Funding Source: CQF</t>
  </si>
  <si>
    <t>36 hours of professional development was provided to 220 participants from 40 early learning programs. Our original estimated reach for the year was 300. We have now doubled that estimate and have provided 600 participants with professional development this year. 81% of participants completed a post-training survey. 100% of the participants reported that the training was relevant to the work they do and they would continue to benefit from these various trainings offerings. Post-surveys of the participants and the Texas Rising Star mentors reported an increase in knowledge, sustained motivation, and job satisfaction.</t>
  </si>
  <si>
    <t xml:space="preserve">Scholarships were provided to 10 Early Childhood Education Apprentices to obtain their Child Development Associate Credential (CDA). This activity addresses the growing need of qualified early educators.     
                                                                                                                                                                                                                                                                                                                                                                                                                                                           Funding Source: CCQ                                                                                                        </t>
  </si>
  <si>
    <t>100% of the scholarship recipients obtained their Child Development Associate Credential (CDA).</t>
  </si>
  <si>
    <t>Nature Explore Outdoor Playground Project
This activity assisted 6 Texas Rising Star programs with stipends, an equipment package, educational materials, professional development, and coaching and technical assistance on outdoor learning. The Quality Initiatives Coach assisted in providing technical assistance on items to purchase with their stipend so that the playgrounds are nature-rich.
Funding Source: CQF</t>
  </si>
  <si>
    <t>Outcomes will be measured by the increase in Texas Rising Star certification Levels, thus TBD.</t>
  </si>
  <si>
    <t>Texas Rising Star Personnel Costs
Salary and fringe benefits for 4 full-time mentors, 1 quality initiative coach, 1 Texas Rising Star support staff, and 1 full-time Provider Services Manager, plus materials, supplies, and travel. This includes the Infant Toddler Specialist and Texas Early Childhood Professional Development System Specialists. This activity aligns with the Board's plan to increase the supply of quality child care. Staff provided 600 mentoring hours to an estimated 108 early learning programs to support obtaining, maintaining, or increasing their star level within Texas Rising Star.  
Funding Source: CCQ mentor-specific funding</t>
  </si>
  <si>
    <t xml:space="preserve">Staff provided 600 mentoring hours to 108 early learning programs to support obtaining, maintaining, or increasing their star level within Texas Rising Star. 
This quarter included 12 new/initial Texas Rising Star-certified programs and 8 recertified Texas Rising Star programs who either maintained or increased their star level. Heart of Texas has reached about 40% of the goal for this activity. </t>
  </si>
  <si>
    <t xml:space="preserve">Texas Rising Star Initial or Recertification Stipends
This activity provided a stipend to 13 programs who achieved initial certification or recertification. It provided materials, equipment, and resources to assist in meeting Texas Rising Star requirements, including but not limited to, classroom furniture, developmentally appropriate learning materials, outdoor equipment, and gross motor equipment.
Funding Source: CQF                                                                                                                                                                 </t>
  </si>
  <si>
    <t>The estimated reach was 35 certified early learning programs that are up for recertification in FY 2025. This quarter 13 early learning programs have obtained recertification, thus received a stipend. Of those 13 programs, 2 were certified as Two-Star, 5 were certified as Three-Star, and 6 were certified as Four-Star. Data from CQIPs is TBD.</t>
  </si>
  <si>
    <t xml:space="preserve">CPR and First Aid
This activity provided monthly First Aid/CPR classes for 54 staff of early learning programs. The class will enhance continuous health &amp; safety in early learning  programs.  
Funding Source: CCQ
</t>
  </si>
  <si>
    <t xml:space="preserve">54 early learning  program staff were either initially certified or recertified. After this quarter, we have met 62% of our goal of 300 certified participants. Data from Child Care Regulation indicates a decrease in regulation deficiencies as it relates to CPR requirements. </t>
  </si>
  <si>
    <t>April 5, 2025 – In-Person Conference:
The South Texas College Child Development Training for Early Childhood Educators Conference was held, featuring concurrent workshops for all age groups, including sessions specifically for directors and administrators. The event was attended by 97 early learning professionals, supporting their professional growth and promoting best practices in early childhood care.
Funding Source: CCQ</t>
  </si>
  <si>
    <t xml:space="preserve">The Board continues to be on track towards reaching the goal of 2,130 teachers receiving ongoing professional development opportunities to help child care professionals recognize childhood behaviors and understand developmental stages and milestones. This activity has helped meet that goal, bringing the total served this quarter to 1,527 (72%).                                                                                                        </t>
  </si>
  <si>
    <t xml:space="preserve">April 17, 2025 – 39 early learning programs received a learning package through the 2025 Infant and Toddler Initiative Grant. Each package included age-appropriate materials and furniture tailored for infant or toddler classrooms, with the goal of enhancing, improving, or expanding their indoor and outdoor learning environments.
Funding Source: CCQ </t>
  </si>
  <si>
    <t>The Board successfully met 100% of its goal by supporting 39 early learning programs—each now equipped with new, age-appropriate materials designed to enhance the quality of care for infants and toddlers. This initiative directly benefits the children, their families, and the teachers who work with this age group, promoting high-quality early learning environments.</t>
  </si>
  <si>
    <t>April 25, 2025 – A one-time wage incentive ranging from $1,000 to $1,500 was distributed to 765 staff members across 173 Texas Rising Star early learning programs to support employee retention. This initiative aimed to strengthen workforce stability by encouraging loyalty and job satisfaction among child care professionals. The incentive also served to boost morale, promote consistency, and help retain highly skilled educators—key factors in maintaining high-quality care.
Funding Source: CQF</t>
  </si>
  <si>
    <t>The Board exceeded its goal of supporting 670 child care program staff, achieving 114% of the target. Teacher retention data is TBD.</t>
  </si>
  <si>
    <t xml:space="preserve">April 26, 2025 – In-Person Infant and Toddler Conference
An in-person Board-hosted conference was held for early learning professionals, featuring concurrent workshops tailored for infant and toddler teachers. The event welcomed 272 attendees and provided valuable professional development and networking opportunities.
Funding Source: CCQ </t>
  </si>
  <si>
    <t>The Board has achieved 60% of its goal to provide professional development opportunities to 450 teachers, aimed at helping child care professionals recognize childhood behaviors and understand developmental stages and milestones, as reported by survey data.</t>
  </si>
  <si>
    <t xml:space="preserve">May 17, 2025 – Virtual Event:
Early learning professionals participated in two 1.5-hour sessions led by Dr. Ana M. Mendoza from Science 2.0. Session 1: Cómo afrontar y prevenir el acoso (presented in Spanish).  Session 2: Folleto informativo y contratos de comportamiento sobre los trastornos de salud mental infantil (presented in Spanish).   A total of 132 participants attended virtually.
Funding Source: CCQ </t>
  </si>
  <si>
    <t>May 2025 – 64 Texas Rising Star programs were awarded a research-based School-Age Curriculum along with implementation training to help close achievement gaps and address instructional needs for the age groups they serve. Teachers are scheduled to participate in training sessions on how to implement the curriculum in their classrooms in August 2025.
Funding Source: CQF</t>
  </si>
  <si>
    <t>The Board has completed 96% of this activity, with 109 out of the 113 Texas Rising Star child care programs receiving this curriculum.</t>
  </si>
  <si>
    <t>June 2025 – Texas Rising Star child care programs were offered the opportunity to attend the 2025 Frog Street Conference. 12 teachers participated in this nationally recognized event, where they learned about the latest research and best practices in early childhood education. Attendees also benefited from a variety of networking opportunities throughout the conference. The selection process was managed through an application tracking system, and teachers were notified directly upon being chosen to attend.
Funding Source:  CCQ</t>
  </si>
  <si>
    <t>The Board fully achieved its goal to serve 12 early learning staff through this activity.</t>
  </si>
  <si>
    <t>June 7, 2025 – In-Person Training
Early learning professionals participated in one (1) three-hour training session led by Kenia Cipriano from the Child and Adult Care Food Program &amp; Nutrition Program. Session 1: Planning Nutritious Meals and Snacks. This session focused on helping participants create cyclical menus that meet nutritional requirements, follow balanced dietary guidelines, and align with meal pattern component standards.
Funding Source:  CCQ</t>
  </si>
  <si>
    <t>June 21, 2025 – In-Person Training
South Texas College hosted a Child Development Leadership Seminar, an in-person conference for early learning professionals. The event featured concurrent workshops specifically designed for child care directors and administrators.  A total of 74 participants attended, supporting their professional growth and reinforcing best practices in early childhood education and care.
Funding Source: CCQ</t>
  </si>
  <si>
    <t>June 28, 2025 – Virtual Session
Families participated in a Spanish-language Family Engagement virtual session led by an Infant-Toddler Specialist. The interactive session, “Simple Hands-On Activities at Home that Support Your Child’s Development,” engaged 38 families from 23 early learning programs, encouraging participation with both the presenter and fellow attendees.  As a thank-you for their involvement, all participating families received an incentive.
Funding Source: CCQ</t>
  </si>
  <si>
    <t>The Board continues to make progress toward its goal of engaging families to strengthen the connection between parents and their children’s development.  To date, the Board has successfully supported 100 families (38 in Q3 and 62 in Q2) out of its goal of 1,500 families, reaching 7% of the overall target.</t>
  </si>
  <si>
    <t>June 2025 – A Memorandum of Understanding (MOU) was established, formalizing a Pre-K3 partnership between Estrellita Seton Child Care and Brillante Academy.
Funding Source: no funds were used for this activity</t>
  </si>
  <si>
    <t xml:space="preserve">This MOU establishes a formal partnership between Brillante Academy and Estrellita Seton Child Care to provide high-quality early childhood education and child care services for Brillante Academy families, specifically for PK3 and after-school hours.  This collaboration supports the shared mission of both organizations to serve families in the Rio Grande Valley with excellence, equity, and compassion.
</t>
  </si>
  <si>
    <t>Texas Rising Star staff personnel costs to support 14 mentor positions. The Board remains committed to achieving and maintaining the goal of having 14 Texas Rising Star mentor staff.
Funding Source: CCQ mentor-specific</t>
  </si>
  <si>
    <t>The Board has successfully assisted 69 early learning programs toward its goal of supporting 163. To date, a total of 99 programs have been supported through various efforts, reaching 61% of the overall target.</t>
  </si>
  <si>
    <t>The Texas Early Childhood Professional Development System (TECPDS) Specialist provided targeted support to a total of 183 child care programs. 28 early learning programs received on-site assistance, including help scanning and uploading certificates into the TECPDS system. 155 programs received support with validating training, education, and employment certificates/documents. This hands-on support helped ensure child care programs maintain accurate and up-to-date professional development records.
Funding Source: CCQ</t>
  </si>
  <si>
    <t>Validating certificates for 183 child care programs—including approximately 167 directors and 80 teachers—and providing specific TECPDS on-site support to 28 programs (supporting 25 directors and 40 staff) directly contributed to programs meeting Texas Rising Star Category 1: Director and Staff Qualification and Training measures.
To date, the Board has successfully assisted 97 early learning programs toward its goal of 163, achieving 60% progress.</t>
  </si>
  <si>
    <t>WSNCT offered an Infant Toddler CDA course with application fee scholarships for those achieving an infant or toddler CDA credential. 23 participants have received a scholarship to pursue their Infant Toddler CDA and have begun the required courses for this opportunity.
Funding Source: CQF</t>
  </si>
  <si>
    <t>23 additional participants began their Infant Toddler CDA coursework through the Infant Toddler CDA Scholarship. 41 total participants are now pursuing their Infant Toddler CDA through this scholarship which is 136% of the projected 30 participants for this activity. Success will be measured by course completion and end of year surveys. The outcome of this activity is TBD.</t>
  </si>
  <si>
    <t>One Infant Toddler Specialist provided 2 hours of in-person training and 1 hour of virtual training of ELITE support to a total of 3 early learning programs with 3 classroom teachers serving infant and toddlers participating in the Infant Toddler Specialist Network. The reach of this activity was 3 total attendees (counted all as in-person due to majority of training being in-person).
Funding Source: CCQ mentor-specific funding</t>
  </si>
  <si>
    <t>3 of the 15 unduplicated early learning programs were served in Q3, totaling 6 programs participating in the ELITE program. However, the ITSN ELITE program is being phased out this quarter. 20% of the Board's goal for early learning programs have been met and this will conclude this program. The outcome results regarding the ITSN ELITE support is TBD pending the results completion by the CLI ITSN staff.</t>
  </si>
  <si>
    <t>The Infant Toddler Specialists conducted 1 in-person professional development training on the Connect With Me Series with 11 attendees and 1 in-person professional development training on Infant Toddler Early Learning Guidelines Social Emotional with 24 attendees offering 2 professional development hours to each attendee. The reach of these activities was 35 total attendees (counted all as in-person due to majority of training being in-person).                                                                                                     
Funding Source: CCQ mentor-specific funding</t>
  </si>
  <si>
    <t>The Board has met and exceeded the infant/toddler teacher attendance goal of 50 total participants (Q1-28, Q2-75, Q3-33) by 172%. Based on the post-assessment survey results following the trainings, 88% of the participants strongly agreed and 12% agreed that the things they learned would help improve their interactions with children.</t>
  </si>
  <si>
    <t>WSNCT offered Preschool and Family care CDA course scholarship with application fee scholarships for those achieving a CDA credential. 33 participants have received a scholarship to pursue their Preschool and Family CDA and have begun the required courses for this opportunity.
Funding Source: CQF</t>
  </si>
  <si>
    <t xml:space="preserve">33 additional participants began their Preschool or Family Care CDA coursework through the CDA Scholarship. We have 68 participants pursuing their CDA with this scholarship which is 97% of the projected 70 participants for this activity. Success will be measured by course completion and end of year surveys. The outcome of this activity is TBD.  </t>
  </si>
  <si>
    <t>WSNCT offered programs who qualified to receive quality enrichment materials the opportunity to attend virtual professional development sessions to support the utilization of the received materials. Overall there were 7 virtual sessions with 96 total attendees. 
Funding Source: CQF</t>
  </si>
  <si>
    <t xml:space="preserve">96 attendees received live virtual professional development hours. With this activity we served 96 or 38% of our overall goal for 250participants served. Success will be measured by attendance tracking and surveys. The outcome of this activity is TBD. </t>
  </si>
  <si>
    <t>WSNCT offered early learning program leadership professional development to support their leadership roles in early learning facilities. This is a virtual series with 8 sessions had a total of 44 total participants. 
Funding Source: CQF</t>
  </si>
  <si>
    <t xml:space="preserve">44 participants qualified and participated in the Director's Series training consisting of 8 live virtual training sessions specific for directors and leadership in early learning programs. These participants are in addition to other participants from professional development activities offered by WSNCT. With these additional participants we have served 140 participants or 70% of our projected 140 professional development participants. Success will be measured by attendance tracking and surveys. The outcome of this activity is TBD. </t>
  </si>
  <si>
    <t>WSNCT offered a conference focused on supporting children with diverse needs for teachers which included opportunities for in-person professional development. The first of two mini conferences were held in June with 65 total in person attendees. 
Funding Source: CQF</t>
  </si>
  <si>
    <t xml:space="preserve">65 total participants attended the first mini conference in June which is 33% of the projected 200 participants for this activity. Success will be measured by attendance tracking and surveys. The outcome of this activity is TBD. </t>
  </si>
  <si>
    <t xml:space="preserve">Texas Rising Star Early Childhood Program Coordinator and mentors conducted a total of 9 (8 virtual and 1 in person) Texas Rising Star orientations including the TWC Background Check Portal presentation for administrators, owners and staff. The reach of this activity was 84 virtual and 32 in-person participants, awarding 1.5 clock hours to use towards achieving their annual hours. These hours assist with maintaining licensing requirements, which can result in lower licensing deficiencies regarding professional development. They also meet the Texas Rising Star requirements for the obtainment of annual clock hours.
Funding Source: no additional funds were used for this activity (mentor salary)
</t>
  </si>
  <si>
    <t>A total of 116 participants received 1.5 professional development hours to use toward achieving their annual hours. The success of this activity is directly tied to active participation in early learning programs and the measurable outcome was based on the number of participants in attendance.  The Board has exceeded the goal of a total of 250 participants with a combined total of 398 participants for quarters 1, 2, &amp; 3. This is an increase of 59% to date. Post assessment survey results are pending and will be reported in the final quarter.</t>
  </si>
  <si>
    <t xml:space="preserve">Based on needs assessment survey feedback regarding professional development, Texas Rising Star mentors conducted 3 virtual sessions with 44 attendees and 1 in-person session with 7 attendees, These were Lunch and Learns over Category 2 Teacher/Child Interactions professional development for early learning programs administrators and teaching staff. The reach of this activity was 51 participants, offering between .5 to 1.5 clock hours for participants to use towards achieving their annual hours. These hours assist with maintaining licensing requirements, which can result in lower licensing deficiencies regarding professional development. They also meet the Texas Rising Star requirements for obtaining annual clock hours, empowering the participants in their professional growth.  
Funding Source: no additional funds were used for this activity (mentor salary)                                                                                                                                                                                                        </t>
  </si>
  <si>
    <t>20% of the Board's goal for 250 participants has been met this quarter. To date, a total of 156 participants or 62% have attended the monthly Lunch and Learns over Category 2 Teacher/Child Interactions. Post assessment survey results are pending and the outcome of this activity is TBD and will be reported in the final quarter.</t>
  </si>
  <si>
    <t>Texas Rising Star mentors conducted 8 virtual webinars and 13 in-person professional development sessions on various topics such as The Value of Play, Intentional Transitions, Classroom Management to reduce Challenging Behaviors and Who Needs Me? Creating an Independent Classroom. 
The reach of these activities were 50 virtual participants and 232 in-person attendees, totaling 282 participants. Each session offered participants between 1-4 clock hours towards their annual hours. These hours assist with maintaining licensing requirements, which can result in lower licensing deficiencies regarding professional development. They also meet the Texas Rising Star requirements for obtaining annual clock hours.
Funding Source: no additional funds were used for this activity (mentor salary)</t>
  </si>
  <si>
    <t xml:space="preserve">A total of 282 participants attended either one or multiple professional development sessions. The outcome of this activity was based on the number of participants in attendance. The Board met the attendance goal of 500 participants in quarter 2. This quarter, the Board has exceeded its participant goal by 43.6%. </t>
  </si>
  <si>
    <t xml:space="preserve">2 Texas Early Childhood Professional Development System (TECPDS) Specialists provided support sessions to both early learning programs and Texas Rising Star mentor staff by conducting 6 virtual webinars this quarter on TECPDS related topics. The reach of these activities was 104 attendees receiving a total of 6 clock hours. 
Funding Source: CCQ </t>
  </si>
  <si>
    <t xml:space="preserve">The goal of 40 participants per training was exceeded by 160% of their target outcome. 100% of training participants had TECPDS accounts and received a validated certificate for the training hours received, which will assist programs in complying with the Category 1 measure.	</t>
  </si>
  <si>
    <t>The ASQ Team of Early Childhood Specialists (mentors) provided 1 in-person ASQ-3 training with 5 attendees, and 1 virtual webinar with 4 attendees. This training equipped early childhood professionals with the knowledge and skills to effectively administer, score, and interpret the Ages &amp; Stages Questionnaire (ASQ-3) for developmental screening in children from 1 month to 5 ½ years. Participants learned how to engage with families, understand developmental milestones, and take appropriate follow-up actions based on results. The reach and impact of this activity was to total of 9 early learning directors and administrative staff representing 9 early learning programs, thereby enhancing the quality of early childhood education. 
Funding Source: no additional funds were used for this activity (mentor salary)</t>
  </si>
  <si>
    <t>9 early learning programs (75%) out of the Boards goal of 12 has been reached for this activity in Quarter 3. Based on quarter 2 and quarter 3 totals, the Board has met their program participation goal at 100% of at least 12 early learning programs participating in ASQ implementation. Outcomes for the year are TBD.</t>
  </si>
  <si>
    <t xml:space="preserve">34 early learning programs received quality enrichment materials. Overall 200 of the projected 200 participants were served with this initiative. We reached 100% of our projected number of participants for this activity. Success will be measured by surveys and Texas Rising Star assessment scores. The outcome of this activity is TBD. </t>
  </si>
  <si>
    <t>WSNCT provided Texas Rising Star certified programs working on maintaining/increasing star levels a $3,750 equipment stipend. To qualify early learning programs must be certified  as a Two-Star, Three-Star, or Four-Star. This stipend is not just a financial support, but a recognition of early learning programs commitment to providing quality early learning environments. 96 Texas Rising Star-certified early learning programs qualified to receive quality enrichment materials.
Funding Source: CCQ</t>
  </si>
  <si>
    <t xml:space="preserve">Overall 96 out of the 98 projected number of participants were served with this initiative. We reached 98% of our projected number of participants for this activity. Success will be measured by surveys and Texas Rising Star assessment scores. The outcome of this activity is TBD. </t>
  </si>
  <si>
    <t>Paid salaries and benefits for 1 North Texas Director of Child Care Quality, 1 Managing Director of Quality Child Care, 2 TECPDS Specialists, 1 Administrative Assistant, and 2 Special Projects Coordinators, 1 Quality Lead, 1 Quality Supervisor, and 6 mentors. The Special Projects Coordinators, Administrative Assistant, and mentors will work to produce all agreed upon deliverables in a productive and effective way, increasing the overall productivity of child care. TECPDS Specialists validated 2,572 documents this quarter and assisted 31 Entry Level-designated early learning program directors with account creation. 
Funding Source: CCQ and mentor-specific funding</t>
  </si>
  <si>
    <t xml:space="preserve">In Quarter 3, the Board hired 6 mentors and 1 Special Projects Coordinator. Currently hiring for 2 open mentor positions.
Based on the TECPDS Specialists' deliverable, this was 94% of the goal to serve 66 programs which is the total number of Entry Level-designated programs since October 2024. </t>
  </si>
  <si>
    <t>2 Early Childhood Specialists (mentors) are participating in the Continuous Quality Improvement: Mechanisms for Strengthening ECE Program Quality and Workforce Competency research-policy partnership grant between CLI and TWC. Phase 1 of this research grant is designed to explore implementation variability in Texas Rising Star Continuous Quality Improvement plan delivery, which has concluded and Phase 2 has begun. The mentors provide specified mentoring to 8 early learning programs (8 administrators and 3 educators). Mentor participation includes trainings and Micro credential PLCs. 
Funding Source: no additional funds were used for this activity (mentor salary)</t>
  </si>
  <si>
    <t>Paid salaries and benefits for 17 Texas Rising Star Board Staff. The 13 Board Staff mentors ensure the continuation of the Texas Rising Star program activities for our Workforce Development Board Area through mentoring, assessment, outreach, and program support services. We have 10 Texas Rising Star mentors, 3 Lead mentors, 1 Early Childhood Program Coordinator, 2 Texas Rising Star Program Supervisors, and 1 Child Care Manager. 
Funding Source: CCQ mentor-specific funding</t>
  </si>
  <si>
    <t>703 early learning programs receive mentoring services. There are 277 early programs with Entry Level designation thus not currently certified. 39% of our total number of programs with Child Care Services Agreements are being prepared for Texas Rising Star certification.</t>
  </si>
  <si>
    <t>WSNCT mentors provided technical assistance and mentoring to 232 Entry Level-designated programs to help them meet the requirements for becoming certified with Texas Rising Star. In this quarter, 61 Entry Level-designated programs became Texas Rising Star certified and 26 new early learning programs became Entry Level-designated.
Funding Source: no additional funds were used for this activity (mentor salary)</t>
  </si>
  <si>
    <t xml:space="preserve">The Board's goal to increase the number of certified early learning programs by the end of the fiscal year is 308. The Board has met and exceeded the 10% increase goal for certified early learning programs from 269 to 426, which is a 58.4% increase. </t>
  </si>
  <si>
    <t>Texas Rising Star mentors participated in professional development: 
- 5 mentors attended the Texas Rising Star Early Educator Conference, April 8-9, 2025 in Dallas, TX. Attendees received 9.25 annual clock hours for participation. 
- 3 mentors attended the McCormick Center Leadership In Bloom for Early Childhood Leaders conference in Schaumburg, IL, from May 7-10, 2025. Attendees received 17 annual clock hours for participation. 
- 1 mentor attended the International Inclusion Institute, May 13-15, 2025 in Chapel Hill, NC. Attendee received 18 annual clock hours for participation.                                
- 4 mentors attended the ITSN Summit held virtually from May 7-9, 2025. Attendees received 11 annual clock hours for participation.                                                                
- 1 mentor attended the  Texas School Ready virtual conference on June 6-11 &amp; June 13, 2025. Attendee received 9 annual clock hours for participation. There was a total of 8 unduplicated mentors who received training.                        
Funding Source: no additional funds were used for this activity (mentor salary)</t>
  </si>
  <si>
    <t>62% of the Board mentor staff attended professional development training accumulating between 9 to 18 professional development hours to use towards their required annual clock hours. Board staff has completed 90% of their required 36 annual hours of professional development.</t>
  </si>
  <si>
    <t xml:space="preserve">WSNCT provided monetary incentives to those who have remained employed at their current early learning program since October 1, 2024, to support and retain experienced child care staff. The second round of wage supplements was distributed in the third quarter. A total of 127 participants from 14 early learning programs qualified to receive a Wage Supplement.
Funding Source: CQF 4%  </t>
  </si>
  <si>
    <t>127 out of 1,500 qualified to receive a Wage Supplement in Q3. With these additional qualifying participants we reached 1,482 out of 1,500 or 99% of our projected number of participants for this activity. We will measure the success of this program through signature pages, data collection, retention tracking, and a final survey.</t>
  </si>
  <si>
    <t>Measurable outcomes TBD.</t>
  </si>
  <si>
    <t>In April, 8 early learning programs were provided training and technical assistance for the following areas from the Board's Infant Toddler Specialist: Needs assessment for classroom and classroom environment. One training was held for all programs over Core Competency Area 3: learning environment, planning, curriculum, and standards with 30 participants. 
In May, 3 early learning programs were provided trainings and technical assistance for the following areas:  Transitions &amp; Schedules, classroom observation, and outside activities. One training was held for all programs over Core Competency Area 4: supporting skill development with 27 participants. 
In June, 5 early learning programs were provided trainings and technical assistance for the following areas: classroom observation, schedules/routines &amp; transitions, center set up, classroom/teacher observation, and needs assessment of classrooms. One training was held for all early learning programs over Core Competency Area 5: Observation &amp; Assessment with 23 participants. 
There were a total of 80 in-person participants from 16 early learning programs.
Funding Source: CCQ</t>
  </si>
  <si>
    <t>This quarter, the Director's Luncheon training was over "Texas Rising Star Facility Assessment Record Form Category 4: Indoor/Outdoor Environment". We had 12 participants (10 in person, 2 virtual).
Funding Source: CCQ</t>
  </si>
  <si>
    <t>Training and knowledge gained.
Directors/Assistant Directors from our contracted early learning programs (20%) received 2 hours of training. Measurable outcomes will be enhanced scores on the Texas Rising Star assessments and fewer deficiencies reported against child care programs via Child Care Regulation. Measurable outcomes TBD.</t>
  </si>
  <si>
    <t>Beyond the Page is a quality initiative that focuses on early childhood literacy professional development of early learning program classroom teachers. This quarter, Texas Rising Star staff chose a theme, an age-appropriate book, and supplemental manipulatives aimed to  assist classroom teachers on strategic read-aloud and techniques. 341 books were purchased this quarter for 300 classrooms within 61 early learning programs. Each mentor provided lesson plans to go with each book and trained each classroom on the lesson plan provided. 
Funding Source: CCQ</t>
  </si>
  <si>
    <t xml:space="preserve">100% of the Board's goal to reach 41 Texas Rising Star early learning programs and 20 Entry Level programs with this activity has been reached.
Measurable outcomes will be measured by enhanced scores of the Texas Rising Star assessment regarding the teacher/child interaction. The Boaard will track progression through evaluation, required training and quarterly observations. Measurable outcomes TBD. </t>
  </si>
  <si>
    <t>Workforce Solutions North Texas provided Frog Street Curriculum Training to 48 in-person and 51 virtual participants for 43 child care programs. This was a total of 99 participants. 
Funding Source: CQF</t>
  </si>
  <si>
    <t>Training and knowledge gained on Frog Street curriculum. Measurable outcomes TBD.</t>
  </si>
  <si>
    <t>Staff salaries and benefits for 5 mentors/staff. Staff members ensure required state guidelines for CCS early learning programs are being integrated into the Texas Rising Star program. Staff will support the current 41 Texas Rising Star-certified early learning programs in our local board area and 20 Entry Level programs.
Funding Source: CCQ mentor-specific funding</t>
  </si>
  <si>
    <t>Staff salary and benefits for Texas Early Childhood Professional Development System (TECPDS) Specialist. Staff will support the Texas Rising Star mentors in onboarding and support the current Texas Rising Star-certified early learning programs in our local board area, as well as all Entry Level programs. 
In Q3, the TECPDS Specialist has coached and assisted 133 participants from 42 early learning programs.
Funding Source: CCQ</t>
  </si>
  <si>
    <t>TECPDS Specialist has coached and assisted 133 participants from 42 early learning programs with TECPDS specific required account set up and completion to enhance scores on Texas Rising Star measures - Category 1 specifically. This is 69% of the Board's goal to assist 61 early learning programs in FY25.
The Board will measure success by utilizing Texas Rising Star assessment scores pertaining to set up and use of TECPDS accounts for directors and staff (P-CQT-04) on the Facility Assessment Record Form. Measurable outcomes TBD.</t>
  </si>
  <si>
    <t>5 Texas Rising Star staff completed Children's Learning Institute's Peer Learning Community for each month as part of their required duties to earn badges for the mentor micro-credential.
Funding Source:  CCQ mentor-specific funding</t>
  </si>
  <si>
    <t>Virtual badges earned. Texas Rising Star staff are steadily increasing utilization of required Continuous Quality Improvement Plans (CQIP) with programs and program staff to inform of opportunities to provide coaching and training. Staff have created and begun utilization of CQIPs.</t>
  </si>
  <si>
    <t>2 Texas Rising Star mentors attended the Texas Rising Star Early Educator Conference in Dallas, TX in April.
Funding Source:  CCQ mentor-specific funding</t>
  </si>
  <si>
    <t xml:space="preserve">Training and knowledge gained. Success will be measured by tracking reports that will offer insights to mentor effectiveness. Measurable outcomes TBD.
</t>
  </si>
  <si>
    <t>Workforce Solutions North Texas provided 25 CCS child care programs indoor and outdoor items to increase student learning and engagement as well as to meet Texas Rising Star standards and measures in Category 2 (Teacher/Child Interactions) and Category 4 (Indoor/Outdoor Learning Environments). 
Funding Source: CQF</t>
  </si>
  <si>
    <t>41% of the Board's goal was reached with 25 CCS child care programs with this activity.
Outcomes will be measured by increased scores in Category 2 and Category 4 Texas Rising Star scores and reflected in increased child care program satisfaction surveys with the Texas Rising Star program and the services provided. Measurable outcomes TBD.</t>
  </si>
  <si>
    <t>Workforce Solutions North Texas provided Frog Street Curriculum for 43 child care programs across a range of various age groups.
Funding Source: CQF</t>
  </si>
  <si>
    <t>70% of the Board's goal to reach 41 Texas Rising Star early learning programs and 20 Entry Level programs with this activity has been reached.
Outcomes will be measured by programs attaining, maintaining, or increasing Texas Rising Star score levels on Category 3 (P-PM-03) as well as Category 2 Teacher-Child Interactions. Measurable outcomes TBD.</t>
  </si>
  <si>
    <t>Provided Frog Street Curriculum and Classroom Material Kits to 37 infant and toddler classrooms in 12 Texas Rising Star-certified programs and 1 Entry Level-designated program. 
Funding Source: CQF</t>
  </si>
  <si>
    <t>The Board's goal of up to 35 child care programs working toward Texas Rising Star certification, as well as to up to 10 child care programs that are currently Texas Rising Star certified participating in this activity has been met by 29%. The number of curriculum and supporting classroom materials were based on the number of programs that submitted an application for curriculum purchase and budget.
The success of this activity will be measured by child care programs meeting their Continuous Quality Improvement Plan goals for classroom instruction. An increase in children's language development or Social Emotional Learning competencies (as measured by a validated tool) is TBD.</t>
  </si>
  <si>
    <t>Provided Frog Street infant and toddler in-person curriculum training for 60 participants from 11 Texas Rising Star-certified programs and 1 Entry Level-designated program. 
Funding Source: CCQ</t>
  </si>
  <si>
    <t>The Board's goal of up to 35 child care programs working toward Texas Rising Star certification, as well as to up to 10 child care programs that are currently Texas Rising Star certified  participating in this activity has been met by 27%. Curriculum Training was based on the child care programs that applied for curriculum purchases and were approved based on budget. 
The success of this activity will be measured by child care programs meeting their Continuous Quality Improvement Plan goals for classroom instruction. An increase in children's language development or Social Emotional Learning competencies (as measured by a validated tool) is TBD.</t>
  </si>
  <si>
    <t>The Board hosted an Early Childhood Education All Ages In-Person Training, with presenters from Lakeshore. Trainings were in English and Spanish and included materials to support trainings in the child care programs. Training topics covered social emotional development and STEAM. Trainings were separated by age group. The Infant Toddler training had 34 participants from 19 Texas Rising Star-certified programs and 2 Entry Level-designated programs.  
Funding Source: CCQ</t>
  </si>
  <si>
    <t xml:space="preserve">34% of the goal for 100 infant and toddler teachers was met.
The success of this activity will be measured by child care programs meeting their Continuous Quality Improvement Plan goals for child care teacher training. An increase in delivery of higher quality interactions and a decrease in the number of deficiencies cited by Child Care Regulation are TBD. </t>
  </si>
  <si>
    <t>Provided 4 Entry Level-designated programs and 24 programs working on Recertification with a budget of $2,000 per infant classroom and $1,500 per toddler classroom for learning materials for indoor and outdoor classrooms to be purchased from Lakeshore. 
Funding Source: CQF</t>
  </si>
  <si>
    <t>62% of the goal to serve 45 Texas Rising Star-certified child care programs was reached.
The success of this activity will be measured by child care programs meeting their Continuous Quality Improvement Plan goals for environments. An increase in the number of child care programs maintaining or raising their Texas Rising Star certification star level and higher assessment scores in Category 4 are TBD.</t>
  </si>
  <si>
    <t>Provided access to Teaching Strategies Creative Curriculum for Infant and Toddlers via 17 cloud access accounts that include GOLD, as well as professional development for the 10 early learning programs that previously had access during the Texas Workforce Commission initiative with Teaching Strategies. 
160 Gold accesses were provided for the previous infant and toddler cloud accesses purchased that did not include Gold access.
Funding Source: CQF</t>
  </si>
  <si>
    <t>When the switch from the Texas Workforce Commission initiative with Teaching Strategies to the Board occurred in April, feedback from the 10 child care programs showed that an additional 17 infant and toddler cloud accesses were needed. The 10 early learning programs have achieved or maintained Four-Star certification during Recertification, with 1 program able to attain NAEYC accreditation in part due to the access to Teaching Strategies Creative Curriculum.</t>
  </si>
  <si>
    <t>Provided 1 copy of Infant Creative Curriculum materials and 1 copy of Toddler Creative Curriculum materials for 3 programs utilizing Creative Curriculum. Professional development is supported in the Teaching Strategies Cloud Access the programs have from a Board purchase. 
Funding Source: CQF</t>
  </si>
  <si>
    <t xml:space="preserve">As of Quarter 3, three programs have retained their Four-Star Certification, and 2 have retained their National Association of Young Children Accreditation, and 1 program became nationally accredited. </t>
  </si>
  <si>
    <t>Provided 14 unduplicated participants, from 5 Texas Rising Star-certified early learning programs, and 19 duplicated participants, from 9 certified programs, who have received scholarships in FY2025 for Texas Success Initiative testing, tuition, and books to obtain their Associate degree in Early Childhood Education or Education. 
Funding Source: CQF</t>
  </si>
  <si>
    <t>As of Quarter 3, the Board has exceeded the goal to serve 25 participants with educational scholarships, with 77 total scholarships being awarded. All programs have a current Continuous Quality Improvement Plan with 1 to 5 goals assigned. Scores of Category 1 in Texas Rising Star assessments ranged from 2.50 to 3.00. Staff that participated in the scholarship gain education and training hours that can be measured in the program's Category 1 scores. 
Additional outcomes are TBD.</t>
  </si>
  <si>
    <t>Provided Frog Street preschool and PreK in-person curriculum training for 44 participants from 15 Texas Rising Star Certified Programs.                                                                
Funding Source: CCQ</t>
  </si>
  <si>
    <t xml:space="preserve">The Board has met 55% of the goal for 80 child care program staff to receive curriculum training. This training was based on the child care programs that applied for curriculum purchases and were approved based on budget. 
The success of this activity will be measured by child care programs meeting their Continuous Quality Improvement Plan goals for classroom instruction. An increase in children's language development or Social Emotional Learning competencies (as measured by a validated tool) is TBD. </t>
  </si>
  <si>
    <t>In-person training topics offered this quarter were Health and Safety, Water Safety, and Participating in play. The trainings were conducted in Pampa and included a Lakeshore presenter and a presenter from Child Care Regulation. The presenter from Lakeshore presented in English and Spanish, and materials were provided in English and Spanish. Training was provided to 28 participants from 8 child care programs. *Note we did have additional people signed up, however, due to a tornado and storms the night before some were not able to attend. 
Funding Source: CCQ</t>
  </si>
  <si>
    <t>Feedback from early learning staff in the rural areas of the Panhandle reported that they would like training available outside of Amarillo, closer to their locations. Feedback from Spanish-speaking participants was that they appreciated the training being in Spanish also. The Board's goal of up to 200 child care teachers served has been met by 15%. 
The success of this activity will be measured by child care programs meeting their Continuous Quality Improvement Plan goals for child care teacher training. An increase in delivery of higher quality interactions and a decrease in the number of deficiencies cited by Child Care Regulation are TBD.</t>
  </si>
  <si>
    <t>The Board hosted an Early Childhood Education All Ages In-Person Training, with presenters from Lakeshore. Trainings were in English and Spanish and included materials to support trainings in the child care programs. Training topics covered social emotional development and STEAM. Trainings were separated by age group. The preschool and school age training had 52 participants from 19 Texas Rising Star-certified programs and 2 Entry Level-designated programs. 
Funding Source: CCQ</t>
  </si>
  <si>
    <t>40% of the goal for 200 child care participants was met.
The success of this activity will be measured by child care program meeting their Continuous Quality Improvement Plan goals for child care teacher training. An increase in delivery of higher quality interactions and a decrease in the number of deficiencies cited by Child Care Regulation are TBD.</t>
  </si>
  <si>
    <t>Provided Frog Street Curriculum and Classroom Material Kits to 27 preschool and PreK classrooms in 15 Texas Rising Star-certified programs. 
Funding Source: CQF</t>
  </si>
  <si>
    <t>The Board's goal of up to 35 child care programs working toward Texas Rising Star certification, as well as to up to 10 child care programs that are currently Texas Rising Star certified has been met by 33%. The number of curriculum and supporting classroom materials provided were based on the number of programs that submitted an application for curriculum purchase and budget.
The success of this activity will be measured by child care programs meeting their Continuous Quality Improvement Plan goals for classroom instruction. An increase in children's language development or Social Emotional Learning competencies (as measured by a validated tool) is TBD.</t>
  </si>
  <si>
    <t>Provided program bonuses to 5 early learning programs completing recertification and 3 early learning programs working toward certification (8 total). This activity supports programs to promote Texas Rising Star Quality.                                                                                             
Funding Source: CCQ</t>
  </si>
  <si>
    <t>The Board will measure the success of this activity by early learning programs meeting their Continuous Quality Improvement Plan goals. Measurable outcomes include an increase the number of early learning programs participating in the Texas Rising Star program and higher assessment scores. Of the 5 early learning programs completing recertification, 2 of the programs maintained their Four-Star certification and 2 of the programs raised their certification to a higher certification.  Feedback from programs receiving the bonuses notes that they were used to support staff wages and/or bonuses assisting in staff retention. Staff retention supports quality in teacher-child interactions. The bonuses aided the Four-Star programs to continue to maintain quality.
Outcomes are TBD.</t>
  </si>
  <si>
    <t>In-person training topics offered this quarter were Health and Safety, Water Safety, and Participating in play. The trainings were conducted in Pampa and included a Lakeshore presenter and a presenter from Child Care Regulation. The presenter from Lakeshore presented in English and Spanish, and materials were provided in English and Spanish. Training was provided to 4 Texas Rising Star Staff. 
Funding Source: CCQ</t>
  </si>
  <si>
    <t>Feedback from early learning staff in the rural areas of the Panhandle reported that they would like training available outside of Amarillo closer to their locations. Feedback from Spanish-speaking participants was that they appreciated the training being in Spanish also.                                                                                             
An increase in delivery of higher quality interactions and a decrease in the number of deficiencies cited by Child Care Regulation are TBD.</t>
  </si>
  <si>
    <t>National Association Education of the Young Child Week of the Young Child Kick off. 12 organizations participated of which 7 of them were child care programs and 2 families participated. Due to weather, 3 organizations were not able to participate, and the Board believes this also affected the community turn out. Materials were ordered from Lakeshore for programs to have an activity for the families attending the event. Activities followed child development domains. 
Funding Source: CCQ</t>
  </si>
  <si>
    <t>The participating organizations had an opportunity to network with one another and the child care programs hosting the activities were able to take the materials ordered for the activities back to their program for families and children to utilize. The goal was to invite 1,000 families to attend, along with 10 child care programs participating. Invitations went out to 900 CCS families and to the families at the participating child care programs. We had 7 child care programs participate, reaching 70% of the goal.
Due to weather, the turn out was not as expected which is why the goal was not achieved.</t>
  </si>
  <si>
    <t>Provided 8 Entry Level-designated programs and 24 programs working on Recertification with a budget of $1,500 per classroom or home for learning materials for indoor and outdoor classrooms to be purchased from Lakeshore.
Funding Source: CQF</t>
  </si>
  <si>
    <t>71% of the goal to serve 45 Texas Rising Star-certified child care programs was reached.
The success of this activity will be measured by child care programs meeting their Continuous Quality Improvement Plan goals for environments. An increase in the number of child care programs maintaining or raising their Texas Rising Star certification star level and higher assessment scores in Category 4 are TBD.</t>
  </si>
  <si>
    <t>First Aid and CPR Training was provided to 59 participants from 12 early learning programs.
Funding Source:  CCQ</t>
  </si>
  <si>
    <t>The Board's goal is to support 90 early learning programs with CPR/First aid training. The Board has met 13% of this goal in Q3, serving 12 early learning programs.</t>
  </si>
  <si>
    <t>FBI Fingerprints reimbursements to 10 early learning programs for 42 participants.
Funding Source:  CCQ</t>
  </si>
  <si>
    <t>The Board's goal is to support 90 early learning programs with FBI fingerprints. The Board has met 11% of this goal in Q3 assisting 10 early learning programs.</t>
  </si>
  <si>
    <t>Food Handler Training Reimbursement to 1 early learning program for 19 participants</t>
  </si>
  <si>
    <t>The Board's goal is to support 50 early learning programs with Food Handler Training.  The Board has met .02% of this goal in Q3 assisting 1 early learning program.</t>
  </si>
  <si>
    <t>Infant Toddler Specialist provided training expertise specific to the Infant and Toddler staff allowing for improvement in quality care. The Infant Toddler Specialist provided in-person training to 26 early learning programs with 129 participants. 
Funding Source:  CCQ mentor-specific funding</t>
  </si>
  <si>
    <t>The Board's goal is to support 90 early learning programs. The Board met 29% of this goal in Q3.</t>
  </si>
  <si>
    <t>Infant/Toddler expansion for 1 early learning program. Provided materials and equipment to furnish one new infant classroom. 10 new Infant slots were generated.
Funding Source: CCQ</t>
  </si>
  <si>
    <t>Expanding Texas Rising Star programs by providing materials and equipment to increase capacity for Infant and toddler classrooms in our Board area. The Board's goal is to increase Texas Rising Star Infant slots by 10. The Board met 100% of their goal in Q3.</t>
  </si>
  <si>
    <t>Provided back-office solutions to 14 early learning programs to allow for Director/Administrators to be out of the office more and into the classroom working with teachers.
Funding Source:  CCQ</t>
  </si>
  <si>
    <t>To increase the number of early learning programs using Back Office Software in order to decrease the number of licensing deficiencies cited by Child Care Regulation by allowing directors more time in the classrooms observing teachers. 
The measurable outcome is TBD.</t>
  </si>
  <si>
    <t>Provided 229 child care programs' staff with a tiered monetary bonus for a designated number of years of service at their current employer.  128 staff received $1,000 for 5-10 years of service, 69 staff received $2,000 for 11-20 years of service, 32 staff  received $3,000 for 21 years and above of service.   
                                                                                                                                                                                                                                                                                                                                                                                                                                                                                                                                   Funding Source:  CCQ</t>
  </si>
  <si>
    <t>The Board's goal is to provide 90 child care program staff with tiered monetary bonuses for years of service. The Board exceeded this goal at 253% in Q3.</t>
  </si>
  <si>
    <t>Provided 1 early learning program with 1 Director's Credential renewal.
Funding Source: CCQ</t>
  </si>
  <si>
    <t>The Board's goal is to provide stipends to 20 individuals for obtaining or maintaining their Director's Credentials.  The Board met .05% of this goal in Q3 serving one individual.</t>
  </si>
  <si>
    <t>10 early learning programs (Licensed Child Care Centers) received a $4,000 stipend for achieving Texas Rising Star certification and 1 early learning program (Licensed Child Care Home) received a $2,000 stipend for achieving Texas Rising Star certification.
Funding Source: CCQ</t>
  </si>
  <si>
    <t>The Board's goal is to award 40 early learning programs with this stipend.  The Board met 28% of their goal in Q3.</t>
  </si>
  <si>
    <t>13 early learning programs received a $3,000 outdoor equipment grant for obtaining Texas Rising Star certification.
Funding Source:  CCQ</t>
  </si>
  <si>
    <t>Provide outdoor equipment stipend to each early learning program that obtains their Texas Rising Star certification to increase their scores in Category 4 of the Classroom Assessment Record Form.  The Board's goal is to support 24 centers. The Board met 54% of this goal in Q3.
The measurable outcome is TBD.</t>
  </si>
  <si>
    <t>Provided Lakeshore kits to every early learning program classroom after they submitted their Texas Rising Star assessment request. 2 early learning programs received $500 Lakeshore Kits grant for requesting to become Texas Rising Star certified.
Funding Source:  CCQ</t>
  </si>
  <si>
    <t>The Board's goal is to distribute 40 kits.  The Board has distributed 6 kits to 2 early learning programs which met 15% of this goal in Q3.</t>
  </si>
  <si>
    <t xml:space="preserve">Provided 50 early learning programs with a tiered monetary bonus for providing 30% or more of their licensed capacity with Child Care Services children.  
5 licensed child care homes received $1,000 each, 1 licensed child care home received $5,000, 
5 licensed child care centers received $2,000 each, 26 licensed child care centers received $4,000, 
8 licensed child care centers received $6,000 each, 5 licensed child care centers received $8,000 each
Funding Source:    CCQ                                     </t>
  </si>
  <si>
    <t xml:space="preserve">The Board's goal is to provide 60 early learning programs that serve 30% or more of their licensed capacity with Child Care Services children with a tiered monetary bonus.  The Board met 83% of this goal in Q3. </t>
  </si>
  <si>
    <t>100% of the Board's goal to support 90 early learning programs was met in Q3.</t>
  </si>
  <si>
    <t xml:space="preserve">3 Texas Rising Star programs received mentor approved infant/toddler materials and equipment for either their Initial Texas Rising Star assessment, recertification or their missed annual monitoring. 
Funding Source: CQF </t>
  </si>
  <si>
    <t>Texas Rising Star programs now have new developmentally appropriate infant/toddler materials and equipment to help maintain their Texas Rising Star certification. The Board has completed 12% of this goal for the combined 1st, 2nd and 3rd quarters. Measurable outcomes related to assessment results are TBD.</t>
  </si>
  <si>
    <t>7 early learning programs received Frog Street Infant and/or Toddler Curriculums for their facilities. 
                                                                                                                                                                    Funding Source: CQF</t>
  </si>
  <si>
    <t>The goal is to increase the number of Texas Rising Star-certified programs and those who are using curricula that meet Texas Rising Star specifications as well as increase the number of children attending Texas Rising Star-certified facilities. The Board has completed 16% of this goal for the combined quarters. This outcome is based on Texas Rising Star facilities and star levels.</t>
  </si>
  <si>
    <t>57 early learning program staff attended the "Infant and Toddler Behavior Development" training presented virtual by Lubbock ISD ECI.
Funding Source: CQF</t>
  </si>
  <si>
    <t>Per the post-training survey, early learning program increased their knowledge on infant/toddler development, which includes the signs and red flags of need for early intervention services.  57 out of 100 participants attended this training. Further measurable outcomes are TBD.</t>
  </si>
  <si>
    <t>35 early learning program staff attended school age "Summer Supervision Strategies Keeping Kids Engaged and Safe" training presented virtual.
Funding Source: CCQ mentor-specific funding (due to mentor providing the training)</t>
  </si>
  <si>
    <t>Per the post-training survey, early learning program increased their knowledge on strategies to keep school aged children engaged in developmentally appropriate activities and provide safe environments. 35 out of 300 participants attended this training. Further measurable outcomes are TBD.</t>
  </si>
  <si>
    <t>61 early learning program staff attended the virtual "Fun N Function Understanding Sensory Processing in Young Learners."
Funding Source: CQF</t>
  </si>
  <si>
    <t>Per the post-training survey, early learning program staff increased their knowledge on sensory processing in young learners. 61 out of 300 participants attended this training. Further measurable outcomes are TBD.</t>
  </si>
  <si>
    <t>18 early learning program staff received college scholarships for child development courses for the Summer 2025 semester.
Funding Source: CQF</t>
  </si>
  <si>
    <t xml:space="preserve">The goal is to increase the number of child care program staff who obtain their CDA or college degree in Early Childhood and to possibly acquire higher scores for the Texas Rising Star program site. The Board has completed over 100% goal for the combined 1st, 2nd and 3rd quarters. </t>
  </si>
  <si>
    <t>1  early learning program with 15 staff had in in-person training on Texas Rising Star Overview and reminders provided at their facility 
Funding Source: CCQ mentor-specific funding (due to mentor providing the training)</t>
  </si>
  <si>
    <t>The goal is to increase knowledge of Texas Rising Star measures to provide child care program quality care for children and to increase scores at assessment. This is TBD based off of assessment scores.</t>
  </si>
  <si>
    <t xml:space="preserve">1 early learning program with 3 program staff were reimbursed for "Highscope Curriculum Training"                                                                                                                                                                    
Funding Source: CQF </t>
  </si>
  <si>
    <t>The goal is to increase the program's knowledge of their chosen Highscope Curriculum. The Board has achieved 9% of the goal for child care programs and 38% of the goal for child care program staff for the combined 1st through 3rd quarters.</t>
  </si>
  <si>
    <t>1 early learning program with a total of 13 participants had Category 2 Teacher-Child Interaction in-person trainings provided at their facility. 
                                                                                                                                                                                                                                                  Funding Source: CCQ  mentor-specific funding (due to mentor providing the training)</t>
  </si>
  <si>
    <t>The goal is to increase knowledge of teacher-child interactions that will help improve their classroom observation scores at assessment and provide quality care every day. This is TBD based off of assessment scores.</t>
  </si>
  <si>
    <t>1 early learning program with a total of 13 participants had an in-person Category 4 Indoor and Outdoor Learning Environment training provided at their facility.  
Funding Source: CCQ  mentor-specific funding (due to mentor providing the training)</t>
  </si>
  <si>
    <t>The goal is to increase knowledge of high-quality indoor and outdoor learning environments for child care program and to increase scores at assessment. This is TBD based off of assessment scores.</t>
  </si>
  <si>
    <t xml:space="preserve"> 3 early learning programs with a total of 17 staff were reimbursed for background checks.                                                                                                                                                                                                                                                                                                                                                                                                 
Funding Source: CCQ</t>
  </si>
  <si>
    <t>Reimbursement for background checks helps alleviate the cost to certified child care programs and repurpose the capitol used to maintain current staffing levels to be able to increase or maintain star level.  The Board has completed over 100% of the goal of 300 staff supported.</t>
  </si>
  <si>
    <t xml:space="preserve"> 35 early learning programs with a total of 148 staff were reimbursed for First Aid/CPR trainings.   
Funding Source: CCQ</t>
  </si>
  <si>
    <t>Reimbursement for First Aid/CPR helps alleviate the cost to certified child care programs and repurpose the capitol used to maintain current staffing levels to be able to increase and or maintain star level.  The Board has completed over 100% of the goal of 300 staff supported.</t>
  </si>
  <si>
    <t>117 early learning programs received First Aid Kits and Anti-Choking devices for all their classrooms and common areas.
Funding Source: CCQ</t>
  </si>
  <si>
    <t xml:space="preserve">The equipment and materials will assist programs to support their teachers in the classroom to promote quality learning for the children and support Texas Rising Star requirements as well as decrease the number of Child Care Regulation deficiencies related to health and safety. This will be measured by the monthly CCR screenings. </t>
  </si>
  <si>
    <t>7 early learning programs received Frog Street PreK Curriculum for their facilities.
Funding Source: CQF</t>
  </si>
  <si>
    <t>The goal is to increase the number of Texas Rising Star-certified programs and those who are using curricula that meet Texas Rising Star specifications and increase the number of children attending Texas Rising Star-certified facilities. The Board has completed 16% of this goal for the combined quarters. This outcome is based on Texas Rising Star facilities and star levels achieved.</t>
  </si>
  <si>
    <t>9 Texas Rising Star newly certified programs received mentor approved preschool/school age materials and equipment for their initial assessment.                                                                             
Funding: CCQ</t>
  </si>
  <si>
    <t>Texas Rising Star newly certified programs now have new developmentally appropriate preschool/school age materials and equipment to help maintain Texas Rising Star certification. The Board has completed 56% of this goal for the combined 1st through the 3rd quarters.</t>
  </si>
  <si>
    <t>7 Texas Rising Star recertified programs received mentor approved Preschool/school age materials and equipment for their recertification assessment. 
Funding: CCQ</t>
  </si>
  <si>
    <t>Texas Rising Star-recertified programs now have new developmentally appropriate preschool/school age materials and equipment to help maintain Texas Rising Star certification. The Board has completed 32% of this goal for the combined 1st through the 3rd quarters.</t>
  </si>
  <si>
    <t>21 Texas Rising Star certified programs received mentor approved Preschool/School age materials and equipment for their waived annual monitoring.
Funding: CCQ</t>
  </si>
  <si>
    <t>Texas Rising Star-certified programs now have new developmentally appropriate preschool/school age materials and equipment to help maintain Texas Rising Star certification. The Board has completed 53% of this goal for the combined 1st through the 3rd quarters.</t>
  </si>
  <si>
    <t>27 Texas Rising Star programs received a "staff incentive reimbursement" for 133 early learning program staff for attaining Texas Rising Star certification, with the amount based on the licensed capacity and the star level obtained.                                                                                                                
Funding: CQF</t>
  </si>
  <si>
    <t>133 child care program staff at 27 Texas Rising Star programs now have monetary incentives to acknowledge their part in obtaining Texas Rising Star certification. The Board has completed 34% of this goal for the combined 1st through 3rd quarters.</t>
  </si>
  <si>
    <t xml:space="preserve">The FROG Bus delivered materials, equipment and information to 21 CCS rural Texas Rising Star programs (certified and non-certified). The FROG Bus aims to increase the number of CCS rural programs who are exposed to the information about Texas Rising Star so programs know the benefits for them and the families and children they serve. The mentors take turns on the route for scheduled mentor meetings.                                                                                                     
Funding Source: CCQ  </t>
  </si>
  <si>
    <t>The Board has completed over 100% of this goal for the combined 1st through 3rd quarters.</t>
  </si>
  <si>
    <t>The Resource Room is an additional benefit for Texas Rising Star programs to help aid them in attaining/maintaining Texas Rising Star certification status by providing them with resources needed to enhance their learning environments. We have provided materials to 51 child care programs this quarter.
Funding Source: CCQ</t>
  </si>
  <si>
    <t>5 Texas Rising Star Staff salaries, fringe, and travel.                                                                                                  
(this includes the TECPDS and Infant and Toddler Specialist)
Funding Source: CCQ  mentor-specific funding</t>
  </si>
  <si>
    <t>The Board initiated the Wage Supplement program to child care programs for their early learning staff as outlined  in the annual expenditure plan:
   551 individuals received a wage supplement due to Texas Rising Star status/achievements 
   24 individuals received the wage supplement due to the completion of ASQ.
   733 individuals received a wage supplement due to retention of employment at a Texas Rising Star facility as evidenced through the use of their completed TECPDS account.
   1,009 individuals received the retention wage supplement based off the number of years the staff member has been at the center. 
   446 individual staff members received the stabilization wage supplement due to underserved populations. 
Overall, 314 early learning programs with 2,763 participants were supported through the wage supplement program for Q3. 
Funding Source: CQF</t>
  </si>
  <si>
    <t>The target number is 560 early learning programs to  receive wage supplement. 314 early learning programs received a  wage supplement for their child care staff. In Q3, the Board supported an additional 56% (which leads to a cumulative 77%) of the goal. Measurable outcomes that reflect the percentage of participants who maintain employment after one year are TBD.</t>
  </si>
  <si>
    <t>Infant Toddler Specialist support:  2 Infant-Toddler Specialists are working with 21 early learning programs. The Infant Toddler Specialists spent a combined total of 28.24 contact hours on infant-toddler activities. (Not PD)                                                    
Funding: CCQ</t>
  </si>
  <si>
    <t xml:space="preserve">The goal was to support 75 early learning programs in FY2025. There were 21 programs that were supported by the Board's Infant Toddler Specialists. In Q3, the Board completed an additional 28%  (which leads to a cumulative 58%) of the goal in FY25. </t>
  </si>
  <si>
    <t>Reimbursed 1 child care program with a monetary incentive used to open 1 infant room (4 slots) and 1 toddler room (12 slots). Incentives will be used for approved activities such as hiring for additional staff hired due to expansion, marketing materials, and/or other pre-determined needs. 
Funding: CQF</t>
  </si>
  <si>
    <t xml:space="preserve">The goal was to support 20 early learning classroom. 1 early learning program applied for monetary incentives to open new classrooms to serve infants and toddlers. In Q3, the Board completed 5% of the goal. The program opened 1 infant room (4 slots) and 1 toddler room (12 slots). </t>
  </si>
  <si>
    <t>1 program received  National Accreditation reimbursement by completing an application and providing proof of payment.                                                                               
Funding: CQF</t>
  </si>
  <si>
    <t xml:space="preserve">The target number has been adjusted to reach 5 early learning programs to receive reimbursement for National Accreditation fees. 1 early learning programs applied for National Accreditation reimbursement. In Q3, the Board completed 20% of the goal. 3 participating early learning programs maintained or achieved national accreditation with the support of the reimbursement fees. </t>
  </si>
  <si>
    <t xml:space="preserve">4 early learning programs  located in an underserved area, providing care for children with disabilities and/or providing non-traditional hour care received up to $2,500 through a stabilization stipend. Stabilization stipends will be used for approved activities such as professional development for child care teachers, marketing materials, additional classroom materials to serve the underserved populations, and/or other pre-determined needs. We reimbursed 3 programs for marketing materials and 1 program for Professional Development.  
Funding: CQF       </t>
  </si>
  <si>
    <t xml:space="preserve">Our target number was 20 early learning programs. We reimbursed 4 early learning programs for marketing materials. In Q3, the Board completed 20% of the goal. 75% of the early learning programs that participated in this activity were retained. 25% of the early learning programs that participated in this activity are temporarily closed. </t>
  </si>
  <si>
    <t xml:space="preserve">Provided certified translations of 48 child care program staff's educational records, such as transcripts. Based on the strategic plan for Workforce Solutions for Tarrant County, our goal is to continue and expand the usage of the Texas Workforce Registry in Tarrant County and to provide professional development and training for current child care workforce. 
Funding: CQF                                                                                                                                                                                                      </t>
  </si>
  <si>
    <t xml:space="preserve">The target was to reach out to 25 early learning program staff members (directors and teachers). We provided certified translations to 48 early learning program staff members. In Q3, the Board completed 100% of the goal to support early staff members for FY25. 48 child care program teachers and/or directors showed growth in their career lattice in TECPDS due to validated proof of education.    </t>
  </si>
  <si>
    <t>12 individuals from 11 child care programs received the education wage supplement based off of the obtainment of CDA, Associates Degree, Bachelor's Degree, Master's Degree, and Registered Apprenticeship program. 
Funding Source: CQF</t>
  </si>
  <si>
    <t>Compensations range from $250-$1,000 per single activity, and recipients can qualify for more than one category, leading to additional compensation, up to $5,000. The overall goal is to aid in the professional growth of local child care and early learning staff and to improve retention rate of participating staff. For Q3, the Board supported 12 participants. Staff retention data TBD.</t>
  </si>
  <si>
    <t>27 educational scholarships were provided for Early Childhood professionals to move up in their career lattice in the Texas Early Childhood Professional Development System (TECPDS), which is in alignment with the strategic plan for Workforce Solutions for Tarrant County.                                                                                                                                                                                                                                    16 early learning staff  received a scholarship to pay for their application fee for their CDA certificate. 11 early learning staff received Tarrant County College scholarship to work towards their Associate. 
Funding Source: CQF</t>
  </si>
  <si>
    <t xml:space="preserve">Our target number is to reach 40 child care program teachers/directors. 27 teachers/directors received a scholarship to the Council of Professional Development or Tarrant County College. In Q3, the Board completed an additional 67%  (which leads to cumulative 77%) of the goal. </t>
  </si>
  <si>
    <t>Texas Early Childhood Professional Development System (TECPDS) Specialist support: The TECPDS Specialist provided 456 individuals with in-person and virtual training/support in Q3. 
350 individuals attended the in person trainings during the months of April, May &amp; June 2025
106 individual attended the virtual trainings during the months of April, May &amp; June 2025.                                                                                                                                                                    
Funding: CCQ</t>
  </si>
  <si>
    <t>Our goal is to supply professional development to 1,400 early learning staff and the TECPDS Specialist provided support to 456 early learning program staff. In Q3, this activity constitutes an additional  32% (which leads to a cumulative 100%) of the overall  goal in FY25.</t>
  </si>
  <si>
    <t>Training was provided to 7 child care staff members to ensure understanding of and implementation of the curriculum purchased.                                                                                   
Funding: CQF</t>
  </si>
  <si>
    <t>The goal was to provide 50 teachers and directors with curriculum training. In Q3, the Board completed 14% of the goal. 66% of early programs maintained their star level recertification. 33% of the early learning programs are TBD.</t>
  </si>
  <si>
    <t>The Board provided professional development opportunities for child care program staff to attend. In May, 61 child care programs teachers and directors attended the in-person training with Green Space Learning &amp; Development. In June, 77 people attended the in-person training with Prerna Richards.                                                                                                        
Funding CQF</t>
  </si>
  <si>
    <t>The goal was to supply professional development to 1,400 early learning staff and the TECPDS Specialist provided support to 138 early learning program staff. In Q3, this activity constitutes an additional 9% (which leads to a cumulative 100%) of the overall  goal in FY25. The participants that attend this training will meet 8 to 10% of their required annual training hours requirements in accordance with their training plan as evidenced in their Texas Rising Star recertification assessment.</t>
  </si>
  <si>
    <t>Infant Toddler Specialist support: The Board's Infant Toddler Specialists provided 209 individuals with  3 virtual trainings in April, May, and June 2025. 
Funding Source: CCQ</t>
  </si>
  <si>
    <t>The goal is to supply professional development to 1,400 early learning staff and the Infant Toddler Specialists supported 209 early learning program staff. In Q3, this activity constitutes an additional 14% (which leads to a cumulative 100%) of the overall  goal in FY25. The participants that attend this training will meet 8 to 10% of their required annual training hours requirements in accordance with their training plan as evidenced in their Texas Rising Star recertification assessment.</t>
  </si>
  <si>
    <t>Workforce Solutions for Tarrant County has a long standing partnership with Child Care Regulation to provide resource materials for classroom enrichment for attendees at the annual local Child Care Regulation conference. 651 child care teachers and directors received resource materials and attended the conference.
Funding: CQF</t>
  </si>
  <si>
    <t>Our goal was to support 750 child care teachers and directors. In Q3, the Board completed 86% of the goal in FY25. 651 of the child care teachers and directors who participate in this activity  meet their annual training hour requirements in accordance with their training plan as evidenced in their Texas Rising Star certification assessment. The participants that attend this training will meet 16 to 20% of their required annual training hours requirements in accordance with their training plan as evidenced in their Texas Rising Star recertification assessment.</t>
  </si>
  <si>
    <t>The Board reimbursed 1 program for 5 staff members to be able to be released during work hours to get virtual professional development.  
These were individual trainings done on CLI-ENGAGE. Staff member 1: Read Aloud FAC-3/25/2025 and Read Aloud FAC Part 2- 4/8/2025. Staff member 2: Learn with me Part 2- 3/27/25 and Learn with me Part 3-4/3/25. Staff Member 3: Learn with Me Part 2- 3/27/2025, Staff member 4: Talk with me promoting early language development-3/4/2025 and ITSN circle Activity Collection Infants/Toddlers-2/26/2025, Staff member 5: Early Childhood Mathematics-2/27/2025. Each training lasted two hours. Trainings were completed in Q2; however, the substitute reimbursement to the early learning program was paid in Q3.
Funding Source: CQF</t>
  </si>
  <si>
    <t>Our target number was 25 child care program staff members (teachers and directors). We reimbursed the program for 5 staff members. In Q3, the Board completed 24% of the goal. The participants that attended these trainings completed two hours of training which made up 6% of their required annual training hours as evidenced in their Texas Rising Star recertification assessment.</t>
  </si>
  <si>
    <t>The Board provided 198 programs with indoor materials and equipment grants. The amount each program received depended on number of participating programs and documented need based off of Continuous Quality Improvement Plan (CQIP) goals.                                                                                                                                                                139 programs received a Lakeshore order.  
59 programs received  Kaplan materials.  
Funding: CQF</t>
  </si>
  <si>
    <t xml:space="preserve">The target number for this activity was 189 early learning programs to receive materials. 198 early learning programs received materials. In Q3, the Board completed more than 100% of the goal. More programs have been and will be supported based on need throughout the remainder of the fiscal year. 100% of the early programs completed their Continuous Quality Improvement Plan goals with their Texas Rising Star mentor.                                </t>
  </si>
  <si>
    <t>Texas Rising Star Staff Personnel: 
Positions supported: 17 mentors and 13 support staff to include, the North Texas Region Quality, Director of Quality Child Care, Quality Manager, Quality Supervisor, TECPDS Specialists, Special Projects Coordinators, Administrative Assistants, Information Technology Support staff, and Inclusion mentor. Positions include managerial positions that provide oversight of the Texas Rising Star &amp; Quality Initiatives Team. The remaining support staff implemented approved quality initiatives, support TECPDS and career lattice movement, provide necessary data entry, and support the Inclusion Rate program for children with disabilities.
There are 550 programs who received mentoring and other various support services during Q3.
Funding Source: CCQ and CCQ mentor-specific funding</t>
  </si>
  <si>
    <t xml:space="preserve">550 programs received various support services from our quality support staff. Our goal was to support 575 early learning programs under activity "Texas Rising Star &amp; Quality Initiatives Support Staff Personnel" in FY2025. In Q3, the Board supported 95% of early learning programs through Texas Rising Star and quality initiative activities. </t>
  </si>
  <si>
    <t xml:space="preserve">Texas Early Childhood Professional Development System (TECPDS) Specialist support: The TECPDS Specialist provided users currently employed with an Entry Level-designated program support to create an account. 
40,159 users and 250 programs received this support. Many of the users do not add their current employment to their account. Additionally, 693 users from those 250 programs were outreached via email post account creation for follow -up.              
Funding Source: CCQ </t>
  </si>
  <si>
    <t xml:space="preserve">Our goal was to support 575 early learning programs in FY2025. There were 250 programs that were supported by our TECPDS support staff. In Q3, the Board completed an additional 43% (which is a cumulative 74%) of the goal to support 575 early learning programs in FY25. </t>
  </si>
  <si>
    <t>Followed Texas Rising Star Guidelines related to required activities for all Texas Rising Star and Entry Level-designated programs. The mentoring process is continuous as Entry Level-designated programs prepare for a Texas Rising Star assessment, thus the activity status is ongoing. 
Outcomes are TBD.</t>
  </si>
  <si>
    <t>TECPDS Specialist reviewed staff documents for 3 early learning programs loaded into the Workforce Registry to support the Texas Rising Star process for scoring education and professional development hours to ensure accuracy. TECPDS Specialist reviewed documents for facilities that are pending an initial assessment (those marked as Ready for Assessment). This process will continue, and is marked as ongoing. Outcomes are TBD.</t>
  </si>
  <si>
    <t>Supported 6 newly certified Texas Rising Star facilities with a monetary incentive ranging from $250 each to $1,500 each (based on center/home status and star level attained) and a recognition banner as a result of their certification. Additionally, supported one Texas Rising Star home that increased their star level with a $250 monetary incentive.
Funding Source: 
CQF - Incentive for certification achievement 
CCQ - Texas Rising Star Banners</t>
  </si>
  <si>
    <t>Increased certified Texas Rising Star facilities by 6 in this quarter. Additionally, one home-based facility increased their star level from Three-Star to Four-Star accredited. Marked this activity as ongoing as we continue to bring new programs into Texas Rising Star.
Outcomes for the year are TBD.</t>
  </si>
  <si>
    <t>Conducted an in-person Conference on Saturday, 4/5/25, with topics including 
Pre-K classrooms, foundations for schoolers, classroom behavior, the art of play, outside learning, etc. Additionally, director-specific training was held this same date on topics such as building successful work teams and the benefits of higher education.
109 attendees from 25 early learning programs (20 centers and 5 homes) participated.
Funding Source: CQF</t>
  </si>
  <si>
    <t>Increased knowledge of 109 staff on various professional development topics related to child development.
Data noted above was determined based on professional development satisfaction evaluations taken at the conclusion of the event, with participants reporting that what they learned could be taken back and used in the classroom. This training is considered successful because at least 60 participants attended the Conference and noted that they could take lessons learned back to their classroom for implementation.</t>
  </si>
  <si>
    <t>Increased knowledge of 11 staff on various professional development topics related to child development.
Data noted above was determined based on professional development satisfaction evaluations taken at the conclusion of the event, with participants reporting that what they learned could be taken back and used in the classroom. This training did not meet the goal of a minimum of 15 participants. However, those that attended noted that they could take lessons learned back to their classroom for implementation.</t>
  </si>
  <si>
    <t>Increased knowledge of 29 staff on various professional development topics related to child development.
Data noted above was determined based on professional development satisfaction evaluations taken at the conclusion of the event, with participants reporting that what they learned could be taken back and used in the classroom. This training is considered successful because at least 15 participants attended the event and noted that they could take lessons learned back to their classroom for implementation.</t>
  </si>
  <si>
    <t>Conducted an in-person general training session titled "Nutrition: Healthy Bites, Big Smiles" on 5/29/25.
31 attendees from 10 early learning programs and 1 home participated.
Funding Source: CQF</t>
  </si>
  <si>
    <t>Increased knowledge of 31 staff on various professional development topics related to child development.
Data noted above was determined based on professional development satisfaction evaluations taken at the conclusion of the event, with participants reporting that what they learned could be taken back and used in the classroom. This training is considered successful since at least 15 participants attended the event and noted that they could take lessons learned back to their classroom for implementation.</t>
  </si>
  <si>
    <t>Mentor staff conducted an in-person Texas Rising Star training titled "Minimum Standards Top 10 Countdown: Deficiencies You Can't Ignore!" on 6/5/25.
43 attendees from 14 early learning programs (11 centers and 3 homes).
Funding Source: CQF</t>
  </si>
  <si>
    <t>Increased knowledge of 43 staff on various professional development topics related to child development.
Data noted above was determined based on professional development satisfaction evaluations taken at the conclusion of the event, with participants reporting that what they learned could be taken back and used in the classroom. This training is considered successful since at least 15 participants attended the event and noted that they could take lessons learned back to their classroom for implementation.</t>
  </si>
  <si>
    <t>Mentor staff conducted an in-person Texas Rising Star training titled "The Power of YOU: Cultivating a Positive Climate Through Teacher Response" on 5/1/25.
51 attendees from 16 early learning programs.
Funding Source: CQF</t>
  </si>
  <si>
    <t>Increased knowledge of 51 staff on various professional development topics related to child development.
Data noted above was determined based on professional development satisfaction evaluations taken at the conclusion of the event, with participants reporting that what they learned could be taken back and used in the classroom. This training is considered successful since at least 15 participants attended the event and noted that they could take lessons learned back to their classroom for implementation.</t>
  </si>
  <si>
    <t xml:space="preserve">Offered an educational attainment incentive for the Child Development Associate - Occupational Skills Award to 2 staff members. Both individuals received the educational award this quarter. In addition, one person received a three-month and a six-month continued employment incentives, while the other received  a three-month continued employment incentive. Incentives were given in the amount of $250 for the Occupational Skills Award attainment and $250 and $500 for the three and six-month employment retention incentives, respectively. 
Funding Source: CQF </t>
  </si>
  <si>
    <t>Outcomes are TBD.</t>
  </si>
  <si>
    <t xml:space="preserve">Continued to sponsor 11 participants from 6 early learning programs with Scholarships to support their pursuit of higher education attainment in one of the following programs: Child Development Associate - Occupational Skills Award, a Child Development Certificate, or a Child Development Administrators Certificate. Scholarships were available at either of our two local junior colleges.
These are duplicate participants from previous quarters already reported, and thus not counted in the Quarterly Data tab.
Funding Source: CQF </t>
  </si>
  <si>
    <t xml:space="preserve">Increased education and encouraged continued professional development  in child development courses to further assist with teacher knowledge and the intention to increase CCS capacity at quality facilities. 
Outcomes are TBD.
</t>
  </si>
  <si>
    <t>Assisted one staff at one early learning program with the cost of the Child Development Associate (CDA) national credential application fee.
Funding Source: CQF</t>
  </si>
  <si>
    <t xml:space="preserve">
Outcomes are TBD.</t>
  </si>
  <si>
    <t>Offered Outdoor Classroom Equipment and Office Equipment Child Care Quality Reimbursement Grants to all licensed and registered early learning programs in our service area.  41 early learning programs were awarded grants. In this quarter, 30 early learning programs (24 centers and 6 homes which includes 20 Texas Rising Star certified programs) have completed their purchasing and received reimbursement for requested developmental resources and equipment.
Funding Source: CQF</t>
  </si>
  <si>
    <t>30 facilities were awarded and followed-through with this reimbursement grant process. This activity was considered successful by assisting 100% of the Board's goal to serve 20 area early learning programs with adding to or supplementing their developmental resources and equipment needs.</t>
  </si>
  <si>
    <t>Offered a quality program on Literacy to early learning programs for preschool ages 3-5 and schoolers ages 5-12. 
For the classes, ages 3-5, 733 children participated from 52 classes at 29 early learning programs (23 centers and 6 homes).
For the school age classes, ages 5-12, 384 children participated from 24 classes at  17 early learning programs (13 centers and 4 homes, inclusive of some of the same facilities already noted above for the 3-5 year old children).
Funding Source: CCQ</t>
  </si>
  <si>
    <t>This activity far exceeded the Board's target of 8 facility participants as 29 facilities participated, including 1,117 children.</t>
  </si>
  <si>
    <t>Offered an infant and toddler expansion initiative to area early learning programs. Sent 6 award letters for infant and toddler slot expansion at an incentive of $1,000 each (up to 8 slots per facility) once expansion was confirmed. Four of the six programs have completed their expansion with 28 infant and/or toddler slots expanded (12 infant slots and 16 toddler slots).
Funding Source: CQF</t>
  </si>
  <si>
    <t>Technically, this project is still on-going as 2 programs have yet to complete their infant and toddler expansion project; however, the Board can already note that it is successful as more than 2 programs successfully expanded infant and toddler care. During this quarter, 28 infant and/or toddler slots have been increased through this expansion initiative from the 4 programs that are finished with their expansion project.</t>
  </si>
  <si>
    <t>Conducted an Ages and Stages Questionnaire (ASQ) Assessment Project with 8 early learning programs/classes (6 centers and 2 homes). Participants underwent two training sessions, have conducted their initial and final assessments on the children in at least one class each.
Final assessments for the required class were completed on the children by 4/30/25. This project is now complete for this funding cycle.
These are duplicate participants from previous quarters already reported, and thus not counted in the Quarterly Data tab.
Funding Source: CCQ</t>
  </si>
  <si>
    <t xml:space="preserve">
This project is considered successful as 8 programs, which was twice the Board's goal, completed this fiscal year's evaluation and assessment project related to the Ages and Stages Questionnaire.</t>
  </si>
  <si>
    <t xml:space="preserve">Offered reimbursements to 4 Texas Rising Star early learning programs for required CPR/First-Aid trainings for 17 staff.
Funding Source: CCQ </t>
  </si>
  <si>
    <t xml:space="preserve">Contracted staff fees for 3 contracted mentors who work with current Texas Rising Star programs along with Entry Level programs in the process of pursuing Texas Rising Star.
Data noted here are all programs in our area that either are certified (39) or are pursuing certification and in Entry Level-designated status (18). 
6 early learning programs (three centers and three homes) attained Texas Rising Star certification during this quarter and one home-based facility increased their star level.
Funding Source: CCQ mentor-specific </t>
  </si>
  <si>
    <t xml:space="preserve">Texas Rising Star Staff personnel: 2 contracted Texas Rising Star mentors serve as the Infant Toddler Specialists for the Texoma Board while one of them also serves as the Texas Early Childhood Professional Development System Specialist (TECPDS) for our Board. No trainings provided this quarter by either specialist.
Funding Source: CCQ mentor-specific </t>
  </si>
  <si>
    <t>Mentor staff conducted an in-person owner/director specific Peer Learning Community (PLC) on 4/15/25 titled "Stay, Grow, and Thrive: The Impact of Continuity of Care".
11 attendees from 7 early learning programs.
Funding Source: CCQ mentor-specific funding</t>
  </si>
  <si>
    <t>Mentor staff conducted an in-person owner/director specific Peer Learning Community (PLC) on 6/17/25 titled "Unlocking the Power of the CIRCLE Curriculum".
29 attendees from 18 early learning programs (15 centers and 3 homes).
Funding Source: CCQ mentor-specific funding</t>
  </si>
  <si>
    <t>Scholarships for the course and testing to 16 participants that attended the CDA class with 8 completing the course.
Funding Source: CCQ</t>
  </si>
  <si>
    <t>Board provided scholarships to sixteen participants for the Child Development Associate Credential professional development. 8 participants completed the training and testing. This is 64% of the boards participation for this session.</t>
  </si>
  <si>
    <t>Three Texas Rising Star mentors attended the Texas Rising Star Early Educator Conference in April. 
One Texas Rising Star mentor attended the State Autism Conference in June
Funding Source: CCQ mentor-specific funding</t>
  </si>
  <si>
    <t xml:space="preserve">Three Texas Rising star attended professional development opportunities. One of the Texas Rising Star staff attended the Texas Rising Star Early Educator Conference as well as the State Autism Conference. This aligns with the goal of Texas Rising Star staff meeting the annual requirement of 36 hours of training. </t>
  </si>
  <si>
    <t>Staff salaries and benefits for 4.50 full time Texas Rising Star staff who mentored 150 unduplicated teaching staff to help maintain and/or increase star level within 86 Texas Rising Star programs. 
10 Entry Level-designated programs received targeted mentoring to help onboard them to Texas Rising Star.
The TECPDS specialist provided support 3 centers and 33 staff to validate 255 certificates.
Funding Source: CCQ mentor specific funding; 
CCQ for TECPDS specialist</t>
  </si>
  <si>
    <t xml:space="preserve">The Board reached 100% of the goal in Q3 by supporting all 86 centers. 
As of Quarter 3, the Board reached 56% of their goal to assist a total of 45 early learning programs to be onboarded to Texas Rising Star. 
As of Quarter 3, the Board reached 73% of the goal of 15 early learning programs with TECPDS and validated records. </t>
  </si>
  <si>
    <t xml:space="preserve">The Board reached 168% of their goal with suppling one time incentive to 817 people. </t>
  </si>
  <si>
    <t>The Board purchased certificates and banners for Texas Rising Star early learning programs to identify them as quality for families to easily identify. We purchased 14 banners and certificates, that cost $549.50.
Funding Source: CCQ</t>
  </si>
  <si>
    <t xml:space="preserve">The Board reached 25% of the goal by supporting 23 of the 92 Texas Rising Star programs. </t>
  </si>
  <si>
    <t>Provided in-house training to Texas Rising Star-certified and Entry Level-designated programs using qualified Texas Rising Star Staff with the goal of helping educators meet their annual training requirements. No quality funds were used for these trainings. A total of 680 early learning staff received training hours in Quarter 3.  199 In-Person; 481 Virtual.
Funding Source: No quality funds used</t>
  </si>
  <si>
    <t>As of Quarter 3, the Board has achieved over 100% (1,938) of our goal of providing training to 1,500 Directors and Teachers in FY2025.  Measurable outcomes regarding  training hour deficiencies will be done in Quarter 4 to determine if there was a decrease in deficiencies.</t>
  </si>
  <si>
    <t>7 scheduled subcontracted trainings were held in Quarter 3. All trainings are research-based to help early learning programs meet their annual training requirement. A total of 279 early learning staff participated and received training hours. 86 In-Person; 193 Virtual.
Funding Source: CCQ</t>
  </si>
  <si>
    <t xml:space="preserve">As of Quarter 3, the Board has achieved 65% (970) of our goal of providing training to 1,500 directors and teachers in FY2025. A look at total training hour deficiencies will be done in Quarter 4 to determine if there was a decrease in deficiencies. </t>
  </si>
  <si>
    <t>Capital Area held 2 Infant/Toddler specific subcontracted trainings in the 3rd Quarter. A total of 98 early learning staff participated in these Infant/Toddler specific trainings. 41 In-Person; 57 Virtual.
Funding Source: CCQ</t>
  </si>
  <si>
    <t xml:space="preserve">As of Quarter 3, the Board has achieved over 100% (166) of our goal of having 75 early learning staff participate in an Infant/Toddler specific training throughout FY2025. A look at total training hour deficiencies will be done in Quarter 4 to determine if there was a decrease in deficiencies. </t>
  </si>
  <si>
    <t>Conscious Discipline trainings were provided to 78 early learning program staff (directors and teachers). A total of 3 classes were conducted in Quarter 3, 2 in English and 1 in Spanish. Resources to assist with implementing Conscious Discipline were purchased and provided to those attending the in-person training. 
Funding Source: CQF</t>
  </si>
  <si>
    <t xml:space="preserve">Based on the results of a post survey from the classes that concluded in quarter 3, 49 of 53 (92%) respondents rated the class as "Very Beneficial", with the remaining respondents rating the class "Beneficial". Category 2 impact will be evaluated at the conclusion of all scheduled Conscious Discipline Classes. </t>
  </si>
  <si>
    <t xml:space="preserve">As of quarter 3, the Board has achieved over 100% (477) of our goal of providing First Aid/CPR to 300 early learning program staff in FY2025. A look at total CPR/First Aid Licensing deficiencies will be done in Quarter 4 to determine if there is a decrease in deficiencies. </t>
  </si>
  <si>
    <t>Our second Spanish CDA Course began in June. A total of 2 CDA classes were held in Quarter 3 with 20 early learning staff receiving CDA scholarships to attend. Within Quarter 3, 17 of the 20 staff attended the CDA Class. An additional 5 classes will occur in Quarter 4. These participants were counted toward the virtual training of the Quarterly Data tab. 
Funding Source: CQF</t>
  </si>
  <si>
    <t xml:space="preserve">100% of the 20 staff that registered for the first CDA class completed the course and received enough education to apply for their CDA. Therefore,  we are on track to meet our goal of 85% of participants completing the course. At the end of Quarter 4, we will determine the percentage of participants who completed our second CDA class to determine if this outcome was achieved. </t>
  </si>
  <si>
    <t>Capital Area partnered with PBS Kids to support early learning programs in Quarter 3 by providing PBS Kids resources to support quality learning. In Quarter 3, 13 directors or teachers have received professional development or coaching support from PBS Kids (these numbers were counted toward live/in-person training on the quarterly data tab). 
Funding Source: CCQ</t>
  </si>
  <si>
    <t xml:space="preserve">The measurable outcome for this activity will be assessed at the end of the Fiscal Year.  </t>
  </si>
  <si>
    <t>Assisted with the payment of National Accreditation fees for 4 early learning programs in Quarter 3. Fees were reimbursed for annual fees paid by contracted early learning programs to Texas Rising Star recognized National Accrediting entities. 
Funding Source: CQF</t>
  </si>
  <si>
    <t xml:space="preserve">As of the end of the 3rd quarter, all 18 programs (100%) who received reimbursement for National Accreditation fees remain Nationally Accredited, thereby meeting our outcome of maintaining National Accreditation. Similarly, the number of Nationally Accredited programs that Workforce Solutions Capital Area is contracted with remains consistent, with 40 contracted programs being Nationally Accredited at the beginning of FY25 (October) and 40 Nationally Accredited programs as of July 2025. </t>
  </si>
  <si>
    <t>Equipment and resources for early learning programs: A total of 97 Texas Rising Star-certified or Entry Level-designated programs were purchased early learning resources in Quarter 3. These resources included playground equipment, furniture, shelving and toys and will help programs maintain and achieve Texas Rising Star certification through supporting quality environments. 
Funding Source: CQF</t>
  </si>
  <si>
    <t xml:space="preserve">With many Texas Rising Star assessments still pending, we will wait until the end of the 4th Quarter to determine if our goal of seeing an increase in Category 4 scores was met. </t>
  </si>
  <si>
    <t xml:space="preserve">As of Quarter 3, the Board has achieved 91% (304) of our 95% goal of providing mentoring to 333 early learning programs throughout FY2025. </t>
  </si>
  <si>
    <t>In Quarter 3, CLASS Assessment Certifications were maintained for 1 staff already certified and Capital Area purchased CLASS Assessment Training for 1 additional staff member to gain certification.  One CLASS Assessment was conducted for an early learning program in Quarter 3. Total of 2 staff.
Funding Source: CCQ</t>
  </si>
  <si>
    <t xml:space="preserve">5 programs received ASQ-3 starter kits in Quarter 3 in order to begin utilizing ASQ in their programs. 
Funding Source: Kits were purchased in previous Fiscal Year, therefore no current funds were used. </t>
  </si>
  <si>
    <t xml:space="preserve">25 early learning program staff received ASQ-3 Training in Quarter 3. These 25 staff were included in the Professional Development in-person numbers on the Quarterly Data tab. 
Funding Source: Training was done in-house therefore no quality funds were used. </t>
  </si>
  <si>
    <t>Purchased continued access to the Frog Street Pre-K online portal for 51 early learning programs. These programs were previously purchased Frog Street Curriculum, and this purchase allows them to continue to access the Frog Street Pre-K Online Portal. Frog Street training is scheduled for Quarter 4, and thus this activity is ongoing. 
Funding Source: CQF</t>
  </si>
  <si>
    <t>Teaching Strategies GOLD Assessment Portfolios were purchased for 11 early learning programs as part of a commitment to assist programs with continued access to the GOLD Assessment after one year of participation under TWC's GOLD Assessment Grant. A total of 553 portfolios were purchased for 11 early learning programs 
Funding Source: CCQ</t>
  </si>
  <si>
    <t>Purchased Texas Rising Star banners for programs newly certified as Texas Rising Star. Banners were purchased for a total of 39 early learning programs in Quarter 3. Banners are meant to promote Texas Rising Star programs in order to increase the number of CCS families attending a Texas Rising Star rated program. 
Funding Source: CQF</t>
  </si>
  <si>
    <t>Workforce Solutions Capital Area held a two-day Director Certification course for 19 early learning staff in Quarter 3. All 19 staff who completed the Director Certification Class were able to receive their Director Credential. These numbers were reported on the Live/In-Person numbers on the Quarterly Narrative tab.
Funding Source: CCQ</t>
  </si>
  <si>
    <t xml:space="preserve">Of the 25 participants that were enrolled in the class, 19 participants attended and completed the work to qualify them for a Director Credential. All 19 (100%) of the participants that attended received their Director Credential, meeting our goal of at least 80% percent of participants completing the course go on to receive their Director Credential. </t>
  </si>
  <si>
    <t>A total of 5 Parent directed trainings were held in Quarter 3. Trainings included a variety of early learning topics including "Managing Meltdowns and Tantrums", "Respectful Guidance", and technology for young children. A total of 178 parents attended at least one of the five offered trainings. And additional 3 trainings are scheduled for Quarter 4 
Funding Source: CCQ and CQF</t>
  </si>
  <si>
    <t xml:space="preserve">Workforce Solutions Capital Area has already exceeded our goal of having 150 parents attend a parent training over the course of this project, with 178 parents already having attended a training. </t>
  </si>
  <si>
    <t>Workforce Solutions Capital Area has reserved our location for an Early Childhood Director and Teacher Symposium. The actual symposium will take place in Quarter 4, however quality funds were spent in Quarter 3 to reserve the space. We are projecting 250 participants for our Director Day, and 750 participants for our Teacher Day. This Symposium is being held in partnership with Rural Capital Area.
Funding Source: CCQ</t>
  </si>
  <si>
    <t xml:space="preserve">The measurable outcome for this activity will be assessed at the end of the Fiscal Year. TBD </t>
  </si>
  <si>
    <t>The Workforce Solutions Capital Area CARE Staff Retention Incentive was paid out to 51 early learning programs in Quarter 3. Early learning programs will then disburse this funding to their staff, with an estimate 518 early learning staff receiving an incentive bonus. Programs will report final numbers of staff receiving bonuses in Quarter 4, and number of staff awarded will be updated at that time. 
Funding Source: CQF</t>
  </si>
  <si>
    <t>The measurable outcome for this activity will be assessed at the end of the Fiscal Year. TBD</t>
  </si>
  <si>
    <t xml:space="preserve">CPR, First Aid and AED Training was provided to early learning program staff. A total of 5 classes were conducted in Quarter 3 , 3 in English and 2 in Spanish. 204 early learning staff participated and received their First Aid/CPR Certification during that time.
Funding Source: CCQ </t>
  </si>
  <si>
    <t>Texas Rising Star Staff salary and expenditures. Workforce Solutions Capital Area maintained  our current staffing levels with 12 Texas Rising Star mentors in Quarter 3. Throughout the third quarter, Texas Rising Star mentors provided in-person or virtual mentoring to all early learning programs. 
Funding Source: CCQ mentor-specific and CCQ funding</t>
  </si>
  <si>
    <t>Capital Area continued to employ an Industry Support Specialist who serves as both the Board designated Texas Early Childhood Professional Development System (TECPDS) Specialist and Infant/Toddler Specialist. Industry Support Specialist provided targeted, center wide TECPDS support for a total of 11 early learning programs in Quarter 3, in addition to monthly TECPDS trainings and office hours. 
Funding Source: CCQ</t>
  </si>
  <si>
    <t>Texas Rising Star staff salaries for 9 mentors (one mentor staff is also the Infant Toddler Specialist and Texas Early Childhood Professional Development System Specialist)
Mentors provided mentoring services to 100 certified Texas Rising Star child care centers and 86 Entry Level-designated child care centers for a total of 186 child care centers during the third quarter of BCY2025.   
Funding Source:  CCQ mentor-specific funding</t>
  </si>
  <si>
    <t>The Texas Rising Star mentors are currently providing mentoring services to 100% of our child care programs. As of June 30, 2025, there are 100 Texas Rising Star-certified and 86 Entry Level-designated child care programs in the Coastal Bend region. The mentors performance will ultimately be based on the Texas Rising Star certification level(s) each of their child care programs achieve on their initial Texas Rising Star assessment. Measurable outcomes are TBD.</t>
  </si>
  <si>
    <t xml:space="preserve">4 Texas Rising Star mentor staff attended the Texas Rising Star Early Educator Conference held in Dallas, TX on 04-07-2025 to 04-09-2025. The mentors participated in breakout sessions on various early childhood education topics. This information will enhance their knowledge of early childhood education.
Funding Source:  CCQ mentor-specific funding </t>
  </si>
  <si>
    <t>4 Texas Rising Star mentors attended the Texas Rising Star Early Educator Conference in April 2025 and received training on a variety of early childhood education topics. This training helps staff satisfy the TWC requirement of obtaining a minimum of 36 hours of professional development training annually.</t>
  </si>
  <si>
    <t>First Aid/CPR Training provided to 36 child care staff as required by Child Care Regulation.
Funding Source: CCQ</t>
  </si>
  <si>
    <t>This is 68% of the Board's goal to have 200 early learning programs CPR/First Aid certified in FY25. The measurable outcome related to the decrease in the number of programs being cited by Child care Regulation is TBD.</t>
  </si>
  <si>
    <t>Actual YTD certified: 80% Texas Rising Star-certified programs 
100% due to mandatory Texas Rising Star (all others waiting on assessments or assessment date) 
Measurable outcome is TBD.</t>
  </si>
  <si>
    <t>Texas Rising Star mentors provided in-person training on topics specific to Texas Rising Star measures to 103 child care staff.
Funding Source: CCQ Mentor-specific funds</t>
  </si>
  <si>
    <t>This is 60% of the Board's goal to support 650 staff with training opportunities. Measurable outcomes associated with an increase in assessment scores is TBD.</t>
  </si>
  <si>
    <t>Scholarships given to 10 child care staff to obtain CDA. The scholarship paid for the 120 CDA training hours for each participant.
Funding Source: CQF</t>
  </si>
  <si>
    <t>With 10 child care staff are currently enrolled in CDA courses through the CDA Council to obtain their CDA, this is a total of 50% of the Board's goal to enroll 20 participants.</t>
  </si>
  <si>
    <t>Educational Incentives were given to child care staff who obtained their CDA. 5 Child care staff received a $1,000 incentive for obtaining their CDA. This is approximately 42% of the staff who have received a CDA. 3 Child care staff remaining with their child care program received $250.00 for continued employment verification after 3 months of first incentive.
Funding Source: CCQ</t>
  </si>
  <si>
    <t>Measurable outcomes related to the in scores for P-PM-01 &amp; P-CQT-01 are TBD.</t>
  </si>
  <si>
    <t>Director's Teambuilding Retreat and Professional Development event (in-person) was provided to 23 child care Directors/Owners to build connections and unity among each other. This event also consisted of three professional development opportunities that each attendee was required to attend: Texas Rising Star binder training, TECPDS/CLI set-up, and NAEYC Code of Ethics. 
Funding Source: CCQ</t>
  </si>
  <si>
    <t>This met 72% of the Boards goal to have 32 Directors/Owners attend this retreat. Survey results from participants is TBD.</t>
  </si>
  <si>
    <t>Supplemental Curriculum Training was provided to 169 child care staff in April (18 attended virtually for Marco Polo) and June (151 attended in-person for Celebrate). The training assisted programs in understanding the curriculum and how to properly use it in the classroom. The supplemental curriculum allows Texas Rising Star programs to obtain a Four-Star score on measure P-PM-03. 
Funding Source: CQF</t>
  </si>
  <si>
    <t>73% of 78 child care centers/homes attended these trainings. Participant evaluation data is TBD.</t>
  </si>
  <si>
    <t>Professional Development Day #1: Challenging Behaviors in the Classroom Setting. 60 early learning staff attended in-person training on how to better navigate classroom behaviors and reduce stress when dealing with difficult situations in the classroom.
Funding Source: CQF</t>
  </si>
  <si>
    <t>Participant evaluation data is TBD.</t>
  </si>
  <si>
    <t>Provided materials, equipment, and resources to assist 10 programs (8 centers and 2 homes) in meeting Texas Rising Star requirements including, but not limited to, classroom furniture, developmentally appropriate learning materials, curriculum, gross motor equipment and resource books solely for infants and toddlers.
Funding Source: CCQ</t>
  </si>
  <si>
    <t>This is 19% of the Board's goal for purchasing items to help enhance learning environments in the infant and toddler classrooms. Measurable outcomes related to an increase in P-SCR-01 scores is TBD.</t>
  </si>
  <si>
    <t>Provided materials, equipment, and resources to assist  12 programs (11 centers and 1 home) in meeting Texas Rising Star requirements including but not limited to classroom furniture, developmentally appropriate learning materials, curriculum, gross motor equipment and resource books.
Funding Source: CCQ</t>
  </si>
  <si>
    <t>This is 34% of the Board's goal for purchasing items to help enhance learning environments in the Preschool and School-Age classrooms. Outcomes based on Texas Rising Star scores is TBD.</t>
  </si>
  <si>
    <t>Family Engagement Event Gift Cards. 8 early learning programs received a $2,500 gift card for participating in the Texas Rising Star Family Engagement and Education Event held on July 19, 2025. Early learning programs provided educational information and resources to all families, and had families sign-in for documentation. The documentation will assist the centers in meeting measure P-FI-03 and P-FE-02.
Funding Source: CCQ</t>
  </si>
  <si>
    <t>8 of the 80 child care programs invited RSVP'd to participate (10%).
Measurable outcomes based on the previous year's attendance is TBD.</t>
  </si>
  <si>
    <t>80 early learning programs received life saving devices (de-chokers) to use in their infant or toddler rooms if necessary. 
Funding Source: CCQ</t>
  </si>
  <si>
    <t>100% of all child care facilities received a life saving device.
Success will be measured by an end of year survey sent to all programs to  determine if the choking device was utilized and if it was effective.</t>
  </si>
  <si>
    <t>Appreciation and Teacher Retention Incentive. 423 classroom teachers received monetary incentives of $50.00 for being employed at their current child care center/home from 9/1/2024-5/1/2025. This one-time incentive promoted continued staff retention in the Early Childhood field. 566 gift cards were ordered based on dates of hire from center directors and home child care owners.  
Funding Source: CCQ</t>
  </si>
  <si>
    <t>75% of the staff remained employed at the child care center/home from the time gift cards were ordered until they were distributed.
Success will be measured by at least 50% of staff who received the incentive on 05/09/2025 will still be employed by their current child care program on September 30, 2025.</t>
  </si>
  <si>
    <t>Texas Rising Star staff provided 54 live and in-person trainings for 577 Texas Rising Star program staff
Funding Source: CCQ mentor-specific funding</t>
  </si>
  <si>
    <t>27% of the Board's goal to provide training to 200 early learning programs (48% of program staff supported) was met in Quarter 3. Measurable outcomes related to Category 1 assessments is TBD.</t>
  </si>
  <si>
    <t>Reimbursed training registrations for 18 staff from 4 programs
Funding Source: CQF</t>
  </si>
  <si>
    <t>20% of the Board's goal to provide reimbursement to 100 early learning program staff was met in Quarter 3.</t>
  </si>
  <si>
    <t>The Board has a goal to assist 100 early learning staff and has assisted 1 in Quarter 3. Credential achievement is TBD.</t>
  </si>
  <si>
    <t>Texas Rising Star staff have a mentoring caseload averaging 40 early learning programs and provided supports monthly to each program.</t>
  </si>
  <si>
    <t>Awarded monetary bonus to 9 programs achieving Three- or Four-Star certification. Awards based on licensing capacity: homes- $500; centers under 50 -$750; centers 51 to 150 - $1000; centers over 151 -$1500
Funding Source: CQF</t>
  </si>
  <si>
    <t xml:space="preserve">The Board's goal is to support 45 programs with this incentive and a total of 25 have been served. Thus, the Board has completed 56% of this goal in Quarter 3. </t>
  </si>
  <si>
    <t>Professional Development was provided to 48 child care program staff on 06/28/25 by Prerna Richards with Together We Grow. This training was developed to provide support for Category 4, measure: P-ILE-02: Non-Stereotypical and Culturally Sensitive equipment and materials. This was a make &amp; take style of workshop and participants left with ideas to develop materials in the classroom.  
Funding Source: CCQ</t>
  </si>
  <si>
    <t xml:space="preserve">Participants were able to identify &amp; make items to implement in their classrooms.  100% of participants left with a culturally sensitive puppet that can be recreated in the classroom for use during story time, dramatic play and various other center time activities. Measurable outcomes are TBD. </t>
  </si>
  <si>
    <t>1 center requested support to expand and enhance their Infant &amp; Toddler spaces. We were able to provide equipment such as cribs, changing tables, storage shelving, etc. to allow the center to increase &amp; enhance the number of infant (4 slots) &amp; toddler (3 slots) slots by 7.  
Funding Source: CCF</t>
  </si>
  <si>
    <t>The center added an additional 4 infant slots and 3 of 4 slots are currently serving CCS children. This is an increase of 75% in infant capacity for CCS children. 3 additional toddler slots were added and 2 of the 3 toddler spaces are utilized by the CCS children. This is an increase of 66% in the toddler capacity for CCS children. 100% of the goal was met for expansion. Further measurable outcomes are TBD.</t>
  </si>
  <si>
    <t>Professional Development was provided on 05/17/25 by Rachel Parsons, RDP Consulting, on Teacher / Child Interactions. This training was developed to provide support for the Texas Rising Star measures in Category 2. 57 Teachers were able to leave with strategies to address language facilitation &amp; support and instructional formats and approaches to learning. 
Funding Source: CCQ</t>
  </si>
  <si>
    <t xml:space="preserve">Surveys indicated 100% of trainees left with a better understanding of how to implement CPM tools in their classrooms / centers.  Measurable outcomes are TBD.  </t>
  </si>
  <si>
    <t>Texas Rising Star Personnel - 2 staff supported 62 early learning programs. 1 additional staff was hired in June.
Funding Source: CCQ mentor-specific funding</t>
  </si>
  <si>
    <t>100% of the total number of early learning programs Golden Crescent serves was provided mentoring supports.</t>
  </si>
  <si>
    <t>Professional Development was provided to 44 child care program staff on 04/26/25 by Kristen Miller, eTeachingMe, on Observation &amp; Assessments. This training was developed to provide support for Category 3, measure P-IFAL-06 Child Progress Monitoring Tools as well as P-PM-04: Curriculum Planning /Child Progress Monitoring System.  
Funding Source: CCQ</t>
  </si>
  <si>
    <t>100% of participants were able to practice how to utilize the data received from a progress monitoring tool to better plan personalized instruction for children. Measurable outcomes are TBD.</t>
  </si>
  <si>
    <t>Professional Development was provided to 46 child care program staff on 04/26/25 by Kristen Miller, eTeachingMe, on Special Needs &amp; Positive Guidance. This training was developed to provide support for Category 2, Supporting Children's Regulations measures, which focus on emotional expression.   
Funding Source: CCQ</t>
  </si>
  <si>
    <t>100% of participants participated in role playing activities to practice their responses to support children in self regulation. Mentors were able to see the strategies in use as they made site visits and observed teachers working with children. Measurable outcomes are TBD.</t>
  </si>
  <si>
    <t>Classroom equipment and materials - existing classrooms: This quarter, 84 Entry Level and 228 certified early learning programs received this incentive aimed at providing additional support for Infant &amp; Toddler classrooms. This funding allowed early learning programs to purchase classroom materials and equipment to support the needs of existing Infant &amp; Toddler classrooms.  
Funding Source: CCF</t>
  </si>
  <si>
    <t xml:space="preserve">In a follow up survey sent to quarter three recipients, 53% of respondents reported they were able to increase the number of Infant &amp; Toddlers enrolled in their program with this funding. 98% reported that their Infant &amp; Toddler needs were met with this funding.  </t>
  </si>
  <si>
    <t>This quarter, 147 teachers received scholarships to complete the Infant and Toddler CDA Certification Course. 
Funding Source: CQF</t>
  </si>
  <si>
    <t>The number of teachers who successfully complete the Infant and Toddler CDA course will be reported in the 4th quarter.</t>
  </si>
  <si>
    <t>Professional development opportunities were offered both in-person and virtually, as well as in English and Spanish. Topics of the opportunities offered included the following: Behavior Basics: Is it Behavior or Sensory?, Science Fun For Everyone, Avoid Missed Learning Opportunities through Mindfulness (Spanish), Peaceful Dreams: Empowering Teachers to Promote Safe Sleep and Prevent SIDS, Integration of Children with Special Needs in the EC Classroom, Social and Emotional Through Play and Keeping the Ship AFLOAT: Directors Leadership. 
142 attended in person and 1,776 attended virtually
Funding Source: CCQ and CQF</t>
  </si>
  <si>
    <t>1,918 early learning program staff attended professional development opportunities offered during this quarter. Through survey data collected, 96% of attendees reported an increased knowledge of the topics presented after attending the professional development offerings. Our goal is to provide professional development to 5,000 individuals. With XX total trained the Boards has met xx% of the 5,000 goal.</t>
  </si>
  <si>
    <t>This quarter, CASE for Kids offered 10 workshops to 269 professionals on a wide variety of topics that support quality out-of-school time practices. The workshops are offered in two-hour blocks featuring hands-on practical learning. 
Additionally, Kids’ Day Entrepreneurship was held at the Region 4 Educational Center. A total of 204 students and 40 teachers participated in the event. Students and teachers explore development of business plans, business ownership, and equity (in-person) 
                                                                                                                                                                            Funding Source: CCM</t>
  </si>
  <si>
    <t>Of the trainings completed this quarter, 91% of attendees strongly agreed, and 9% agreed that the training had meaningful application for their professional work. 90% of attendees strongly agreed and 10% agreed that they had learned new skills or content related to afterschool from this training.  89% strongly agreed and 11% agreed that they would implement ideas/skills from the training.
Results for the student evaluation will be provided next quarter and is TBD.</t>
  </si>
  <si>
    <t>This quarter, CASE of Kids provided classroom materials to 46 afterschool programs to support STEM, Robotics, Social/Emotional Learning, Math and Computer Science.  
Funding Source: CCM</t>
  </si>
  <si>
    <t xml:space="preserve">Survey results on the benefits of receiving these classroom resources will be reported by afterschool programs in the next quarter. </t>
  </si>
  <si>
    <t>This quarter, 70 teachers were awarded scholarships to complete and/or renew the Child Development Associate (CDA) certification.  
Funding Source: CCQ</t>
  </si>
  <si>
    <t xml:space="preserve">The number of early education practitioners who successfully attain Child Development Associate (CDA) new and renewed certification will be reported in the 4th quarter. </t>
  </si>
  <si>
    <t>Salaries and travel reimbursement for 39 mentor staff
Funding Source: CCQ mentor-specific funding</t>
  </si>
  <si>
    <t>Mentors provided technical assistance to 1,839 Texas Rising Star-certified and Entry Level-designated programs to improve quality and early learning experiences for children. Our goal is improve the quality in 1,850 programs, thus 99% has been met.</t>
  </si>
  <si>
    <t>Tiered Incentives: A total of 595 early learning programs were recipients of this incentive in quarter three. Of the 595 recipients, 81 are home-based programs and 514 are licensed child care centers. 
This incentive was structured using a tiered system, with funding amounts determined by each program’s quality designation level and whether the program operated as a licensed center or a licensed/registered home. 
Licensed Centers: Entry Level ($750); Two-Star($850); Three-Star ($1,000); Four-Star ($1,500).  
Licensed/Registered Homes: Entry Level ($3,000); Two-Star($4,250); Three-Star($5,000); Four-Star($6,500).  
Funding Source: CQF</t>
  </si>
  <si>
    <t xml:space="preserve">In a post survey offered to recipients, 79% of child care programs reported they were able to maintain or increase their star level.  We will continue to gather feedback from child care programs as this opportunity continues. </t>
  </si>
  <si>
    <t xml:space="preserve">A total of 2,731 families received services and were outreached this quarter. Families were outreached via email to receive resources to include, but not limited to, financial stability, financial literacy, and child development and growth. Family kits, books, and resources have been shared with families at 7 community events benefitting families. 
Funding Source: CCQ </t>
  </si>
  <si>
    <t>Although, we have surpassed our goal to reach 2,000 families, outreach and engagement activities for families within the region will remain ongoing. We will report survey results to measure their level of satisfaction with information and resources provided to families in the next quarter.</t>
  </si>
  <si>
    <t xml:space="preserve">52 Texas Rising Star programs received child assessment tools and materials to track growth and identify potential delays in development. 
Funding Source: CCQ </t>
  </si>
  <si>
    <t>Infant and toddler teachers in 52 early learning programs have completed infant and toddler child screenings for 1,040 children meeting more than the Board's goal of reaching 1,000 children. Survey data from child care programs who received these assessment tools will be gathered in Q4.</t>
  </si>
  <si>
    <t>Children with Disabilities Incentive: This quarter, the Board partnered with three vendors—Kaplan Early Learning, Lakeshore Learning, and Discount School Supply—to provide the remaining 13 eligible programs with access to the incentive program. Each program received a unique shopping link that allowed them to order up to $2,000 in classroom materials and resources to support an inclusive learning environment for children.  
Funding Source: CQF</t>
  </si>
  <si>
    <t xml:space="preserve">In a post survey conducted, 89% of the participating programs reported that the funding increased opportunities for children with disabilities to participate successfully in classroom activities.  Additional child care programs receiving this incentive will be surveyed and the data will be provided in the next quarter. </t>
  </si>
  <si>
    <t>193 programs received Texas Rising Star recognition materials – banners, decals and brochures to identify their program as Texas Rising Star certified. 
Funding Source: CCQ</t>
  </si>
  <si>
    <t>193 new early learning programs added to the Texas Rising Star program. This brings the Board's total certified programs to 1,275.</t>
  </si>
  <si>
    <t>Shared Services: In this quarter, 3 early learning programs received a reimbursement of 50% of their membership fees for TXAEYC Shared Services. Programs utilized this reimbursement to support the ongoing need for resources related to maintaining a small business. 
Funding Source: CQF</t>
  </si>
  <si>
    <t xml:space="preserve">Additional child care programs receiving this incentive will be surveyed and cumulative data will be provided in the next quarter. </t>
  </si>
  <si>
    <t>Texas Rising Star Personnel: travel, salary, benefits, and operational costs for 3 mentors
Funding Source: CCQ mentor-specific funding</t>
  </si>
  <si>
    <t>The Board has served 35 of 39 early learning programs, therefore completing 90% of the goal for Q3.
Measurable outcomes regarding achieving certification and/or maintaining certification are to be determined.</t>
  </si>
  <si>
    <t>102 participants from 17 early learning programs participated in various virtual trainings provided by mentor staff to include: Emergency Preparedness, Introduction to Lesson Planning, Child Growth &amp; Development, and Introduction to Active Supervision. 
Funding Source: CCQ mentor-specific funding</t>
  </si>
  <si>
    <t>28 participants from 8 early learning programs participated in virtual training session s provided by the Board's Infant Toddler Specialist to include: Infant Toddler Specialist Network (ITSN) training and  Promoting Social Emotional Skills pt. 1 &amp; 2.
Funding Source: CCQ mentor-specific funding</t>
  </si>
  <si>
    <t>15 early learning programs received Infant/Toddler indoor/outdoor kits which consisted of age appropriate materials and equipment to help them meet program requirements for Texas Rising Star.       
Funding Source: CQF</t>
  </si>
  <si>
    <t>The Board has served 15 of 39 early learning programs in the Middle Rio Grande region by providing programs with materials, equipment and resources to assist in meeting Texas Rising Star program requirements. Also, the Board will help certified early learning programs who need materials and equipment to help them maintain their Texas Rising Star status.  Measurable outcomes are to be determined.</t>
  </si>
  <si>
    <t>20 early learning programs received outdoor kits which consisted of age appropriate materials and equipment to help them meet program requirements for Texas Rising Star.  
Funding Source: CQF</t>
  </si>
  <si>
    <t>50 early learning program staff participated in Conscious Discipline Professional Development training. Training was in person.
Funding Source: CQF</t>
  </si>
  <si>
    <t>Reimbursement for Splash Frogstreet registration for 2 child care program staff to attend the conference.
Funding Source: CQF</t>
  </si>
  <si>
    <t>Early learning program staff met 15 hours of the 30 (50%) needed to meet the training requirements for Child Care Regulation and Texas Rising Star.</t>
  </si>
  <si>
    <t>91 early learning program staff participated in an Early Childhood STEAM training and Frogstreet  curriculum training for preschool lesson planning training. This training was provided in-person.
Funding Source: CQF</t>
  </si>
  <si>
    <t>Frogstreet curriculum training for Infant/Toddler lesson planning was provided to 35 infant toddler teachers. The training was provided in person.
Funding Source: CQF</t>
  </si>
  <si>
    <t>40 early learning programs received Multicultural Sets to assist in meeting Texas Rising Star program requirements. 
Funding Source: CCQ</t>
  </si>
  <si>
    <t>Scholarships were offered to 2 child care program staff to receive or renew their CDA.
Funding Source: CCM</t>
  </si>
  <si>
    <t>23 participants from 6 early learning programs earned their CPR/First Aid certification so their programs could meet the training requirements needed for Child Care Regulation standards.
Funding Source: CCQ</t>
  </si>
  <si>
    <t>A total of 2 hours of virtual training were provided for infant/toddler teachers on Infant and Toddler Social Emotional Development. During Quarter 3, outreach was conducted to 100 early learning programs, with 15 participants attending the virtual training.
Funding Source: CQF</t>
  </si>
  <si>
    <t xml:space="preserve">Success was measured using pre- and post-training surveys. According to the survey data, 46% of the participants provided positive feedback, citing increased knowledge and a better understanding of how to support healthy social-emotional development in infants and toddlers. A review of pre- and post-training survey data revealed that 76% of participants who completed both surveys increased their scores on the post-training survey. </t>
  </si>
  <si>
    <t>A total of 22 hours of virtual professional development was provided on topics such as Managing Challenging Behavior Part 2, The Power of Positive Teacher Child Interactions, Supporting Children with Special Needs: Social Emotional and Behavior, Conscious Discipline, Leadership and Management, Preventing and Responding to Challenging Behaviors, Stress as a Leader in Child Care, and Category 2. In Quarter 3, 192 participants from 31 programs attended virtual trainings.
Funding Source: CCQ</t>
  </si>
  <si>
    <t>Across all professional development trainings, 86% of participants reported gaining either "Expert" or "Some Knowledge," and 81% found the content "Extremely relevant" to their roles. These outcomes demonstrate a strong overall impact, indicating that the ongoing training series effectively enhances staff knowledge and relevance to practice in key areas such as leadership, behavior management, and support for special needs.</t>
  </si>
  <si>
    <t>The SETX Mini-Early Childhood Conference "Building Strong Foundations: Social-Emotional Growth in Early Childhood" (in-person), which will take place in Quarter 4, is designed for teachers and administrators from Texas Rising Star child care programs to gain professional development hours. It addressed specific training needs, validated by data collected from needs surveys conducted three times per year. Attendees will receive training on topics including but not limited to: Nurturing Emotional Intelligence in Early Learners, Creating Calm; Classroom Strategies for Emotional Regulation;  Building Relationships: Strengthening Teacher-Child Connections; Family Partnerships: Encouraging Social-Emotional Development at Home; Trauma-Informed Care in Early Childhood Settings; and Fostering a Culture of Kindness in Early Learning Environments.  In Quarter 3, a total of 165 participants representing 15 facilities have registered for the in-person Conference.
Funding Source: CCQ</t>
  </si>
  <si>
    <t>The conference will take place in Quarter 4. Measurable outcomes TBD.</t>
  </si>
  <si>
    <t>During Quarter 3, a CPR &amp; First Aid Certification training session was offered to 18 participants. Through this initiative, programs will decrease the number of non-compliance barriers to Texas Rising Star participation and increase teacher awareness and safety knowledge.  
Funding Source: CCQ</t>
  </si>
  <si>
    <t>Success was measured by 100% of participants who registered and earned their CPR &amp; First Aid Certification.  (18 registered and 18 completed the session.) Measurable outcomes regarding Child Care Regulation deficiencies is TBD.</t>
  </si>
  <si>
    <t>The Certification Incentive initiative offered stipends to Entry Level-designated programs upon successful completion of their Initial Certification Assessment. In Quarter 3, 9 programs received stipends in recognition of meeting the requirements of their Initial Certification Assessment. The following Matrix was used: LCCH / RCCH: 12 Children or Less- Two-Star $2,000, Three-Star $2,500, Four-Star $3,000; LCCC: Less than 50 Children - Two-Star $3500, Three-Star $4,000, Four-Star $4,500; LCCC: 51 - 100 Children - Two-Star $4,500, Three-Star $5,000, Four-Star $5,500; LCCC: 101 - 150 Children -Two-Star $5,500, Three-Star $6,000, Four-Star $6,500; LCCC: 150+ Children: Two-Star $6,500,  Three-Star $7,000, Four-Star $7,500
Funding Source: CQF</t>
  </si>
  <si>
    <t>The success will continue to be measured by the increase in the number of Texas Rising Star-certified early learning programs. Since the beginning of FY25, there has been a 29% growth in the number of certified programs. 6 centers, 1 home, and 2 school-age programs received Two-Star certification. Measurable outcomes are TBD.</t>
  </si>
  <si>
    <t>The Inclusion Specialist, for children with disabilities, procured materials for 2 Texas Rising Star Early Learning Programs to support the children in their care who have special needs. These resources are intended to promote inclusive practices and improve developmental outcomes.
Funding Source: CCQ</t>
  </si>
  <si>
    <t>Success was measured by the number of early learning programs receiving inclusion support for children with disabilities. 8 total programs have received general inclusion support to include targeted assistance. Among these Texas Rising Star facilities, 23 children and 32 staff are currently receiving individualized or group developmental and sensory support. Two programs received physical inclusion materials, while six others were supported through consultation and training from the Inclusion Specialist for children with disabilities. These efforts reflect growing impact and strong engagement in inclusive practices for children with disabilities. Measurable outcomes are TBD.</t>
  </si>
  <si>
    <t>The Board began implementation of the pilot "Empowered: Shaping Tomorrow's Early Childhood Leaders" which is designed to support the professional growth of early childhood Infant and Toddler teachers and develop future leaders in the field. Based on data collected from needs assessments and surveys conducted three times per year, this program will offer participants 150 professional development hours. Those who complete the 150 professional development hours in its entirety are eligible to receive a $500 stipend and a $200 e-procurement credit to Kaplan Early Learning Company for educational materials. During this quarter, 9 teachers completed the pilot program.
Funding Source: CQF</t>
  </si>
  <si>
    <t>Success was measured using pre- and post-surveys and tests, which included scaled and short-answer questions. Results showed that 71% of participants reported a significant increase in knowledge across key teaching areas, and post-test scores reflected an 86% improvement in overall understanding. Additionally, 86% of participants were highly satisfied with the training, and 100% said they would recommend the program. Measurable outcomes TBD.</t>
  </si>
  <si>
    <t>An Outdoor Equipment stipend was awarded to 4 Entry Level-designated early learning programs. Only programs holding an Entry Level designation as of May 30, 2025, were eligible to receive this funding. Recipients were provided a two-week period to utilize the stipend for the purchase of outdoor equipment and to submit corresponding receipts. All purchased materials were required to support physical activity, promote the development of gross motor skills, encourage exploration of the natural environment, and contribute to a stimulating outdoor learning space. Children will engage with the equipment through activities such as climbing, running, balancing, and crawling each of which plays a vital role in fostering healthy development.
Funding Source: CQF</t>
  </si>
  <si>
    <t>Measurable outcomes TBD based on post-survey results.</t>
  </si>
  <si>
    <t>National Accreditation support was made available to 11 Texas Rising Star Family Child Care Homes. This initiative aimed to assist home-based child care programs with costs related to national accreditation, including initial application and renewal fees. However, none of the programs opted to pursue National Accreditation at this time (training/informational meeting-virtual)
Funding Source: CQF</t>
  </si>
  <si>
    <t>Success was measured by the level of interest in the self-study process, with all 11 early learning programs expressing initial interest. While none of the programs were prepared to begin the self-study at this time, all 11 early learning programs demonstrated willingness to participate in the newly formed Family Child Care Home Advisory Committee resulting in a 100% participation rate for this initiative. Measurable outcomes TBD.</t>
  </si>
  <si>
    <t>7 BEAM Pro Mobiles were purchased for 7 Texas Rising Star Four-Star programs to enhance afterschool classroom experiences.
Funding Source: CCQ</t>
  </si>
  <si>
    <t>Success was measured by post-surveys. Based on the responses, 100% of participants agreed that the BEAM initiative fit well into their afterschool routine, kept students engaged, and was a valuable addition to their curriculum. Additionally, feedback highlighted interactive games and activities that supported gross motor skills as the most effective components, indicating a strong positive impact of the program.</t>
  </si>
  <si>
    <t>CDA scholarships were awarded to practitioners from Texas Rising Star early learning programs to gain in person college hours and complete CDA credentials. In Quarter 3, 7 teachers were awarded the CDA scholarship and 6 of the 7 graduated.
Funding Source: CCQ</t>
  </si>
  <si>
    <t xml:space="preserve">The success/outcomes was measured by the number scholarship recipients who will complete the coursework and gain their CDA. In Quarter 3, six of the 7 teachers who were awarded the CDA scholarship graduated.
</t>
  </si>
  <si>
    <t xml:space="preserve">The Recertification Incentive initiative offered certified early learning programs both materials resources and financial support to assist in maintaining or enhancing their star rating during the Recertification Assessment process. In Quarter 3, no programs received materials to support their facilities in alignment with Category 4 standards, however, 6 received stipends. The following Matrix was used: LCCH/RCCH 12 children or less - Two-Star $2,000, Three-Star $2,500, Four-Star $3,000; LCCC: Less than 50 Children - Two-Star $3,500, Three-Star $4,000, 4-Star $4,500; LCCC: 51 - 100 children - Two-Star $4,500, Three-Star $5,000, Four-Star $5,500; LCCC: 101 - 150 children - Two-Star $5,500, Three-Star $6,000, Four-Star $6,500; LCCC: 150+ children - Two-Star $6,500, Three-Star $7,000, Four-Star $7,500
Funding Source: CCF                                                                                                                                                                                                                                                                                                                   </t>
  </si>
  <si>
    <t>Success will continue to be measured based on the completion and retention of the early learning program's certification. To date, 27% of the 27 early learning programs have successfully completed and achieved their Recertification Assessment, indicating progress toward retention of Texas Rising Star-certified programs.  100% received the materials and resources to support them in attaining recertification. 6 out of the 27 have been assessed. 4 early learning programs received a Four-Star recertification. 2 early learning programs received Three-Star recertification.  All early learning programs were centers. 
Measurable outcomes are TBD.</t>
  </si>
  <si>
    <t>Purchased Frogstreet Infant and Toddler Curriculum and Learning Without Tears Preschool Curriculum for 11 Texas Rising Star early learning programs based on structured data collection.  Materials and supplies were provided to meet the needs of each program. This initiative ensured that activities and lessons are age-appropriate and cover a range of learning areas. During Quarter 3 we were able to purchase 13 Infant Frogstreet Curriculums, 13 Toddler Frogstreet Curriculums, and 19 Learning Without Tears Preschool curriculums for the 11 early learning programs.
Funding Source: CQF</t>
  </si>
  <si>
    <t>Success was shown by increased access to age-appropriate lessons and learning materials for 45 classrooms within 11 early learning programs. Recipients will complete a post survey once curriculum has been successfully implemented. Measurable outcomes are TBD.</t>
  </si>
  <si>
    <t>Texas Rising Star mentors participated in Professional Learning Communities (PLC) designed to enhance their understanding of high-quality coaching competencies. These PLCs aim to strengthen mentoring practices and support the attainment of micro-credentials. Focused on effective classroom strategies, the PLCs are conducted in small groups and offered virtually with flexible scheduling options.  
Funding Source: CCQ mentor-specific</t>
  </si>
  <si>
    <t>Mentors participated in 23 PLCs earning between 4.5 to 10.5 hours of training. Measurable outcomes are TBD.</t>
  </si>
  <si>
    <t>There are a total number of staff 10 members who are supporting Early Learning Programs in Southeast. This includes 3 Mentors, 1 Infant Toddler Specialist/Mentor, 1 Inclusion Specialist/Mentor, 1 Program Support Specialist-Texas Rising Star/TECPDS Specialist, 1 Quality Coach/TECPDS Specialist, 1 Sr. Provider Services Manager, 1 Director of Quality, and 1 CDU/ Board Supervisor. 
Funding Source: CCQ mentor-specific funding</t>
  </si>
  <si>
    <t>Measurable outcomes to be determined.</t>
  </si>
  <si>
    <t>The Board has assisted 60 early learning programs in Q3, which meets the goal at 100%.</t>
  </si>
  <si>
    <t>Purchased Infant/Toddler Curriculum for 7 child care programs. 
Funding Source: CQF</t>
  </si>
  <si>
    <t xml:space="preserve">Goal is to purchase curriculum for child care programs to support in scoring higher for P-PM-03 and P-PM-04 measures during Texas Rising Star assessments. 5 of 7 centers received credit for having curriculum in the classroom. The other 2 centers have not yet been assessed thus, scores are TBD. </t>
  </si>
  <si>
    <t>Purchased potty training kits for 157 classrooms for 60 early learning programs.
Funding Source: CQF</t>
  </si>
  <si>
    <t>Goal is to assist programs in meeting the S-FE-01 measure, which will assist with providing developmental milestone checklist through physical readiness, cognitive understanding, and social-emotional development. Feedback from child care programs and parents is TBD.</t>
  </si>
  <si>
    <t xml:space="preserve">Child care programs are utilizing Brightwheel to submit attendance to KinderConnect. Goal is to also
increase communication between program and parents. 
Data regarding an increase in parent/teacher communication is ongoing, however, at least 50% of parent communication is done using Brightwheel. 
The Board's goal of providing 60 programs with Brightwheel has been met at 100%. </t>
  </si>
  <si>
    <t xml:space="preserve">Determined that 388 people (84%) retained positions in the same center for over 6 months. </t>
  </si>
  <si>
    <t>Provided various director and staff trainings monthly. A total of 631 early learning staff attended. 123 participants attended in-person and 508 participants attended via zoom. 
Funding Source: CQF</t>
  </si>
  <si>
    <t xml:space="preserve">Provided child care program staff with required training hours in an effort to support an increase of quality interactions in the classroom. Goal is to also increase the number of centers meeting Texas Rising Star qualifications. We have had 13 new centers qualify for Texas Rising Star since the beginning of the fiscal year. 
Child Care Regulation Data TBD. </t>
  </si>
  <si>
    <t>Registered 24 child care program staff to attend Frog Street Splash Conference 2025.
Funding Source: CCQ</t>
  </si>
  <si>
    <t xml:space="preserve">Provided child care program staff with required training hours in an effort to increase quality in the classroom. Goal is to also decrease in number of licensing deficiencies cited by Child Care Regulation.  
Certificates will be uploaded to TECPDS and verified by mentors. 
Child Care Regulation data TBD. </t>
  </si>
  <si>
    <t>Paid for 37 child care program staff  to take the CDA Course through Paris Junior College and Texarkana College. 
Funding Source: CQF</t>
  </si>
  <si>
    <t xml:space="preserve">Child care program staff will take the test and be assessed to receive a certificate. Testing results TBD. </t>
  </si>
  <si>
    <t>Provided portals for child care programs to purchase quality items for their classrooms in honor of Child Care Program Appreciation. 
Funding Source: CCQ</t>
  </si>
  <si>
    <t>The Board's goal was to make child care programs feel appreciated. We received email feedback showing their appreciation for the items they were able to purchase. Child care programs also sent pictures to show the children utilizing the items they purchased. Measurable outcomes are to be determined.</t>
  </si>
  <si>
    <t>Personnel costs for Texas Rising Star staff employed with Workforce Solutions Northeast Texas. 4 mentors continue to provide quality training to child care programs and they are continuously searching for trainings to provide and participate in. The Board has assisted 60 early learning programs in quarter 3.
Funding Source: CCQ mentor-specific funding</t>
  </si>
  <si>
    <t>Provided wage incentives to 461 child care program staff based on Staff Retention. Staff had to be employed at least 90 days. The amounts received were determined by longevity at the center and the individuals Early Childhood Education levels. 
The amounts for longevity are: $25 employed 3-6 months, $50 7-12, $100 13-36, $200 37-60, $350 31-120, &amp; $500 121-200 months. Plus educational level: CDA Certificate $50  / $150 for an associate degree. 
Funding Source: CQF</t>
  </si>
  <si>
    <t>Total CCQ, CQF and Mentor Funding Allotted</t>
  </si>
  <si>
    <t>Expenditures reported are as of June 2025 (CCQ, CQF, &amp; Mentor Expenditures)</t>
  </si>
  <si>
    <t>YTD % Expended of Allotted</t>
  </si>
  <si>
    <t>As of June 2025</t>
  </si>
  <si>
    <t>To enhance the quality of care for all children, educational materials/equipment were provided to 2 programs (Little Angels 1 #1681382 &amp; Precious Blessings #1634006).  Educational materials/equipment will enhance the classroom in order to meet the children physical, cognitive, social/emotional and language and literacy domains.  
Funding Source: CQF</t>
  </si>
  <si>
    <t>The Board will measure the success of this activity by early learning programs maintaining or increasing their Texas Rising Star level of certification. Measurable outcome to be determined.</t>
  </si>
  <si>
    <t>To enhance the quality of care for all children, equipment was provided to Kids R Us #1562364 to increase the number of infant and toddler slots.   
Funding Source: CQF</t>
  </si>
  <si>
    <t>The Board will measure the success of this activity by enrolling an additional infant in care.  The registered home increased the available slot for infants by 1 slot.</t>
  </si>
  <si>
    <t>To enhance the quality of care for all children, educational materials/equipment were provided to 13 programs (Little Angels 1 #1681382, Precious Blessings #1634006, Carousel Lomas #1727795, Happy Hearts #1537521, Jasmine's Daycare #855350, Happy Hearts #2 #1706571, Castillito's #1498567, All Star Kids #851071, Great Beginnings #1663724, Right Start #555032, Little Hunter's Learning Center #1707933, Carousel Zapata #1355009, &amp; Alejandra's Day Care #828358).  Educational materials/equipment will enhance the classroom in order to meet the children physical, cognitive, social/emotional and language and literacy domains. 
Funding Source: CCQ</t>
  </si>
  <si>
    <t xml:space="preserve">The Board hosted an in-person professional development conference to 75 early learning program directors and owners that specifically focused on enhancing business practices.  This training assisted the administrators in obtaining their required yearly training hours and provided them with new techniques that pertain to business administration and leadership. Trainer Laura Clary, Venue Texas A&amp;M International University
Funding Source: CQF </t>
  </si>
  <si>
    <t>The Board will measure the success of this activity by early learning programs directors and owners obtaining their required yearly training hours and knowledge within the training topics that were provided. Measurable outcome to be determined.</t>
  </si>
  <si>
    <t xml:space="preserve">Supplies to support and enhance the professional development training for 350 early learning program participants at the Mental Health Training Event.  (Materials only, event has not taken place yet)
Funding Source: CQF </t>
  </si>
  <si>
    <t>This activity is scheduled for September 27, 2025. Data will be provided in Q4 report. Measurable outcome to be determined.</t>
  </si>
  <si>
    <t>Ongoing Peer Learning Community (PLC) and CAP trainings completed by Local Texas Rising Star mentors (mentors were the participants).
Funding Source: CCQ mentor-specific funding</t>
  </si>
  <si>
    <t>Measurable outcome to be determined.</t>
  </si>
  <si>
    <t>Texas Rising Star Personnel - 5 mentors/staff
Funding Source: CCQ mentor-specific funding</t>
  </si>
  <si>
    <t>Provided 75 early learning program educators with CPR/First Aid and AED training to support the programs to meet the Health and Safety requirements and in order to be in compliance with meeting one of the Childe Care Regulation (CCR) standards. 
Funding Source: CCQ</t>
  </si>
  <si>
    <t>The Board will measure the success of this activity by providing this training to help decrease number of licensing deficiencies cited by Child Care Regulation. Measurable outcome to be determined.</t>
  </si>
  <si>
    <t>The Board will measure the success of the incentive activity by the retention of staff within early learning programs. Measurable outcome to be determined.</t>
  </si>
  <si>
    <t>Professional Development for Infant/Toddler Specific Training (Virtual Delivery)
Infant Toddler Specialist Network (ITSN) Foundations Language and Communication
69 Individuals (46 virtual and 23 in-person) attended trainings on the following topics: Physical Development, Cognitive Development, and Grow with Me, increasing awareness and knowledge on how to better engage infants and toddlers in their learning helping these individuals maintain or increase their Category 2 scores. 
Funding: CQF</t>
  </si>
  <si>
    <t xml:space="preserve">This activity is ongoing, thus complete outcomes are to be determined. </t>
  </si>
  <si>
    <t>19 individuals participated in virtual Peer Learning Communities centering on Infant and Toddler. The topics were: Physical Development, Cognitive Development, and Grow with Me, potentially helping these individuals maintain or increase their Category 2 scores. 
Funding: CQF</t>
  </si>
  <si>
    <t>CPR &amp; First Aid Certification
57 individuals from 26 early learning programs received in-person CPR &amp; First Aid training in Cedar Park, adding to workplace safety, life-saving skills, and compliance with regulations, thus decreasing potential instances of citations from Child Care Regulation due to non-compliance for their early learning program to support them in maintaining their Texas Rising Star certification status.  
Funding: CCQ</t>
  </si>
  <si>
    <t xml:space="preserve">57  individuals from 8 different early learning programs, earned their CPR &amp; First Aid certification. Certification is good for two years, ensuring licensing deficiencies cited by Child Care Regulation for expired CPR &amp; First Aid Certification are reduced.  42 (cumulative total) of the 120 goal of early learning programs have been served. </t>
  </si>
  <si>
    <t xml:space="preserve">Professional Development Opportunities (Virtual Delivery)
Directors' Conversations - virtual Community of Practice
190 Directors came together to learn and discuss Minimum Standards, Behavior Management, and Effective Use of Texas Early Childhood Professional Development System (TECPDS). 
Funding: CQF
</t>
  </si>
  <si>
    <t>According to a survey, 50% of the participants felt extremely comfortable with behavior management after the discussion. This was an increase from pre-test scores of 0% who were extremely confident about the subject prior to the discussion. Additionally, 40% felt more confident using TECPDS after the discussion. This was an increase from the 7% who were confident about the subject prior to the discussion. 100% of participants were somewhat confident with their understanding of Minimum Standards in post-test results. Pre-survey results showed 71% of participants reported feeling extremely confident with their understanding of minimum standards, while 29% remained somewhat confident.
Star-level designation currently not available due to delay in assessments conducted.</t>
  </si>
  <si>
    <t xml:space="preserve">Professional Development Opportunities Training Calendar 
180 early learning program personnel (53 virtual and 127 in-person) participated in various professional development trainings including: Frog Street Curriculum Implementation Training (English &amp; Spanish), What is Sensory Modulation, Understanding the Out of Sync Child, Transforming Challenging Behaviors, Strategies for Building Strong Connections, 3 Monkeys of Parent Communication (English and Spanish), Attitude Determines Altitude, and Behavior Prevention. Each training helps the early learning program maintain, obtain, or increase their Texas Rising Star certification level. 
Funding: CQF
</t>
  </si>
  <si>
    <t xml:space="preserve">
According to the survey 82% of those who participated in the Transforming Challenging Behaviors training felt more confident and knowledgeable about the subject matter after the training. This was an increase from 27% who were confident about the subject prior to the discussion. 35% of those who participated in the Understanding the Out of Sync Child Training felt extremely confident in the subject prior to the training. 73% of those who participated in the training felt extremely confident in their understanding of the subject matter post training. 20% of those who participated in the What is Sensory Modulations training felt uncertain in their understanding prior to the training. After the training, 40% felt extremely comfortable with the material while another 60% felt moderately comfortable with the material post training. 
Star-level designation currently not available due to delay in assessments conducted.</t>
  </si>
  <si>
    <t>Professional Development - Conscious Discipline
21 individuals completed in-person Conscious Discipline training, increasing their social-emotional understanding and potentially increasing Category 2 scores.
Funding Source: CQF</t>
  </si>
  <si>
    <t xml:space="preserve">Data not available due to delay in assessments being completed. </t>
  </si>
  <si>
    <t xml:space="preserve">CDA Training
57 participants (20 virtual and 37 in-person) began working towards earning their CDA credential. 37 participants are in the English Language cohort while 20 are in the Spanish Language cohort. 
Funding Source: CQF
</t>
  </si>
  <si>
    <t xml:space="preserve">57 individuals have begun the Child Development Associate Credential (CDA) process. 83 individuals applied for the 2025 CDA cohort with 13 beginning that process in San Marcos, 24 beginning that process in Cedar Park, and 20 beginning that process virtually with instruction in Spanish. All individuals who were eligible and had a completed application packet were able to join the cohort. 
Assessment data is pending. </t>
  </si>
  <si>
    <t>Texas Rising Star Staff salaries, travel, benefits, etc. 
11 Early Education Specialists (mentors) continued to provide mentoring services in order to assist early learning programs in obtaining or maintaining Texas Rising Star certification. Mentoring took place either virtually or in person and in various formats: 1-on-1, Peer Learning Community, or Director's Conversation. 254 early learning programs received 1:1 mentoring services during Q3. 
80 early learning program representatives participated in Director Conversations. 
Staff supports 318 programs in the Board area.
Additionally, 3 quality support staff were funded during this time.
Funding: CCQ mentor-specific funding</t>
  </si>
  <si>
    <t xml:space="preserve">254 early learning programs received 1:1 mentoring services during Q3. 80 early learning program staff participated in Director Conversations. Staff supports a total of 318 programs in the Board area. 
Complete outcomes are to be determined. </t>
  </si>
  <si>
    <t>ASQ Training
40 individuals from 14 programs attended virtual training for the Ages and Stages Questionnaire in order to begin the implementation process and potentially identify delayed developmental milestones early. 
Funding Source: CQF</t>
  </si>
  <si>
    <t xml:space="preserve">This activity is on going, thus complete outcomes are to be determined. </t>
  </si>
  <si>
    <t>ASQ Kits
9 programs received the Ages and Stages Questionnaire kits (and training) in Q3 to begin the implementation process and potentially identify delayed developmental milestones early. 
Funding Source: CQF</t>
  </si>
  <si>
    <t>17 programs (cumulative) out of the goal of 20 began the process of implementing the Ages and Stages Questionnaire, helping parents and teachers identify potential delays in developmental milestones early. 9 kits were disbursed in Q3, while 8 were previously disbursed in Q2.</t>
  </si>
  <si>
    <t>Wage supports for child care program staff
Non-Teacher/Non-Owner Bonus Incentive
166 support staff (non-teachers and non-owners) were awarded a $2,300 retention bonus. Applicants were to have been employed at their early learning program for a minimum of six-months. 
Funding Source: CQF</t>
  </si>
  <si>
    <t xml:space="preserve"> Follow up survey to be sent out in 6 months to determine percentage of staff retained. Measurable outcomes are to be determined.</t>
  </si>
  <si>
    <t>Shared Service Alliance Initiative
Rural Capital has provided resources and support to early learning programs and their staff (140 total - 108 virtual and 32 in-person) in 4 of 9 counties. There are 2 different service contractors covering 2 different areas. There are a total of 27 early learning programs that have joined the Shared Services Alliance. Williamson County is serving 12 early learning programs. Bastrop, Hays, and Fayette County is serving 15 early learning programs. 
Funding: CQF</t>
  </si>
  <si>
    <t>Pre-Service training: 32
Annual training:  78
Other trainings:  30
Total:  140 received training 
Measurable outcomes are to be determined.</t>
  </si>
  <si>
    <t>The Board's Inclusion Specialist for children with disabilities provided professional development for 32 staff from 6 Texas Rising Star centers and provided them with resources to promote inclusive practices and developmental outcomes.
Funding Source: CCQ</t>
  </si>
  <si>
    <t>Provided a wage supplement incentive for 54 Texas Rising Star programs for 274 teacher staff. This incentive was to improve staff retention and increase early learning program staff. 
The following centers received the job retention incentive: All Stars #851071, Blooming Kids #1549462, Carousel Heights #1521512, Carousel Academy #1355009, Carousel Lomas #1727795, Caterpillars #1712259, Children Fountain #887470, Creative Kids#1707779, Education Center#558846, Great Beginnings #1663724, Happy Beginnings  # 1575887, Happy Days #1497315, Happy Hearts 2 #1706571, Happy Hearts #1537521, Johnson's Day Care 2# 1528877, Johnson's Day Care #1400187, Johnson's Day Care 3 #1708558, Kinder club LC TOO #1581996, Kinderclub Learning Center #1342446, Kingdom Kids #1709686, Kristi-Lins Academy #1669959, Lil Kidz Klub D'3rd #1748669, Lil Kidz Klub Daycare #1625068, Lil Kidz Klub Jr #1671519, Little Angels 1 #1681382, Little Characters 1 #1703276, Little Feet #871757,  Littel Friends #1692764, Little Hearts #1722162, Little Hunters 1 #1707933, Little Hunters 2 #1694501, Little Rainbow #831503, Mi Casita Child Care #811020, Miracles &amp; Dreams #1729075, My Kids Academy #1718438, My Kids Learning Center #1569521, My Little School of Minds #813698, Naty's #548781, Once Upon A Dream #1695027, Once Upon a A Time #1579415, Pats Day Care#504592, Poka Dots 2 #1715632, Poka Dots Day Care #1503518, Reyesitos 1 #878738, Reyesitos 2 #831681, Right Start 2 #1703163, Right Start Childcare #555032, School of Wonder #502090, Sunshine Academy #1571816,  Sunshine Academy LLC #1677149, Sunshine Little School #527198, Super Stars ITC #1643891, The Learning Patch #1652839, Train-ing Days #878646
Funding Source:  CQF</t>
  </si>
  <si>
    <t>The Board held a Spanish Child Care Conference for early learning programs. We partnered with Region One ESC, Celebrate SEL and Lakeshore Learning Materials to provide specific age-appropriate in-person training such as Infant Massage Strategies, Social-Emotional Development, How to Conduct Read Aloud, Process Focused Art and Effective Classroom Management.  The 281 participants were divided by age groups: Infant, Toddler, Preschool and School age. The goal was to have participants learn best practices, gain new knowledge and focus on child development specific to their classrooms, by providing training in their language of preference, which in turn will result in higher scores in Category 2: Teacher/Child Interaction.     
Funding Source: CQF</t>
  </si>
  <si>
    <t>infant Toddler Specialist had a total of 80 participants attending infant toddler specific training. 30 participants trained in April, 27 participants trained in May, and 23 participants trained in June. There were 16 early learning programs that received specific individualized training. This is 76% of the Board's goal to train early learning staff in FY25.
The effectiveness of this activity will be measured utilizing the CLI Engage Classroom Observation Tool to acquire data along the baseline of the classroom and to distinguish between observed and non-observed skills to inform goal-setting practices and skill acquisition. Measurable outcomes TBD.</t>
  </si>
  <si>
    <t xml:space="preserve">WSNCT provided Texas Rising Star Entry Level-designated programs a $3,750 equipment stipend to acquire resources that meet the needs of the program based on Texas Rising Star standards. To qualify early learning programs must be either be Entry Level-designated or certified as a Two-Star, Three-Star, or Four-Star. 34 Entry Level-designated programs qualified to receive quality enrichment materials to enhance early learning environments and to increase selected programs Texas Rising Star readiness.
Funding Source: CQF </t>
  </si>
  <si>
    <t>817 people received a one-time incentive based on a rubric that covered longevity, quality, educations, location and nontraditional hours, for a total of $289,300. 
Funding Source:  CQF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</si>
</sst>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
    <numFmt numFmtId="165" formatCode="&quot;$&quot;#,##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2"/>
      <color theme="0"/>
      <name val="Calibri"/>
      <family val="2"/>
      <scheme val="minor"/>
    </font>
    <font>
      <b/>
      <sz val="12"/>
      <name val="Calibri"/>
      <family val="2"/>
      <scheme val="minor"/>
    </font>
    <font>
      <sz val="12"/>
      <color theme="1"/>
      <name val="Calibri"/>
      <family val="2"/>
      <scheme val="minor"/>
    </font>
    <font>
      <b/>
      <sz val="12"/>
      <color theme="1"/>
      <name val="Calibri"/>
      <family val="2"/>
      <scheme val="minor"/>
    </font>
    <font>
      <sz val="12"/>
      <name val="Calibri"/>
      <family val="2"/>
      <scheme val="minor"/>
    </font>
    <font>
      <i/>
      <sz val="12"/>
      <name val="Calibri"/>
      <family val="2"/>
      <scheme val="minor"/>
    </font>
    <font>
      <sz val="12"/>
      <color rgb="FF0070C0"/>
      <name val="Calibri"/>
      <family val="2"/>
      <scheme val="minor"/>
    </font>
    <font>
      <b/>
      <sz val="12"/>
      <color rgb="FFC00000"/>
      <name val="Calibri"/>
      <family val="2"/>
      <scheme val="minor"/>
    </font>
    <font>
      <b/>
      <sz val="12"/>
      <color rgb="FFFF0000"/>
      <name val="Calibri"/>
      <family val="2"/>
      <scheme val="minor"/>
    </font>
    <font>
      <b/>
      <strike/>
      <sz val="12"/>
      <color rgb="FFC00000"/>
      <name val="Calibri"/>
      <family val="2"/>
      <scheme val="minor"/>
    </font>
    <font>
      <sz val="8"/>
      <name val="Calibri"/>
      <family val="2"/>
      <scheme val="minor"/>
    </font>
    <font>
      <sz val="11"/>
      <color rgb="FF3F3F76"/>
      <name val="Calibri"/>
      <family val="2"/>
      <scheme val="minor"/>
    </font>
    <font>
      <sz val="12"/>
      <color theme="8" tint="0.79998168889431442"/>
      <name val="Calibri"/>
      <family val="2"/>
      <scheme val="minor"/>
    </font>
    <font>
      <sz val="8"/>
      <color theme="1"/>
      <name val="Calibri"/>
      <family val="2"/>
      <scheme val="minor"/>
    </font>
    <font>
      <b/>
      <sz val="8"/>
      <color theme="1"/>
      <name val="Calibri"/>
      <family val="2"/>
      <scheme val="minor"/>
    </font>
    <font>
      <sz val="11"/>
      <name val="Calibri"/>
      <family val="2"/>
      <scheme val="minor"/>
    </font>
  </fonts>
  <fills count="21">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4" tint="-0.499984740745262"/>
        <bgColor indexed="64"/>
      </patternFill>
    </fill>
    <fill>
      <patternFill patternType="solid">
        <fgColor theme="4" tint="0.79998168889431442"/>
        <bgColor indexed="64"/>
      </patternFill>
    </fill>
    <fill>
      <patternFill patternType="solid">
        <fgColor rgb="FF8BC5FF"/>
        <bgColor indexed="64"/>
      </patternFill>
    </fill>
    <fill>
      <patternFill patternType="solid">
        <fgColor rgb="FFF8CAAE"/>
        <bgColor indexed="64"/>
      </patternFill>
    </fill>
    <fill>
      <patternFill patternType="solid">
        <fgColor rgb="FFEEFFBD"/>
        <bgColor indexed="64"/>
      </patternFill>
    </fill>
    <fill>
      <patternFill patternType="solid">
        <fgColor rgb="FFEEDDFF"/>
        <bgColor indexed="64"/>
      </patternFill>
    </fill>
    <fill>
      <patternFill patternType="solid">
        <fgColor rgb="FFFFFF99"/>
        <bgColor indexed="64"/>
      </patternFill>
    </fill>
    <fill>
      <patternFill patternType="solid">
        <fgColor rgb="FFCCFFFF"/>
        <bgColor indexed="64"/>
      </patternFill>
    </fill>
    <fill>
      <patternFill patternType="solid">
        <fgColor rgb="FFFFCCFF"/>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C99"/>
      </patternFill>
    </fill>
    <fill>
      <patternFill patternType="solid">
        <fgColor theme="9" tint="0.79998168889431442"/>
        <bgColor theme="6" tint="0.79998168889431442"/>
      </patternFill>
    </fill>
  </fills>
  <borders count="25">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theme="6" tint="0.39997558519241921"/>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theme="6" tint="0.39997558519241921"/>
      </bottom>
      <diagonal/>
    </border>
    <border>
      <left/>
      <right/>
      <top style="thin">
        <color indexed="64"/>
      </top>
      <bottom style="thin">
        <color indexed="64"/>
      </bottom>
      <diagonal/>
    </border>
    <border>
      <left style="thin">
        <color indexed="64"/>
      </left>
      <right style="thin">
        <color indexed="64"/>
      </right>
      <top/>
      <bottom style="medium">
        <color indexed="64"/>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3" fillId="4" borderId="0">
      <alignment horizontal="left" vertical="center"/>
      <protection locked="0"/>
    </xf>
    <xf numFmtId="0" fontId="15" fillId="19" borderId="21" applyNumberFormat="0" applyAlignment="0" applyProtection="0"/>
  </cellStyleXfs>
  <cellXfs count="271">
    <xf numFmtId="0" fontId="0" fillId="0" borderId="0" xfId="0"/>
    <xf numFmtId="0" fontId="2" fillId="0" borderId="0" xfId="0" applyFont="1"/>
    <xf numFmtId="0" fontId="2" fillId="0" borderId="0" xfId="0" applyFont="1" applyAlignment="1">
      <alignment horizontal="center" vertical="top" wrapText="1"/>
    </xf>
    <xf numFmtId="0" fontId="8" fillId="0" borderId="4" xfId="4" applyFont="1" applyFill="1" applyBorder="1"/>
    <xf numFmtId="9" fontId="6" fillId="0" borderId="4" xfId="2" applyFont="1" applyFill="1" applyBorder="1"/>
    <xf numFmtId="9" fontId="6" fillId="0" borderId="5" xfId="2" applyFont="1" applyFill="1" applyBorder="1"/>
    <xf numFmtId="0" fontId="6" fillId="0" borderId="0" xfId="0" applyFont="1"/>
    <xf numFmtId="0" fontId="8" fillId="0" borderId="5" xfId="4" applyFont="1" applyFill="1" applyBorder="1"/>
    <xf numFmtId="0" fontId="0" fillId="0" borderId="0" xfId="0" applyAlignment="1">
      <alignment horizontal="center"/>
    </xf>
    <xf numFmtId="0" fontId="8" fillId="13" borderId="5" xfId="0" applyFont="1" applyFill="1" applyBorder="1" applyAlignment="1">
      <alignment horizontal="center" vertical="center"/>
    </xf>
    <xf numFmtId="0" fontId="8" fillId="13" borderId="5" xfId="0" applyFont="1" applyFill="1" applyBorder="1" applyAlignment="1">
      <alignment vertical="center"/>
    </xf>
    <xf numFmtId="0" fontId="6" fillId="13" borderId="5" xfId="0" applyFont="1" applyFill="1" applyBorder="1" applyAlignment="1" applyProtection="1">
      <alignment horizontal="left" vertical="center" wrapText="1"/>
      <protection locked="0"/>
    </xf>
    <xf numFmtId="0" fontId="6" fillId="13" borderId="5" xfId="0" applyFont="1" applyFill="1" applyBorder="1" applyAlignment="1" applyProtection="1">
      <alignment horizontal="center" vertical="center" wrapText="1"/>
      <protection locked="0"/>
    </xf>
    <xf numFmtId="0" fontId="6" fillId="13" borderId="5" xfId="0" applyFont="1" applyFill="1" applyBorder="1" applyAlignment="1" applyProtection="1">
      <alignment horizontal="center" vertical="center"/>
      <protection locked="0"/>
    </xf>
    <xf numFmtId="0" fontId="8" fillId="13" borderId="5" xfId="0" applyFont="1" applyFill="1" applyBorder="1" applyAlignment="1">
      <alignment vertical="center" wrapText="1"/>
    </xf>
    <xf numFmtId="0" fontId="8" fillId="13" borderId="5" xfId="0" applyFont="1" applyFill="1" applyBorder="1" applyAlignment="1">
      <alignment horizontal="center" vertical="center" wrapText="1"/>
    </xf>
    <xf numFmtId="0" fontId="8" fillId="13" borderId="5" xfId="0" applyFont="1" applyFill="1" applyBorder="1" applyAlignment="1" applyProtection="1">
      <alignment vertical="center" wrapText="1"/>
      <protection locked="0"/>
    </xf>
    <xf numFmtId="0" fontId="8" fillId="13" borderId="5" xfId="0" applyFont="1" applyFill="1" applyBorder="1" applyAlignment="1" applyProtection="1">
      <alignment horizontal="left" vertical="center" wrapText="1"/>
      <protection locked="0"/>
    </xf>
    <xf numFmtId="0" fontId="8" fillId="13" borderId="5" xfId="0" applyFont="1" applyFill="1" applyBorder="1" applyAlignment="1" applyProtection="1">
      <alignment horizontal="center" vertical="center"/>
      <protection locked="0"/>
    </xf>
    <xf numFmtId="0" fontId="8" fillId="13" borderId="5" xfId="0" applyFont="1" applyFill="1" applyBorder="1" applyAlignment="1" applyProtection="1">
      <alignment horizontal="center" vertical="center" wrapText="1"/>
      <protection locked="0"/>
    </xf>
    <xf numFmtId="0" fontId="6" fillId="13" borderId="5" xfId="0" applyFont="1" applyFill="1" applyBorder="1" applyAlignment="1">
      <alignment vertical="center" wrapText="1"/>
    </xf>
    <xf numFmtId="0" fontId="6" fillId="13" borderId="5" xfId="0" applyFont="1" applyFill="1" applyBorder="1" applyAlignment="1">
      <alignment horizontal="center" vertical="center" wrapText="1"/>
    </xf>
    <xf numFmtId="0" fontId="0" fillId="0" borderId="0" xfId="0" applyAlignment="1">
      <alignment horizontal="left"/>
    </xf>
    <xf numFmtId="0" fontId="5" fillId="16" borderId="5" xfId="0" applyFont="1" applyFill="1" applyBorder="1" applyAlignment="1">
      <alignment horizontal="center" vertical="center" wrapText="1"/>
    </xf>
    <xf numFmtId="0" fontId="5" fillId="16" borderId="5" xfId="0" applyFont="1" applyFill="1" applyBorder="1" applyAlignment="1">
      <alignment horizontal="center" vertical="center"/>
    </xf>
    <xf numFmtId="0" fontId="5" fillId="16" borderId="7" xfId="0" applyFont="1" applyFill="1" applyBorder="1" applyAlignment="1">
      <alignment horizontal="center" vertical="center" wrapText="1"/>
    </xf>
    <xf numFmtId="0" fontId="8" fillId="15" borderId="5" xfId="0" applyFont="1" applyFill="1" applyBorder="1" applyAlignment="1">
      <alignment horizontal="center" vertical="center"/>
    </xf>
    <xf numFmtId="0" fontId="8" fillId="15" borderId="5" xfId="0" applyFont="1" applyFill="1" applyBorder="1" applyAlignment="1">
      <alignment vertical="center"/>
    </xf>
    <xf numFmtId="0" fontId="8" fillId="15" borderId="5" xfId="0" applyFont="1" applyFill="1" applyBorder="1" applyAlignment="1" applyProtection="1">
      <alignment horizontal="left" vertical="center"/>
      <protection locked="0"/>
    </xf>
    <xf numFmtId="0" fontId="8" fillId="15" borderId="5" xfId="0" applyFont="1" applyFill="1" applyBorder="1" applyAlignment="1" applyProtection="1">
      <alignment vertical="center" wrapText="1"/>
      <protection locked="0"/>
    </xf>
    <xf numFmtId="0" fontId="8" fillId="15" borderId="5" xfId="0" applyFont="1" applyFill="1" applyBorder="1" applyAlignment="1" applyProtection="1">
      <alignment horizontal="center" vertical="center" wrapText="1"/>
      <protection locked="0"/>
    </xf>
    <xf numFmtId="0" fontId="8" fillId="15" borderId="5" xfId="0" applyFont="1" applyFill="1" applyBorder="1" applyAlignment="1" applyProtection="1">
      <alignment horizontal="left" vertical="center" wrapText="1"/>
      <protection locked="0"/>
    </xf>
    <xf numFmtId="0" fontId="8" fillId="15" borderId="5" xfId="0" applyFont="1" applyFill="1" applyBorder="1" applyAlignment="1">
      <alignment vertical="center" wrapText="1"/>
    </xf>
    <xf numFmtId="0" fontId="6" fillId="15" borderId="5" xfId="0" applyFont="1" applyFill="1" applyBorder="1" applyAlignment="1" applyProtection="1">
      <alignment horizontal="left" vertical="center"/>
      <protection locked="0"/>
    </xf>
    <xf numFmtId="0" fontId="6" fillId="15" borderId="5" xfId="0" applyFont="1" applyFill="1" applyBorder="1" applyAlignment="1" applyProtection="1">
      <alignment horizontal="center" vertical="center" wrapText="1"/>
      <protection locked="0"/>
    </xf>
    <xf numFmtId="0" fontId="6" fillId="15" borderId="5" xfId="0" applyFont="1" applyFill="1" applyBorder="1" applyAlignment="1" applyProtection="1">
      <alignment horizontal="left" vertical="center" wrapText="1"/>
      <protection locked="0"/>
    </xf>
    <xf numFmtId="0" fontId="8" fillId="15" borderId="5" xfId="0" applyFont="1" applyFill="1" applyBorder="1" applyAlignment="1">
      <alignment horizontal="center" vertical="center" wrapText="1"/>
    </xf>
    <xf numFmtId="0" fontId="6" fillId="15" borderId="5" xfId="0" applyFont="1" applyFill="1" applyBorder="1" applyAlignment="1">
      <alignment vertical="center" wrapText="1"/>
    </xf>
    <xf numFmtId="0" fontId="6" fillId="15" borderId="5" xfId="0" applyFont="1" applyFill="1" applyBorder="1" applyAlignment="1">
      <alignment horizontal="center" vertical="center" wrapText="1"/>
    </xf>
    <xf numFmtId="0" fontId="8" fillId="17" borderId="5" xfId="0" applyFont="1" applyFill="1" applyBorder="1" applyAlignment="1">
      <alignment horizontal="center" vertical="center"/>
    </xf>
    <xf numFmtId="0" fontId="8" fillId="17" borderId="5" xfId="0" applyFont="1" applyFill="1" applyBorder="1" applyAlignment="1" applyProtection="1">
      <alignment vertical="center" wrapText="1"/>
      <protection locked="0"/>
    </xf>
    <xf numFmtId="0" fontId="8" fillId="17" borderId="5" xfId="0" applyFont="1" applyFill="1" applyBorder="1" applyAlignment="1" applyProtection="1">
      <alignment horizontal="center" vertical="center" wrapText="1"/>
      <protection locked="0"/>
    </xf>
    <xf numFmtId="0" fontId="8" fillId="17" borderId="5" xfId="0" applyFont="1" applyFill="1" applyBorder="1" applyAlignment="1" applyProtection="1">
      <alignment horizontal="left" vertical="center" wrapText="1"/>
      <protection locked="0"/>
    </xf>
    <xf numFmtId="0" fontId="5" fillId="17" borderId="5" xfId="0" applyFont="1" applyFill="1" applyBorder="1" applyAlignment="1" applyProtection="1">
      <alignment horizontal="center" vertical="center" wrapText="1"/>
      <protection locked="0"/>
    </xf>
    <xf numFmtId="0" fontId="8" fillId="17" borderId="5" xfId="0" applyFont="1" applyFill="1" applyBorder="1" applyAlignment="1">
      <alignment vertical="center" wrapText="1"/>
    </xf>
    <xf numFmtId="0" fontId="6" fillId="17" borderId="5" xfId="0" applyFont="1" applyFill="1" applyBorder="1" applyAlignment="1" applyProtection="1">
      <alignment horizontal="center" vertical="center" wrapText="1"/>
      <protection locked="0"/>
    </xf>
    <xf numFmtId="0" fontId="6" fillId="17" borderId="5" xfId="0" applyFont="1" applyFill="1" applyBorder="1" applyAlignment="1" applyProtection="1">
      <alignment horizontal="left" vertical="center" wrapText="1"/>
      <protection locked="0"/>
    </xf>
    <xf numFmtId="0" fontId="10" fillId="17" borderId="5" xfId="0" applyFont="1" applyFill="1" applyBorder="1" applyAlignment="1" applyProtection="1">
      <alignment horizontal="left" vertical="center"/>
      <protection locked="0"/>
    </xf>
    <xf numFmtId="0" fontId="8" fillId="17" borderId="5" xfId="0" applyFont="1" applyFill="1" applyBorder="1" applyAlignment="1">
      <alignment horizontal="center" vertical="center" wrapText="1"/>
    </xf>
    <xf numFmtId="0" fontId="8" fillId="0" borderId="0" xfId="0" applyFont="1" applyBorder="1" applyAlignment="1">
      <alignment horizontal="center" vertical="center"/>
    </xf>
    <xf numFmtId="0" fontId="8" fillId="0" borderId="0" xfId="0" applyFont="1" applyBorder="1" applyAlignment="1">
      <alignment vertical="center"/>
    </xf>
    <xf numFmtId="0" fontId="8" fillId="0" borderId="0" xfId="0" applyFont="1" applyBorder="1" applyAlignment="1">
      <alignment vertical="center" wrapText="1"/>
    </xf>
    <xf numFmtId="0" fontId="6" fillId="0" borderId="0" xfId="0" applyFont="1" applyBorder="1" applyAlignment="1">
      <alignment horizontal="center" vertical="center"/>
    </xf>
    <xf numFmtId="0" fontId="6" fillId="0" borderId="0" xfId="0" applyFont="1" applyBorder="1" applyAlignment="1">
      <alignment vertical="center"/>
    </xf>
    <xf numFmtId="0" fontId="6" fillId="0" borderId="0" xfId="0" applyFont="1" applyBorder="1" applyAlignment="1">
      <alignment horizontal="center" vertical="center" wrapText="1"/>
    </xf>
    <xf numFmtId="0" fontId="11" fillId="13" borderId="5" xfId="0" applyFont="1" applyFill="1" applyBorder="1" applyAlignment="1">
      <alignment vertical="center" wrapText="1"/>
    </xf>
    <xf numFmtId="0" fontId="8" fillId="0" borderId="0" xfId="0" applyFont="1" applyBorder="1" applyAlignment="1">
      <alignment horizontal="center" vertical="center" wrapText="1"/>
    </xf>
    <xf numFmtId="0" fontId="8" fillId="18" borderId="5" xfId="0" applyFont="1" applyFill="1" applyBorder="1" applyAlignment="1">
      <alignment horizontal="center" vertical="center"/>
    </xf>
    <xf numFmtId="0" fontId="8" fillId="18" borderId="5" xfId="0" applyFont="1" applyFill="1" applyBorder="1" applyAlignment="1">
      <alignment vertical="center" wrapText="1"/>
    </xf>
    <xf numFmtId="0" fontId="8" fillId="18" borderId="5" xfId="0" applyFont="1" applyFill="1" applyBorder="1" applyAlignment="1">
      <alignment horizontal="center" vertical="center" wrapText="1"/>
    </xf>
    <xf numFmtId="0" fontId="8" fillId="18" borderId="5" xfId="0" applyFont="1" applyFill="1" applyBorder="1" applyAlignment="1" applyProtection="1">
      <alignment vertical="center" wrapText="1"/>
      <protection locked="0"/>
    </xf>
    <xf numFmtId="0" fontId="8" fillId="18" borderId="5" xfId="0" applyFont="1" applyFill="1" applyBorder="1" applyAlignment="1" applyProtection="1">
      <alignment horizontal="center" vertical="center" wrapText="1"/>
      <protection locked="0"/>
    </xf>
    <xf numFmtId="0" fontId="8" fillId="0" borderId="0" xfId="0" applyFont="1" applyFill="1" applyBorder="1" applyAlignment="1">
      <alignment horizontal="center" vertical="center"/>
    </xf>
    <xf numFmtId="0" fontId="8" fillId="0" borderId="0" xfId="0" applyFont="1" applyAlignment="1">
      <alignment vertical="center"/>
    </xf>
    <xf numFmtId="0" fontId="5" fillId="13" borderId="19" xfId="4" applyFont="1" applyFill="1" applyBorder="1" applyAlignment="1">
      <alignment horizontal="center"/>
    </xf>
    <xf numFmtId="0" fontId="5" fillId="13" borderId="7" xfId="4" applyFont="1" applyFill="1" applyBorder="1"/>
    <xf numFmtId="44" fontId="7" fillId="13" borderId="7" xfId="1" applyFont="1" applyFill="1" applyBorder="1"/>
    <xf numFmtId="0" fontId="4" fillId="0" borderId="12" xfId="5" applyFont="1" applyFill="1" applyBorder="1" applyAlignment="1">
      <alignment horizontal="center" vertical="center" wrapText="1"/>
      <protection locked="0"/>
    </xf>
    <xf numFmtId="0" fontId="4" fillId="0" borderId="13" xfId="5" applyFont="1" applyFill="1" applyBorder="1" applyAlignment="1">
      <alignment horizontal="center" vertical="center" wrapText="1"/>
      <protection locked="0"/>
    </xf>
    <xf numFmtId="0" fontId="4" fillId="0" borderId="14" xfId="5" applyFont="1" applyFill="1" applyBorder="1" applyAlignment="1">
      <alignment horizontal="center" vertical="center" wrapText="1"/>
      <protection locked="0"/>
    </xf>
    <xf numFmtId="0" fontId="8" fillId="0" borderId="15" xfId="4" applyFont="1" applyFill="1" applyBorder="1" applyAlignment="1">
      <alignment horizontal="center"/>
    </xf>
    <xf numFmtId="9" fontId="6" fillId="0" borderId="16" xfId="2" applyFont="1" applyFill="1" applyBorder="1" applyAlignment="1">
      <alignment horizontal="center"/>
    </xf>
    <xf numFmtId="0" fontId="8" fillId="0" borderId="17" xfId="4" applyFont="1" applyFill="1" applyBorder="1" applyAlignment="1">
      <alignment horizontal="center"/>
    </xf>
    <xf numFmtId="0" fontId="8" fillId="0" borderId="18" xfId="4" applyFont="1" applyFill="1" applyBorder="1" applyAlignment="1">
      <alignment horizontal="center"/>
    </xf>
    <xf numFmtId="0" fontId="8" fillId="0" borderId="6" xfId="4" applyFont="1" applyFill="1" applyBorder="1"/>
    <xf numFmtId="0" fontId="8" fillId="13" borderId="1" xfId="0" applyFont="1" applyFill="1" applyBorder="1" applyAlignment="1">
      <alignment horizontal="center" vertical="center"/>
    </xf>
    <xf numFmtId="0" fontId="8" fillId="15" borderId="2" xfId="0" applyFont="1" applyFill="1" applyBorder="1" applyAlignment="1">
      <alignment vertical="center" wrapText="1"/>
    </xf>
    <xf numFmtId="0" fontId="8" fillId="13" borderId="2" xfId="0" applyFont="1" applyFill="1" applyBorder="1" applyAlignment="1">
      <alignment vertical="center" wrapText="1"/>
    </xf>
    <xf numFmtId="0" fontId="8" fillId="18" borderId="5" xfId="0" applyFont="1" applyFill="1" applyBorder="1" applyAlignment="1" applyProtection="1">
      <alignment horizontal="left" vertical="center" wrapText="1"/>
      <protection locked="0"/>
    </xf>
    <xf numFmtId="0" fontId="6" fillId="0" borderId="0" xfId="0" applyFont="1" applyAlignment="1">
      <alignment vertical="center"/>
    </xf>
    <xf numFmtId="0" fontId="6" fillId="0" borderId="1" xfId="0" applyFont="1" applyBorder="1" applyAlignment="1">
      <alignment vertical="center"/>
    </xf>
    <xf numFmtId="0" fontId="9" fillId="18" borderId="5" xfId="0" applyFont="1" applyFill="1" applyBorder="1" applyAlignment="1">
      <alignment vertical="center" wrapText="1"/>
    </xf>
    <xf numFmtId="0" fontId="6" fillId="15" borderId="1" xfId="0" applyFont="1" applyFill="1" applyBorder="1" applyAlignment="1">
      <alignment vertical="center"/>
    </xf>
    <xf numFmtId="0" fontId="6" fillId="15" borderId="5" xfId="0" applyFont="1" applyFill="1" applyBorder="1" applyAlignment="1">
      <alignment vertical="center"/>
    </xf>
    <xf numFmtId="0" fontId="6" fillId="0" borderId="5" xfId="0" applyFont="1" applyBorder="1" applyAlignment="1">
      <alignment vertical="center"/>
    </xf>
    <xf numFmtId="0" fontId="8" fillId="18" borderId="5" xfId="0" applyFont="1" applyFill="1" applyBorder="1" applyAlignment="1" applyProtection="1">
      <alignment horizontal="center" vertical="center"/>
      <protection locked="0"/>
    </xf>
    <xf numFmtId="0" fontId="9" fillId="18" borderId="5" xfId="0" applyFont="1" applyFill="1" applyBorder="1" applyAlignment="1">
      <alignment horizontal="center" vertical="center" wrapText="1"/>
    </xf>
    <xf numFmtId="0" fontId="8" fillId="18" borderId="1" xfId="0" applyFont="1" applyFill="1" applyBorder="1" applyAlignment="1">
      <alignment horizontal="center" vertical="center"/>
    </xf>
    <xf numFmtId="0" fontId="8" fillId="17" borderId="3" xfId="0" applyFont="1" applyFill="1" applyBorder="1" applyAlignment="1">
      <alignment horizontal="center" vertical="center"/>
    </xf>
    <xf numFmtId="0" fontId="8" fillId="17" borderId="3" xfId="0" applyFont="1" applyFill="1" applyBorder="1" applyAlignment="1">
      <alignment vertical="center" wrapText="1"/>
    </xf>
    <xf numFmtId="0" fontId="8" fillId="17" borderId="3" xfId="0" applyFont="1" applyFill="1" applyBorder="1" applyAlignment="1">
      <alignment horizontal="center" vertical="center" wrapText="1"/>
    </xf>
    <xf numFmtId="0" fontId="8" fillId="18" borderId="2" xfId="0" applyFont="1" applyFill="1" applyBorder="1" applyAlignment="1">
      <alignment vertical="center" wrapText="1"/>
    </xf>
    <xf numFmtId="0" fontId="8" fillId="17" borderId="2" xfId="0" applyFont="1" applyFill="1" applyBorder="1" applyAlignment="1">
      <alignment vertical="center" wrapText="1"/>
    </xf>
    <xf numFmtId="0" fontId="8" fillId="17" borderId="8" xfId="0" applyFont="1" applyFill="1" applyBorder="1" applyAlignment="1">
      <alignment vertical="center" wrapText="1"/>
    </xf>
    <xf numFmtId="0" fontId="8" fillId="17" borderId="0" xfId="0" applyFont="1" applyFill="1" applyBorder="1" applyAlignment="1">
      <alignment vertical="center" wrapText="1"/>
    </xf>
    <xf numFmtId="0" fontId="8" fillId="0" borderId="0" xfId="0" applyFont="1" applyAlignment="1">
      <alignment horizontal="center" vertical="center"/>
    </xf>
    <xf numFmtId="0" fontId="6" fillId="0" borderId="0" xfId="0" applyFont="1" applyAlignment="1">
      <alignment horizontal="center" vertical="center"/>
    </xf>
    <xf numFmtId="0" fontId="6" fillId="0" borderId="0" xfId="0" applyFont="1" applyBorder="1" applyAlignment="1">
      <alignment vertical="center" wrapText="1"/>
    </xf>
    <xf numFmtId="0" fontId="8" fillId="13" borderId="0" xfId="0" applyFont="1" applyFill="1" applyBorder="1" applyAlignment="1">
      <alignment horizontal="center" vertical="center"/>
    </xf>
    <xf numFmtId="0" fontId="8" fillId="17" borderId="1" xfId="0" applyFont="1" applyFill="1" applyBorder="1" applyAlignment="1">
      <alignment horizontal="center" vertical="center"/>
    </xf>
    <xf numFmtId="0" fontId="8" fillId="18" borderId="3" xfId="0" applyFont="1" applyFill="1" applyBorder="1" applyAlignment="1">
      <alignment horizontal="center" vertical="center"/>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8" borderId="3" xfId="0" applyFont="1" applyFill="1" applyBorder="1" applyAlignment="1">
      <alignment vertical="center" wrapText="1"/>
    </xf>
    <xf numFmtId="0" fontId="8" fillId="15" borderId="3" xfId="0" applyFont="1" applyFill="1" applyBorder="1" applyAlignment="1">
      <alignment vertical="center" wrapText="1"/>
    </xf>
    <xf numFmtId="0" fontId="10" fillId="17" borderId="5" xfId="0" applyFont="1" applyFill="1" applyBorder="1" applyAlignment="1" applyProtection="1">
      <alignment horizontal="left" vertical="center" wrapText="1"/>
      <protection locked="0"/>
    </xf>
    <xf numFmtId="0" fontId="8" fillId="18" borderId="3" xfId="0" applyFont="1" applyFill="1" applyBorder="1" applyAlignment="1">
      <alignment horizontal="center" vertical="center" wrapText="1"/>
    </xf>
    <xf numFmtId="0" fontId="8" fillId="15" borderId="3" xfId="0" applyFont="1" applyFill="1" applyBorder="1" applyAlignment="1">
      <alignment horizontal="center" vertical="center" wrapText="1"/>
    </xf>
    <xf numFmtId="0" fontId="8" fillId="18" borderId="8" xfId="0" applyFont="1" applyFill="1" applyBorder="1" applyAlignment="1">
      <alignment vertical="center" wrapText="1"/>
    </xf>
    <xf numFmtId="0" fontId="8" fillId="15" borderId="8" xfId="0" applyFont="1" applyFill="1" applyBorder="1" applyAlignment="1">
      <alignment vertical="center" wrapText="1"/>
    </xf>
    <xf numFmtId="0" fontId="8" fillId="17" borderId="0" xfId="0" applyFont="1" applyFill="1" applyAlignment="1">
      <alignment vertical="center"/>
    </xf>
    <xf numFmtId="0" fontId="6" fillId="17" borderId="0" xfId="0" applyFont="1" applyFill="1" applyAlignment="1">
      <alignment vertical="center"/>
    </xf>
    <xf numFmtId="0" fontId="6" fillId="17" borderId="1" xfId="0" applyFont="1" applyFill="1" applyBorder="1" applyAlignment="1">
      <alignment vertical="center"/>
    </xf>
    <xf numFmtId="0" fontId="11" fillId="15" borderId="5" xfId="0" applyFont="1" applyFill="1" applyBorder="1" applyAlignment="1">
      <alignment vertical="center" wrapText="1"/>
    </xf>
    <xf numFmtId="0" fontId="12" fillId="13" borderId="5" xfId="0" applyFont="1" applyFill="1" applyBorder="1" applyAlignment="1">
      <alignment vertical="center" wrapText="1"/>
    </xf>
    <xf numFmtId="0" fontId="12" fillId="15" borderId="5" xfId="0" applyFont="1" applyFill="1" applyBorder="1" applyAlignment="1">
      <alignment vertical="center" wrapText="1"/>
    </xf>
    <xf numFmtId="0" fontId="8" fillId="17" borderId="0" xfId="0" applyFont="1" applyFill="1" applyBorder="1" applyAlignment="1">
      <alignment horizontal="center" vertical="center"/>
    </xf>
    <xf numFmtId="0" fontId="8" fillId="17" borderId="0" xfId="0" applyFont="1" applyFill="1" applyBorder="1" applyAlignment="1">
      <alignment horizontal="center" vertical="center" wrapText="1"/>
    </xf>
    <xf numFmtId="0" fontId="13" fillId="18" borderId="5" xfId="0" applyFont="1" applyFill="1" applyBorder="1" applyAlignment="1">
      <alignment horizontal="center" vertical="center"/>
    </xf>
    <xf numFmtId="0" fontId="13" fillId="18" borderId="5" xfId="0" applyFont="1" applyFill="1" applyBorder="1" applyAlignment="1">
      <alignment vertical="center" wrapText="1"/>
    </xf>
    <xf numFmtId="0" fontId="13" fillId="18" borderId="5" xfId="0" applyFont="1" applyFill="1" applyBorder="1" applyAlignment="1">
      <alignment horizontal="center" vertical="center" wrapText="1"/>
    </xf>
    <xf numFmtId="0" fontId="13" fillId="18" borderId="2" xfId="0" applyFont="1" applyFill="1" applyBorder="1" applyAlignment="1">
      <alignment vertical="center" wrapText="1"/>
    </xf>
    <xf numFmtId="0" fontId="8" fillId="0" borderId="5" xfId="0" applyFont="1" applyFill="1" applyBorder="1" applyAlignment="1">
      <alignment horizontal="center" vertical="center"/>
    </xf>
    <xf numFmtId="0" fontId="8" fillId="13" borderId="5" xfId="0" applyFont="1" applyFill="1" applyBorder="1" applyAlignment="1" applyProtection="1">
      <alignment horizontal="left" vertical="center"/>
      <protection locked="0"/>
    </xf>
    <xf numFmtId="0" fontId="6" fillId="0" borderId="0" xfId="0" applyFont="1" applyFill="1"/>
    <xf numFmtId="44" fontId="7" fillId="0" borderId="0" xfId="1" applyFont="1" applyFill="1" applyBorder="1"/>
    <xf numFmtId="9" fontId="7" fillId="0" borderId="0" xfId="2" applyFont="1" applyFill="1" applyBorder="1" applyAlignment="1">
      <alignment horizontal="center"/>
    </xf>
    <xf numFmtId="0" fontId="8" fillId="0" borderId="0" xfId="4" applyFont="1" applyFill="1" applyBorder="1" applyAlignment="1">
      <alignment horizontal="left"/>
    </xf>
    <xf numFmtId="0" fontId="8" fillId="0" borderId="0" xfId="4" applyFont="1" applyFill="1" applyBorder="1"/>
    <xf numFmtId="0" fontId="2" fillId="0" borderId="0" xfId="0" applyFont="1" applyFill="1" applyBorder="1"/>
    <xf numFmtId="0" fontId="6" fillId="0" borderId="0" xfId="0" applyFont="1" applyAlignment="1">
      <alignment horizontal="left"/>
    </xf>
    <xf numFmtId="0" fontId="5" fillId="16" borderId="4" xfId="0" applyFont="1" applyFill="1" applyBorder="1" applyAlignment="1">
      <alignment horizontal="center" vertical="center" wrapText="1"/>
    </xf>
    <xf numFmtId="0" fontId="5" fillId="16" borderId="10" xfId="0" applyFont="1" applyFill="1" applyBorder="1" applyAlignment="1">
      <alignment horizontal="center" vertical="center"/>
    </xf>
    <xf numFmtId="0" fontId="5" fillId="16" borderId="11" xfId="0" applyFont="1" applyFill="1" applyBorder="1" applyAlignment="1">
      <alignment horizontal="center" vertical="center" wrapText="1"/>
    </xf>
    <xf numFmtId="0" fontId="8" fillId="13" borderId="10" xfId="0" applyFont="1" applyFill="1" applyBorder="1" applyAlignment="1">
      <alignment horizontal="center" vertical="center"/>
    </xf>
    <xf numFmtId="0" fontId="8" fillId="13" borderId="5"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8" fillId="15" borderId="2" xfId="0" applyFont="1" applyFill="1" applyBorder="1" applyAlignment="1">
      <alignment horizontal="left" vertical="center" wrapText="1"/>
    </xf>
    <xf numFmtId="0" fontId="8" fillId="15" borderId="5" xfId="0" applyFont="1" applyFill="1" applyBorder="1" applyAlignment="1">
      <alignment horizontal="left" vertical="center" wrapText="1"/>
    </xf>
    <xf numFmtId="0" fontId="8" fillId="13" borderId="5" xfId="0" applyFont="1" applyFill="1" applyBorder="1" applyAlignment="1">
      <alignment horizontal="left" vertical="center"/>
    </xf>
    <xf numFmtId="9" fontId="7" fillId="13" borderId="0" xfId="2" applyFont="1" applyFill="1" applyBorder="1" applyAlignment="1">
      <alignment horizontal="center"/>
    </xf>
    <xf numFmtId="0" fontId="8" fillId="5" borderId="20"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5" xfId="0" applyFont="1" applyFill="1" applyBorder="1" applyAlignment="1">
      <alignment vertical="center"/>
    </xf>
    <xf numFmtId="0" fontId="8" fillId="5" borderId="5" xfId="0" applyFont="1" applyFill="1" applyBorder="1" applyAlignment="1">
      <alignment vertical="center" wrapText="1"/>
    </xf>
    <xf numFmtId="0" fontId="8" fillId="5" borderId="2" xfId="0" applyFont="1" applyFill="1" applyBorder="1" applyAlignment="1">
      <alignment vertical="center" wrapText="1"/>
    </xf>
    <xf numFmtId="0" fontId="8" fillId="15" borderId="5" xfId="0" applyFont="1" applyFill="1" applyBorder="1" applyAlignment="1">
      <alignment horizontal="left" vertical="center"/>
    </xf>
    <xf numFmtId="0" fontId="8" fillId="5" borderId="5" xfId="0" applyFont="1" applyFill="1" applyBorder="1" applyAlignment="1">
      <alignment horizontal="left" vertical="center"/>
    </xf>
    <xf numFmtId="0" fontId="8" fillId="5" borderId="5" xfId="0" applyFont="1" applyFill="1" applyBorder="1" applyAlignment="1">
      <alignment horizontal="left" vertical="center" wrapText="1"/>
    </xf>
    <xf numFmtId="0" fontId="8" fillId="5" borderId="2" xfId="0" applyFont="1" applyFill="1" applyBorder="1" applyAlignment="1">
      <alignment horizontal="left" vertical="center" wrapText="1"/>
    </xf>
    <xf numFmtId="0" fontId="8" fillId="5" borderId="5" xfId="0" applyFont="1" applyFill="1" applyBorder="1" applyAlignment="1">
      <alignment horizontal="center" vertical="center" wrapText="1"/>
    </xf>
    <xf numFmtId="0" fontId="8" fillId="15" borderId="1" xfId="0" applyFont="1" applyFill="1" applyBorder="1" applyAlignment="1">
      <alignment vertical="center"/>
    </xf>
    <xf numFmtId="0" fontId="8" fillId="20" borderId="5" xfId="0" applyFont="1" applyFill="1" applyBorder="1" applyAlignment="1">
      <alignment horizontal="center" vertical="center"/>
    </xf>
    <xf numFmtId="0" fontId="8" fillId="5" borderId="1" xfId="0" applyFont="1" applyFill="1" applyBorder="1" applyAlignment="1">
      <alignment vertical="center"/>
    </xf>
    <xf numFmtId="0" fontId="8" fillId="13" borderId="20" xfId="0" applyFont="1" applyFill="1" applyBorder="1" applyAlignment="1">
      <alignment horizontal="center" vertical="center"/>
    </xf>
    <xf numFmtId="0" fontId="8" fillId="13" borderId="5" xfId="6" applyFont="1" applyFill="1" applyBorder="1" applyAlignment="1">
      <alignment horizontal="left" vertical="center" wrapText="1"/>
    </xf>
    <xf numFmtId="0" fontId="8" fillId="15" borderId="1" xfId="0" applyFont="1" applyFill="1" applyBorder="1" applyAlignment="1">
      <alignment horizontal="left" vertical="center"/>
    </xf>
    <xf numFmtId="0" fontId="8" fillId="15" borderId="20" xfId="0" applyFont="1" applyFill="1" applyBorder="1" applyAlignment="1">
      <alignment horizontal="center" vertical="center"/>
    </xf>
    <xf numFmtId="0" fontId="16" fillId="0" borderId="0" xfId="0" applyFont="1"/>
    <xf numFmtId="0" fontId="8" fillId="5" borderId="1" xfId="0" applyFont="1" applyFill="1" applyBorder="1" applyAlignment="1">
      <alignment horizontal="left" vertical="center"/>
    </xf>
    <xf numFmtId="44" fontId="6" fillId="0" borderId="0" xfId="1" applyFont="1" applyFill="1" applyBorder="1"/>
    <xf numFmtId="0" fontId="5" fillId="16" borderId="4" xfId="0" applyFont="1" applyFill="1" applyBorder="1" applyAlignment="1">
      <alignment horizontal="left" vertical="center"/>
    </xf>
    <xf numFmtId="0" fontId="8" fillId="5" borderId="1"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3" xfId="0" applyFont="1" applyFill="1" applyBorder="1" applyAlignment="1">
      <alignment horizontal="left" vertical="center"/>
    </xf>
    <xf numFmtId="0" fontId="8" fillId="5" borderId="1" xfId="0" applyFont="1" applyFill="1" applyBorder="1" applyAlignment="1">
      <alignment vertical="center" wrapText="1"/>
    </xf>
    <xf numFmtId="0" fontId="8" fillId="5" borderId="22" xfId="0" applyFont="1" applyFill="1" applyBorder="1" applyAlignment="1">
      <alignment vertical="center" wrapText="1"/>
    </xf>
    <xf numFmtId="44" fontId="6" fillId="0" borderId="4" xfId="1" applyFont="1" applyBorder="1"/>
    <xf numFmtId="44" fontId="6" fillId="0" borderId="5" xfId="1" applyFont="1" applyBorder="1"/>
    <xf numFmtId="0" fontId="8" fillId="17" borderId="5" xfId="0" applyFont="1" applyFill="1" applyBorder="1" applyAlignment="1">
      <alignment horizontal="left" vertical="center"/>
    </xf>
    <xf numFmtId="0" fontId="8" fillId="17" borderId="5" xfId="0" applyFont="1" applyFill="1" applyBorder="1" applyAlignment="1">
      <alignment vertical="center"/>
    </xf>
    <xf numFmtId="0" fontId="8" fillId="17" borderId="5" xfId="0" applyFont="1" applyFill="1" applyBorder="1" applyAlignment="1">
      <alignment horizontal="left" vertical="center" wrapText="1"/>
    </xf>
    <xf numFmtId="0" fontId="8" fillId="0" borderId="9" xfId="0" applyFont="1" applyFill="1" applyBorder="1" applyAlignment="1">
      <alignment horizontal="center" vertical="center"/>
    </xf>
    <xf numFmtId="0" fontId="8" fillId="0" borderId="3" xfId="0" applyFont="1" applyFill="1" applyBorder="1" applyAlignment="1">
      <alignment horizontal="left" vertical="center"/>
    </xf>
    <xf numFmtId="0" fontId="8" fillId="0" borderId="3" xfId="0" applyFont="1" applyFill="1" applyBorder="1" applyAlignment="1">
      <alignment vertical="center"/>
    </xf>
    <xf numFmtId="0" fontId="8" fillId="0" borderId="3" xfId="0" applyFont="1" applyFill="1" applyBorder="1" applyAlignment="1">
      <alignment vertical="center" wrapText="1"/>
    </xf>
    <xf numFmtId="0" fontId="8" fillId="0" borderId="3" xfId="0" applyFont="1" applyFill="1" applyBorder="1" applyAlignment="1">
      <alignment horizontal="center" vertical="center"/>
    </xf>
    <xf numFmtId="0" fontId="8" fillId="0" borderId="3" xfId="0" applyFont="1" applyFill="1" applyBorder="1" applyAlignment="1">
      <alignment horizontal="left" vertical="center" wrapText="1"/>
    </xf>
    <xf numFmtId="44" fontId="6" fillId="0" borderId="4" xfId="1" applyFont="1" applyFill="1" applyBorder="1" applyAlignment="1">
      <alignment horizontal="right"/>
    </xf>
    <xf numFmtId="44" fontId="6" fillId="0" borderId="5" xfId="1" applyFont="1" applyFill="1" applyBorder="1" applyAlignment="1">
      <alignment horizontal="right"/>
    </xf>
    <xf numFmtId="44" fontId="6" fillId="0" borderId="6" xfId="1" applyFont="1" applyFill="1" applyBorder="1" applyAlignment="1">
      <alignment horizontal="right"/>
    </xf>
    <xf numFmtId="44" fontId="6" fillId="0" borderId="4" xfId="1" applyFont="1" applyBorder="1" applyAlignment="1">
      <alignment horizontal="right"/>
    </xf>
    <xf numFmtId="44" fontId="6" fillId="0" borderId="5" xfId="1" applyFont="1" applyBorder="1" applyAlignment="1">
      <alignment horizontal="right"/>
    </xf>
    <xf numFmtId="0" fontId="17" fillId="0" borderId="0" xfId="0" applyFont="1"/>
    <xf numFmtId="0" fontId="17" fillId="0" borderId="0" xfId="0" applyFont="1" applyAlignment="1">
      <alignment horizontal="center"/>
    </xf>
    <xf numFmtId="9" fontId="17" fillId="0" borderId="0" xfId="0" applyNumberFormat="1" applyFont="1"/>
    <xf numFmtId="0" fontId="5" fillId="5" borderId="2" xfId="5" applyFont="1" applyFill="1" applyBorder="1" applyAlignment="1">
      <alignment horizontal="center" vertical="center"/>
      <protection locked="0"/>
    </xf>
    <xf numFmtId="0" fontId="5" fillId="6" borderId="1" xfId="5" applyFont="1" applyFill="1" applyBorder="1" applyAlignment="1">
      <alignment horizontal="center" vertical="center"/>
      <protection locked="0"/>
    </xf>
    <xf numFmtId="0" fontId="5" fillId="6" borderId="23" xfId="5" applyFont="1" applyFill="1" applyBorder="1" applyAlignment="1">
      <alignment horizontal="center" vertical="center"/>
      <protection locked="0"/>
    </xf>
    <xf numFmtId="0" fontId="5" fillId="6" borderId="2" xfId="5" applyFont="1" applyFill="1" applyBorder="1" applyAlignment="1">
      <alignment horizontal="center" vertical="center"/>
      <protection locked="0"/>
    </xf>
    <xf numFmtId="0" fontId="5" fillId="7" borderId="1" xfId="5" applyFont="1" applyFill="1" applyBorder="1" applyAlignment="1">
      <alignment horizontal="center" vertical="center" wrapText="1"/>
      <protection locked="0"/>
    </xf>
    <xf numFmtId="0" fontId="5" fillId="7" borderId="23" xfId="5" applyFont="1" applyFill="1" applyBorder="1" applyAlignment="1">
      <alignment horizontal="center" vertical="center" wrapText="1"/>
      <protection locked="0"/>
    </xf>
    <xf numFmtId="0" fontId="5" fillId="7" borderId="2" xfId="5" applyFont="1" applyFill="1" applyBorder="1" applyAlignment="1">
      <alignment horizontal="center" vertical="center" wrapText="1"/>
      <protection locked="0"/>
    </xf>
    <xf numFmtId="0" fontId="5" fillId="8" borderId="1" xfId="5" applyFont="1" applyFill="1" applyBorder="1" applyAlignment="1">
      <alignment horizontal="center" vertical="center" wrapText="1"/>
      <protection locked="0"/>
    </xf>
    <xf numFmtId="0" fontId="5" fillId="8" borderId="23" xfId="5" applyFont="1" applyFill="1" applyBorder="1" applyAlignment="1">
      <alignment horizontal="center" vertical="center" wrapText="1"/>
      <protection locked="0"/>
    </xf>
    <xf numFmtId="0" fontId="5" fillId="8" borderId="2" xfId="5" applyFont="1" applyFill="1" applyBorder="1" applyAlignment="1">
      <alignment horizontal="center" vertical="center" wrapText="1"/>
      <protection locked="0"/>
    </xf>
    <xf numFmtId="0" fontId="5" fillId="9" borderId="1" xfId="5" applyFont="1" applyFill="1" applyBorder="1" applyAlignment="1">
      <alignment horizontal="center" vertical="center"/>
      <protection locked="0"/>
    </xf>
    <xf numFmtId="0" fontId="5" fillId="9" borderId="2" xfId="5" applyFont="1" applyFill="1" applyBorder="1" applyAlignment="1">
      <alignment horizontal="center" vertical="center"/>
      <protection locked="0"/>
    </xf>
    <xf numFmtId="0" fontId="5" fillId="10" borderId="1" xfId="5" applyFont="1" applyFill="1" applyBorder="1" applyAlignment="1">
      <alignment horizontal="center" vertical="center" wrapText="1"/>
      <protection locked="0"/>
    </xf>
    <xf numFmtId="0" fontId="5" fillId="10" borderId="23" xfId="5" applyFont="1" applyFill="1" applyBorder="1" applyAlignment="1">
      <alignment horizontal="center" vertical="center" wrapText="1"/>
      <protection locked="0"/>
    </xf>
    <xf numFmtId="0" fontId="5" fillId="10" borderId="2" xfId="5" applyFont="1" applyFill="1" applyBorder="1" applyAlignment="1">
      <alignment horizontal="center" vertical="center" wrapText="1"/>
      <protection locked="0"/>
    </xf>
    <xf numFmtId="0" fontId="5" fillId="11" borderId="1" xfId="5" applyFont="1" applyFill="1" applyBorder="1" applyAlignment="1">
      <alignment horizontal="center" vertical="center" wrapText="1"/>
      <protection locked="0"/>
    </xf>
    <xf numFmtId="0" fontId="5" fillId="11" borderId="23" xfId="5" applyFont="1" applyFill="1" applyBorder="1" applyAlignment="1">
      <alignment horizontal="center" vertical="center" wrapText="1"/>
      <protection locked="0"/>
    </xf>
    <xf numFmtId="0" fontId="5" fillId="11" borderId="2" xfId="5" applyFont="1" applyFill="1" applyBorder="1" applyAlignment="1">
      <alignment horizontal="center" vertical="center" wrapText="1"/>
      <protection locked="0"/>
    </xf>
    <xf numFmtId="0" fontId="5" fillId="12" borderId="1" xfId="5" applyFont="1" applyFill="1" applyBorder="1" applyAlignment="1">
      <alignment horizontal="center" vertical="center"/>
      <protection locked="0"/>
    </xf>
    <xf numFmtId="0" fontId="5" fillId="12" borderId="23" xfId="5" applyFont="1" applyFill="1" applyBorder="1" applyAlignment="1">
      <alignment horizontal="center" vertical="center"/>
      <protection locked="0"/>
    </xf>
    <xf numFmtId="0" fontId="5" fillId="12" borderId="2" xfId="5" applyFont="1" applyFill="1" applyBorder="1" applyAlignment="1">
      <alignment horizontal="center" vertical="center"/>
      <protection locked="0"/>
    </xf>
    <xf numFmtId="0" fontId="18" fillId="0" borderId="0" xfId="0" applyFont="1"/>
    <xf numFmtId="164" fontId="7" fillId="13" borderId="3" xfId="0" applyNumberFormat="1" applyFont="1" applyFill="1" applyBorder="1"/>
    <xf numFmtId="9" fontId="6" fillId="13" borderId="4" xfId="2" applyFont="1" applyFill="1" applyBorder="1"/>
    <xf numFmtId="9" fontId="6" fillId="13" borderId="5" xfId="2" applyFont="1" applyFill="1" applyBorder="1"/>
    <xf numFmtId="0" fontId="8" fillId="13" borderId="5" xfId="4" applyFont="1" applyFill="1" applyBorder="1"/>
    <xf numFmtId="0" fontId="8" fillId="13" borderId="5" xfId="4" applyFont="1" applyFill="1" applyBorder="1" applyAlignment="1">
      <alignment horizontal="center"/>
    </xf>
    <xf numFmtId="164" fontId="6" fillId="0" borderId="4" xfId="0" applyNumberFormat="1" applyFont="1" applyBorder="1"/>
    <xf numFmtId="164" fontId="6" fillId="0" borderId="5" xfId="0" applyNumberFormat="1" applyFont="1" applyBorder="1"/>
    <xf numFmtId="164" fontId="6" fillId="0" borderId="5" xfId="1" applyNumberFormat="1" applyFont="1" applyBorder="1"/>
    <xf numFmtId="164" fontId="6" fillId="0" borderId="4" xfId="1" applyNumberFormat="1" applyFont="1" applyBorder="1"/>
    <xf numFmtId="0" fontId="8" fillId="0" borderId="5" xfId="4" applyFont="1" applyFill="1" applyBorder="1" applyAlignment="1">
      <alignment horizontal="center"/>
    </xf>
    <xf numFmtId="0" fontId="14" fillId="0" borderId="0" xfId="0" applyFont="1"/>
    <xf numFmtId="164" fontId="8" fillId="0" borderId="4" xfId="1" applyNumberFormat="1" applyFont="1" applyBorder="1"/>
    <xf numFmtId="44" fontId="8" fillId="0" borderId="4" xfId="1" applyFont="1" applyBorder="1"/>
    <xf numFmtId="164" fontId="8" fillId="0" borderId="5" xfId="0" applyNumberFormat="1" applyFont="1" applyBorder="1"/>
    <xf numFmtId="164" fontId="8" fillId="0" borderId="5" xfId="1" applyNumberFormat="1" applyFont="1" applyBorder="1"/>
    <xf numFmtId="44" fontId="8" fillId="0" borderId="5" xfId="1" applyFont="1" applyBorder="1"/>
    <xf numFmtId="0" fontId="8" fillId="0" borderId="4" xfId="4" applyFont="1" applyFill="1" applyBorder="1" applyAlignment="1">
      <alignment horizontal="center"/>
    </xf>
    <xf numFmtId="0" fontId="18" fillId="0" borderId="0" xfId="0" applyFont="1" applyAlignment="1">
      <alignment horizontal="center" vertical="center" wrapText="1"/>
    </xf>
    <xf numFmtId="9" fontId="7" fillId="5" borderId="6" xfId="3" applyNumberFormat="1" applyFont="1" applyFill="1" applyBorder="1" applyAlignment="1">
      <alignment horizontal="center" vertical="center" wrapText="1"/>
    </xf>
    <xf numFmtId="0" fontId="7" fillId="5" borderId="6" xfId="3" applyFont="1" applyFill="1" applyBorder="1" applyAlignment="1">
      <alignment horizontal="center" vertical="center" wrapText="1"/>
    </xf>
    <xf numFmtId="0" fontId="5" fillId="5" borderId="24" xfId="4" applyFont="1" applyFill="1" applyBorder="1" applyAlignment="1">
      <alignment horizontal="center" vertical="top" wrapText="1"/>
    </xf>
    <xf numFmtId="0" fontId="17" fillId="14" borderId="0" xfId="0" applyFont="1" applyFill="1"/>
    <xf numFmtId="0" fontId="5" fillId="13" borderId="2" xfId="5" applyFont="1" applyFill="1" applyBorder="1" applyAlignment="1">
      <alignment horizontal="center" vertical="center"/>
      <protection locked="0"/>
    </xf>
    <xf numFmtId="0" fontId="7" fillId="13" borderId="6" xfId="0" applyFont="1" applyFill="1" applyBorder="1" applyAlignment="1">
      <alignment horizontal="center" vertical="center" wrapText="1"/>
    </xf>
    <xf numFmtId="165" fontId="7" fillId="13" borderId="4" xfId="0" applyNumberFormat="1" applyFont="1" applyFill="1" applyBorder="1"/>
    <xf numFmtId="0" fontId="8" fillId="15" borderId="9" xfId="0" applyFont="1" applyFill="1" applyBorder="1" applyAlignment="1">
      <alignment horizontal="center" vertical="center"/>
    </xf>
    <xf numFmtId="0" fontId="8" fillId="15" borderId="3" xfId="0" applyFont="1" applyFill="1" applyBorder="1" applyAlignment="1">
      <alignment horizontal="left" vertical="center"/>
    </xf>
    <xf numFmtId="0" fontId="8" fillId="15" borderId="3" xfId="0" applyFont="1" applyFill="1" applyBorder="1" applyAlignment="1">
      <alignment vertical="center"/>
    </xf>
    <xf numFmtId="0" fontId="8" fillId="15" borderId="3" xfId="0" applyFont="1" applyFill="1" applyBorder="1" applyAlignment="1">
      <alignment horizontal="left" vertical="center" wrapText="1"/>
    </xf>
    <xf numFmtId="0" fontId="6" fillId="0" borderId="5" xfId="0" applyFont="1" applyFill="1" applyBorder="1"/>
    <xf numFmtId="0" fontId="6" fillId="0" borderId="5" xfId="0" applyFont="1" applyFill="1" applyBorder="1" applyAlignment="1">
      <alignment horizontal="left"/>
    </xf>
    <xf numFmtId="0" fontId="6" fillId="13" borderId="0" xfId="0" applyFont="1" applyFill="1"/>
    <xf numFmtId="44" fontId="8" fillId="0" borderId="4" xfId="1" applyFont="1" applyFill="1" applyBorder="1" applyAlignment="1">
      <alignment horizontal="right"/>
    </xf>
    <xf numFmtId="0" fontId="5" fillId="7" borderId="2" xfId="5" applyFont="1" applyFill="1" applyBorder="1" applyAlignment="1">
      <alignment horizontal="center" vertical="center" wrapText="1"/>
      <protection locked="0"/>
    </xf>
    <xf numFmtId="0" fontId="5" fillId="7" borderId="23" xfId="5" applyFont="1" applyFill="1" applyBorder="1" applyAlignment="1">
      <alignment horizontal="center" vertical="center" wrapText="1"/>
      <protection locked="0"/>
    </xf>
    <xf numFmtId="0" fontId="5" fillId="7" borderId="1" xfId="5" applyFont="1" applyFill="1" applyBorder="1" applyAlignment="1">
      <alignment horizontal="center" vertical="center" wrapText="1"/>
      <protection locked="0"/>
    </xf>
    <xf numFmtId="0" fontId="5" fillId="6" borderId="2" xfId="5" applyFont="1" applyFill="1" applyBorder="1" applyAlignment="1">
      <alignment horizontal="center" vertical="center"/>
      <protection locked="0"/>
    </xf>
    <xf numFmtId="0" fontId="5" fillId="6" borderId="23" xfId="5" applyFont="1" applyFill="1" applyBorder="1" applyAlignment="1">
      <alignment horizontal="center" vertical="center"/>
      <protection locked="0"/>
    </xf>
    <xf numFmtId="0" fontId="5" fillId="6" borderId="1" xfId="5" applyFont="1" applyFill="1" applyBorder="1" applyAlignment="1">
      <alignment horizontal="center" vertical="center"/>
      <protection locked="0"/>
    </xf>
    <xf numFmtId="0" fontId="5" fillId="5" borderId="2" xfId="5" applyFont="1" applyFill="1" applyBorder="1" applyAlignment="1">
      <alignment horizontal="center" vertical="center"/>
      <protection locked="0"/>
    </xf>
    <xf numFmtId="0" fontId="5" fillId="5" borderId="1" xfId="5" applyFont="1" applyFill="1" applyBorder="1" applyAlignment="1">
      <alignment horizontal="center" vertical="center"/>
      <protection locked="0"/>
    </xf>
    <xf numFmtId="0" fontId="5" fillId="12" borderId="2" xfId="5" applyFont="1" applyFill="1" applyBorder="1" applyAlignment="1">
      <alignment horizontal="center" vertical="center"/>
      <protection locked="0"/>
    </xf>
    <xf numFmtId="0" fontId="5" fillId="12" borderId="23" xfId="5" applyFont="1" applyFill="1" applyBorder="1" applyAlignment="1">
      <alignment horizontal="center" vertical="center"/>
      <protection locked="0"/>
    </xf>
    <xf numFmtId="0" fontId="5" fillId="12" borderId="1" xfId="5" applyFont="1" applyFill="1" applyBorder="1" applyAlignment="1">
      <alignment horizontal="center" vertical="center"/>
      <protection locked="0"/>
    </xf>
    <xf numFmtId="0" fontId="5" fillId="11" borderId="2" xfId="5" applyFont="1" applyFill="1" applyBorder="1" applyAlignment="1">
      <alignment horizontal="center" vertical="center" wrapText="1"/>
      <protection locked="0"/>
    </xf>
    <xf numFmtId="0" fontId="5" fillId="11" borderId="23" xfId="5" applyFont="1" applyFill="1" applyBorder="1" applyAlignment="1">
      <alignment horizontal="center" vertical="center" wrapText="1"/>
      <protection locked="0"/>
    </xf>
    <xf numFmtId="0" fontId="5" fillId="11" borderId="1" xfId="5" applyFont="1" applyFill="1" applyBorder="1" applyAlignment="1">
      <alignment horizontal="center" vertical="center" wrapText="1"/>
      <protection locked="0"/>
    </xf>
    <xf numFmtId="0" fontId="5" fillId="10" borderId="2" xfId="5" applyFont="1" applyFill="1" applyBorder="1" applyAlignment="1">
      <alignment horizontal="center" vertical="center" wrapText="1"/>
      <protection locked="0"/>
    </xf>
    <xf numFmtId="0" fontId="5" fillId="10" borderId="23" xfId="5" applyFont="1" applyFill="1" applyBorder="1" applyAlignment="1">
      <alignment horizontal="center" vertical="center" wrapText="1"/>
      <protection locked="0"/>
    </xf>
    <xf numFmtId="0" fontId="5" fillId="10" borderId="1" xfId="5" applyFont="1" applyFill="1" applyBorder="1" applyAlignment="1">
      <alignment horizontal="center" vertical="center" wrapText="1"/>
      <protection locked="0"/>
    </xf>
    <xf numFmtId="0" fontId="5" fillId="9" borderId="2" xfId="5" applyFont="1" applyFill="1" applyBorder="1" applyAlignment="1">
      <alignment horizontal="center" vertical="center"/>
      <protection locked="0"/>
    </xf>
    <xf numFmtId="0" fontId="5" fillId="9" borderId="1" xfId="5" applyFont="1" applyFill="1" applyBorder="1" applyAlignment="1">
      <alignment horizontal="center" vertical="center"/>
      <protection locked="0"/>
    </xf>
    <xf numFmtId="0" fontId="5" fillId="8" borderId="2" xfId="5" applyFont="1" applyFill="1" applyBorder="1" applyAlignment="1">
      <alignment horizontal="center" vertical="center" wrapText="1"/>
      <protection locked="0"/>
    </xf>
    <xf numFmtId="0" fontId="5" fillId="8" borderId="23" xfId="5" applyFont="1" applyFill="1" applyBorder="1" applyAlignment="1">
      <alignment horizontal="center" vertical="center" wrapText="1"/>
      <protection locked="0"/>
    </xf>
    <xf numFmtId="0" fontId="5" fillId="8" borderId="1" xfId="5" applyFont="1" applyFill="1" applyBorder="1" applyAlignment="1">
      <alignment horizontal="center" vertical="center" wrapText="1"/>
      <protection locked="0"/>
    </xf>
    <xf numFmtId="0" fontId="8" fillId="18" borderId="9" xfId="0" applyFont="1" applyFill="1" applyBorder="1" applyAlignment="1">
      <alignment horizontal="center" vertical="center"/>
    </xf>
    <xf numFmtId="0" fontId="8" fillId="18" borderId="3" xfId="0" applyFont="1" applyFill="1" applyBorder="1" applyAlignment="1">
      <alignment horizontal="left" vertical="center"/>
    </xf>
    <xf numFmtId="0" fontId="8" fillId="18" borderId="3" xfId="0" applyFont="1" applyFill="1" applyBorder="1" applyAlignment="1">
      <alignment vertical="center"/>
    </xf>
    <xf numFmtId="0" fontId="8" fillId="18" borderId="3" xfId="0" applyFont="1" applyFill="1" applyBorder="1" applyAlignment="1">
      <alignment horizontal="left" vertical="center" wrapText="1"/>
    </xf>
    <xf numFmtId="0" fontId="8" fillId="18" borderId="5" xfId="0" applyFont="1" applyFill="1" applyBorder="1" applyAlignment="1">
      <alignment vertical="center"/>
    </xf>
    <xf numFmtId="0" fontId="8" fillId="18" borderId="5" xfId="0" applyFont="1" applyFill="1" applyBorder="1" applyAlignment="1">
      <alignment horizontal="left" vertical="center" wrapText="1"/>
    </xf>
    <xf numFmtId="0" fontId="8" fillId="18" borderId="5" xfId="0" applyFont="1" applyFill="1" applyBorder="1" applyAlignment="1">
      <alignment horizontal="left" vertical="center"/>
    </xf>
    <xf numFmtId="0" fontId="19" fillId="18" borderId="5" xfId="0" applyFont="1" applyFill="1" applyBorder="1" applyAlignment="1">
      <alignment vertical="center"/>
    </xf>
  </cellXfs>
  <cellStyles count="7">
    <cellStyle name="20% - Accent1" xfId="3" builtinId="30"/>
    <cellStyle name="40% - Accent1" xfId="4" builtinId="31"/>
    <cellStyle name="Currency" xfId="1" builtinId="4"/>
    <cellStyle name="Input" xfId="6" builtinId="20"/>
    <cellStyle name="Normal" xfId="0" builtinId="0"/>
    <cellStyle name="Percent" xfId="2" builtinId="5"/>
    <cellStyle name="Quality Category Heading" xfId="5" xr:uid="{668A9789-1FA0-46BB-8670-F11C6E5A61EE}"/>
  </cellStyles>
  <dxfs count="75">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ttom style="thin">
          <color indexed="64"/>
        </bottom>
      </border>
    </dxf>
    <dxf>
      <font>
        <strike val="0"/>
        <outline val="0"/>
        <shadow val="0"/>
        <u val="none"/>
        <vertAlign val="baseline"/>
        <sz val="12"/>
        <name val="Calibri"/>
        <family val="2"/>
        <scheme val="minor"/>
      </font>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Calibri"/>
        <family val="2"/>
        <scheme val="minor"/>
      </font>
      <alignment vertical="center" textRotation="0" indent="0" justifyLastLine="0" shrinkToFit="0" readingOrder="0"/>
    </dxf>
    <dxf>
      <font>
        <strike val="0"/>
        <outline val="0"/>
        <shadow val="0"/>
        <u val="none"/>
        <vertAlign val="baseline"/>
        <sz val="12"/>
        <color auto="1"/>
        <name val="Calibri"/>
        <family val="2"/>
        <scheme val="minor"/>
      </font>
      <alignment vertical="center" textRotation="0" wrapText="1" indent="0" justifyLastLine="0" shrinkToFit="0" readingOrder="0"/>
    </dxf>
    <dxf>
      <font>
        <strike val="0"/>
        <outline val="0"/>
        <shadow val="0"/>
        <u val="none"/>
        <vertAlign val="baseline"/>
        <sz val="12"/>
        <color auto="1"/>
        <name val="Calibri"/>
        <family val="2"/>
        <scheme val="minor"/>
      </font>
      <alignment horizontal="center" vertical="center" textRotation="0" wrapText="1" indent="0" justifyLastLine="0" shrinkToFit="0" readingOrder="0"/>
    </dxf>
    <dxf>
      <font>
        <strike val="0"/>
        <outline val="0"/>
        <shadow val="0"/>
        <u val="none"/>
        <vertAlign val="baseline"/>
        <sz val="12"/>
        <color auto="1"/>
        <name val="Calibri"/>
        <family val="2"/>
        <scheme val="minor"/>
      </font>
      <alignment horizontal="center" vertical="center" textRotation="0" indent="0" justifyLastLine="0" shrinkToFit="0" readingOrder="0"/>
    </dxf>
    <dxf>
      <font>
        <strike val="0"/>
        <outline val="0"/>
        <shadow val="0"/>
        <u val="none"/>
        <vertAlign val="baseline"/>
        <sz val="12"/>
        <color auto="1"/>
        <name val="Calibri"/>
        <family val="2"/>
        <scheme val="minor"/>
      </font>
      <alignment horizontal="general" vertical="center" textRotation="0" wrapText="1" indent="0" justifyLastLine="0" shrinkToFit="0" readingOrder="0"/>
    </dxf>
    <dxf>
      <font>
        <strike val="0"/>
        <outline val="0"/>
        <shadow val="0"/>
        <u val="none"/>
        <vertAlign val="baseline"/>
        <sz val="12"/>
        <color auto="1"/>
        <name val="Calibri"/>
        <family val="2"/>
        <scheme val="minor"/>
      </font>
      <alignment vertical="center" textRotation="0" wrapText="1"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color auto="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alignment horizont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34" formatCode="_(&quot;$&quot;* #,##0.00_);_(&quot;$&quot;* \(#,##0.00\);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righ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4" tint="0.79998168889431442"/>
        </patternFill>
      </fill>
      <alignment horizontal="center" textRotation="0" indent="0" justifyLastLine="0" shrinkToFit="0" readingOrder="0"/>
      <border diagonalUp="0" diagonalDown="0">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alignment horizontal="center" textRotation="0" wrapText="1" indent="0" justifyLastLine="0" shrinkToFit="0" readingOrder="0"/>
    </dxf>
    <dxf>
      <font>
        <b/>
        <strike val="0"/>
        <outline val="0"/>
        <shadow val="0"/>
        <u val="none"/>
        <vertAlign val="baseline"/>
        <sz val="12"/>
        <name val="Calibri"/>
        <family val="2"/>
        <scheme val="minor"/>
      </font>
      <numFmt numFmtId="165" formatCode="&quot;$&quot;#,##0.00"/>
      <fill>
        <patternFill>
          <fgColor indexed="64"/>
          <bgColor theme="9" tint="0.79998168889431442"/>
        </patternFill>
      </fill>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3" formatCode="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64" formatCode="&quot;$&quot;#,##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quot;$&quot;#,##0"/>
      <border diagonalUp="0" diagonalDown="0">
        <left style="thin">
          <color indexed="64"/>
        </left>
        <right style="thin">
          <color indexed="64"/>
        </right>
        <top/>
        <bottom style="thin">
          <color indexed="64"/>
        </bottom>
        <vertical/>
        <horizontal/>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64"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34" formatCode="_(&quot;$&quot;* #,##0.00_);_(&quot;$&quot;* \(#,##0.00\);_(&quot;$&quot;* &quot;-&quot;??_);_(@_)"/>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bottom style="thin">
          <color indexed="64"/>
        </bottom>
        <vertical/>
        <horizontal/>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64" formatCode="&quot;$&quot;#,##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bottom style="thin">
          <color indexed="64"/>
        </bottom>
        <vertical/>
        <horizontal/>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34" formatCode="_(&quot;$&quot;* #,##0.00_);_(&quot;$&quot;* \(#,##0.00\);_(&quot;$&quot;* &quot;-&quot;??_);_(@_)"/>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bottom style="thin">
          <color indexed="64"/>
        </bottom>
        <vertical/>
        <horizontal/>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3" formatCode="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34" formatCode="_(&quot;$&quot;* #,##0.00_);_(&quot;$&quot;* \(#,##0.00\);_(&quot;$&quot;* &quot;-&quot;??_);_(@_)"/>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bottom style="thin">
          <color indexed="64"/>
        </bottom>
        <vertical/>
        <horizontal/>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medium">
          <color rgb="FF000000"/>
        </left>
        <right style="medium">
          <color rgb="FF000000"/>
        </right>
        <bottom style="medium">
          <color rgb="FF000000"/>
        </bottom>
      </border>
    </dxf>
    <dxf>
      <font>
        <strike val="0"/>
        <outline val="0"/>
        <shadow val="0"/>
        <u val="none"/>
        <vertAlign val="baseline"/>
        <sz val="12"/>
        <name val="Calibri"/>
        <family val="2"/>
        <scheme val="none"/>
      </font>
    </dxf>
    <dxf>
      <border>
        <bottom style="medium">
          <color rgb="FF000000"/>
        </bottom>
      </border>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horizontal="center" vertical="center" textRotation="0" wrapText="1" indent="0" justifyLastLine="0" shrinkToFit="0" readingOrder="0"/>
    </dxf>
    <dxf>
      <fill>
        <patternFill>
          <bgColor theme="4" tint="0.79998168889431442"/>
        </patternFill>
      </fill>
    </dxf>
    <dxf>
      <fill>
        <patternFill>
          <bgColor theme="0"/>
        </patternFill>
      </fill>
    </dxf>
    <dxf>
      <font>
        <color theme="0"/>
      </font>
      <fill>
        <patternFill>
          <bgColor theme="4" tint="-0.499984740745262"/>
        </patternFill>
      </fill>
    </dxf>
    <dxf>
      <fill>
        <patternFill>
          <bgColor theme="4" tint="0.79998168889431442"/>
        </patternFill>
      </fill>
    </dxf>
    <dxf>
      <fill>
        <patternFill>
          <bgColor theme="0"/>
        </patternFill>
      </fill>
    </dxf>
    <dxf>
      <font>
        <color theme="0"/>
      </font>
      <fill>
        <patternFill>
          <bgColor theme="4" tint="-0.499984740745262"/>
        </patternFill>
      </fill>
    </dxf>
  </dxfs>
  <tableStyles count="2" defaultTableStyle="TableStyleMedium2" defaultPivotStyle="PivotStyleLight16">
    <tableStyle name="Table Style 2" pivot="0" count="3" xr9:uid="{84400101-BBCE-4752-8ECC-4984F54575F8}">
      <tableStyleElement type="firstColumn" dxfId="74"/>
      <tableStyleElement type="firstRowStripe" dxfId="73"/>
      <tableStyleElement type="secondRowStripe" dxfId="72"/>
    </tableStyle>
    <tableStyle name="Table Style 2 2" pivot="0" count="3" xr9:uid="{0E43722A-87DF-4F60-B162-DEB3F6685D71}">
      <tableStyleElement type="firstColumn" dxfId="71"/>
      <tableStyleElement type="firstRowStripe" dxfId="70"/>
      <tableStyleElement type="secondRowStripe" dxfId="69"/>
    </tableStyle>
  </tableStyles>
  <colors>
    <mruColors>
      <color rgb="FFDDDD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wcgov.sharepoint.com/sites/ccel/ppqi/Child%20Care%20Quality%20Funds%20Reporting/CCQ%20FFY2025/Q1%20(Oct%202024-Dec%202024)/Borderplex%20FY25%20CCQ%20Q1%20Report%20Needs%20Revisions.xlsx" TargetMode="External"/><Relationship Id="rId1" Type="http://schemas.openxmlformats.org/officeDocument/2006/relationships/externalLinkPath" Target="Q1%20(Oct%202024-Dec%202024)/Borderplex%20FY25%20CCQ%20Q1%20Report%20Needs%20Revis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ccel/ppqi/Child%20Care%20Quality%20Funds%20Reporting/CCQ%20FFY2023/FY23%20Annual%20Expenditure%20Plans/Alamo%20FY23%20Annual%20Expenditure%20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Examples &amp; Definitions"/>
      <sheetName val="Texas Rising Star Staff"/>
      <sheetName val="Annual Expenditure Plan"/>
      <sheetName val="Quarterly Data"/>
      <sheetName val="Quarterly Narrative"/>
      <sheetName val="Hidden-TWC Staff"/>
      <sheetName val="Drop-Down Pick Lists"/>
      <sheetName val="WD Letter Revisions"/>
    </sheetNames>
    <sheetDataSet>
      <sheetData sheetId="0">
        <row r="8">
          <cell r="B8" t="str">
            <v>Workforce Solutions Borderplex</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amples &amp; Definitions"/>
      <sheetName val="TRS Staffing"/>
      <sheetName val="Annual Expenditure Plan"/>
      <sheetName val="Quarterly Data"/>
      <sheetName val="Quarterly Narrative"/>
      <sheetName val="Hidden-TWC Staff"/>
      <sheetName val="Drop-Down Pick Lists"/>
      <sheetName val="YTD Summary"/>
      <sheetName val="WD Letter Revisions"/>
      <sheetName val="Alamo FY23 Annual Expenditure P"/>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3E777C-AC86-4882-A78C-2068C1D14AC8}" name="Table208833" displayName="Table208833" ref="A2:AD30" totalsRowShown="0" headerRowDxfId="68" dataDxfId="66" headerRowBorderDxfId="67" tableBorderDxfId="65" headerRowCellStyle="20% - Accent1">
  <autoFilter ref="A2:AD30" xr:uid="{7DC0A715-D245-4392-8F5F-46A05D943E3C}"/>
  <tableColumns count="30">
    <tableColumn id="1" xr3:uid="{FF375C04-BC23-4C92-BBA8-01987F4EA0F9}" name="Board _x000a_Number" dataDxfId="64" dataCellStyle="40% - Accent1"/>
    <tableColumn id="2" xr3:uid="{CEA2BF5A-479B-421D-9B02-0D2E68E8D7E4}" name="Board" dataDxfId="63" dataCellStyle="40% - Accent1"/>
    <tableColumn id="3" xr3:uid="{9C01D10C-02CD-4AD3-80AF-C7B823A8C061}" name="Infant Toddler  Expenditures CCQ" dataDxfId="62"/>
    <tableColumn id="18" xr3:uid="{67FA8EF2-87F2-4112-AA05-E8C84AD070BC}" name="Infant Toddler Expenditures CQF" dataDxfId="61" dataCellStyle="Currency"/>
    <tableColumn id="23" xr3:uid="{7A28CC62-2BBC-4A8E-9EB8-4B1F7D4CE506}" name="Infant Toddler Total" dataDxfId="60" dataCellStyle="Currency">
      <calculatedColumnFormula>Table208833[[#This Row],[Infant Toddler  Expenditures CCQ]]+D3</calculatedColumnFormula>
    </tableColumn>
    <tableColumn id="4" xr3:uid="{A0C20A7E-6EFA-4805-AC8A-C7C3189C475E}" name="I/T % of Total" dataDxfId="59" dataCellStyle="Percent">
      <calculatedColumnFormula>Table208833[[#This Row],[Infant Toddler Total]]/Table208833[[#This Row],[TOTAL Expended]]</calculatedColumnFormula>
    </tableColumn>
    <tableColumn id="5" xr3:uid="{3E56C43E-2550-4982-A676-90874B8A5A64}" name="Professional Development Expenditures CCQ" dataDxfId="58"/>
    <tableColumn id="19" xr3:uid="{566D81AA-E011-4BF1-BECA-7555D0C5E2CD}" name="Professional Development Expenditures CQF" dataDxfId="57" dataCellStyle="Currency"/>
    <tableColumn id="24" xr3:uid="{7173660E-3D73-455E-9A0F-DD3F7BBB46F4}" name="PD Total" dataDxfId="56" dataCellStyle="Currency">
      <calculatedColumnFormula>Table208833[[#This Row],[Professional Development Expenditures CCQ]]+H3</calculatedColumnFormula>
    </tableColumn>
    <tableColumn id="6" xr3:uid="{C64A1E3A-4FA2-4EB5-9954-FC4BD2DAD53A}" name="PD % of Total" dataDxfId="55" dataCellStyle="Percent">
      <calculatedColumnFormula>Table208833[[#This Row],[PD Total]]/Table208833[[#This Row],[TOTAL Expended]]</calculatedColumnFormula>
    </tableColumn>
    <tableColumn id="7" xr3:uid="{9252C710-1F9D-44F2-B401-F155E4E82BE5}" name="Texas Rising Star Expenditures CCQ" dataDxfId="54"/>
    <tableColumn id="20" xr3:uid="{EC9A66CE-89EA-4515-B6F0-4F0719D4F823}" name="Texas Rising Star Expenditures CQF" dataDxfId="53" dataCellStyle="Currency"/>
    <tableColumn id="21" xr3:uid="{7FC74B2C-7E57-4DF1-8E66-EA75C7F60BB6}" name="Texas Rising Star Expenditures Mentor Funding" dataDxfId="52" dataCellStyle="Currency"/>
    <tableColumn id="25" xr3:uid="{7E2DFA01-B613-432B-85B7-200BF0202CD2}" name="Texas Rising Star Total" dataDxfId="51" dataCellStyle="Currency">
      <calculatedColumnFormula>Table208833[[#This Row],[Texas Rising Star Expenditures CCQ]]+Table208833[[#This Row],[Texas Rising Star Expenditures CQF]]+Table208833[[#This Row],[Texas Rising Star Expenditures Mentor Funding]]</calculatedColumnFormula>
    </tableColumn>
    <tableColumn id="8" xr3:uid="{2BE7010C-532D-4F3F-B363-28F81E191ED8}" name="TRS % of Total" dataDxfId="50" dataCellStyle="Percent">
      <calculatedColumnFormula>Table208833[[#This Row],[Texas Rising Star Total]]/Table208833[[#This Row],[TOTAL Expended]]</calculatedColumnFormula>
    </tableColumn>
    <tableColumn id="9" xr3:uid="{4A9A39AD-DBE8-479B-8ED5-2BE3D48714F5}" name="Health &amp; Safety Expenditures CCQ Only" dataDxfId="49"/>
    <tableColumn id="10" xr3:uid="{14C8A916-A11C-4B9C-B9D7-92B0D26A6402}" name="H/S % of Total" dataDxfId="48" dataCellStyle="Percent">
      <calculatedColumnFormula>Table208833[[#This Row],[Health &amp; Safety Expenditures CCQ Only]]/Table208833[[#This Row],[TOTAL Expended]]</calculatedColumnFormula>
    </tableColumn>
    <tableColumn id="11" xr3:uid="{E73D9E06-38B3-4D71-AD1B-D5432E101FDD}" name="Eval &amp; Assessment Expenditures CCQ" dataDxfId="47"/>
    <tableColumn id="22" xr3:uid="{C0B1A369-2FD3-4517-8814-7DC821FC3937}" name="Eval &amp; Assessment Expenditures CQF" dataDxfId="46" dataCellStyle="Currency"/>
    <tableColumn id="26" xr3:uid="{B3C6D37D-67B7-4CE8-93B6-253FFAB9A5EF}" name="Eval/Assess Total" dataDxfId="45" dataCellStyle="Currency">
      <calculatedColumnFormula>Table208833[[#This Row],[Eval &amp; Assessment Expenditures CCQ]]+S3</calculatedColumnFormula>
    </tableColumn>
    <tableColumn id="12" xr3:uid="{3CBA2C4A-E20C-41E2-A9BE-57EF78644F21}" name="Eval % of Total" dataDxfId="44" dataCellStyle="Percent">
      <calculatedColumnFormula>Table208833[[#This Row],[Eval/Assess Total]]/Table208833[[#This Row],[TOTAL Expended]]</calculatedColumnFormula>
    </tableColumn>
    <tableColumn id="13" xr3:uid="{9A5C4DEA-A335-4F3D-8C66-5D01FAC82B17}" name="National Accreditation Expenditures CCQ" dataDxfId="43"/>
    <tableColumn id="27" xr3:uid="{F0FFE5B4-FA86-40CF-A385-88B7237E6136}" name="National Accreditation Expenditures CQF" dataDxfId="42" dataCellStyle="Currency"/>
    <tableColumn id="28" xr3:uid="{F2B9CCCB-8FA1-4D2E-9B4D-A25BB0B7B80F}" name="National Accreditation Total" dataDxfId="41" dataCellStyle="Currency">
      <calculatedColumnFormula>Table208833[[#This Row],[National Accreditation Expenditures CCQ]]+Table208833[[#This Row],[National Accreditation Expenditures CQF]]</calculatedColumnFormula>
    </tableColumn>
    <tableColumn id="14" xr3:uid="{413AE4AE-2018-4B73-A319-F342D70D7B66}" name="NA % of Total" dataDxfId="40">
      <calculatedColumnFormula>Table208833[[#This Row],[National Accreditation Total]]/Table208833[[#This Row],[TOTAL Expended]]</calculatedColumnFormula>
    </tableColumn>
    <tableColumn id="15" xr3:uid="{024CA5A9-7898-4701-B831-363070F0C3D2}" name="Other Activities Expenditures CCQ" dataDxfId="39"/>
    <tableColumn id="29" xr3:uid="{2CF205E8-B5A4-4D8D-8D05-E783C622892B}" name="Other Activities Expenditures CQF" dataDxfId="38"/>
    <tableColumn id="30" xr3:uid="{0D56C9D0-68BB-407E-9D70-EB2F7A93C772}" name="Other Total" dataDxfId="37">
      <calculatedColumnFormula>Table208833[[#This Row],[Other Activities Expenditures CCQ]]+Table208833[[#This Row],[Other Activities Expenditures CQF]]</calculatedColumnFormula>
    </tableColumn>
    <tableColumn id="16" xr3:uid="{BDC3D398-82F7-44F2-A8F0-8A5BD764BC47}" name="Other % of Total" dataDxfId="36" dataCellStyle="Percent">
      <calculatedColumnFormula>Table208833[[#This Row],[Other Total]]/Table208833[[#This Row],[TOTAL Expended]]</calculatedColumnFormula>
    </tableColumn>
    <tableColumn id="17" xr3:uid="{2D1D919C-444A-423B-B473-E9B3211CDCBB}" name="TOTAL Expended" dataDxfId="35">
      <calculatedColumnFormula>Table208833[[#This Row],[Infant Toddler Total]]+Table208833[[#This Row],[PD Total]]+Table208833[[#This Row],[Texas Rising Star Total]]+Table208833[[#This Row],[Health &amp; Safety Expenditures CCQ Only]]+Table208833[[#This Row],[Eval/Assess Total]]+Table208833[[#This Row],[National Accreditation Total]]+Table208833[[#This Row],[Other Total]]</calculatedColumnFormula>
    </tableColumn>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1C4C7-096A-4022-95CB-43D01DDB37BD}" name="Table202290" displayName="Table202290" ref="A1:I29" totalsRowShown="0" headerRowDxfId="34" dataDxfId="33" tableBorderDxfId="32" headerRowCellStyle="Quality Category Heading">
  <autoFilter ref="A1:I29" xr:uid="{7DC0A715-D245-4392-8F5F-46A05D943E3C}"/>
  <sortState xmlns:xlrd2="http://schemas.microsoft.com/office/spreadsheetml/2017/richdata2" ref="A2:I29">
    <sortCondition ref="A1:A29"/>
  </sortState>
  <tableColumns count="9">
    <tableColumn id="1" xr3:uid="{343DFD58-F35B-43F0-A650-4F5071D2E9AE}" name="#" dataDxfId="31" dataCellStyle="40% - Accent1"/>
    <tableColumn id="2" xr3:uid="{1AE28D3E-A516-4580-B07D-7971ECA66C84}" name="Board" dataDxfId="30" dataCellStyle="40% - Accent1"/>
    <tableColumn id="3" xr3:uid="{25606EE7-5DCA-499B-B398-F63EAF08D744}" name="Q1" dataDxfId="29" dataCellStyle="Currency"/>
    <tableColumn id="5" xr3:uid="{C2E7E37C-770E-40B2-91E7-531C880058CA}" name="Q2" dataDxfId="28" dataCellStyle="Currency"/>
    <tableColumn id="7" xr3:uid="{4BA29D51-D2CC-410C-A584-EE53B17972F0}" name="Q3" dataDxfId="27" dataCellStyle="Currency"/>
    <tableColumn id="9" xr3:uid="{4B8BD2A2-F047-461E-8748-D9208D33A5AA}" name="Q4" dataDxfId="26" dataCellStyle="Currency"/>
    <tableColumn id="11" xr3:uid="{860123B8-152E-4DF4-8F07-4F0AAEA79384}" name="YTD Expended" dataDxfId="25" dataCellStyle="Currency">
      <calculatedColumnFormula>Table202290[[#This Row],[Q3]]</calculatedColumnFormula>
    </tableColumn>
    <tableColumn id="19" xr3:uid="{0B904BEF-C77A-4C85-811B-F93702B7F98C}" name="Total CCQ, CQF and Mentor Funding Allotted" dataDxfId="24" dataCellStyle="Currency"/>
    <tableColumn id="12" xr3:uid="{B544A27F-29FF-4228-949F-EE60D2AD683F}" name="YTD % Expended of Allotted" dataDxfId="23" dataCellStyle="Percent">
      <calculatedColumnFormula>Table202290[[#This Row],[YTD Expended]]/Table202290[[#This Row],[Total CCQ, CQF and Mentor Funding Allotted]]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C5F749-9E94-4211-9B6F-65753781FE4D}" name="Table491" displayName="Table491" ref="A1:I976" totalsRowShown="0" headerRowDxfId="22" dataDxfId="21">
  <autoFilter ref="A1:I976" xr:uid="{C5319488-CD05-48BF-BFBE-99560D01CDC4}"/>
  <sortState xmlns:xlrd2="http://schemas.microsoft.com/office/spreadsheetml/2017/richdata2" ref="A2:I971">
    <sortCondition ref="A1:A971"/>
  </sortState>
  <tableColumns count="9">
    <tableColumn id="8" xr3:uid="{BF46739D-4A15-433F-9D2E-999423D7DB75}" name="Board Number" dataDxfId="20"/>
    <tableColumn id="2" xr3:uid="{4C8A7BFC-036C-43B9-9072-17A167BF53EA}" name="Board" dataDxfId="19"/>
    <tableColumn id="1" xr3:uid="{80D7F50E-9377-43D6-A606-3CF7F6E83380}" name="Quarter" dataDxfId="18"/>
    <tableColumn id="3" xr3:uid="{38621A98-C230-452E-B2E3-E5F9EF53EBFC}" name="Activity Category" dataDxfId="17"/>
    <tableColumn id="4" xr3:uid="{29B765D6-BC30-455F-89CA-F167E401724A}" name="Activity Description:" dataDxfId="16"/>
    <tableColumn id="5" xr3:uid="{38E7D38B-4D0E-4F05-932B-9705D471EF05}" name="Project Status " dataDxfId="15"/>
    <tableColumn id="6" xr3:uid="{803576A7-17DB-4888-A666-9904F8216A5D}" name="Number of Participants _x000a_(if applicable)" dataDxfId="14"/>
    <tableColumn id="7" xr3:uid="{01BED4B1-FEAA-458E-BE13-65A67211795B}" name="Measurable Outcome(s)" dataDxfId="13"/>
    <tableColumn id="9" xr3:uid="{162EC8E0-1C26-49CA-9420-29BA63A1C299}" name="Column1" dataDxfId="12"/>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A2CF4E-6525-463D-854E-0F0397DF862E}" name="Table5" displayName="Table5" ref="A1:H2033" totalsRowShown="0" headerRowDxfId="11" dataDxfId="9" headerRowBorderDxfId="10" tableBorderDxfId="8">
  <autoFilter ref="A1:H2033" xr:uid="{F9A2CF4E-6525-463D-854E-0F0397DF862E}">
    <filterColumn colId="1">
      <filters>
        <filter val="1"/>
        <filter val="2"/>
        <filter val="3"/>
      </filters>
    </filterColumn>
  </autoFilter>
  <sortState xmlns:xlrd2="http://schemas.microsoft.com/office/spreadsheetml/2017/richdata2" ref="A2:H1307">
    <sortCondition ref="B1:B1307"/>
  </sortState>
  <tableColumns count="8">
    <tableColumn id="8" xr3:uid="{32820FBA-8427-4109-B9BA-31391BD3505A}" name="Board Number" dataDxfId="7"/>
    <tableColumn id="1" xr3:uid="{28C9397C-2B1A-4F7E-B654-C892AABA2BEE}" name="Quarter" dataDxfId="6"/>
    <tableColumn id="2" xr3:uid="{077486B5-824F-4E16-9C03-37B0529CAD6B}" name="Board" dataDxfId="5"/>
    <tableColumn id="3" xr3:uid="{3A4A8623-B39A-406C-A250-AC903E2B8C64}" name="Activity Category" dataDxfId="4"/>
    <tableColumn id="4" xr3:uid="{299552B4-B2E9-4EE3-8744-866C228E1BA5}" name="Activity Description:" dataDxfId="3"/>
    <tableColumn id="5" xr3:uid="{FD493B84-BB57-4C26-87AF-65ED5F6672F2}" name="Project Status " dataDxfId="2"/>
    <tableColumn id="6" xr3:uid="{745A672D-5F77-4D8C-AA59-4CF7E0D4C28F}" name="Number and Type of Participants _x000a_(if applicable)" dataDxfId="1"/>
    <tableColumn id="7" xr3:uid="{4016C997-78CF-415F-8632-017702D7D1F5}" name="Measurable Outcome(s)"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37F33-CC76-4D59-9370-9D1E0D46E3B6}">
  <sheetPr>
    <tabColor theme="4" tint="-0.499984740745262"/>
  </sheetPr>
  <dimension ref="A1:AF33"/>
  <sheetViews>
    <sheetView zoomScale="70" zoomScaleNormal="70" workbookViewId="0">
      <selection activeCell="AD31" sqref="AD31"/>
    </sheetView>
  </sheetViews>
  <sheetFormatPr defaultColWidth="0" defaultRowHeight="10.199999999999999" zeroHeight="1" outlineLevelCol="1" x14ac:dyDescent="0.2"/>
  <cols>
    <col min="1" max="1" width="10.21875" style="184" customWidth="1"/>
    <col min="2" max="2" width="16.44140625" style="183" bestFit="1" customWidth="1"/>
    <col min="3" max="3" width="24.5546875" style="183" customWidth="1"/>
    <col min="4" max="4" width="27.6640625" style="183" customWidth="1"/>
    <col min="5" max="5" width="25.109375" style="183" customWidth="1"/>
    <col min="6" max="6" width="11" style="183" customWidth="1"/>
    <col min="7" max="7" width="23" style="183" customWidth="1"/>
    <col min="8" max="8" width="23.77734375" style="183" customWidth="1"/>
    <col min="9" max="9" width="19.21875" style="183" customWidth="1"/>
    <col min="10" max="10" width="13.77734375" style="183" bestFit="1" customWidth="1"/>
    <col min="11" max="11" width="23.5546875" style="183" customWidth="1"/>
    <col min="12" max="12" width="28.44140625" style="183" customWidth="1"/>
    <col min="13" max="14" width="18.77734375" style="183" customWidth="1"/>
    <col min="15" max="15" width="13.77734375" style="183" bestFit="1" customWidth="1"/>
    <col min="16" max="16" width="18.77734375" style="183" bestFit="1" customWidth="1"/>
    <col min="17" max="17" width="11.21875" style="183" customWidth="1"/>
    <col min="18" max="18" width="24.6640625" style="183" customWidth="1"/>
    <col min="19" max="19" width="21.21875" style="183" customWidth="1"/>
    <col min="20" max="20" width="21" style="183" customWidth="1"/>
    <col min="21" max="21" width="17.44140625" style="183" customWidth="1"/>
    <col min="22" max="22" width="18.88671875" style="183" bestFit="1" customWidth="1"/>
    <col min="23" max="23" width="27.109375" style="183" customWidth="1"/>
    <col min="24" max="24" width="18.88671875" style="183" customWidth="1"/>
    <col min="25" max="25" width="13.44140625" style="183" bestFit="1" customWidth="1"/>
    <col min="26" max="26" width="25.21875" style="183" customWidth="1"/>
    <col min="27" max="27" width="24.33203125" style="183" customWidth="1"/>
    <col min="28" max="28" width="18.77734375" style="183" customWidth="1"/>
    <col min="29" max="29" width="12.88671875" style="183" customWidth="1"/>
    <col min="30" max="30" width="21.44140625" style="183" bestFit="1" customWidth="1"/>
    <col min="31" max="31" width="0" style="183" hidden="1" customWidth="1" outlineLevel="1"/>
    <col min="32" max="32" width="0" style="183" hidden="1" customWidth="1"/>
    <col min="33" max="16384" width="8.5546875" style="183" hidden="1"/>
  </cols>
  <sheetData>
    <row r="1" spans="1:30" s="229" customFormat="1" ht="15.6" x14ac:dyDescent="0.2">
      <c r="A1" s="247"/>
      <c r="B1" s="248"/>
      <c r="C1" s="249" t="s">
        <v>0</v>
      </c>
      <c r="D1" s="250"/>
      <c r="E1" s="250"/>
      <c r="F1" s="251"/>
      <c r="G1" s="252" t="s">
        <v>1</v>
      </c>
      <c r="H1" s="253"/>
      <c r="I1" s="253"/>
      <c r="J1" s="254"/>
      <c r="K1" s="255" t="s">
        <v>2</v>
      </c>
      <c r="L1" s="256"/>
      <c r="M1" s="256"/>
      <c r="N1" s="256"/>
      <c r="O1" s="257"/>
      <c r="P1" s="258" t="s">
        <v>3</v>
      </c>
      <c r="Q1" s="259"/>
      <c r="R1" s="260" t="s">
        <v>4</v>
      </c>
      <c r="S1" s="261"/>
      <c r="T1" s="261"/>
      <c r="U1" s="262"/>
      <c r="V1" s="241" t="s">
        <v>5</v>
      </c>
      <c r="W1" s="242"/>
      <c r="X1" s="242"/>
      <c r="Y1" s="243"/>
      <c r="Z1" s="244" t="s">
        <v>6</v>
      </c>
      <c r="AA1" s="245"/>
      <c r="AB1" s="245"/>
      <c r="AC1" s="246"/>
      <c r="AD1" s="230" t="s">
        <v>7</v>
      </c>
    </row>
    <row r="2" spans="1:30" s="225" customFormat="1" ht="47.4" thickBot="1" x14ac:dyDescent="0.35">
      <c r="A2" s="228" t="s">
        <v>2166</v>
      </c>
      <c r="B2" s="228" t="s">
        <v>9</v>
      </c>
      <c r="C2" s="227" t="s">
        <v>2165</v>
      </c>
      <c r="D2" s="227" t="s">
        <v>2164</v>
      </c>
      <c r="E2" s="227" t="s">
        <v>2167</v>
      </c>
      <c r="F2" s="226" t="s">
        <v>2163</v>
      </c>
      <c r="G2" s="227" t="s">
        <v>2162</v>
      </c>
      <c r="H2" s="227" t="s">
        <v>2161</v>
      </c>
      <c r="I2" s="227" t="s">
        <v>2168</v>
      </c>
      <c r="J2" s="226" t="s">
        <v>2160</v>
      </c>
      <c r="K2" s="227" t="s">
        <v>2159</v>
      </c>
      <c r="L2" s="227" t="s">
        <v>2158</v>
      </c>
      <c r="M2" s="227" t="s">
        <v>2157</v>
      </c>
      <c r="N2" s="227" t="s">
        <v>2169</v>
      </c>
      <c r="O2" s="226" t="s">
        <v>2156</v>
      </c>
      <c r="P2" s="227" t="s">
        <v>2173</v>
      </c>
      <c r="Q2" s="226" t="s">
        <v>2155</v>
      </c>
      <c r="R2" s="227" t="s">
        <v>2154</v>
      </c>
      <c r="S2" s="227" t="s">
        <v>2153</v>
      </c>
      <c r="T2" s="227" t="s">
        <v>2170</v>
      </c>
      <c r="U2" s="226" t="s">
        <v>2152</v>
      </c>
      <c r="V2" s="227" t="s">
        <v>2174</v>
      </c>
      <c r="W2" s="227" t="s">
        <v>2151</v>
      </c>
      <c r="X2" s="227" t="s">
        <v>2171</v>
      </c>
      <c r="Y2" s="226" t="s">
        <v>2150</v>
      </c>
      <c r="Z2" s="227" t="s">
        <v>2149</v>
      </c>
      <c r="AA2" s="227" t="s">
        <v>2148</v>
      </c>
      <c r="AB2" s="227" t="s">
        <v>2172</v>
      </c>
      <c r="AC2" s="226" t="s">
        <v>2147</v>
      </c>
      <c r="AD2" s="231" t="s">
        <v>2146</v>
      </c>
    </row>
    <row r="3" spans="1:30" ht="15.6" x14ac:dyDescent="0.3">
      <c r="A3" s="224">
        <v>1</v>
      </c>
      <c r="B3" s="3" t="s">
        <v>10</v>
      </c>
      <c r="C3" s="213">
        <v>24237</v>
      </c>
      <c r="D3" s="167">
        <v>55985.58</v>
      </c>
      <c r="E3" s="167">
        <f>Table208833[[#This Row],[Infant Toddler  Expenditures CCQ]]+D3</f>
        <v>80222.58</v>
      </c>
      <c r="F3" s="4">
        <f>Table208833[[#This Row],[Infant Toddler Total]]/Table208833[[#This Row],[TOTAL Expended]]</f>
        <v>8.0576683906629767E-2</v>
      </c>
      <c r="G3" s="213">
        <v>233117</v>
      </c>
      <c r="H3" s="167">
        <v>223199.89</v>
      </c>
      <c r="I3" s="167">
        <f>Table208833[[#This Row],[Professional Development Expenditures CCQ]]+H3</f>
        <v>456316.89</v>
      </c>
      <c r="J3" s="4">
        <f>Table208833[[#This Row],[PD Total]]/Table208833[[#This Row],[TOTAL Expended]]</f>
        <v>0.45833108093489816</v>
      </c>
      <c r="K3" s="213">
        <v>103357.90999999997</v>
      </c>
      <c r="L3" s="167">
        <v>0</v>
      </c>
      <c r="M3" s="167">
        <v>355708</v>
      </c>
      <c r="N3" s="216">
        <f>Table208833[[#This Row],[Texas Rising Star Expenditures CCQ]]+Table208833[[#This Row],[Texas Rising Star Expenditures CQF]]+Table208833[[#This Row],[Texas Rising Star Expenditures Mentor Funding]]</f>
        <v>459065.91</v>
      </c>
      <c r="O3" s="4">
        <f>Table208833[[#This Row],[Texas Rising Star Total]]/Table208833[[#This Row],[TOTAL Expended]]</f>
        <v>0.46109223515847214</v>
      </c>
      <c r="P3" s="213">
        <v>0</v>
      </c>
      <c r="Q3" s="4">
        <f>Table208833[[#This Row],[Health &amp; Safety Expenditures CCQ Only]]/Table208833[[#This Row],[TOTAL Expended]]</f>
        <v>0</v>
      </c>
      <c r="R3" s="213">
        <v>0</v>
      </c>
      <c r="S3" s="167">
        <v>0</v>
      </c>
      <c r="T3" s="167">
        <f>Table208833[[#This Row],[Eval &amp; Assessment Expenditures CCQ]]+S3</f>
        <v>0</v>
      </c>
      <c r="U3" s="4">
        <f>Table208833[[#This Row],[Eval/Assess Total]]/Table208833[[#This Row],[TOTAL Expended]]</f>
        <v>0</v>
      </c>
      <c r="V3" s="213">
        <v>0</v>
      </c>
      <c r="W3" s="167">
        <v>0</v>
      </c>
      <c r="X3" s="216">
        <f>Table208833[[#This Row],[National Accreditation Expenditures CCQ]]+Table208833[[#This Row],[National Accreditation Expenditures CQF]]</f>
        <v>0</v>
      </c>
      <c r="Y3" s="5">
        <f>Table208833[[#This Row],[National Accreditation Total]]/Table208833[[#This Row],[TOTAL Expended]]</f>
        <v>0</v>
      </c>
      <c r="Z3" s="213">
        <v>0</v>
      </c>
      <c r="AA3" s="167">
        <v>0</v>
      </c>
      <c r="AB3" s="216">
        <f>Table208833[[#This Row],[Other Activities Expenditures CCQ]]+Table208833[[#This Row],[Other Activities Expenditures CQF]]</f>
        <v>0</v>
      </c>
      <c r="AC3" s="4">
        <f>Table208833[[#This Row],[Other Total]]/Table208833[[#This Row],[TOTAL Expended]]</f>
        <v>0</v>
      </c>
      <c r="AD3"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995605.37999999989</v>
      </c>
    </row>
    <row r="4" spans="1:30" ht="15.6" x14ac:dyDescent="0.3">
      <c r="A4" s="217">
        <v>2</v>
      </c>
      <c r="B4" s="7" t="s">
        <v>11</v>
      </c>
      <c r="C4" s="214">
        <v>12449.21</v>
      </c>
      <c r="D4" s="167">
        <v>0</v>
      </c>
      <c r="E4" s="167">
        <f>Table208833[[#This Row],[Infant Toddler  Expenditures CCQ]]+D4</f>
        <v>12449.21</v>
      </c>
      <c r="F4" s="4">
        <f>Table208833[[#This Row],[Infant Toddler Total]]/Table208833[[#This Row],[TOTAL Expended]]</f>
        <v>1.7731206929037669E-2</v>
      </c>
      <c r="G4" s="214">
        <v>0</v>
      </c>
      <c r="H4" s="167">
        <v>52763.95</v>
      </c>
      <c r="I4" s="167">
        <f>Table208833[[#This Row],[Professional Development Expenditures CCQ]]+H4</f>
        <v>52763.95</v>
      </c>
      <c r="J4" s="4">
        <f>Table208833[[#This Row],[PD Total]]/Table208833[[#This Row],[TOTAL Expended]]</f>
        <v>7.515083413673615E-2</v>
      </c>
      <c r="K4" s="214">
        <v>95369.38</v>
      </c>
      <c r="L4" s="167">
        <v>72731.66</v>
      </c>
      <c r="M4" s="167">
        <v>310083</v>
      </c>
      <c r="N4" s="216">
        <f>Table208833[[#This Row],[Texas Rising Star Expenditures CCQ]]+Table208833[[#This Row],[Texas Rising Star Expenditures CQF]]+Table208833[[#This Row],[Texas Rising Star Expenditures Mentor Funding]]</f>
        <v>478184.04000000004</v>
      </c>
      <c r="O4" s="4">
        <f>Table208833[[#This Row],[Texas Rising Star Total]]/Table208833[[#This Row],[TOTAL Expended]]</f>
        <v>0.68106973562203765</v>
      </c>
      <c r="P4" s="214">
        <v>0</v>
      </c>
      <c r="Q4" s="4">
        <f>Table208833[[#This Row],[Health &amp; Safety Expenditures CCQ Only]]/Table208833[[#This Row],[TOTAL Expended]]</f>
        <v>0</v>
      </c>
      <c r="R4" s="214">
        <v>0</v>
      </c>
      <c r="S4" s="167">
        <v>0</v>
      </c>
      <c r="T4" s="167">
        <f>Table208833[[#This Row],[Eval &amp; Assessment Expenditures CCQ]]+S4</f>
        <v>0</v>
      </c>
      <c r="U4" s="4">
        <f>Table208833[[#This Row],[Eval/Assess Total]]/Table208833[[#This Row],[TOTAL Expended]]</f>
        <v>0</v>
      </c>
      <c r="V4" s="214">
        <v>0</v>
      </c>
      <c r="W4" s="168">
        <v>0</v>
      </c>
      <c r="X4" s="215">
        <f>Table208833[[#This Row],[National Accreditation Expenditures CCQ]]+Table208833[[#This Row],[National Accreditation Expenditures CQF]]</f>
        <v>0</v>
      </c>
      <c r="Y4" s="5">
        <f>Table208833[[#This Row],[National Accreditation Total]]/Table208833[[#This Row],[TOTAL Expended]]</f>
        <v>0</v>
      </c>
      <c r="Z4" s="214">
        <v>71579.97</v>
      </c>
      <c r="AA4" s="167">
        <v>87130.14</v>
      </c>
      <c r="AB4" s="216">
        <f>Table208833[[#This Row],[Other Activities Expenditures CCQ]]+Table208833[[#This Row],[Other Activities Expenditures CQF]]</f>
        <v>158710.10999999999</v>
      </c>
      <c r="AC4" s="4">
        <f>Table208833[[#This Row],[Other Total]]/Table208833[[#This Row],[TOTAL Expended]]</f>
        <v>0.22604822331218852</v>
      </c>
      <c r="AD4"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702107.31</v>
      </c>
    </row>
    <row r="5" spans="1:30" ht="15.6" x14ac:dyDescent="0.3">
      <c r="A5" s="217">
        <v>3</v>
      </c>
      <c r="B5" s="7" t="s">
        <v>12</v>
      </c>
      <c r="C5" s="213">
        <v>63364.59</v>
      </c>
      <c r="D5" s="167">
        <v>0</v>
      </c>
      <c r="E5" s="167">
        <f>Table208833[[#This Row],[Infant Toddler  Expenditures CCQ]]+D5</f>
        <v>63364.59</v>
      </c>
      <c r="F5" s="4">
        <f>Table208833[[#This Row],[Infant Toddler Total]]/Table208833[[#This Row],[TOTAL Expended]]</f>
        <v>9.4299142776329378E-2</v>
      </c>
      <c r="G5" s="214">
        <v>62731.73</v>
      </c>
      <c r="H5" s="167">
        <v>0</v>
      </c>
      <c r="I5" s="167">
        <f>Table208833[[#This Row],[Professional Development Expenditures CCQ]]+H5</f>
        <v>62731.73</v>
      </c>
      <c r="J5" s="4">
        <f>Table208833[[#This Row],[PD Total]]/Table208833[[#This Row],[TOTAL Expended]]</f>
        <v>9.3357320924449219E-2</v>
      </c>
      <c r="K5" s="214">
        <v>0</v>
      </c>
      <c r="L5" s="167">
        <v>329933.65999999997</v>
      </c>
      <c r="M5" s="167">
        <v>215923</v>
      </c>
      <c r="N5" s="216">
        <f>Table208833[[#This Row],[Texas Rising Star Expenditures CCQ]]+Table208833[[#This Row],[Texas Rising Star Expenditures CQF]]+Table208833[[#This Row],[Texas Rising Star Expenditures Mentor Funding]]</f>
        <v>545856.65999999992</v>
      </c>
      <c r="O5" s="4">
        <f>Table208833[[#This Row],[Texas Rising Star Total]]/Table208833[[#This Row],[TOTAL Expended]]</f>
        <v>0.81234353629922129</v>
      </c>
      <c r="P5" s="214">
        <v>0</v>
      </c>
      <c r="Q5" s="4">
        <f>Table208833[[#This Row],[Health &amp; Safety Expenditures CCQ Only]]/Table208833[[#This Row],[TOTAL Expended]]</f>
        <v>0</v>
      </c>
      <c r="R5" s="214">
        <v>0</v>
      </c>
      <c r="S5" s="167">
        <v>0</v>
      </c>
      <c r="T5" s="167">
        <f>Table208833[[#This Row],[Eval &amp; Assessment Expenditures CCQ]]+S5</f>
        <v>0</v>
      </c>
      <c r="U5" s="4">
        <f>Table208833[[#This Row],[Eval/Assess Total]]/Table208833[[#This Row],[TOTAL Expended]]</f>
        <v>0</v>
      </c>
      <c r="V5" s="214">
        <v>0</v>
      </c>
      <c r="W5" s="168">
        <v>0</v>
      </c>
      <c r="X5" s="215">
        <f>Table208833[[#This Row],[National Accreditation Expenditures CCQ]]+Table208833[[#This Row],[National Accreditation Expenditures CQF]]</f>
        <v>0</v>
      </c>
      <c r="Y5" s="5">
        <f>Table208833[[#This Row],[National Accreditation Total]]/Table208833[[#This Row],[TOTAL Expended]]</f>
        <v>0</v>
      </c>
      <c r="Z5" s="214">
        <v>0</v>
      </c>
      <c r="AA5" s="167">
        <v>0</v>
      </c>
      <c r="AB5" s="216">
        <f>Table208833[[#This Row],[Other Activities Expenditures CCQ]]+Table208833[[#This Row],[Other Activities Expenditures CQF]]</f>
        <v>0</v>
      </c>
      <c r="AC5" s="4">
        <f>Table208833[[#This Row],[Other Total]]/Table208833[[#This Row],[TOTAL Expended]]</f>
        <v>0</v>
      </c>
      <c r="AD5"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671952.98</v>
      </c>
    </row>
    <row r="6" spans="1:30" ht="15.6" x14ac:dyDescent="0.3">
      <c r="A6" s="217">
        <v>4</v>
      </c>
      <c r="B6" s="7" t="s">
        <v>13</v>
      </c>
      <c r="C6" s="214">
        <v>1536.3</v>
      </c>
      <c r="D6" s="167">
        <v>24083.43</v>
      </c>
      <c r="E6" s="167">
        <f>Table208833[[#This Row],[Infant Toddler  Expenditures CCQ]]+D6</f>
        <v>25619.73</v>
      </c>
      <c r="F6" s="4">
        <f>Table208833[[#This Row],[Infant Toddler Total]]/Table208833[[#This Row],[TOTAL Expended]]</f>
        <v>4.9200683078602526E-3</v>
      </c>
      <c r="G6" s="214">
        <v>0</v>
      </c>
      <c r="H6" s="167">
        <v>71963.7</v>
      </c>
      <c r="I6" s="167">
        <f>Table208833[[#This Row],[Professional Development Expenditures CCQ]]+H6</f>
        <v>71963.7</v>
      </c>
      <c r="J6" s="4">
        <f>Table208833[[#This Row],[PD Total]]/Table208833[[#This Row],[TOTAL Expended]]</f>
        <v>1.3820064445892398E-2</v>
      </c>
      <c r="K6" s="214">
        <v>624632.51</v>
      </c>
      <c r="L6" s="167">
        <v>621575.96</v>
      </c>
      <c r="M6" s="167">
        <v>1733448</v>
      </c>
      <c r="N6" s="216">
        <f>Table208833[[#This Row],[Texas Rising Star Expenditures CCQ]]+Table208833[[#This Row],[Texas Rising Star Expenditures CQF]]+Table208833[[#This Row],[Texas Rising Star Expenditures Mentor Funding]]</f>
        <v>2979656.4699999997</v>
      </c>
      <c r="O6" s="4">
        <f>Table208833[[#This Row],[Texas Rising Star Total]]/Table208833[[#This Row],[TOTAL Expended]]</f>
        <v>0.57221966688789272</v>
      </c>
      <c r="P6" s="214">
        <v>0</v>
      </c>
      <c r="Q6" s="4">
        <f>Table208833[[#This Row],[Health &amp; Safety Expenditures CCQ Only]]/Table208833[[#This Row],[TOTAL Expended]]</f>
        <v>0</v>
      </c>
      <c r="R6" s="214">
        <v>0</v>
      </c>
      <c r="S6" s="167">
        <v>0</v>
      </c>
      <c r="T6" s="167">
        <f>Table208833[[#This Row],[Eval &amp; Assessment Expenditures CCQ]]+S6</f>
        <v>0</v>
      </c>
      <c r="U6" s="4">
        <f>Table208833[[#This Row],[Eval/Assess Total]]/Table208833[[#This Row],[TOTAL Expended]]</f>
        <v>0</v>
      </c>
      <c r="V6" s="214">
        <v>0</v>
      </c>
      <c r="W6" s="168">
        <v>0</v>
      </c>
      <c r="X6" s="215">
        <f>Table208833[[#This Row],[National Accreditation Expenditures CCQ]]+Table208833[[#This Row],[National Accreditation Expenditures CQF]]</f>
        <v>0</v>
      </c>
      <c r="Y6" s="5">
        <f>Table208833[[#This Row],[National Accreditation Total]]/Table208833[[#This Row],[TOTAL Expended]]</f>
        <v>0</v>
      </c>
      <c r="Z6" s="214">
        <v>0</v>
      </c>
      <c r="AA6" s="167">
        <v>2129950</v>
      </c>
      <c r="AB6" s="216">
        <f>Table208833[[#This Row],[Other Activities Expenditures CCQ]]+Table208833[[#This Row],[Other Activities Expenditures CQF]]</f>
        <v>2129950</v>
      </c>
      <c r="AC6" s="4">
        <f>Table208833[[#This Row],[Other Total]]/Table208833[[#This Row],[TOTAL Expended]]</f>
        <v>0.40904020035835448</v>
      </c>
      <c r="AD6"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5207189.9000000004</v>
      </c>
    </row>
    <row r="7" spans="1:30" ht="15.6" x14ac:dyDescent="0.3">
      <c r="A7" s="217">
        <v>5</v>
      </c>
      <c r="B7" s="7" t="s">
        <v>14</v>
      </c>
      <c r="C7" s="214">
        <v>0</v>
      </c>
      <c r="D7" s="167">
        <v>3623.22</v>
      </c>
      <c r="E7" s="167">
        <f>Table208833[[#This Row],[Infant Toddler  Expenditures CCQ]]+D7</f>
        <v>3623.22</v>
      </c>
      <c r="F7" s="4">
        <f>Table208833[[#This Row],[Infant Toddler Total]]/Table208833[[#This Row],[TOTAL Expended]]</f>
        <v>6.1976612199420153E-4</v>
      </c>
      <c r="G7" s="214">
        <v>0</v>
      </c>
      <c r="H7" s="167">
        <v>49076.800000000003</v>
      </c>
      <c r="I7" s="167">
        <f>Table208833[[#This Row],[Professional Development Expenditures CCQ]]+H7</f>
        <v>49076.800000000003</v>
      </c>
      <c r="J7" s="4">
        <f>Table208833[[#This Row],[PD Total]]/Table208833[[#This Row],[TOTAL Expended]]</f>
        <v>8.3947808898949105E-3</v>
      </c>
      <c r="K7" s="214">
        <v>1511961.46</v>
      </c>
      <c r="L7" s="167">
        <v>1089647.23</v>
      </c>
      <c r="M7" s="167">
        <v>1463107</v>
      </c>
      <c r="N7" s="216">
        <f>Table208833[[#This Row],[Texas Rising Star Expenditures CCQ]]+Table208833[[#This Row],[Texas Rising Star Expenditures CQF]]+Table208833[[#This Row],[Texas Rising Star Expenditures Mentor Funding]]</f>
        <v>4064715.69</v>
      </c>
      <c r="O7" s="4">
        <f>Table208833[[#This Row],[Texas Rising Star Total]]/Table208833[[#This Row],[TOTAL Expended]]</f>
        <v>0.69528570724391159</v>
      </c>
      <c r="P7" s="214">
        <v>0</v>
      </c>
      <c r="Q7" s="4">
        <f>Table208833[[#This Row],[Health &amp; Safety Expenditures CCQ Only]]/Table208833[[#This Row],[TOTAL Expended]]</f>
        <v>0</v>
      </c>
      <c r="R7" s="214">
        <v>0</v>
      </c>
      <c r="S7" s="167">
        <v>0</v>
      </c>
      <c r="T7" s="167">
        <f>Table208833[[#This Row],[Eval &amp; Assessment Expenditures CCQ]]+S7</f>
        <v>0</v>
      </c>
      <c r="U7" s="4">
        <f>Table208833[[#This Row],[Eval/Assess Total]]/Table208833[[#This Row],[TOTAL Expended]]</f>
        <v>0</v>
      </c>
      <c r="V7" s="214">
        <v>0</v>
      </c>
      <c r="W7" s="168">
        <v>2900</v>
      </c>
      <c r="X7" s="215">
        <f>Table208833[[#This Row],[National Accreditation Expenditures CCQ]]+Table208833[[#This Row],[National Accreditation Expenditures CQF]]</f>
        <v>2900</v>
      </c>
      <c r="Y7" s="5">
        <f>Table208833[[#This Row],[National Accreditation Total]]/Table208833[[#This Row],[TOTAL Expended]]</f>
        <v>4.9605647843166704E-4</v>
      </c>
      <c r="Z7" s="214">
        <v>0</v>
      </c>
      <c r="AA7" s="167">
        <v>1725792.8</v>
      </c>
      <c r="AB7" s="216">
        <f>Table208833[[#This Row],[Other Activities Expenditures CCQ]]+Table208833[[#This Row],[Other Activities Expenditures CQF]]</f>
        <v>1725792.8</v>
      </c>
      <c r="AC7" s="4">
        <f>Table208833[[#This Row],[Other Total]]/Table208833[[#This Row],[TOTAL Expended]]</f>
        <v>0.29520368926576768</v>
      </c>
      <c r="AD7"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5846108.5099999998</v>
      </c>
    </row>
    <row r="8" spans="1:30" ht="15.6" x14ac:dyDescent="0.3">
      <c r="A8" s="217">
        <v>6</v>
      </c>
      <c r="B8" s="7" t="s">
        <v>15</v>
      </c>
      <c r="C8" s="214">
        <v>2309.14</v>
      </c>
      <c r="D8" s="167">
        <v>580190</v>
      </c>
      <c r="E8" s="167">
        <f>Table208833[[#This Row],[Infant Toddler  Expenditures CCQ]]+D8</f>
        <v>582499.14</v>
      </c>
      <c r="F8" s="4">
        <f>Table208833[[#This Row],[Infant Toddler Total]]/Table208833[[#This Row],[TOTAL Expended]]</f>
        <v>0.11625631751732821</v>
      </c>
      <c r="G8" s="214">
        <v>391497.88</v>
      </c>
      <c r="H8" s="167">
        <v>7582.55</v>
      </c>
      <c r="I8" s="167">
        <f>Table208833[[#This Row],[Professional Development Expenditures CCQ]]+H8</f>
        <v>399080.43</v>
      </c>
      <c r="J8" s="4">
        <f>Table208833[[#This Row],[PD Total]]/Table208833[[#This Row],[TOTAL Expended]]</f>
        <v>7.9649252675346213E-2</v>
      </c>
      <c r="K8" s="214">
        <v>1084267.79</v>
      </c>
      <c r="L8" s="167">
        <v>603825</v>
      </c>
      <c r="M8" s="167">
        <v>1334980</v>
      </c>
      <c r="N8" s="216">
        <f>Table208833[[#This Row],[Texas Rising Star Expenditures CCQ]]+Table208833[[#This Row],[Texas Rising Star Expenditures CQF]]+Table208833[[#This Row],[Texas Rising Star Expenditures Mentor Funding]]</f>
        <v>3023072.79</v>
      </c>
      <c r="O8" s="4">
        <f>Table208833[[#This Row],[Texas Rising Star Total]]/Table208833[[#This Row],[TOTAL Expended]]</f>
        <v>0.60335077945734861</v>
      </c>
      <c r="P8" s="214">
        <v>18041.21</v>
      </c>
      <c r="Q8" s="4">
        <f>Table208833[[#This Row],[Health &amp; Safety Expenditures CCQ Only]]/Table208833[[#This Row],[TOTAL Expended]]</f>
        <v>3.6006999738348055E-3</v>
      </c>
      <c r="R8" s="214">
        <v>0</v>
      </c>
      <c r="S8" s="167">
        <v>0</v>
      </c>
      <c r="T8" s="167">
        <f>Table208833[[#This Row],[Eval &amp; Assessment Expenditures CCQ]]+S8</f>
        <v>0</v>
      </c>
      <c r="U8" s="4">
        <f>Table208833[[#This Row],[Eval/Assess Total]]/Table208833[[#This Row],[TOTAL Expended]]</f>
        <v>0</v>
      </c>
      <c r="V8" s="214">
        <v>0</v>
      </c>
      <c r="W8" s="168">
        <v>112000</v>
      </c>
      <c r="X8" s="215">
        <f>Table208833[[#This Row],[National Accreditation Expenditures CCQ]]+Table208833[[#This Row],[National Accreditation Expenditures CQF]]</f>
        <v>112000</v>
      </c>
      <c r="Y8" s="5">
        <f>Table208833[[#This Row],[National Accreditation Total]]/Table208833[[#This Row],[TOTAL Expended]]</f>
        <v>2.2353179031201247E-2</v>
      </c>
      <c r="Z8" s="214">
        <v>17729.43</v>
      </c>
      <c r="AA8" s="167">
        <v>858050</v>
      </c>
      <c r="AB8" s="216">
        <f>Table208833[[#This Row],[Other Activities Expenditures CCQ]]+Table208833[[#This Row],[Other Activities Expenditures CQF]]</f>
        <v>875779.43</v>
      </c>
      <c r="AC8" s="4">
        <f>Table208833[[#This Row],[Other Total]]/Table208833[[#This Row],[TOTAL Expended]]</f>
        <v>0.17478977134494089</v>
      </c>
      <c r="AD8"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5010473</v>
      </c>
    </row>
    <row r="9" spans="1:30" ht="15.6" x14ac:dyDescent="0.3">
      <c r="A9" s="217">
        <v>7</v>
      </c>
      <c r="B9" s="7" t="s">
        <v>16</v>
      </c>
      <c r="C9" s="214">
        <v>53640.67</v>
      </c>
      <c r="D9" s="167">
        <v>6071.47</v>
      </c>
      <c r="E9" s="167">
        <f>Table208833[[#This Row],[Infant Toddler  Expenditures CCQ]]+D9</f>
        <v>59712.14</v>
      </c>
      <c r="F9" s="4">
        <f>Table208833[[#This Row],[Infant Toddler Total]]/Table208833[[#This Row],[TOTAL Expended]]</f>
        <v>7.6950375320348749E-2</v>
      </c>
      <c r="G9" s="214">
        <v>135031.47</v>
      </c>
      <c r="H9" s="167">
        <v>0</v>
      </c>
      <c r="I9" s="167">
        <f>Table208833[[#This Row],[Professional Development Expenditures CCQ]]+H9</f>
        <v>135031.47</v>
      </c>
      <c r="J9" s="4">
        <f>Table208833[[#This Row],[PD Total]]/Table208833[[#This Row],[TOTAL Expended]]</f>
        <v>0.17401356401827858</v>
      </c>
      <c r="K9" s="214">
        <v>32839.54</v>
      </c>
      <c r="L9" s="167">
        <v>258913.99</v>
      </c>
      <c r="M9" s="167">
        <v>245553.97999999998</v>
      </c>
      <c r="N9" s="216">
        <f>Table208833[[#This Row],[Texas Rising Star Expenditures CCQ]]+Table208833[[#This Row],[Texas Rising Star Expenditures CQF]]+Table208833[[#This Row],[Texas Rising Star Expenditures Mentor Funding]]</f>
        <v>537307.51</v>
      </c>
      <c r="O9" s="4">
        <f>Table208833[[#This Row],[Texas Rising Star Total]]/Table208833[[#This Row],[TOTAL Expended]]</f>
        <v>0.69242225378192845</v>
      </c>
      <c r="P9" s="214">
        <v>7159.12</v>
      </c>
      <c r="Q9" s="4">
        <f>Table208833[[#This Row],[Health &amp; Safety Expenditures CCQ Only]]/Table208833[[#This Row],[TOTAL Expended]]</f>
        <v>9.225878874269372E-3</v>
      </c>
      <c r="R9" s="214">
        <v>0</v>
      </c>
      <c r="S9" s="167">
        <v>0</v>
      </c>
      <c r="T9" s="167">
        <f>Table208833[[#This Row],[Eval &amp; Assessment Expenditures CCQ]]+S9</f>
        <v>0</v>
      </c>
      <c r="U9" s="4">
        <f>Table208833[[#This Row],[Eval/Assess Total]]/Table208833[[#This Row],[TOTAL Expended]]</f>
        <v>0</v>
      </c>
      <c r="V9" s="214">
        <v>0</v>
      </c>
      <c r="W9" s="168">
        <v>0</v>
      </c>
      <c r="X9" s="215">
        <f>Table208833[[#This Row],[National Accreditation Expenditures CCQ]]+Table208833[[#This Row],[National Accreditation Expenditures CQF]]</f>
        <v>0</v>
      </c>
      <c r="Y9" s="5">
        <f>Table208833[[#This Row],[National Accreditation Total]]/Table208833[[#This Row],[TOTAL Expended]]</f>
        <v>0</v>
      </c>
      <c r="Z9" s="214">
        <v>32122.2</v>
      </c>
      <c r="AA9" s="167">
        <v>4650</v>
      </c>
      <c r="AB9" s="216">
        <f>Table208833[[#This Row],[Other Activities Expenditures CCQ]]+Table208833[[#This Row],[Other Activities Expenditures CQF]]</f>
        <v>36772.199999999997</v>
      </c>
      <c r="AC9" s="4">
        <f>Table208833[[#This Row],[Other Total]]/Table208833[[#This Row],[TOTAL Expended]]</f>
        <v>4.738792800517496E-2</v>
      </c>
      <c r="AD9"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775982.44</v>
      </c>
    </row>
    <row r="10" spans="1:30" ht="15.6" x14ac:dyDescent="0.3">
      <c r="A10" s="217">
        <v>8</v>
      </c>
      <c r="B10" s="7" t="s">
        <v>17</v>
      </c>
      <c r="C10" s="214">
        <v>176306.11</v>
      </c>
      <c r="D10" s="167">
        <v>92172.39</v>
      </c>
      <c r="E10" s="167">
        <f>Table208833[[#This Row],[Infant Toddler  Expenditures CCQ]]+D10</f>
        <v>268478.5</v>
      </c>
      <c r="F10" s="4">
        <f>Table208833[[#This Row],[Infant Toddler Total]]/Table208833[[#This Row],[TOTAL Expended]]</f>
        <v>0.14269395532314888</v>
      </c>
      <c r="G10" s="214">
        <v>381326.91</v>
      </c>
      <c r="H10" s="167">
        <v>98908</v>
      </c>
      <c r="I10" s="167">
        <f>Table208833[[#This Row],[Professional Development Expenditures CCQ]]+H10</f>
        <v>480234.91</v>
      </c>
      <c r="J10" s="4">
        <f>Table208833[[#This Row],[PD Total]]/Table208833[[#This Row],[TOTAL Expended]]</f>
        <v>0.25524061998318831</v>
      </c>
      <c r="K10" s="214">
        <v>0</v>
      </c>
      <c r="L10" s="167">
        <v>229773.62</v>
      </c>
      <c r="M10" s="167">
        <v>437219.29000000004</v>
      </c>
      <c r="N10" s="216">
        <f>Table208833[[#This Row],[Texas Rising Star Expenditures CCQ]]+Table208833[[#This Row],[Texas Rising Star Expenditures CQF]]+Table208833[[#This Row],[Texas Rising Star Expenditures Mentor Funding]]</f>
        <v>666992.91</v>
      </c>
      <c r="O10" s="4">
        <f>Table208833[[#This Row],[Texas Rising Star Total]]/Table208833[[#This Row],[TOTAL Expended]]</f>
        <v>0.35450085016266508</v>
      </c>
      <c r="P10" s="214">
        <v>44411.44</v>
      </c>
      <c r="Q10" s="4">
        <f>Table208833[[#This Row],[Health &amp; Safety Expenditures CCQ Only]]/Table208833[[#This Row],[TOTAL Expended]]</f>
        <v>2.3604288742661732E-2</v>
      </c>
      <c r="R10" s="214">
        <v>0</v>
      </c>
      <c r="S10" s="167">
        <v>4964</v>
      </c>
      <c r="T10" s="167">
        <v>0</v>
      </c>
      <c r="U10" s="4">
        <f>Table208833[[#This Row],[Eval/Assess Total]]/Table208833[[#This Row],[TOTAL Expended]]</f>
        <v>0</v>
      </c>
      <c r="V10" s="214">
        <v>0</v>
      </c>
      <c r="W10" s="168">
        <v>0</v>
      </c>
      <c r="X10" s="215">
        <f>Table208833[[#This Row],[National Accreditation Expenditures CCQ]]+Table208833[[#This Row],[National Accreditation Expenditures CQF]]</f>
        <v>0</v>
      </c>
      <c r="Y10" s="5">
        <f>Table208833[[#This Row],[National Accreditation Total]]/Table208833[[#This Row],[TOTAL Expended]]</f>
        <v>0</v>
      </c>
      <c r="Z10" s="214">
        <v>0</v>
      </c>
      <c r="AA10" s="167">
        <v>421381</v>
      </c>
      <c r="AB10" s="216">
        <f>Table208833[[#This Row],[Other Activities Expenditures CCQ]]+Table208833[[#This Row],[Other Activities Expenditures CQF]]</f>
        <v>421381</v>
      </c>
      <c r="AC10" s="4">
        <f>Table208833[[#This Row],[Other Total]]/Table208833[[#This Row],[TOTAL Expended]]</f>
        <v>0.22396028578833613</v>
      </c>
      <c r="AD10"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1881498.7599999998</v>
      </c>
    </row>
    <row r="11" spans="1:30" ht="15.6" x14ac:dyDescent="0.3">
      <c r="A11" s="217">
        <v>9</v>
      </c>
      <c r="B11" s="7" t="s">
        <v>18</v>
      </c>
      <c r="C11" s="214">
        <v>0</v>
      </c>
      <c r="D11" s="167">
        <v>0</v>
      </c>
      <c r="E11" s="167">
        <f>Table208833[[#This Row],[Infant Toddler  Expenditures CCQ]]+D11</f>
        <v>0</v>
      </c>
      <c r="F11" s="4">
        <f>Table208833[[#This Row],[Infant Toddler Total]]/Table208833[[#This Row],[TOTAL Expended]]</f>
        <v>0</v>
      </c>
      <c r="G11" s="214">
        <v>9252.81</v>
      </c>
      <c r="H11" s="167">
        <v>0</v>
      </c>
      <c r="I11" s="167">
        <f>Table208833[[#This Row],[Professional Development Expenditures CCQ]]+H11</f>
        <v>9252.81</v>
      </c>
      <c r="J11" s="4">
        <f>Table208833[[#This Row],[PD Total]]/Table208833[[#This Row],[TOTAL Expended]]</f>
        <v>1.5893553296062214E-2</v>
      </c>
      <c r="K11" s="214">
        <v>58429.25</v>
      </c>
      <c r="L11" s="167">
        <v>0</v>
      </c>
      <c r="M11" s="167">
        <v>234141.72</v>
      </c>
      <c r="N11" s="216">
        <f>Table208833[[#This Row],[Texas Rising Star Expenditures CCQ]]+Table208833[[#This Row],[Texas Rising Star Expenditures CQF]]+Table208833[[#This Row],[Texas Rising Star Expenditures Mentor Funding]]</f>
        <v>292570.96999999997</v>
      </c>
      <c r="O11" s="4">
        <f>Table208833[[#This Row],[Texas Rising Star Total]]/Table208833[[#This Row],[TOTAL Expended]]</f>
        <v>0.50254920446606155</v>
      </c>
      <c r="P11" s="214">
        <v>0</v>
      </c>
      <c r="Q11" s="4">
        <f>Table208833[[#This Row],[Health &amp; Safety Expenditures CCQ Only]]/Table208833[[#This Row],[TOTAL Expended]]</f>
        <v>0</v>
      </c>
      <c r="R11" s="214">
        <v>0</v>
      </c>
      <c r="S11" s="167">
        <v>0</v>
      </c>
      <c r="T11" s="167">
        <f>Table208833[[#This Row],[Eval &amp; Assessment Expenditures CCQ]]+S11</f>
        <v>0</v>
      </c>
      <c r="U11" s="4">
        <f>Table208833[[#This Row],[Eval/Assess Total]]/Table208833[[#This Row],[TOTAL Expended]]</f>
        <v>0</v>
      </c>
      <c r="V11" s="214">
        <v>0</v>
      </c>
      <c r="W11" s="168">
        <v>0</v>
      </c>
      <c r="X11" s="215">
        <f>Table208833[[#This Row],[National Accreditation Expenditures CCQ]]+Table208833[[#This Row],[National Accreditation Expenditures CQF]]</f>
        <v>0</v>
      </c>
      <c r="Y11" s="5">
        <f>Table208833[[#This Row],[National Accreditation Total]]/Table208833[[#This Row],[TOTAL Expended]]</f>
        <v>0</v>
      </c>
      <c r="Z11" s="214">
        <v>0</v>
      </c>
      <c r="AA11" s="167">
        <v>280350</v>
      </c>
      <c r="AB11" s="216">
        <f>Table208833[[#This Row],[Other Activities Expenditures CCQ]]+Table208833[[#This Row],[Other Activities Expenditures CQF]]</f>
        <v>280350</v>
      </c>
      <c r="AC11" s="4">
        <f>Table208833[[#This Row],[Other Total]]/Table208833[[#This Row],[TOTAL Expended]]</f>
        <v>0.4815572422378761</v>
      </c>
      <c r="AD11"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582173.78</v>
      </c>
    </row>
    <row r="12" spans="1:30" ht="15.6" x14ac:dyDescent="0.3">
      <c r="A12" s="217">
        <v>10</v>
      </c>
      <c r="B12" s="7" t="s">
        <v>19</v>
      </c>
      <c r="C12" s="214">
        <v>0</v>
      </c>
      <c r="D12" s="167">
        <v>3835.09</v>
      </c>
      <c r="E12" s="167">
        <f>Table208833[[#This Row],[Infant Toddler  Expenditures CCQ]]+D12</f>
        <v>3835.09</v>
      </c>
      <c r="F12" s="4">
        <f>Table208833[[#This Row],[Infant Toddler Total]]/Table208833[[#This Row],[TOTAL Expended]]</f>
        <v>4.8841014017029331E-3</v>
      </c>
      <c r="G12" s="214">
        <v>177905.18</v>
      </c>
      <c r="H12" s="167">
        <v>0</v>
      </c>
      <c r="I12" s="167">
        <f>Table208833[[#This Row],[Professional Development Expenditures CCQ]]+H12</f>
        <v>177905.18</v>
      </c>
      <c r="J12" s="4">
        <f>Table208833[[#This Row],[PD Total]]/Table208833[[#This Row],[TOTAL Expended]]</f>
        <v>0.22656754835172385</v>
      </c>
      <c r="K12" s="214">
        <v>214232.33</v>
      </c>
      <c r="L12" s="167">
        <v>48270.55</v>
      </c>
      <c r="M12" s="167">
        <v>330976.01</v>
      </c>
      <c r="N12" s="216">
        <f>Table208833[[#This Row],[Texas Rising Star Expenditures CCQ]]+Table208833[[#This Row],[Texas Rising Star Expenditures CQF]]+Table208833[[#This Row],[Texas Rising Star Expenditures Mentor Funding]]</f>
        <v>593478.89</v>
      </c>
      <c r="O12" s="4">
        <f>Table208833[[#This Row],[Texas Rising Star Total]]/Table208833[[#This Row],[TOTAL Expended]]</f>
        <v>0.75581305224391115</v>
      </c>
      <c r="P12" s="214">
        <v>0</v>
      </c>
      <c r="Q12" s="4">
        <f>Table208833[[#This Row],[Health &amp; Safety Expenditures CCQ Only]]/Table208833[[#This Row],[TOTAL Expended]]</f>
        <v>0</v>
      </c>
      <c r="R12" s="214">
        <v>0</v>
      </c>
      <c r="S12" s="167">
        <v>0</v>
      </c>
      <c r="T12" s="167">
        <f>Table208833[[#This Row],[Eval &amp; Assessment Expenditures CCQ]]+S12</f>
        <v>0</v>
      </c>
      <c r="U12" s="4">
        <f>Table208833[[#This Row],[Eval/Assess Total]]/Table208833[[#This Row],[TOTAL Expended]]</f>
        <v>0</v>
      </c>
      <c r="V12" s="214">
        <v>0</v>
      </c>
      <c r="W12" s="168">
        <v>0</v>
      </c>
      <c r="X12" s="215">
        <f>Table208833[[#This Row],[National Accreditation Expenditures CCQ]]+Table208833[[#This Row],[National Accreditation Expenditures CQF]]</f>
        <v>0</v>
      </c>
      <c r="Y12" s="5">
        <f>Table208833[[#This Row],[National Accreditation Total]]/Table208833[[#This Row],[TOTAL Expended]]</f>
        <v>0</v>
      </c>
      <c r="Z12" s="214">
        <v>0</v>
      </c>
      <c r="AA12" s="167">
        <v>10000</v>
      </c>
      <c r="AB12" s="216">
        <f>Table208833[[#This Row],[Other Activities Expenditures CCQ]]+Table208833[[#This Row],[Other Activities Expenditures CQF]]</f>
        <v>10000</v>
      </c>
      <c r="AC12" s="4">
        <f>Table208833[[#This Row],[Other Total]]/Table208833[[#This Row],[TOTAL Expended]]</f>
        <v>1.2735298002662085E-2</v>
      </c>
      <c r="AD12"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785219.16</v>
      </c>
    </row>
    <row r="13" spans="1:30" ht="15.6" x14ac:dyDescent="0.3">
      <c r="A13" s="217">
        <v>11</v>
      </c>
      <c r="B13" s="7" t="s">
        <v>20</v>
      </c>
      <c r="C13" s="214">
        <v>16507.300000000003</v>
      </c>
      <c r="D13" s="167">
        <v>0</v>
      </c>
      <c r="E13" s="167">
        <f>Table208833[[#This Row],[Infant Toddler  Expenditures CCQ]]+D13</f>
        <v>16507.300000000003</v>
      </c>
      <c r="F13" s="4">
        <f>Table208833[[#This Row],[Infant Toddler Total]]/Table208833[[#This Row],[TOTAL Expended]]</f>
        <v>1.3486225864336626E-2</v>
      </c>
      <c r="G13" s="214">
        <v>64132.83</v>
      </c>
      <c r="H13" s="167">
        <v>0</v>
      </c>
      <c r="I13" s="167">
        <f>Table208833[[#This Row],[Professional Development Expenditures CCQ]]+H13</f>
        <v>64132.83</v>
      </c>
      <c r="J13" s="4">
        <f>Table208833[[#This Row],[PD Total]]/Table208833[[#This Row],[TOTAL Expended]]</f>
        <v>5.2395596536023686E-2</v>
      </c>
      <c r="K13" s="214">
        <v>151003.98000000001</v>
      </c>
      <c r="L13" s="167">
        <v>671351.57000000007</v>
      </c>
      <c r="M13" s="167">
        <v>274047.87</v>
      </c>
      <c r="N13" s="216">
        <f>Table208833[[#This Row],[Texas Rising Star Expenditures CCQ]]+Table208833[[#This Row],[Texas Rising Star Expenditures CQF]]+Table208833[[#This Row],[Texas Rising Star Expenditures Mentor Funding]]</f>
        <v>1096403.42</v>
      </c>
      <c r="O13" s="4">
        <f>Table208833[[#This Row],[Texas Rising Star Total]]/Table208833[[#This Row],[TOTAL Expended]]</f>
        <v>0.89574577069242878</v>
      </c>
      <c r="P13" s="214">
        <v>9191.2400000000016</v>
      </c>
      <c r="Q13" s="4">
        <f>Table208833[[#This Row],[Health &amp; Safety Expenditures CCQ Only]]/Table208833[[#This Row],[TOTAL Expended]]</f>
        <v>7.5091104307382413E-3</v>
      </c>
      <c r="R13" s="214">
        <v>0</v>
      </c>
      <c r="S13" s="167">
        <v>0</v>
      </c>
      <c r="T13" s="167">
        <f>Table208833[[#This Row],[Eval &amp; Assessment Expenditures CCQ]]+S13</f>
        <v>0</v>
      </c>
      <c r="U13" s="4">
        <f>Table208833[[#This Row],[Eval/Assess Total]]/Table208833[[#This Row],[TOTAL Expended]]</f>
        <v>0</v>
      </c>
      <c r="V13" s="214">
        <v>0</v>
      </c>
      <c r="W13" s="168">
        <v>0</v>
      </c>
      <c r="X13" s="215">
        <f>Table208833[[#This Row],[National Accreditation Expenditures CCQ]]+Table208833[[#This Row],[National Accreditation Expenditures CQF]]</f>
        <v>0</v>
      </c>
      <c r="Y13" s="5">
        <f>Table208833[[#This Row],[National Accreditation Total]]/Table208833[[#This Row],[TOTAL Expended]]</f>
        <v>0</v>
      </c>
      <c r="Z13" s="214">
        <v>37777.040000000001</v>
      </c>
      <c r="AA13" s="167">
        <v>0</v>
      </c>
      <c r="AB13" s="216">
        <f>Table208833[[#This Row],[Other Activities Expenditures CCQ]]+Table208833[[#This Row],[Other Activities Expenditures CQF]]</f>
        <v>37777.040000000001</v>
      </c>
      <c r="AC13" s="4">
        <f>Table208833[[#This Row],[Other Total]]/Table208833[[#This Row],[TOTAL Expended]]</f>
        <v>3.0863296476472787E-2</v>
      </c>
      <c r="AD13"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1224011.8299999998</v>
      </c>
    </row>
    <row r="14" spans="1:30" ht="15.6" x14ac:dyDescent="0.3">
      <c r="A14" s="217">
        <v>12</v>
      </c>
      <c r="B14" s="7" t="s">
        <v>21</v>
      </c>
      <c r="C14" s="214">
        <v>52408.340000000004</v>
      </c>
      <c r="D14" s="167">
        <v>28133.360000000001</v>
      </c>
      <c r="E14" s="167">
        <f>Table208833[[#This Row],[Infant Toddler  Expenditures CCQ]]+D14</f>
        <v>80541.700000000012</v>
      </c>
      <c r="F14" s="4">
        <f>Table208833[[#This Row],[Infant Toddler Total]]/Table208833[[#This Row],[TOTAL Expended]]</f>
        <v>0.13424999217836117</v>
      </c>
      <c r="G14" s="214">
        <v>0</v>
      </c>
      <c r="H14" s="167">
        <v>0</v>
      </c>
      <c r="I14" s="167">
        <f>Table208833[[#This Row],[Professional Development Expenditures CCQ]]+H14</f>
        <v>0</v>
      </c>
      <c r="J14" s="4">
        <f>Table208833[[#This Row],[PD Total]]/Table208833[[#This Row],[TOTAL Expended]]</f>
        <v>0</v>
      </c>
      <c r="K14" s="214">
        <v>0</v>
      </c>
      <c r="L14" s="167">
        <v>212000</v>
      </c>
      <c r="M14" s="167">
        <v>148608.82</v>
      </c>
      <c r="N14" s="216">
        <f>Table208833[[#This Row],[Texas Rising Star Expenditures CCQ]]+Table208833[[#This Row],[Texas Rising Star Expenditures CQF]]+Table208833[[#This Row],[Texas Rising Star Expenditures Mentor Funding]]</f>
        <v>360608.82</v>
      </c>
      <c r="O14" s="4">
        <f>Table208833[[#This Row],[Texas Rising Star Total]]/Table208833[[#This Row],[TOTAL Expended]]</f>
        <v>0.60107660087194636</v>
      </c>
      <c r="P14" s="214">
        <v>11544.28</v>
      </c>
      <c r="Q14" s="4">
        <f>Table208833[[#This Row],[Health &amp; Safety Expenditures CCQ Only]]/Table208833[[#This Row],[TOTAL Expended]]</f>
        <v>1.9242448318135961E-2</v>
      </c>
      <c r="R14" s="214">
        <v>0</v>
      </c>
      <c r="S14" s="167">
        <v>0</v>
      </c>
      <c r="T14" s="167">
        <f>Table208833[[#This Row],[Eval &amp; Assessment Expenditures CCQ]]+S14</f>
        <v>0</v>
      </c>
      <c r="U14" s="4">
        <f>Table208833[[#This Row],[Eval/Assess Total]]/Table208833[[#This Row],[TOTAL Expended]]</f>
        <v>0</v>
      </c>
      <c r="V14" s="214">
        <v>0</v>
      </c>
      <c r="W14" s="168">
        <v>0</v>
      </c>
      <c r="X14" s="215">
        <f>Table208833[[#This Row],[National Accreditation Expenditures CCQ]]+Table208833[[#This Row],[National Accreditation Expenditures CQF]]</f>
        <v>0</v>
      </c>
      <c r="Y14" s="5">
        <f>Table208833[[#This Row],[National Accreditation Total]]/Table208833[[#This Row],[TOTAL Expended]]</f>
        <v>0</v>
      </c>
      <c r="Z14" s="214">
        <v>47424.3</v>
      </c>
      <c r="AA14" s="167">
        <v>99819.11</v>
      </c>
      <c r="AB14" s="216">
        <f>Table208833[[#This Row],[Other Activities Expenditures CCQ]]+Table208833[[#This Row],[Other Activities Expenditures CQF]]</f>
        <v>147243.41</v>
      </c>
      <c r="AC14" s="4">
        <f>Table208833[[#This Row],[Other Total]]/Table208833[[#This Row],[TOTAL Expended]]</f>
        <v>0.24543095863155637</v>
      </c>
      <c r="AD14"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599938.21000000008</v>
      </c>
    </row>
    <row r="15" spans="1:30" ht="15.6" x14ac:dyDescent="0.3">
      <c r="A15" s="217">
        <v>13</v>
      </c>
      <c r="B15" s="7" t="s">
        <v>22</v>
      </c>
      <c r="C15" s="214">
        <v>0</v>
      </c>
      <c r="D15" s="167">
        <v>0</v>
      </c>
      <c r="E15" s="167">
        <f>Table208833[[#This Row],[Infant Toddler  Expenditures CCQ]]+D15</f>
        <v>0</v>
      </c>
      <c r="F15" s="4">
        <f>Table208833[[#This Row],[Infant Toddler Total]]/Table208833[[#This Row],[TOTAL Expended]]</f>
        <v>0</v>
      </c>
      <c r="G15" s="214">
        <v>97567.16</v>
      </c>
      <c r="H15" s="167">
        <v>55669</v>
      </c>
      <c r="I15" s="167">
        <f>Table208833[[#This Row],[Professional Development Expenditures CCQ]]+H15</f>
        <v>153236.16</v>
      </c>
      <c r="J15" s="4">
        <f>Table208833[[#This Row],[PD Total]]/Table208833[[#This Row],[TOTAL Expended]]</f>
        <v>0.155294440276142</v>
      </c>
      <c r="K15" s="214">
        <v>145530.73000000001</v>
      </c>
      <c r="L15" s="167">
        <v>344205.06</v>
      </c>
      <c r="M15" s="167">
        <v>324334</v>
      </c>
      <c r="N15" s="216">
        <f>Table208833[[#This Row],[Texas Rising Star Expenditures CCQ]]+Table208833[[#This Row],[Texas Rising Star Expenditures CQF]]+Table208833[[#This Row],[Texas Rising Star Expenditures Mentor Funding]]</f>
        <v>814069.79</v>
      </c>
      <c r="O15" s="4">
        <f>Table208833[[#This Row],[Texas Rising Star Total]]/Table208833[[#This Row],[TOTAL Expended]]</f>
        <v>0.82500444009929808</v>
      </c>
      <c r="P15" s="214">
        <v>0</v>
      </c>
      <c r="Q15" s="4">
        <f>Table208833[[#This Row],[Health &amp; Safety Expenditures CCQ Only]]/Table208833[[#This Row],[TOTAL Expended]]</f>
        <v>0</v>
      </c>
      <c r="R15" s="214">
        <v>0</v>
      </c>
      <c r="S15" s="167">
        <v>0</v>
      </c>
      <c r="T15" s="167">
        <f>Table208833[[#This Row],[Eval &amp; Assessment Expenditures CCQ]]+S15</f>
        <v>0</v>
      </c>
      <c r="U15" s="4">
        <f>Table208833[[#This Row],[Eval/Assess Total]]/Table208833[[#This Row],[TOTAL Expended]]</f>
        <v>0</v>
      </c>
      <c r="V15" s="214">
        <v>0</v>
      </c>
      <c r="W15" s="168">
        <v>0</v>
      </c>
      <c r="X15" s="215">
        <f>Table208833[[#This Row],[National Accreditation Expenditures CCQ]]+Table208833[[#This Row],[National Accreditation Expenditures CQF]]</f>
        <v>0</v>
      </c>
      <c r="Y15" s="5">
        <f>Table208833[[#This Row],[National Accreditation Total]]/Table208833[[#This Row],[TOTAL Expended]]</f>
        <v>0</v>
      </c>
      <c r="Z15" s="214">
        <v>19440</v>
      </c>
      <c r="AA15" s="167">
        <v>0</v>
      </c>
      <c r="AB15" s="216">
        <f>Table208833[[#This Row],[Other Activities Expenditures CCQ]]+Table208833[[#This Row],[Other Activities Expenditures CQF]]</f>
        <v>19440</v>
      </c>
      <c r="AC15" s="4">
        <f>Table208833[[#This Row],[Other Total]]/Table208833[[#This Row],[TOTAL Expended]]</f>
        <v>1.9701119624559896E-2</v>
      </c>
      <c r="AD15"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986745.95000000007</v>
      </c>
    </row>
    <row r="16" spans="1:30" ht="15.6" x14ac:dyDescent="0.3">
      <c r="A16" s="217">
        <v>14</v>
      </c>
      <c r="B16" s="7" t="s">
        <v>23</v>
      </c>
      <c r="C16" s="214">
        <v>239412.72999999998</v>
      </c>
      <c r="D16" s="167">
        <v>0</v>
      </c>
      <c r="E16" s="167">
        <f>Table208833[[#This Row],[Infant Toddler  Expenditures CCQ]]+D16</f>
        <v>239412.72999999998</v>
      </c>
      <c r="F16" s="4">
        <f>Table208833[[#This Row],[Infant Toddler Total]]/Table208833[[#This Row],[TOTAL Expended]]</f>
        <v>6.6328933852355595E-2</v>
      </c>
      <c r="G16" s="214">
        <v>234962.14</v>
      </c>
      <c r="H16" s="167">
        <v>96456.66</v>
      </c>
      <c r="I16" s="167">
        <f>Table208833[[#This Row],[Professional Development Expenditures CCQ]]+H16</f>
        <v>331418.80000000005</v>
      </c>
      <c r="J16" s="4">
        <f>Table208833[[#This Row],[PD Total]]/Table208833[[#This Row],[TOTAL Expended]]</f>
        <v>9.1819076047573042E-2</v>
      </c>
      <c r="K16" s="214">
        <v>18351.400000000001</v>
      </c>
      <c r="L16" s="167">
        <v>706062.73</v>
      </c>
      <c r="M16" s="167">
        <v>1081914.52</v>
      </c>
      <c r="N16" s="216">
        <f>Table208833[[#This Row],[Texas Rising Star Expenditures CCQ]]+Table208833[[#This Row],[Texas Rising Star Expenditures CQF]]+Table208833[[#This Row],[Texas Rising Star Expenditures Mentor Funding]]</f>
        <v>1806328.65</v>
      </c>
      <c r="O16" s="4">
        <f>Table208833[[#This Row],[Texas Rising Star Total]]/Table208833[[#This Row],[TOTAL Expended]]</f>
        <v>0.50044061375293114</v>
      </c>
      <c r="P16" s="214">
        <v>18000</v>
      </c>
      <c r="Q16" s="4">
        <f>Table208833[[#This Row],[Health &amp; Safety Expenditures CCQ Only]]/Table208833[[#This Row],[TOTAL Expended]]</f>
        <v>4.986872708658394E-3</v>
      </c>
      <c r="R16" s="214">
        <v>7161.35</v>
      </c>
      <c r="S16" s="167">
        <v>0</v>
      </c>
      <c r="T16" s="167">
        <f>Table208833[[#This Row],[Eval &amp; Assessment Expenditures CCQ]]+S16</f>
        <v>7161.35</v>
      </c>
      <c r="U16" s="4">
        <f>Table208833[[#This Row],[Eval/Assess Total]]/Table208833[[#This Row],[TOTAL Expended]]</f>
        <v>1.984041159563933E-3</v>
      </c>
      <c r="V16" s="214">
        <v>0</v>
      </c>
      <c r="W16" s="168">
        <v>16405</v>
      </c>
      <c r="X16" s="215">
        <f>Table208833[[#This Row],[National Accreditation Expenditures CCQ]]+Table208833[[#This Row],[National Accreditation Expenditures CQF]]</f>
        <v>16405</v>
      </c>
      <c r="Y16" s="5">
        <f>Table208833[[#This Row],[National Accreditation Total]]/Table208833[[#This Row],[TOTAL Expended]]</f>
        <v>4.5449803769744973E-3</v>
      </c>
      <c r="Z16" s="214">
        <v>0</v>
      </c>
      <c r="AA16" s="167">
        <v>1190750</v>
      </c>
      <c r="AB16" s="216">
        <f>Table208833[[#This Row],[Other Activities Expenditures CCQ]]+Table208833[[#This Row],[Other Activities Expenditures CQF]]</f>
        <v>1190750</v>
      </c>
      <c r="AC16" s="4">
        <f>Table208833[[#This Row],[Other Total]]/Table208833[[#This Row],[TOTAL Expended]]</f>
        <v>0.32989548210194347</v>
      </c>
      <c r="AD16"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3609476.53</v>
      </c>
    </row>
    <row r="17" spans="1:30" ht="15.6" x14ac:dyDescent="0.3">
      <c r="A17" s="217">
        <v>15</v>
      </c>
      <c r="B17" s="7" t="s">
        <v>24</v>
      </c>
      <c r="C17" s="214">
        <v>0</v>
      </c>
      <c r="D17" s="167">
        <v>0</v>
      </c>
      <c r="E17" s="167">
        <f>Table208833[[#This Row],[Infant Toddler  Expenditures CCQ]]+D17</f>
        <v>0</v>
      </c>
      <c r="F17" s="4">
        <f>Table208833[[#This Row],[Infant Toddler Total]]/Table208833[[#This Row],[TOTAL Expended]]</f>
        <v>0</v>
      </c>
      <c r="G17" s="214">
        <v>1945</v>
      </c>
      <c r="H17" s="167">
        <v>183527.4</v>
      </c>
      <c r="I17" s="167">
        <f>Table208833[[#This Row],[Professional Development Expenditures CCQ]]+H17</f>
        <v>185472.4</v>
      </c>
      <c r="J17" s="4">
        <f>Table208833[[#This Row],[PD Total]]/Table208833[[#This Row],[TOTAL Expended]]</f>
        <v>8.0441961771509557E-2</v>
      </c>
      <c r="K17" s="214">
        <v>58459.380000000005</v>
      </c>
      <c r="L17" s="167">
        <v>283342.62</v>
      </c>
      <c r="M17" s="167">
        <v>1011575.3099999998</v>
      </c>
      <c r="N17" s="216">
        <f>Table208833[[#This Row],[Texas Rising Star Expenditures CCQ]]+Table208833[[#This Row],[Texas Rising Star Expenditures CQF]]+Table208833[[#This Row],[Texas Rising Star Expenditures Mentor Funding]]</f>
        <v>1353377.3099999998</v>
      </c>
      <c r="O17" s="4">
        <f>Table208833[[#This Row],[Texas Rising Star Total]]/Table208833[[#This Row],[TOTAL Expended]]</f>
        <v>0.58697857920342011</v>
      </c>
      <c r="P17" s="214">
        <v>4030</v>
      </c>
      <c r="Q17" s="4">
        <f>Table208833[[#This Row],[Health &amp; Safety Expenditures CCQ Only]]/Table208833[[#This Row],[TOTAL Expended]]</f>
        <v>1.7478671001139982E-3</v>
      </c>
      <c r="R17" s="214">
        <v>35322.839999999997</v>
      </c>
      <c r="S17" s="167">
        <v>-15</v>
      </c>
      <c r="T17" s="167">
        <f>Table208833[[#This Row],[Eval &amp; Assessment Expenditures CCQ]]+S17</f>
        <v>35307.839999999997</v>
      </c>
      <c r="U17" s="4">
        <f>Table208833[[#This Row],[Eval/Assess Total]]/Table208833[[#This Row],[TOTAL Expended]]</f>
        <v>1.5313501715158566E-2</v>
      </c>
      <c r="V17" s="214">
        <v>0</v>
      </c>
      <c r="W17" s="168">
        <v>0</v>
      </c>
      <c r="X17" s="215">
        <f>Table208833[[#This Row],[National Accreditation Expenditures CCQ]]+Table208833[[#This Row],[National Accreditation Expenditures CQF]]</f>
        <v>0</v>
      </c>
      <c r="Y17" s="5">
        <f>Table208833[[#This Row],[National Accreditation Total]]/Table208833[[#This Row],[TOTAL Expended]]</f>
        <v>0</v>
      </c>
      <c r="Z17" s="214">
        <v>313810.64999999991</v>
      </c>
      <c r="AA17" s="167">
        <v>413669.08999999997</v>
      </c>
      <c r="AB17" s="216">
        <f>Table208833[[#This Row],[Other Activities Expenditures CCQ]]+Table208833[[#This Row],[Other Activities Expenditures CQF]]</f>
        <v>727479.73999999987</v>
      </c>
      <c r="AC17" s="4">
        <f>Table208833[[#This Row],[Other Total]]/Table208833[[#This Row],[TOTAL Expended]]</f>
        <v>0.31551809020979782</v>
      </c>
      <c r="AD17"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2305667.2899999996</v>
      </c>
    </row>
    <row r="18" spans="1:30" ht="15.6" x14ac:dyDescent="0.3">
      <c r="A18" s="217">
        <v>16</v>
      </c>
      <c r="B18" s="7" t="s">
        <v>25</v>
      </c>
      <c r="C18" s="214">
        <v>6258.6500000000005</v>
      </c>
      <c r="D18" s="167">
        <v>99993.9</v>
      </c>
      <c r="E18" s="167">
        <f>Table208833[[#This Row],[Infant Toddler  Expenditures CCQ]]+D18</f>
        <v>106252.54999999999</v>
      </c>
      <c r="F18" s="4">
        <f>Table208833[[#This Row],[Infant Toddler Total]]/Table208833[[#This Row],[TOTAL Expended]]</f>
        <v>0.18586146171904655</v>
      </c>
      <c r="G18" s="214">
        <v>5000</v>
      </c>
      <c r="H18" s="167">
        <v>13798</v>
      </c>
      <c r="I18" s="167">
        <f>Table208833[[#This Row],[Professional Development Expenditures CCQ]]+H18</f>
        <v>18798</v>
      </c>
      <c r="J18" s="4">
        <f>Table208833[[#This Row],[PD Total]]/Table208833[[#This Row],[TOTAL Expended]]</f>
        <v>3.2882257954229215E-2</v>
      </c>
      <c r="K18" s="214">
        <v>0</v>
      </c>
      <c r="L18" s="167">
        <v>14000</v>
      </c>
      <c r="M18" s="167">
        <v>431693.76</v>
      </c>
      <c r="N18" s="216">
        <f>Table208833[[#This Row],[Texas Rising Star Expenditures CCQ]]+Table208833[[#This Row],[Texas Rising Star Expenditures CQF]]+Table208833[[#This Row],[Texas Rising Star Expenditures Mentor Funding]]</f>
        <v>445693.76</v>
      </c>
      <c r="O18" s="4">
        <f>Table208833[[#This Row],[Texas Rising Star Total]]/Table208833[[#This Row],[TOTAL Expended]]</f>
        <v>0.77962640626185375</v>
      </c>
      <c r="P18" s="214">
        <v>0</v>
      </c>
      <c r="Q18" s="4">
        <f>Table208833[[#This Row],[Health &amp; Safety Expenditures CCQ Only]]/Table208833[[#This Row],[TOTAL Expended]]</f>
        <v>0</v>
      </c>
      <c r="R18" s="214">
        <v>0</v>
      </c>
      <c r="S18" s="167">
        <v>0</v>
      </c>
      <c r="T18" s="167">
        <f>Table208833[[#This Row],[Eval &amp; Assessment Expenditures CCQ]]+S18</f>
        <v>0</v>
      </c>
      <c r="U18" s="4">
        <f>Table208833[[#This Row],[Eval/Assess Total]]/Table208833[[#This Row],[TOTAL Expended]]</f>
        <v>0</v>
      </c>
      <c r="V18" s="214">
        <v>0</v>
      </c>
      <c r="W18" s="168">
        <v>0</v>
      </c>
      <c r="X18" s="215">
        <f>Table208833[[#This Row],[National Accreditation Expenditures CCQ]]+Table208833[[#This Row],[National Accreditation Expenditures CQF]]</f>
        <v>0</v>
      </c>
      <c r="Y18" s="5">
        <f>Table208833[[#This Row],[National Accreditation Total]]/Table208833[[#This Row],[TOTAL Expended]]</f>
        <v>0</v>
      </c>
      <c r="Z18" s="214">
        <v>0</v>
      </c>
      <c r="AA18" s="167">
        <v>931.7600000000001</v>
      </c>
      <c r="AB18" s="216">
        <f>Table208833[[#This Row],[Other Activities Expenditures CCQ]]+Table208833[[#This Row],[Other Activities Expenditures CQF]]</f>
        <v>931.7600000000001</v>
      </c>
      <c r="AC18" s="4">
        <f>Table208833[[#This Row],[Other Total]]/Table208833[[#This Row],[TOTAL Expended]]</f>
        <v>1.6298740648703382E-3</v>
      </c>
      <c r="AD18"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571676.07000000007</v>
      </c>
    </row>
    <row r="19" spans="1:30" ht="15.6" x14ac:dyDescent="0.3">
      <c r="A19" s="217">
        <v>17</v>
      </c>
      <c r="B19" s="7" t="s">
        <v>26</v>
      </c>
      <c r="C19" s="214">
        <v>42212.36</v>
      </c>
      <c r="D19" s="167">
        <v>0</v>
      </c>
      <c r="E19" s="167">
        <f>Table208833[[#This Row],[Infant Toddler  Expenditures CCQ]]+D19</f>
        <v>42212.36</v>
      </c>
      <c r="F19" s="4">
        <f>Table208833[[#This Row],[Infant Toddler Total]]/Table208833[[#This Row],[TOTAL Expended]]</f>
        <v>7.343748776762693E-2</v>
      </c>
      <c r="G19" s="214">
        <v>50380.97</v>
      </c>
      <c r="H19" s="167">
        <v>23903.190000000002</v>
      </c>
      <c r="I19" s="167">
        <f>Table208833[[#This Row],[Professional Development Expenditures CCQ]]+H19</f>
        <v>74284.160000000003</v>
      </c>
      <c r="J19" s="4">
        <f>Table208833[[#This Row],[PD Total]]/Table208833[[#This Row],[TOTAL Expended]]</f>
        <v>0.12923328833849712</v>
      </c>
      <c r="K19" s="214">
        <v>89885.96</v>
      </c>
      <c r="L19" s="167">
        <v>122438.6</v>
      </c>
      <c r="M19" s="167">
        <v>206628.22</v>
      </c>
      <c r="N19" s="216">
        <f>Table208833[[#This Row],[Texas Rising Star Expenditures CCQ]]+Table208833[[#This Row],[Texas Rising Star Expenditures CQF]]+Table208833[[#This Row],[Texas Rising Star Expenditures Mentor Funding]]</f>
        <v>418952.78</v>
      </c>
      <c r="O19" s="4">
        <f>Table208833[[#This Row],[Texas Rising Star Total]]/Table208833[[#This Row],[TOTAL Expended]]</f>
        <v>0.72885855366682406</v>
      </c>
      <c r="P19" s="214">
        <v>5583.7</v>
      </c>
      <c r="Q19" s="4">
        <f>Table208833[[#This Row],[Health &amp; Safety Expenditures CCQ Only]]/Table208833[[#This Row],[TOTAL Expended]]</f>
        <v>9.7140482182966909E-3</v>
      </c>
      <c r="R19" s="214">
        <v>0</v>
      </c>
      <c r="S19" s="167">
        <v>0</v>
      </c>
      <c r="T19" s="167">
        <f>Table208833[[#This Row],[Eval &amp; Assessment Expenditures CCQ]]+S19</f>
        <v>0</v>
      </c>
      <c r="U19" s="4">
        <f>Table208833[[#This Row],[Eval/Assess Total]]/Table208833[[#This Row],[TOTAL Expended]]</f>
        <v>0</v>
      </c>
      <c r="V19" s="214">
        <v>1175</v>
      </c>
      <c r="W19" s="168">
        <v>0</v>
      </c>
      <c r="X19" s="215">
        <f>Table208833[[#This Row],[National Accreditation Expenditures CCQ]]+Table208833[[#This Row],[National Accreditation Expenditures CQF]]</f>
        <v>1175</v>
      </c>
      <c r="Y19" s="5">
        <f>Table208833[[#This Row],[National Accreditation Total]]/Table208833[[#This Row],[TOTAL Expended]]</f>
        <v>2.0441654559698072E-3</v>
      </c>
      <c r="Z19" s="214">
        <v>32598.7</v>
      </c>
      <c r="AA19" s="167">
        <v>0</v>
      </c>
      <c r="AB19" s="216">
        <f>Table208833[[#This Row],[Other Activities Expenditures CCQ]]+Table208833[[#This Row],[Other Activities Expenditures CQF]]</f>
        <v>32598.7</v>
      </c>
      <c r="AC19" s="4">
        <f>Table208833[[#This Row],[Other Total]]/Table208833[[#This Row],[TOTAL Expended]]</f>
        <v>5.6712456552785492E-2</v>
      </c>
      <c r="AD19"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574806.69999999995</v>
      </c>
    </row>
    <row r="20" spans="1:30" ht="15.6" x14ac:dyDescent="0.3">
      <c r="A20" s="217">
        <v>18</v>
      </c>
      <c r="B20" s="7" t="s">
        <v>27</v>
      </c>
      <c r="C20" s="214">
        <v>0</v>
      </c>
      <c r="D20" s="167">
        <v>0</v>
      </c>
      <c r="E20" s="167">
        <f>Table208833[[#This Row],[Infant Toddler  Expenditures CCQ]]+D20</f>
        <v>0</v>
      </c>
      <c r="F20" s="4">
        <f>Table208833[[#This Row],[Infant Toddler Total]]/Table208833[[#This Row],[TOTAL Expended]]</f>
        <v>0</v>
      </c>
      <c r="G20" s="214">
        <v>75805.939999999988</v>
      </c>
      <c r="H20" s="167">
        <v>29937.5</v>
      </c>
      <c r="I20" s="167">
        <f>Table208833[[#This Row],[Professional Development Expenditures CCQ]]+H20</f>
        <v>105743.43999999999</v>
      </c>
      <c r="J20" s="4">
        <f>Table208833[[#This Row],[PD Total]]/Table208833[[#This Row],[TOTAL Expended]]</f>
        <v>9.1385292619729996E-2</v>
      </c>
      <c r="K20" s="214">
        <v>173941.22</v>
      </c>
      <c r="L20" s="167">
        <v>572801.29</v>
      </c>
      <c r="M20" s="167">
        <v>291258.73</v>
      </c>
      <c r="N20" s="216">
        <f>Table208833[[#This Row],[Texas Rising Star Expenditures CCQ]]+Table208833[[#This Row],[Texas Rising Star Expenditures CQF]]+Table208833[[#This Row],[Texas Rising Star Expenditures Mentor Funding]]</f>
        <v>1038001.24</v>
      </c>
      <c r="O20" s="4">
        <f>Table208833[[#This Row],[Texas Rising Star Total]]/Table208833[[#This Row],[TOTAL Expended]]</f>
        <v>0.89705845636422077</v>
      </c>
      <c r="P20" s="214">
        <v>1500</v>
      </c>
      <c r="Q20" s="4">
        <f>Table208833[[#This Row],[Health &amp; Safety Expenditures CCQ Only]]/Table208833[[#This Row],[TOTAL Expended]]</f>
        <v>1.296325700484068E-3</v>
      </c>
      <c r="R20" s="214">
        <v>10000</v>
      </c>
      <c r="S20" s="167">
        <v>0</v>
      </c>
      <c r="T20" s="167">
        <f>Table208833[[#This Row],[Eval &amp; Assessment Expenditures CCQ]]+S20</f>
        <v>10000</v>
      </c>
      <c r="U20" s="4">
        <f>Table208833[[#This Row],[Eval/Assess Total]]/Table208833[[#This Row],[TOTAL Expended]]</f>
        <v>8.6421713365604537E-3</v>
      </c>
      <c r="V20" s="214">
        <v>0</v>
      </c>
      <c r="W20" s="168">
        <v>0</v>
      </c>
      <c r="X20" s="215">
        <f>Table208833[[#This Row],[National Accreditation Expenditures CCQ]]+Table208833[[#This Row],[National Accreditation Expenditures CQF]]</f>
        <v>0</v>
      </c>
      <c r="Y20" s="5">
        <f>Table208833[[#This Row],[National Accreditation Total]]/Table208833[[#This Row],[TOTAL Expended]]</f>
        <v>0</v>
      </c>
      <c r="Z20" s="214">
        <v>1871.93</v>
      </c>
      <c r="AA20" s="167">
        <v>0</v>
      </c>
      <c r="AB20" s="216">
        <f>Table208833[[#This Row],[Other Activities Expenditures CCQ]]+Table208833[[#This Row],[Other Activities Expenditures CQF]]</f>
        <v>1871.93</v>
      </c>
      <c r="AC20" s="4">
        <f>Table208833[[#This Row],[Other Total]]/Table208833[[#This Row],[TOTAL Expended]]</f>
        <v>1.6177539790047611E-3</v>
      </c>
      <c r="AD20"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1157116.6099999999</v>
      </c>
    </row>
    <row r="21" spans="1:30" ht="15.6" x14ac:dyDescent="0.3">
      <c r="A21" s="217">
        <v>19</v>
      </c>
      <c r="B21" s="7" t="s">
        <v>28</v>
      </c>
      <c r="C21" s="214">
        <v>54300.30999999999</v>
      </c>
      <c r="D21" s="167">
        <v>0</v>
      </c>
      <c r="E21" s="167">
        <f>Table208833[[#This Row],[Infant Toddler  Expenditures CCQ]]+D21</f>
        <v>54300.30999999999</v>
      </c>
      <c r="F21" s="4">
        <f>Table208833[[#This Row],[Infant Toddler Total]]/Table208833[[#This Row],[TOTAL Expended]]</f>
        <v>0.16429976505570304</v>
      </c>
      <c r="G21" s="214">
        <v>14689</v>
      </c>
      <c r="H21" s="167">
        <v>0</v>
      </c>
      <c r="I21" s="167">
        <f>Table208833[[#This Row],[Professional Development Expenditures CCQ]]+H21</f>
        <v>14689</v>
      </c>
      <c r="J21" s="4">
        <f>Table208833[[#This Row],[PD Total]]/Table208833[[#This Row],[TOTAL Expended]]</f>
        <v>4.4445404619296323E-2</v>
      </c>
      <c r="K21" s="214">
        <v>8063.8600000000006</v>
      </c>
      <c r="L21" s="167">
        <v>40180.910000000003</v>
      </c>
      <c r="M21" s="167">
        <v>158006.05000000002</v>
      </c>
      <c r="N21" s="216">
        <v>158006.05000000002</v>
      </c>
      <c r="O21" s="4">
        <f>Table208833[[#This Row],[Texas Rising Star Total]]/Table208833[[#This Row],[TOTAL Expended]]</f>
        <v>0.4780885577334581</v>
      </c>
      <c r="P21" s="214">
        <v>0</v>
      </c>
      <c r="Q21" s="4">
        <f>Table208833[[#This Row],[Health &amp; Safety Expenditures CCQ Only]]/Table208833[[#This Row],[TOTAL Expended]]</f>
        <v>0</v>
      </c>
      <c r="R21" s="214">
        <v>0</v>
      </c>
      <c r="S21" s="167">
        <v>0</v>
      </c>
      <c r="T21" s="167">
        <f>Table208833[[#This Row],[Eval &amp; Assessment Expenditures CCQ]]+S21</f>
        <v>0</v>
      </c>
      <c r="U21" s="4">
        <f>Table208833[[#This Row],[Eval/Assess Total]]/Table208833[[#This Row],[TOTAL Expended]]</f>
        <v>0</v>
      </c>
      <c r="V21" s="214">
        <v>0</v>
      </c>
      <c r="W21" s="168">
        <v>0</v>
      </c>
      <c r="X21" s="215">
        <f>Table208833[[#This Row],[National Accreditation Expenditures CCQ]]+Table208833[[#This Row],[National Accreditation Expenditures CQF]]</f>
        <v>0</v>
      </c>
      <c r="Y21" s="5">
        <f>Table208833[[#This Row],[National Accreditation Total]]/Table208833[[#This Row],[TOTAL Expended]]</f>
        <v>0</v>
      </c>
      <c r="Z21" s="214">
        <v>0</v>
      </c>
      <c r="AA21" s="167">
        <v>103500</v>
      </c>
      <c r="AB21" s="216">
        <f>Table208833[[#This Row],[Other Activities Expenditures CCQ]]+Table208833[[#This Row],[Other Activities Expenditures CQF]]</f>
        <v>103500</v>
      </c>
      <c r="AC21" s="4">
        <f>Table208833[[#This Row],[Other Total]]/Table208833[[#This Row],[TOTAL Expended]]</f>
        <v>0.31316627259154262</v>
      </c>
      <c r="AD21"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330495.35999999999</v>
      </c>
    </row>
    <row r="22" spans="1:30" ht="15.6" x14ac:dyDescent="0.3">
      <c r="A22" s="217">
        <v>20</v>
      </c>
      <c r="B22" s="7" t="s">
        <v>29</v>
      </c>
      <c r="C22" s="214">
        <v>12229.08</v>
      </c>
      <c r="D22" s="167">
        <v>0</v>
      </c>
      <c r="E22" s="167">
        <f>Table208833[[#This Row],[Infant Toddler  Expenditures CCQ]]+D22</f>
        <v>12229.08</v>
      </c>
      <c r="F22" s="4">
        <f>Table208833[[#This Row],[Infant Toddler Total]]/Table208833[[#This Row],[TOTAL Expended]]</f>
        <v>3.4157012567285162E-3</v>
      </c>
      <c r="G22" s="214">
        <v>138815.35</v>
      </c>
      <c r="H22" s="167">
        <v>0</v>
      </c>
      <c r="I22" s="167">
        <f>Table208833[[#This Row],[Professional Development Expenditures CCQ]]+H22</f>
        <v>138815.35</v>
      </c>
      <c r="J22" s="4">
        <f>Table208833[[#This Row],[PD Total]]/Table208833[[#This Row],[TOTAL Expended]]</f>
        <v>3.877248046853965E-2</v>
      </c>
      <c r="K22" s="214">
        <v>363198.98</v>
      </c>
      <c r="L22" s="167">
        <v>0</v>
      </c>
      <c r="M22" s="167">
        <v>1200809.2599999998</v>
      </c>
      <c r="N22" s="216">
        <f>Table208833[[#This Row],[Texas Rising Star Expenditures CCQ]]+Table208833[[#This Row],[Texas Rising Star Expenditures CQF]]+Table208833[[#This Row],[Texas Rising Star Expenditures Mentor Funding]]</f>
        <v>1564008.2399999998</v>
      </c>
      <c r="O22" s="4">
        <f>Table208833[[#This Row],[Texas Rising Star Total]]/Table208833[[#This Row],[TOTAL Expended]]</f>
        <v>0.43684274785198512</v>
      </c>
      <c r="P22" s="214">
        <v>0</v>
      </c>
      <c r="Q22" s="4">
        <f>Table208833[[#This Row],[Health &amp; Safety Expenditures CCQ Only]]/Table208833[[#This Row],[TOTAL Expended]]</f>
        <v>0</v>
      </c>
      <c r="R22" s="214">
        <v>0</v>
      </c>
      <c r="S22" s="167">
        <v>0</v>
      </c>
      <c r="T22" s="167">
        <f>Table208833[[#This Row],[Eval &amp; Assessment Expenditures CCQ]]+S22</f>
        <v>0</v>
      </c>
      <c r="U22" s="4">
        <f>Table208833[[#This Row],[Eval/Assess Total]]/Table208833[[#This Row],[TOTAL Expended]]</f>
        <v>0</v>
      </c>
      <c r="V22" s="214">
        <v>7875</v>
      </c>
      <c r="W22" s="168">
        <v>0</v>
      </c>
      <c r="X22" s="215">
        <f>Table208833[[#This Row],[National Accreditation Expenditures CCQ]]+Table208833[[#This Row],[National Accreditation Expenditures CQF]]</f>
        <v>7875</v>
      </c>
      <c r="Y22" s="5">
        <f>Table208833[[#This Row],[National Accreditation Total]]/Table208833[[#This Row],[TOTAL Expended]]</f>
        <v>2.1995642678547416E-3</v>
      </c>
      <c r="Z22" s="214">
        <v>5450</v>
      </c>
      <c r="AA22" s="167">
        <v>1851876.89</v>
      </c>
      <c r="AB22" s="216">
        <f>Table208833[[#This Row],[Other Activities Expenditures CCQ]]+Table208833[[#This Row],[Other Activities Expenditures CQF]]</f>
        <v>1857326.89</v>
      </c>
      <c r="AC22" s="4">
        <f>Table208833[[#This Row],[Other Total]]/Table208833[[#This Row],[TOTAL Expended]]</f>
        <v>0.51876950615489203</v>
      </c>
      <c r="AD22"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3580254.5599999996</v>
      </c>
    </row>
    <row r="23" spans="1:30" ht="15.6" x14ac:dyDescent="0.3">
      <c r="A23" s="217">
        <v>21</v>
      </c>
      <c r="B23" s="7" t="s">
        <v>30</v>
      </c>
      <c r="C23" s="214">
        <v>0</v>
      </c>
      <c r="D23" s="167">
        <v>5594.35</v>
      </c>
      <c r="E23" s="167">
        <f>Table208833[[#This Row],[Infant Toddler  Expenditures CCQ]]+D23</f>
        <v>5594.35</v>
      </c>
      <c r="F23" s="4">
        <f>Table208833[[#This Row],[Infant Toddler Total]]/Table208833[[#This Row],[TOTAL Expended]]</f>
        <v>8.9393675711635975E-3</v>
      </c>
      <c r="G23" s="214">
        <v>3500</v>
      </c>
      <c r="H23" s="167">
        <v>4423.5</v>
      </c>
      <c r="I23" s="167">
        <f>Table208833[[#This Row],[Professional Development Expenditures CCQ]]+H23</f>
        <v>7923.5</v>
      </c>
      <c r="J23" s="4">
        <f>Table208833[[#This Row],[PD Total]]/Table208833[[#This Row],[TOTAL Expended]]</f>
        <v>1.2661181182821018E-2</v>
      </c>
      <c r="K23" s="214">
        <v>154694.75</v>
      </c>
      <c r="L23" s="167">
        <v>0</v>
      </c>
      <c r="M23" s="167">
        <v>226735.24</v>
      </c>
      <c r="N23" s="216">
        <f>Table208833[[#This Row],[Texas Rising Star Expenditures CCQ]]+Table208833[[#This Row],[Texas Rising Star Expenditures CQF]]+Table208833[[#This Row],[Texas Rising Star Expenditures Mentor Funding]]</f>
        <v>381429.99</v>
      </c>
      <c r="O23" s="4">
        <f>Table208833[[#This Row],[Texas Rising Star Total]]/Table208833[[#This Row],[TOTAL Expended]]</f>
        <v>0.6094975972678246</v>
      </c>
      <c r="P23" s="214">
        <v>2612.65</v>
      </c>
      <c r="Q23" s="4">
        <f>Table208833[[#This Row],[Health &amp; Safety Expenditures CCQ Only]]/Table208833[[#This Row],[TOTAL Expended]]</f>
        <v>4.1748261522429903E-3</v>
      </c>
      <c r="R23" s="214">
        <v>0</v>
      </c>
      <c r="S23" s="167">
        <v>0</v>
      </c>
      <c r="T23" s="167">
        <f>Table208833[[#This Row],[Eval &amp; Assessment Expenditures CCQ]]+S23</f>
        <v>0</v>
      </c>
      <c r="U23" s="4">
        <f>Table208833[[#This Row],[Eval/Assess Total]]/Table208833[[#This Row],[TOTAL Expended]]</f>
        <v>0</v>
      </c>
      <c r="V23" s="214">
        <v>0</v>
      </c>
      <c r="W23" s="168">
        <v>0</v>
      </c>
      <c r="X23" s="215">
        <f>Table208833[[#This Row],[National Accreditation Expenditures CCQ]]+Table208833[[#This Row],[National Accreditation Expenditures CQF]]</f>
        <v>0</v>
      </c>
      <c r="Y23" s="5">
        <f>Table208833[[#This Row],[National Accreditation Total]]/Table208833[[#This Row],[TOTAL Expended]]</f>
        <v>0</v>
      </c>
      <c r="Z23" s="214">
        <v>0</v>
      </c>
      <c r="AA23" s="167">
        <v>228250</v>
      </c>
      <c r="AB23" s="216">
        <f>Table208833[[#This Row],[Other Activities Expenditures CCQ]]+Table208833[[#This Row],[Other Activities Expenditures CQF]]</f>
        <v>228250</v>
      </c>
      <c r="AC23" s="4">
        <f>Table208833[[#This Row],[Other Total]]/Table208833[[#This Row],[TOTAL Expended]]</f>
        <v>0.36472702782594774</v>
      </c>
      <c r="AD23"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625810.49</v>
      </c>
    </row>
    <row r="24" spans="1:30" ht="15.6" x14ac:dyDescent="0.3">
      <c r="A24" s="217">
        <v>22</v>
      </c>
      <c r="B24" s="7" t="s">
        <v>31</v>
      </c>
      <c r="C24" s="214">
        <v>0</v>
      </c>
      <c r="D24" s="167">
        <v>0</v>
      </c>
      <c r="E24" s="167">
        <f>Table208833[[#This Row],[Infant Toddler  Expenditures CCQ]]+D24</f>
        <v>0</v>
      </c>
      <c r="F24" s="4">
        <f>Table208833[[#This Row],[Infant Toddler Total]]/Table208833[[#This Row],[TOTAL Expended]]</f>
        <v>0</v>
      </c>
      <c r="G24" s="214">
        <v>0</v>
      </c>
      <c r="H24" s="167">
        <v>0</v>
      </c>
      <c r="I24" s="167">
        <f>Table208833[[#This Row],[Professional Development Expenditures CCQ]]+H24</f>
        <v>0</v>
      </c>
      <c r="J24" s="4">
        <f>Table208833[[#This Row],[PD Total]]/Table208833[[#This Row],[TOTAL Expended]]</f>
        <v>0</v>
      </c>
      <c r="K24" s="214">
        <v>0</v>
      </c>
      <c r="L24" s="167">
        <v>0</v>
      </c>
      <c r="M24" s="167">
        <v>430999.44000000006</v>
      </c>
      <c r="N24" s="216">
        <f>Table208833[[#This Row],[Texas Rising Star Expenditures CCQ]]+Table208833[[#This Row],[Texas Rising Star Expenditures CQF]]+Table208833[[#This Row],[Texas Rising Star Expenditures Mentor Funding]]</f>
        <v>430999.44000000006</v>
      </c>
      <c r="O24" s="4">
        <f>Table208833[[#This Row],[Texas Rising Star Total]]/Table208833[[#This Row],[TOTAL Expended]]</f>
        <v>0.88726033518103997</v>
      </c>
      <c r="P24" s="214">
        <v>0</v>
      </c>
      <c r="Q24" s="4">
        <f>Table208833[[#This Row],[Health &amp; Safety Expenditures CCQ Only]]/Table208833[[#This Row],[TOTAL Expended]]</f>
        <v>0</v>
      </c>
      <c r="R24" s="214">
        <v>0</v>
      </c>
      <c r="S24" s="167">
        <v>0</v>
      </c>
      <c r="T24" s="167">
        <f>Table208833[[#This Row],[Eval &amp; Assessment Expenditures CCQ]]+S24</f>
        <v>0</v>
      </c>
      <c r="U24" s="4">
        <f>Table208833[[#This Row],[Eval/Assess Total]]/Table208833[[#This Row],[TOTAL Expended]]</f>
        <v>0</v>
      </c>
      <c r="V24" s="214">
        <v>0</v>
      </c>
      <c r="W24" s="168">
        <v>0</v>
      </c>
      <c r="X24" s="215">
        <f>Table208833[[#This Row],[National Accreditation Expenditures CCQ]]+Table208833[[#This Row],[National Accreditation Expenditures CQF]]</f>
        <v>0</v>
      </c>
      <c r="Y24" s="5">
        <f>Table208833[[#This Row],[National Accreditation Total]]/Table208833[[#This Row],[TOTAL Expended]]</f>
        <v>0</v>
      </c>
      <c r="Z24" s="214">
        <v>54764.909999999996</v>
      </c>
      <c r="AA24" s="167">
        <v>0</v>
      </c>
      <c r="AB24" s="216">
        <f>Table208833[[#This Row],[Other Activities Expenditures CCQ]]+Table208833[[#This Row],[Other Activities Expenditures CQF]]</f>
        <v>54764.909999999996</v>
      </c>
      <c r="AC24" s="4">
        <f>Table208833[[#This Row],[Other Total]]/Table208833[[#This Row],[TOTAL Expended]]</f>
        <v>0.11273966481896004</v>
      </c>
      <c r="AD24"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485764.35000000003</v>
      </c>
    </row>
    <row r="25" spans="1:30" ht="15.6" x14ac:dyDescent="0.3">
      <c r="A25" s="217">
        <v>23</v>
      </c>
      <c r="B25" s="7" t="s">
        <v>32</v>
      </c>
      <c r="C25" s="214">
        <v>200752.08</v>
      </c>
      <c r="D25" s="167">
        <v>0</v>
      </c>
      <c r="E25" s="167">
        <f>Table208833[[#This Row],[Infant Toddler  Expenditures CCQ]]+D25</f>
        <v>200752.08</v>
      </c>
      <c r="F25" s="4">
        <f>Table208833[[#This Row],[Infant Toddler Total]]/Table208833[[#This Row],[TOTAL Expended]]</f>
        <v>5.1943629757985242E-2</v>
      </c>
      <c r="G25" s="214">
        <v>127355.70999999999</v>
      </c>
      <c r="H25" s="167">
        <v>0</v>
      </c>
      <c r="I25" s="167">
        <f>Table208833[[#This Row],[Professional Development Expenditures CCQ]]+H25</f>
        <v>127355.70999999999</v>
      </c>
      <c r="J25" s="4">
        <f>Table208833[[#This Row],[PD Total]]/Table208833[[#This Row],[TOTAL Expended]]</f>
        <v>3.2952674003703171E-2</v>
      </c>
      <c r="K25" s="214">
        <v>916794.15999999992</v>
      </c>
      <c r="L25" s="167"/>
      <c r="M25" s="167">
        <v>723909.58999999985</v>
      </c>
      <c r="N25" s="216">
        <f>Table208833[[#This Row],[Texas Rising Star Expenditures CCQ]]+Table208833[[#This Row],[Texas Rising Star Expenditures CQF]]+Table208833[[#This Row],[Texas Rising Star Expenditures Mentor Funding]]</f>
        <v>1640703.7499999998</v>
      </c>
      <c r="O25" s="4">
        <f>Table208833[[#This Row],[Texas Rising Star Total]]/Table208833[[#This Row],[TOTAL Expended]]</f>
        <v>0.42452416001138304</v>
      </c>
      <c r="P25" s="214">
        <v>0</v>
      </c>
      <c r="Q25" s="4">
        <f>Table208833[[#This Row],[Health &amp; Safety Expenditures CCQ Only]]/Table208833[[#This Row],[TOTAL Expended]]</f>
        <v>0</v>
      </c>
      <c r="R25" s="214">
        <v>0</v>
      </c>
      <c r="S25" s="167">
        <v>0</v>
      </c>
      <c r="T25" s="167">
        <f>Table208833[[#This Row],[Eval &amp; Assessment Expenditures CCQ]]+S25</f>
        <v>0</v>
      </c>
      <c r="U25" s="4">
        <f>Table208833[[#This Row],[Eval/Assess Total]]/Table208833[[#This Row],[TOTAL Expended]]</f>
        <v>0</v>
      </c>
      <c r="V25" s="214">
        <v>0</v>
      </c>
      <c r="W25" s="168">
        <v>0</v>
      </c>
      <c r="X25" s="215">
        <f>Table208833[[#This Row],[National Accreditation Expenditures CCQ]]+Table208833[[#This Row],[National Accreditation Expenditures CQF]]</f>
        <v>0</v>
      </c>
      <c r="Y25" s="5">
        <f>Table208833[[#This Row],[National Accreditation Total]]/Table208833[[#This Row],[TOTAL Expended]]</f>
        <v>0</v>
      </c>
      <c r="Z25" s="214">
        <v>0</v>
      </c>
      <c r="AA25" s="167">
        <v>1895995</v>
      </c>
      <c r="AB25" s="216">
        <f>Table208833[[#This Row],[Other Activities Expenditures CCQ]]+Table208833[[#This Row],[Other Activities Expenditures CQF]]</f>
        <v>1895995</v>
      </c>
      <c r="AC25" s="4">
        <f>Table208833[[#This Row],[Other Total]]/Table208833[[#This Row],[TOTAL Expended]]</f>
        <v>0.49057953622692846</v>
      </c>
      <c r="AD25"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3864806.54</v>
      </c>
    </row>
    <row r="26" spans="1:30" ht="15.6" x14ac:dyDescent="0.3">
      <c r="A26" s="217">
        <v>24</v>
      </c>
      <c r="B26" s="7" t="s">
        <v>33</v>
      </c>
      <c r="C26" s="214">
        <v>0</v>
      </c>
      <c r="D26" s="167">
        <v>661540</v>
      </c>
      <c r="E26" s="167">
        <f>Table208833[[#This Row],[Infant Toddler  Expenditures CCQ]]+D26</f>
        <v>661540</v>
      </c>
      <c r="F26" s="4">
        <f>Table208833[[#This Row],[Infant Toddler Total]]/Table208833[[#This Row],[TOTAL Expended]]</f>
        <v>0.48550548809667571</v>
      </c>
      <c r="G26" s="214">
        <v>66134.2</v>
      </c>
      <c r="H26" s="167">
        <v>25495.56</v>
      </c>
      <c r="I26" s="167">
        <f>Table208833[[#This Row],[Professional Development Expenditures CCQ]]+H26</f>
        <v>91629.759999999995</v>
      </c>
      <c r="J26" s="4">
        <f>Table208833[[#This Row],[PD Total]]/Table208833[[#This Row],[TOTAL Expended]]</f>
        <v>6.7247258446928762E-2</v>
      </c>
      <c r="K26" s="214">
        <v>129173.14000000001</v>
      </c>
      <c r="L26" s="167">
        <v>0</v>
      </c>
      <c r="M26" s="167">
        <v>357877.48</v>
      </c>
      <c r="N26" s="216">
        <f>Table208833[[#This Row],[Texas Rising Star Expenditures CCQ]]+Table208833[[#This Row],[Texas Rising Star Expenditures CQF]]+Table208833[[#This Row],[Texas Rising Star Expenditures Mentor Funding]]</f>
        <v>487050.62</v>
      </c>
      <c r="O26" s="4">
        <f>Table208833[[#This Row],[Texas Rising Star Total]]/Table208833[[#This Row],[TOTAL Expended]]</f>
        <v>0.35744739394577579</v>
      </c>
      <c r="P26" s="214">
        <v>0</v>
      </c>
      <c r="Q26" s="4">
        <f>Table208833[[#This Row],[Health &amp; Safety Expenditures CCQ Only]]/Table208833[[#This Row],[TOTAL Expended]]</f>
        <v>0</v>
      </c>
      <c r="R26" s="214">
        <v>0</v>
      </c>
      <c r="S26" s="167">
        <v>0</v>
      </c>
      <c r="T26" s="167">
        <f>Table208833[[#This Row],[Eval &amp; Assessment Expenditures CCQ]]+S26</f>
        <v>0</v>
      </c>
      <c r="U26" s="4">
        <f>Table208833[[#This Row],[Eval/Assess Total]]/Table208833[[#This Row],[TOTAL Expended]]</f>
        <v>0</v>
      </c>
      <c r="V26" s="214">
        <v>0</v>
      </c>
      <c r="W26" s="168">
        <v>0</v>
      </c>
      <c r="X26" s="215">
        <f>Table208833[[#This Row],[National Accreditation Expenditures CCQ]]+Table208833[[#This Row],[National Accreditation Expenditures CQF]]</f>
        <v>0</v>
      </c>
      <c r="Y26" s="5">
        <f>Table208833[[#This Row],[National Accreditation Total]]/Table208833[[#This Row],[TOTAL Expended]]</f>
        <v>0</v>
      </c>
      <c r="Z26" s="214">
        <v>0</v>
      </c>
      <c r="AA26" s="167">
        <v>122359.48</v>
      </c>
      <c r="AB26" s="216">
        <f>Table208833[[#This Row],[Other Activities Expenditures CCQ]]+Table208833[[#This Row],[Other Activities Expenditures CQF]]</f>
        <v>122359.48</v>
      </c>
      <c r="AC26" s="4">
        <f>Table208833[[#This Row],[Other Total]]/Table208833[[#This Row],[TOTAL Expended]]</f>
        <v>8.9799859510619806E-2</v>
      </c>
      <c r="AD26"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1362579.8599999999</v>
      </c>
    </row>
    <row r="27" spans="1:30" ht="15.6" x14ac:dyDescent="0.3">
      <c r="A27" s="217">
        <v>25</v>
      </c>
      <c r="B27" s="7" t="s">
        <v>34</v>
      </c>
      <c r="C27" s="214">
        <v>440</v>
      </c>
      <c r="D27" s="167">
        <v>28000</v>
      </c>
      <c r="E27" s="167">
        <f>Table208833[[#This Row],[Infant Toddler  Expenditures CCQ]]+D27</f>
        <v>28440</v>
      </c>
      <c r="F27" s="4">
        <f>Table208833[[#This Row],[Infant Toddler Total]]/Table208833[[#This Row],[TOTAL Expended]]</f>
        <v>6.7463374966348369E-2</v>
      </c>
      <c r="G27" s="214">
        <v>0</v>
      </c>
      <c r="H27" s="167">
        <v>40636</v>
      </c>
      <c r="I27" s="167">
        <f>Table208833[[#This Row],[Professional Development Expenditures CCQ]]+H27</f>
        <v>40636</v>
      </c>
      <c r="J27" s="4">
        <f>Table208833[[#This Row],[PD Total]]/Table208833[[#This Row],[TOTAL Expended]]</f>
        <v>9.6393871488485675E-2</v>
      </c>
      <c r="K27" s="214">
        <v>44838.76</v>
      </c>
      <c r="L27" s="167">
        <v>104121.74</v>
      </c>
      <c r="M27" s="167">
        <v>188293.46000000002</v>
      </c>
      <c r="N27" s="216">
        <f>Table208833[[#This Row],[Texas Rising Star Expenditures CCQ]]+Table208833[[#This Row],[Texas Rising Star Expenditures CQF]]+Table208833[[#This Row],[Texas Rising Star Expenditures Mentor Funding]]</f>
        <v>337253.96</v>
      </c>
      <c r="O27" s="4">
        <f>Table208833[[#This Row],[Texas Rising Star Total]]/Table208833[[#This Row],[TOTAL Expended]]</f>
        <v>0.80001020964718206</v>
      </c>
      <c r="P27" s="214">
        <v>1611.95</v>
      </c>
      <c r="Q27" s="4">
        <f>Table208833[[#This Row],[Health &amp; Safety Expenditures CCQ Only]]/Table208833[[#This Row],[TOTAL Expended]]</f>
        <v>3.8237548268989191E-3</v>
      </c>
      <c r="R27" s="214">
        <v>10550</v>
      </c>
      <c r="S27" s="167">
        <v>600</v>
      </c>
      <c r="T27" s="167">
        <f>Table208833[[#This Row],[Eval &amp; Assessment Expenditures CCQ]]+S27</f>
        <v>11150</v>
      </c>
      <c r="U27" s="4">
        <f>Table208833[[#This Row],[Eval/Assess Total]]/Table208833[[#This Row],[TOTAL Expended]]</f>
        <v>2.6449248624289181E-2</v>
      </c>
      <c r="V27" s="214">
        <v>0</v>
      </c>
      <c r="W27" s="168">
        <v>0</v>
      </c>
      <c r="X27" s="215">
        <f>Table208833[[#This Row],[National Accreditation Expenditures CCQ]]+Table208833[[#This Row],[National Accreditation Expenditures CQF]]</f>
        <v>0</v>
      </c>
      <c r="Y27" s="5">
        <f>Table208833[[#This Row],[National Accreditation Total]]/Table208833[[#This Row],[TOTAL Expended]]</f>
        <v>0</v>
      </c>
      <c r="Z27" s="214">
        <v>2470.1600000000003</v>
      </c>
      <c r="AA27" s="167">
        <v>0</v>
      </c>
      <c r="AB27" s="216">
        <f>Table208833[[#This Row],[Other Activities Expenditures CCQ]]+Table208833[[#This Row],[Other Activities Expenditures CQF]]</f>
        <v>2470.1600000000003</v>
      </c>
      <c r="AC27" s="4">
        <f>Table208833[[#This Row],[Other Total]]/Table208833[[#This Row],[TOTAL Expended]]</f>
        <v>5.8595404467958901E-3</v>
      </c>
      <c r="AD27"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421562.07</v>
      </c>
    </row>
    <row r="28" spans="1:30" ht="15.6" x14ac:dyDescent="0.3">
      <c r="A28" s="217">
        <v>26</v>
      </c>
      <c r="B28" s="7" t="s">
        <v>35</v>
      </c>
      <c r="C28" s="214">
        <v>0</v>
      </c>
      <c r="D28" s="167">
        <v>3704.39</v>
      </c>
      <c r="E28" s="167">
        <f>Table208833[[#This Row],[Infant Toddler  Expenditures CCQ]]+D28</f>
        <v>3704.39</v>
      </c>
      <c r="F28" s="4">
        <f>Table208833[[#This Row],[Infant Toddler Total]]/Table208833[[#This Row],[TOTAL Expended]]</f>
        <v>2.3628470398700642E-3</v>
      </c>
      <c r="G28" s="214">
        <v>90329.55</v>
      </c>
      <c r="H28" s="167">
        <v>34714.51</v>
      </c>
      <c r="I28" s="167">
        <f>Table208833[[#This Row],[Professional Development Expenditures CCQ]]+H28</f>
        <v>125044.06</v>
      </c>
      <c r="J28" s="4">
        <f>Table208833[[#This Row],[PD Total]]/Table208833[[#This Row],[TOTAL Expended]]</f>
        <v>7.9759417076586084E-2</v>
      </c>
      <c r="K28" s="214">
        <v>87801.65</v>
      </c>
      <c r="L28" s="167">
        <v>589565.90999999992</v>
      </c>
      <c r="M28" s="167">
        <v>601521.14</v>
      </c>
      <c r="N28" s="216">
        <f>Table208833[[#This Row],[Texas Rising Star Expenditures CCQ]]+Table208833[[#This Row],[Texas Rising Star Expenditures CQF]]+Table208833[[#This Row],[Texas Rising Star Expenditures Mentor Funding]]</f>
        <v>1278888.7</v>
      </c>
      <c r="O28" s="4">
        <f>Table208833[[#This Row],[Texas Rising Star Total]]/Table208833[[#This Row],[TOTAL Expended]]</f>
        <v>0.81573980577592387</v>
      </c>
      <c r="P28" s="214">
        <v>10637.82</v>
      </c>
      <c r="Q28" s="4">
        <f>Table208833[[#This Row],[Health &amp; Safety Expenditures CCQ Only]]/Table208833[[#This Row],[TOTAL Expended]]</f>
        <v>6.7853388810763899E-3</v>
      </c>
      <c r="R28" s="214">
        <v>0</v>
      </c>
      <c r="S28" s="167">
        <v>116000</v>
      </c>
      <c r="T28" s="216">
        <f>Table208833[[#This Row],[Eval &amp; Assessment Expenditures CCQ]]+Table208833[[#This Row],[Eval &amp; Assessment Expenditures CQF]]</f>
        <v>116000</v>
      </c>
      <c r="U28" s="4">
        <f>Table208833[[#This Row],[Eval/Assess Total]]/Table208833[[#This Row],[TOTAL Expended]]</f>
        <v>7.3990658819651126E-2</v>
      </c>
      <c r="V28" s="214">
        <v>23175</v>
      </c>
      <c r="W28" s="168">
        <v>10315.5</v>
      </c>
      <c r="X28" s="215">
        <f>Table208833[[#This Row],[National Accreditation Expenditures CCQ]]+Table208833[[#This Row],[National Accreditation Expenditures CQF]]</f>
        <v>33490.5</v>
      </c>
      <c r="Y28" s="5">
        <f>Table208833[[#This Row],[National Accreditation Total]]/Table208833[[#This Row],[TOTAL Expended]]</f>
        <v>2.1361932406892468E-2</v>
      </c>
      <c r="Z28" s="214">
        <v>0</v>
      </c>
      <c r="AA28" s="167">
        <v>0</v>
      </c>
      <c r="AB28" s="216">
        <f>Table208833[[#This Row],[Other Activities Expenditures CCQ]]+Table208833[[#This Row],[Other Activities Expenditures CQF]]</f>
        <v>0</v>
      </c>
      <c r="AC28" s="4">
        <f>Table208833[[#This Row],[Other Total]]/Table208833[[#This Row],[TOTAL Expended]]</f>
        <v>0</v>
      </c>
      <c r="AD28"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1567765.47</v>
      </c>
    </row>
    <row r="29" spans="1:30" s="218" customFormat="1" ht="15.6" x14ac:dyDescent="0.3">
      <c r="A29" s="217">
        <v>27</v>
      </c>
      <c r="B29" s="7" t="s">
        <v>36</v>
      </c>
      <c r="C29" s="221">
        <v>0</v>
      </c>
      <c r="D29" s="220">
        <v>0</v>
      </c>
      <c r="E29" s="220">
        <f>Table208833[[#This Row],[Infant Toddler  Expenditures CCQ]]+D29</f>
        <v>0</v>
      </c>
      <c r="F29" s="4">
        <f>Table208833[[#This Row],[Infant Toddler Total]]/Table208833[[#This Row],[TOTAL Expended]]</f>
        <v>0</v>
      </c>
      <c r="G29" s="221">
        <v>4060</v>
      </c>
      <c r="H29" s="220">
        <v>0</v>
      </c>
      <c r="I29" s="220">
        <f>Table208833[[#This Row],[Professional Development Expenditures CCQ]]+H29</f>
        <v>4060</v>
      </c>
      <c r="J29" s="4">
        <f>Table208833[[#This Row],[PD Total]]/Table208833[[#This Row],[TOTAL Expended]]</f>
        <v>2.1647995803488022E-2</v>
      </c>
      <c r="K29" s="221">
        <v>0</v>
      </c>
      <c r="L29" s="220">
        <v>0</v>
      </c>
      <c r="M29" s="220">
        <v>169206.03</v>
      </c>
      <c r="N29" s="219">
        <f>Table208833[[#This Row],[Texas Rising Star Expenditures CCQ]]+Table208833[[#This Row],[Texas Rising Star Expenditures CQF]]+Table208833[[#This Row],[Texas Rising Star Expenditures Mentor Funding]]</f>
        <v>169206.03</v>
      </c>
      <c r="O29" s="4">
        <f>Table208833[[#This Row],[Texas Rising Star Total]]/Table208833[[#This Row],[TOTAL Expended]]</f>
        <v>0.90220971117361293</v>
      </c>
      <c r="P29" s="221">
        <v>3375</v>
      </c>
      <c r="Q29" s="4">
        <f>Table208833[[#This Row],[Health &amp; Safety Expenditures CCQ Only]]/Table208833[[#This Row],[TOTAL Expended]]</f>
        <v>1.7995563013983272E-2</v>
      </c>
      <c r="R29" s="221">
        <v>0</v>
      </c>
      <c r="S29" s="220">
        <v>0</v>
      </c>
      <c r="T29" s="220">
        <f>Table208833[[#This Row],[Eval &amp; Assessment Expenditures CCQ]]+S29</f>
        <v>0</v>
      </c>
      <c r="U29" s="4">
        <f>Table208833[[#This Row],[Eval/Assess Total]]/Table208833[[#This Row],[TOTAL Expended]]</f>
        <v>0</v>
      </c>
      <c r="V29" s="221">
        <v>0</v>
      </c>
      <c r="W29" s="223">
        <v>0</v>
      </c>
      <c r="X29" s="222">
        <f>Table208833[[#This Row],[National Accreditation Expenditures CCQ]]+Table208833[[#This Row],[National Accreditation Expenditures CQF]]</f>
        <v>0</v>
      </c>
      <c r="Y29" s="5">
        <f>Table208833[[#This Row],[National Accreditation Total]]/Table208833[[#This Row],[TOTAL Expended]]</f>
        <v>0</v>
      </c>
      <c r="Z29" s="221">
        <v>0</v>
      </c>
      <c r="AA29" s="220">
        <v>10905.2</v>
      </c>
      <c r="AB29" s="219">
        <f>Table208833[[#This Row],[Other Activities Expenditures CCQ]]+Table208833[[#This Row],[Other Activities Expenditures CQF]]</f>
        <v>10905.2</v>
      </c>
      <c r="AC29" s="4">
        <f>Table208833[[#This Row],[Other Total]]/Table208833[[#This Row],[TOTAL Expended]]</f>
        <v>5.8146730008915667E-2</v>
      </c>
      <c r="AD29"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187546.23</v>
      </c>
    </row>
    <row r="30" spans="1:30" ht="15.6" x14ac:dyDescent="0.3">
      <c r="A30" s="217">
        <v>28</v>
      </c>
      <c r="B30" s="7" t="s">
        <v>37</v>
      </c>
      <c r="C30" s="214">
        <v>0</v>
      </c>
      <c r="D30" s="167">
        <v>0</v>
      </c>
      <c r="E30" s="167">
        <f>Table208833[[#This Row],[Infant Toddler  Expenditures CCQ]]+D30</f>
        <v>0</v>
      </c>
      <c r="F30" s="4">
        <f>Table208833[[#This Row],[Infant Toddler Total]]/Table208833[[#This Row],[TOTAL Expended]]</f>
        <v>0</v>
      </c>
      <c r="G30" s="214">
        <v>300500</v>
      </c>
      <c r="H30" s="167">
        <v>0</v>
      </c>
      <c r="I30" s="167">
        <f>Table208833[[#This Row],[Professional Development Expenditures CCQ]]+H30</f>
        <v>300500</v>
      </c>
      <c r="J30" s="4">
        <f>Table208833[[#This Row],[PD Total]]/Table208833[[#This Row],[TOTAL Expended]]</f>
        <v>5.3890644687738749E-2</v>
      </c>
      <c r="K30" s="214">
        <v>0</v>
      </c>
      <c r="L30" s="167">
        <v>0</v>
      </c>
      <c r="M30" s="167">
        <v>1972705.86</v>
      </c>
      <c r="N30" s="216">
        <f>Table208833[[#This Row],[Texas Rising Star Expenditures CCQ]]+Table208833[[#This Row],[Texas Rising Star Expenditures CQF]]+Table208833[[#This Row],[Texas Rising Star Expenditures Mentor Funding]]</f>
        <v>1972705.86</v>
      </c>
      <c r="O30" s="4">
        <f>Table208833[[#This Row],[Texas Rising Star Total]]/Table208833[[#This Row],[TOTAL Expended]]</f>
        <v>0.35377833801890218</v>
      </c>
      <c r="P30" s="214">
        <v>0</v>
      </c>
      <c r="Q30" s="4">
        <f>Table208833[[#This Row],[Health &amp; Safety Expenditures CCQ Only]]/Table208833[[#This Row],[TOTAL Expended]]</f>
        <v>0</v>
      </c>
      <c r="R30" s="214">
        <v>0</v>
      </c>
      <c r="S30" s="167">
        <v>0</v>
      </c>
      <c r="T30" s="167">
        <f>Table208833[[#This Row],[Eval &amp; Assessment Expenditures CCQ]]+S30</f>
        <v>0</v>
      </c>
      <c r="U30" s="4">
        <f>Table208833[[#This Row],[Eval/Assess Total]]/Table208833[[#This Row],[TOTAL Expended]]</f>
        <v>0</v>
      </c>
      <c r="V30" s="214">
        <v>0</v>
      </c>
      <c r="W30" s="168">
        <v>0</v>
      </c>
      <c r="X30" s="215">
        <f>Table208833[[#This Row],[National Accreditation Expenditures CCQ]]+Table208833[[#This Row],[National Accreditation Expenditures CQF]]</f>
        <v>0</v>
      </c>
      <c r="Y30" s="5">
        <f>Table208833[[#This Row],[National Accreditation Total]]/Table208833[[#This Row],[TOTAL Expended]]</f>
        <v>0</v>
      </c>
      <c r="Z30" s="214">
        <v>390948.81</v>
      </c>
      <c r="AA30" s="213">
        <v>2911952.31</v>
      </c>
      <c r="AB30" s="213">
        <f>Table208833[[#This Row],[Other Activities Expenditures CCQ]]+Table208833[[#This Row],[Other Activities Expenditures CQF]]</f>
        <v>3302901.12</v>
      </c>
      <c r="AC30" s="4">
        <f>Table208833[[#This Row],[Other Total]]/Table208833[[#This Row],[TOTAL Expended]]</f>
        <v>0.59233101729335902</v>
      </c>
      <c r="AD30" s="232">
        <f>Table208833[[#This Row],[Infant Toddler Total]]+Table208833[[#This Row],[PD Total]]+Table208833[[#This Row],[Texas Rising Star Total]]+Table208833[[#This Row],[Health &amp; Safety Expenditures CCQ Only]]+Table208833[[#This Row],[Eval/Assess Total]]+Table208833[[#This Row],[National Accreditation Total]]+Table208833[[#This Row],[Other Total]]</f>
        <v>5576106.9800000004</v>
      </c>
    </row>
    <row r="31" spans="1:30" s="207" customFormat="1" ht="15.6" x14ac:dyDescent="0.3">
      <c r="A31" s="212">
        <v>29</v>
      </c>
      <c r="B31" s="211" t="s">
        <v>38</v>
      </c>
      <c r="C31" s="208">
        <f>SUM(C3:C30)</f>
        <v>958363.86999999976</v>
      </c>
      <c r="D31" s="208">
        <f>SUM(D3:D30)</f>
        <v>1592927.18</v>
      </c>
      <c r="E31" s="208">
        <f>SUM(E3:E30)</f>
        <v>2551291.0500000003</v>
      </c>
      <c r="F31" s="209">
        <f>C31/AD31</f>
        <v>1.8612461397088258E-2</v>
      </c>
      <c r="G31" s="208">
        <f>SUM(G3:G30)</f>
        <v>2666040.83</v>
      </c>
      <c r="H31" s="208">
        <f>SUM(H3:H30)</f>
        <v>1012056.2100000002</v>
      </c>
      <c r="I31" s="208">
        <f>SUM(I3:I30)</f>
        <v>3678097.04</v>
      </c>
      <c r="J31" s="209">
        <f>G31/AD31</f>
        <v>5.1777392266922746E-2</v>
      </c>
      <c r="K31" s="208">
        <f>SUBTOTAL(109,Table208833[Texas Rising Star Expenditures CCQ])</f>
        <v>6066828.1399999997</v>
      </c>
      <c r="L31" s="208">
        <f>SUBTOTAL(109,Table208833[Texas Rising Star Expenditures CQF])</f>
        <v>6914742.0999999996</v>
      </c>
      <c r="M31" s="208">
        <f>SUBTOTAL(109,Table208833[Texas Rising Star Expenditures Mentor Funding])</f>
        <v>16461264.780000003</v>
      </c>
      <c r="N31" s="208">
        <f>SUBTOTAL(109,Table208833[Texas Rising Star Total])</f>
        <v>29394590.25</v>
      </c>
      <c r="O31" s="209">
        <f>K31/AD31</f>
        <v>0.11782435470832053</v>
      </c>
      <c r="P31" s="208">
        <f>SUM(P3:P30)</f>
        <v>137698.41</v>
      </c>
      <c r="Q31" s="209">
        <f>P31/AD31</f>
        <v>2.6742518377340673E-3</v>
      </c>
      <c r="R31" s="208">
        <f>SUM(R3:R30)</f>
        <v>63034.189999999995</v>
      </c>
      <c r="S31" s="208">
        <f>SUM(S3:S30)</f>
        <v>121549</v>
      </c>
      <c r="T31" s="208">
        <f>SUM(T3:T30)</f>
        <v>179619.19</v>
      </c>
      <c r="U31" s="209">
        <f>R31/AD31</f>
        <v>1.2241920472979924E-3</v>
      </c>
      <c r="V31" s="208">
        <f>SUM(V3:V30)</f>
        <v>32225</v>
      </c>
      <c r="W31" s="208">
        <f>SUM(W3:W30)</f>
        <v>141620.5</v>
      </c>
      <c r="X31" s="208">
        <f>SUM(X3:X30)</f>
        <v>173845.5</v>
      </c>
      <c r="Y31" s="210">
        <f>V31/AD31</f>
        <v>6.2584430329282897E-4</v>
      </c>
      <c r="Z31" s="208">
        <f>SUM(Z3:Z30)</f>
        <v>1027988.0999999999</v>
      </c>
      <c r="AA31" s="208">
        <f>SUM(AA3:AA30)</f>
        <v>14347312.780000001</v>
      </c>
      <c r="AB31" s="208">
        <f>SUM(AB3:AB30)</f>
        <v>15375300.879999999</v>
      </c>
      <c r="AC31" s="209">
        <f>Z31/AD31</f>
        <v>1.9964639138489337E-2</v>
      </c>
      <c r="AD31" s="208">
        <f>SUBTOTAL(109,Table208833[TOTAL Expended])</f>
        <v>51490442.320000008</v>
      </c>
    </row>
    <row r="32" spans="1:30" ht="15.6" customHeight="1" x14ac:dyDescent="0.3">
      <c r="A32" s="130" t="s">
        <v>3348</v>
      </c>
      <c r="B32" s="6"/>
      <c r="C32" s="206" t="s">
        <v>0</v>
      </c>
      <c r="D32" s="205"/>
      <c r="E32" s="205"/>
      <c r="F32" s="204"/>
      <c r="G32" s="203" t="s">
        <v>1</v>
      </c>
      <c r="H32" s="202"/>
      <c r="I32" s="202"/>
      <c r="J32" s="201"/>
      <c r="K32" s="200" t="s">
        <v>2</v>
      </c>
      <c r="L32" s="199"/>
      <c r="M32" s="199"/>
      <c r="N32" s="199"/>
      <c r="O32" s="198"/>
      <c r="P32" s="197" t="s">
        <v>3</v>
      </c>
      <c r="Q32" s="196"/>
      <c r="R32" s="195" t="s">
        <v>4</v>
      </c>
      <c r="S32" s="194"/>
      <c r="T32" s="194"/>
      <c r="U32" s="193"/>
      <c r="V32" s="192" t="s">
        <v>5</v>
      </c>
      <c r="W32" s="191"/>
      <c r="X32" s="191"/>
      <c r="Y32" s="190"/>
      <c r="Z32" s="189" t="s">
        <v>6</v>
      </c>
      <c r="AA32" s="188"/>
      <c r="AB32" s="188"/>
      <c r="AC32" s="187"/>
      <c r="AD32" s="186" t="s">
        <v>7</v>
      </c>
    </row>
    <row r="33" spans="1:6" ht="15.6" x14ac:dyDescent="0.3">
      <c r="A33" s="130"/>
      <c r="F33" s="185"/>
    </row>
  </sheetData>
  <mergeCells count="8">
    <mergeCell ref="V1:Y1"/>
    <mergeCell ref="Z1:AC1"/>
    <mergeCell ref="A1:B1"/>
    <mergeCell ref="C1:F1"/>
    <mergeCell ref="G1:J1"/>
    <mergeCell ref="K1:O1"/>
    <mergeCell ref="P1:Q1"/>
    <mergeCell ref="R1:U1"/>
  </mergeCells>
  <pageMargins left="0.25" right="0.25" top="0.75" bottom="0.75" header="0.3" footer="0.3"/>
  <pageSetup paperSize="5"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8CCE-96D8-4E0D-B49D-E16EAB446BBA}">
  <sheetPr>
    <tabColor theme="3" tint="-0.499984740745262"/>
  </sheetPr>
  <dimension ref="A1:I40"/>
  <sheetViews>
    <sheetView workbookViewId="0">
      <selection activeCell="G30" sqref="G30"/>
    </sheetView>
  </sheetViews>
  <sheetFormatPr defaultColWidth="0" defaultRowHeight="14.4" zeroHeight="1" x14ac:dyDescent="0.3"/>
  <cols>
    <col min="1" max="1" width="4.5546875" style="8" customWidth="1"/>
    <col min="2" max="2" width="16.6640625" customWidth="1"/>
    <col min="3" max="4" width="16.33203125" bestFit="1" customWidth="1"/>
    <col min="5" max="5" width="16.5546875" customWidth="1"/>
    <col min="6" max="6" width="16.33203125" bestFit="1" customWidth="1"/>
    <col min="7" max="7" width="17.6640625" customWidth="1"/>
    <col min="8" max="8" width="21.6640625" customWidth="1"/>
    <col min="9" max="9" width="29" style="8" customWidth="1"/>
    <col min="10" max="16384" width="8.88671875" hidden="1"/>
  </cols>
  <sheetData>
    <row r="1" spans="1:9" s="2" customFormat="1" ht="46.8" x14ac:dyDescent="0.3">
      <c r="A1" s="67" t="s">
        <v>8</v>
      </c>
      <c r="B1" s="68" t="s">
        <v>9</v>
      </c>
      <c r="C1" s="68" t="s">
        <v>39</v>
      </c>
      <c r="D1" s="68" t="s">
        <v>40</v>
      </c>
      <c r="E1" s="68" t="s">
        <v>41</v>
      </c>
      <c r="F1" s="68" t="s">
        <v>42</v>
      </c>
      <c r="G1" s="68" t="s">
        <v>43</v>
      </c>
      <c r="H1" s="68" t="s">
        <v>3345</v>
      </c>
      <c r="I1" s="69" t="s">
        <v>3347</v>
      </c>
    </row>
    <row r="2" spans="1:9" ht="15.6" x14ac:dyDescent="0.3">
      <c r="A2" s="70">
        <v>1</v>
      </c>
      <c r="B2" s="3" t="s">
        <v>10</v>
      </c>
      <c r="C2" s="178">
        <v>254231.37000000002</v>
      </c>
      <c r="D2" s="178">
        <v>511697.98</v>
      </c>
      <c r="E2" s="181">
        <v>985606.64999999991</v>
      </c>
      <c r="F2" s="178">
        <v>0</v>
      </c>
      <c r="G2" s="178">
        <f>Table202290[[#This Row],[Q3]]</f>
        <v>985606.64999999991</v>
      </c>
      <c r="H2" s="178">
        <v>1599581</v>
      </c>
      <c r="I2" s="71">
        <f>Table202290[[#This Row],[YTD Expended]]/Table202290[[#This Row],[Total CCQ, CQF and Mentor Funding Allotted]]</f>
        <v>0.61616551459413427</v>
      </c>
    </row>
    <row r="3" spans="1:9" ht="15.6" x14ac:dyDescent="0.3">
      <c r="A3" s="72">
        <v>2</v>
      </c>
      <c r="B3" s="7" t="s">
        <v>11</v>
      </c>
      <c r="C3" s="179">
        <v>121109.36</v>
      </c>
      <c r="D3" s="179">
        <v>344895.02999999997</v>
      </c>
      <c r="E3" s="182">
        <v>702107.1</v>
      </c>
      <c r="F3" s="179">
        <v>0</v>
      </c>
      <c r="G3" s="178">
        <f>Table202290[[#This Row],[Q3]]</f>
        <v>702107.1</v>
      </c>
      <c r="H3" s="179">
        <v>1839863</v>
      </c>
      <c r="I3" s="71">
        <f>Table202290[[#This Row],[YTD Expended]]/Table202290[[#This Row],[Total CCQ, CQF and Mentor Funding Allotted]]</f>
        <v>0.3816083588832429</v>
      </c>
    </row>
    <row r="4" spans="1:9" ht="15.6" x14ac:dyDescent="0.3">
      <c r="A4" s="72">
        <v>3</v>
      </c>
      <c r="B4" s="7" t="s">
        <v>12</v>
      </c>
      <c r="C4" s="179">
        <v>72356.399999999994</v>
      </c>
      <c r="D4" s="179">
        <v>275918.27999999997</v>
      </c>
      <c r="E4" s="182">
        <v>671952.92999999993</v>
      </c>
      <c r="F4" s="179">
        <v>0</v>
      </c>
      <c r="G4" s="178">
        <f>Table202290[[#This Row],[Q3]]</f>
        <v>671952.92999999993</v>
      </c>
      <c r="H4" s="179">
        <v>1069372</v>
      </c>
      <c r="I4" s="71">
        <f>Table202290[[#This Row],[YTD Expended]]/Table202290[[#This Row],[Total CCQ, CQF and Mentor Funding Allotted]]</f>
        <v>0.62836218827498747</v>
      </c>
    </row>
    <row r="5" spans="1:9" ht="15.6" x14ac:dyDescent="0.3">
      <c r="A5" s="72">
        <v>4</v>
      </c>
      <c r="B5" s="7" t="s">
        <v>13</v>
      </c>
      <c r="C5" s="179">
        <v>676971.1</v>
      </c>
      <c r="D5" s="179">
        <v>4168436.02</v>
      </c>
      <c r="E5" s="182">
        <v>5207189.55</v>
      </c>
      <c r="F5" s="179">
        <v>0</v>
      </c>
      <c r="G5" s="178">
        <f>Table202290[[#This Row],[Q3]]</f>
        <v>5207189.55</v>
      </c>
      <c r="H5" s="179">
        <v>9834859</v>
      </c>
      <c r="I5" s="71">
        <f>Table202290[[#This Row],[YTD Expended]]/Table202290[[#This Row],[Total CCQ, CQF and Mentor Funding Allotted]]</f>
        <v>0.5294625525388823</v>
      </c>
    </row>
    <row r="6" spans="1:9" ht="15.6" x14ac:dyDescent="0.3">
      <c r="A6" s="72">
        <v>5</v>
      </c>
      <c r="B6" s="7" t="s">
        <v>14</v>
      </c>
      <c r="C6" s="179">
        <v>1059692.42</v>
      </c>
      <c r="D6" s="179">
        <v>3146153.1799999997</v>
      </c>
      <c r="E6" s="182">
        <v>5846108.4000000004</v>
      </c>
      <c r="F6" s="179">
        <v>0</v>
      </c>
      <c r="G6" s="178">
        <f>Table202290[[#This Row],[Q3]]</f>
        <v>5846108.4000000004</v>
      </c>
      <c r="H6" s="179">
        <v>7981904</v>
      </c>
      <c r="I6" s="71">
        <f>Table202290[[#This Row],[YTD Expended]]/Table202290[[#This Row],[Total CCQ, CQF and Mentor Funding Allotted]]</f>
        <v>0.73242028468395515</v>
      </c>
    </row>
    <row r="7" spans="1:9" ht="15.6" x14ac:dyDescent="0.3">
      <c r="A7" s="72">
        <v>6</v>
      </c>
      <c r="B7" s="7" t="s">
        <v>15</v>
      </c>
      <c r="C7" s="179">
        <v>684535.66</v>
      </c>
      <c r="D7" s="179">
        <v>2026948.4600000002</v>
      </c>
      <c r="E7" s="182">
        <v>5010473.26</v>
      </c>
      <c r="F7" s="179">
        <v>0</v>
      </c>
      <c r="G7" s="178">
        <f>Table202290[[#This Row],[Q3]]</f>
        <v>5010473.26</v>
      </c>
      <c r="H7" s="179">
        <v>9216696</v>
      </c>
      <c r="I7" s="71">
        <f>Table202290[[#This Row],[YTD Expended]]/Table202290[[#This Row],[Total CCQ, CQF and Mentor Funding Allotted]]</f>
        <v>0.54363008826590353</v>
      </c>
    </row>
    <row r="8" spans="1:9" ht="15.6" x14ac:dyDescent="0.3">
      <c r="A8" s="72">
        <v>7</v>
      </c>
      <c r="B8" s="7" t="s">
        <v>16</v>
      </c>
      <c r="C8" s="179">
        <v>243399.69999999998</v>
      </c>
      <c r="D8" s="179">
        <v>376508.64</v>
      </c>
      <c r="E8" s="182">
        <v>775982.44</v>
      </c>
      <c r="F8" s="179">
        <v>0</v>
      </c>
      <c r="G8" s="178">
        <f>Table202290[[#This Row],[Q3]]</f>
        <v>775982.44</v>
      </c>
      <c r="H8" s="179">
        <v>1081548</v>
      </c>
      <c r="I8" s="71">
        <f>Table202290[[#This Row],[YTD Expended]]/Table202290[[#This Row],[Total CCQ, CQF and Mentor Funding Allotted]]</f>
        <v>0.71747388003121448</v>
      </c>
    </row>
    <row r="9" spans="1:9" ht="15.6" x14ac:dyDescent="0.3">
      <c r="A9" s="72">
        <v>8</v>
      </c>
      <c r="B9" s="7" t="s">
        <v>17</v>
      </c>
      <c r="C9" s="179">
        <v>402696.9</v>
      </c>
      <c r="D9" s="179">
        <v>1239652.8599999999</v>
      </c>
      <c r="E9" s="182">
        <v>1881498.76</v>
      </c>
      <c r="F9" s="179">
        <v>0</v>
      </c>
      <c r="G9" s="178">
        <f>Table202290[[#This Row],[Q3]]</f>
        <v>1881498.76</v>
      </c>
      <c r="H9" s="179">
        <v>3074370</v>
      </c>
      <c r="I9" s="71">
        <f>Table202290[[#This Row],[YTD Expended]]/Table202290[[#This Row],[Total CCQ, CQF and Mentor Funding Allotted]]</f>
        <v>0.61199489976808252</v>
      </c>
    </row>
    <row r="10" spans="1:9" ht="15.6" x14ac:dyDescent="0.3">
      <c r="A10" s="72">
        <v>9</v>
      </c>
      <c r="B10" s="7" t="s">
        <v>18</v>
      </c>
      <c r="C10" s="179">
        <v>65913.489999999991</v>
      </c>
      <c r="D10" s="179">
        <v>174663</v>
      </c>
      <c r="E10" s="182">
        <v>582173.78</v>
      </c>
      <c r="F10" s="179">
        <v>0</v>
      </c>
      <c r="G10" s="178">
        <f>Table202290[[#This Row],[Q3]]</f>
        <v>582173.78</v>
      </c>
      <c r="H10" s="179">
        <v>1277596</v>
      </c>
      <c r="I10" s="71">
        <f>Table202290[[#This Row],[YTD Expended]]/Table202290[[#This Row],[Total CCQ, CQF and Mentor Funding Allotted]]</f>
        <v>0.45567908791198469</v>
      </c>
    </row>
    <row r="11" spans="1:9" ht="15.6" x14ac:dyDescent="0.3">
      <c r="A11" s="72">
        <v>10</v>
      </c>
      <c r="B11" s="7" t="s">
        <v>19</v>
      </c>
      <c r="C11" s="179">
        <v>188347.75999999998</v>
      </c>
      <c r="D11" s="179">
        <v>458463.38</v>
      </c>
      <c r="E11" s="182">
        <v>785219.16</v>
      </c>
      <c r="F11" s="179">
        <v>0</v>
      </c>
      <c r="G11" s="178">
        <f>Table202290[[#This Row],[Q3]]</f>
        <v>785219.16</v>
      </c>
      <c r="H11" s="179">
        <v>3831496</v>
      </c>
      <c r="I11" s="71">
        <f>Table202290[[#This Row],[YTD Expended]]/Table202290[[#This Row],[Total CCQ, CQF and Mentor Funding Allotted]]</f>
        <v>0.20493800854809716</v>
      </c>
    </row>
    <row r="12" spans="1:9" ht="15.6" x14ac:dyDescent="0.3">
      <c r="A12" s="72">
        <v>11</v>
      </c>
      <c r="B12" s="7" t="s">
        <v>20</v>
      </c>
      <c r="C12" s="179">
        <v>239627.76</v>
      </c>
      <c r="D12" s="179">
        <v>466132.7</v>
      </c>
      <c r="E12" s="182">
        <v>1224011.83</v>
      </c>
      <c r="F12" s="179">
        <v>0</v>
      </c>
      <c r="G12" s="178">
        <f>Table202290[[#This Row],[Q3]]</f>
        <v>1224011.83</v>
      </c>
      <c r="H12" s="179">
        <v>1601016</v>
      </c>
      <c r="I12" s="71">
        <f>Table202290[[#This Row],[YTD Expended]]/Table202290[[#This Row],[Total CCQ, CQF and Mentor Funding Allotted]]</f>
        <v>0.76452192232932092</v>
      </c>
    </row>
    <row r="13" spans="1:9" ht="15.6" x14ac:dyDescent="0.3">
      <c r="A13" s="72">
        <v>12</v>
      </c>
      <c r="B13" s="7" t="s">
        <v>21</v>
      </c>
      <c r="C13" s="179">
        <v>38758.629999999997</v>
      </c>
      <c r="D13" s="179">
        <v>182066.66</v>
      </c>
      <c r="E13" s="182">
        <v>599938.21000000008</v>
      </c>
      <c r="F13" s="179">
        <v>0</v>
      </c>
      <c r="G13" s="178">
        <f>Table202290[[#This Row],[Q3]]</f>
        <v>599938.21000000008</v>
      </c>
      <c r="H13" s="179">
        <v>805147</v>
      </c>
      <c r="I13" s="71">
        <f>Table202290[[#This Row],[YTD Expended]]/Table202290[[#This Row],[Total CCQ, CQF and Mentor Funding Allotted]]</f>
        <v>0.74512879014639577</v>
      </c>
    </row>
    <row r="14" spans="1:9" ht="15.6" x14ac:dyDescent="0.3">
      <c r="A14" s="72">
        <v>13</v>
      </c>
      <c r="B14" s="7" t="s">
        <v>22</v>
      </c>
      <c r="C14" s="179">
        <v>296825.52999999997</v>
      </c>
      <c r="D14" s="179">
        <v>592557</v>
      </c>
      <c r="E14" s="182">
        <v>986745.95</v>
      </c>
      <c r="F14" s="179">
        <v>0</v>
      </c>
      <c r="G14" s="178">
        <f>Table202290[[#This Row],[Q3]]</f>
        <v>986745.95</v>
      </c>
      <c r="H14" s="179">
        <v>1566071</v>
      </c>
      <c r="I14" s="71">
        <f>Table202290[[#This Row],[YTD Expended]]/Table202290[[#This Row],[Total CCQ, CQF and Mentor Funding Allotted]]</f>
        <v>0.63007740389803524</v>
      </c>
    </row>
    <row r="15" spans="1:9" ht="15.6" x14ac:dyDescent="0.3">
      <c r="A15" s="72">
        <v>14</v>
      </c>
      <c r="B15" s="7" t="s">
        <v>23</v>
      </c>
      <c r="C15" s="179">
        <v>370849.5</v>
      </c>
      <c r="D15" s="179">
        <v>1388986.77</v>
      </c>
      <c r="E15" s="182">
        <v>3609426.5300000003</v>
      </c>
      <c r="F15" s="179">
        <v>0</v>
      </c>
      <c r="G15" s="178">
        <f>Table202290[[#This Row],[Q3]]</f>
        <v>3609426.5300000003</v>
      </c>
      <c r="H15" s="179">
        <v>4617324</v>
      </c>
      <c r="I15" s="71">
        <f>Table202290[[#This Row],[YTD Expended]]/Table202290[[#This Row],[Total CCQ, CQF and Mentor Funding Allotted]]</f>
        <v>0.78171393863631844</v>
      </c>
    </row>
    <row r="16" spans="1:9" ht="15.6" x14ac:dyDescent="0.3">
      <c r="A16" s="72">
        <v>15</v>
      </c>
      <c r="B16" s="7" t="s">
        <v>24</v>
      </c>
      <c r="C16" s="179">
        <v>483154.56999999995</v>
      </c>
      <c r="D16" s="179">
        <v>1160856.6499999999</v>
      </c>
      <c r="E16" s="182">
        <v>2305667.29</v>
      </c>
      <c r="F16" s="179">
        <v>0</v>
      </c>
      <c r="G16" s="178">
        <f>Table202290[[#This Row],[Q3]]</f>
        <v>2305667.29</v>
      </c>
      <c r="H16" s="179">
        <v>4499111</v>
      </c>
      <c r="I16" s="71">
        <f>Table202290[[#This Row],[YTD Expended]]/Table202290[[#This Row],[Total CCQ, CQF and Mentor Funding Allotted]]</f>
        <v>0.51247175053027139</v>
      </c>
    </row>
    <row r="17" spans="1:9" ht="15.6" x14ac:dyDescent="0.3">
      <c r="A17" s="72">
        <v>16</v>
      </c>
      <c r="B17" s="7" t="s">
        <v>25</v>
      </c>
      <c r="C17" s="179">
        <v>84946.81</v>
      </c>
      <c r="D17" s="179">
        <v>365987.16000000003</v>
      </c>
      <c r="E17" s="182">
        <v>571676.07000000007</v>
      </c>
      <c r="F17" s="179">
        <v>0</v>
      </c>
      <c r="G17" s="178">
        <f>Table202290[[#This Row],[Q3]]</f>
        <v>571676.07000000007</v>
      </c>
      <c r="H17" s="179">
        <v>1501784</v>
      </c>
      <c r="I17" s="71">
        <f>Table202290[[#This Row],[YTD Expended]]/Table202290[[#This Row],[Total CCQ, CQF and Mentor Funding Allotted]]</f>
        <v>0.38066464285143542</v>
      </c>
    </row>
    <row r="18" spans="1:9" ht="15.6" x14ac:dyDescent="0.3">
      <c r="A18" s="72">
        <v>17</v>
      </c>
      <c r="B18" s="7" t="s">
        <v>26</v>
      </c>
      <c r="C18" s="179">
        <v>70700.670000000013</v>
      </c>
      <c r="D18" s="179">
        <v>373094.67</v>
      </c>
      <c r="E18" s="182">
        <v>574806.69999999995</v>
      </c>
      <c r="F18" s="179">
        <v>0</v>
      </c>
      <c r="G18" s="178">
        <f>Table202290[[#This Row],[Q3]]</f>
        <v>574806.69999999995</v>
      </c>
      <c r="H18" s="179">
        <v>1390871</v>
      </c>
      <c r="I18" s="71">
        <f>Table202290[[#This Row],[YTD Expended]]/Table202290[[#This Row],[Total CCQ, CQF and Mentor Funding Allotted]]</f>
        <v>0.41327103663819287</v>
      </c>
    </row>
    <row r="19" spans="1:9" ht="15.6" x14ac:dyDescent="0.3">
      <c r="A19" s="72">
        <v>18</v>
      </c>
      <c r="B19" s="7" t="s">
        <v>27</v>
      </c>
      <c r="C19" s="179">
        <v>182024.76</v>
      </c>
      <c r="D19" s="179">
        <v>798069.28</v>
      </c>
      <c r="E19" s="182">
        <v>1157652.4099999999</v>
      </c>
      <c r="F19" s="179">
        <v>0</v>
      </c>
      <c r="G19" s="178">
        <f>Table202290[[#This Row],[Q3]]</f>
        <v>1157652.4099999999</v>
      </c>
      <c r="H19" s="179">
        <v>1682691</v>
      </c>
      <c r="I19" s="71">
        <f>Table202290[[#This Row],[YTD Expended]]/Table202290[[#This Row],[Total CCQ, CQF and Mentor Funding Allotted]]</f>
        <v>0.68797682402770322</v>
      </c>
    </row>
    <row r="20" spans="1:9" ht="15.6" x14ac:dyDescent="0.3">
      <c r="A20" s="72">
        <v>19</v>
      </c>
      <c r="B20" s="7" t="s">
        <v>28</v>
      </c>
      <c r="C20" s="179">
        <v>34323.75</v>
      </c>
      <c r="D20" s="179">
        <v>222640.21000000002</v>
      </c>
      <c r="E20" s="182">
        <v>378740.13</v>
      </c>
      <c r="F20" s="179">
        <v>0</v>
      </c>
      <c r="G20" s="178">
        <f>Table202290[[#This Row],[Q3]]</f>
        <v>378740.13</v>
      </c>
      <c r="H20" s="179">
        <v>919695</v>
      </c>
      <c r="I20" s="71">
        <f>Table202290[[#This Row],[YTD Expended]]/Table202290[[#This Row],[Total CCQ, CQF and Mentor Funding Allotted]]</f>
        <v>0.41181057850700503</v>
      </c>
    </row>
    <row r="21" spans="1:9" ht="15.6" x14ac:dyDescent="0.3">
      <c r="A21" s="72">
        <v>20</v>
      </c>
      <c r="B21" s="7" t="s">
        <v>29</v>
      </c>
      <c r="C21" s="179">
        <v>409678.24</v>
      </c>
      <c r="D21" s="179">
        <v>1582779.98</v>
      </c>
      <c r="E21" s="182">
        <v>3580254.5599999996</v>
      </c>
      <c r="F21" s="179">
        <v>0</v>
      </c>
      <c r="G21" s="178">
        <f>Table202290[[#This Row],[Q3]]</f>
        <v>3580254.5599999996</v>
      </c>
      <c r="H21" s="179">
        <v>8478004</v>
      </c>
      <c r="I21" s="71">
        <f>Table202290[[#This Row],[YTD Expended]]/Table202290[[#This Row],[Total CCQ, CQF and Mentor Funding Allotted]]</f>
        <v>0.42229922986589763</v>
      </c>
    </row>
    <row r="22" spans="1:9" ht="15.6" x14ac:dyDescent="0.3">
      <c r="A22" s="72">
        <v>21</v>
      </c>
      <c r="B22" s="7" t="s">
        <v>30</v>
      </c>
      <c r="C22" s="179">
        <v>96195.14</v>
      </c>
      <c r="D22" s="179">
        <v>235616.82</v>
      </c>
      <c r="E22" s="182">
        <v>625810.49</v>
      </c>
      <c r="F22" s="179">
        <v>0</v>
      </c>
      <c r="G22" s="178">
        <f>Table202290[[#This Row],[Q3]]</f>
        <v>625810.49</v>
      </c>
      <c r="H22" s="179">
        <v>1635103</v>
      </c>
      <c r="I22" s="71">
        <f>Table202290[[#This Row],[YTD Expended]]/Table202290[[#This Row],[Total CCQ, CQF and Mentor Funding Allotted]]</f>
        <v>0.38273459837086715</v>
      </c>
    </row>
    <row r="23" spans="1:9" ht="15.6" x14ac:dyDescent="0.3">
      <c r="A23" s="72">
        <v>22</v>
      </c>
      <c r="B23" s="7" t="s">
        <v>31</v>
      </c>
      <c r="C23" s="179">
        <v>144457.34000000003</v>
      </c>
      <c r="D23" s="179">
        <v>311179.49000000005</v>
      </c>
      <c r="E23" s="182">
        <v>485764.35000000003</v>
      </c>
      <c r="F23" s="179">
        <v>0</v>
      </c>
      <c r="G23" s="178">
        <f>Table202290[[#This Row],[Q3]]</f>
        <v>485764.35000000003</v>
      </c>
      <c r="H23" s="179">
        <v>2309204</v>
      </c>
      <c r="I23" s="71">
        <f>Table202290[[#This Row],[YTD Expended]]/Table202290[[#This Row],[Total CCQ, CQF and Mentor Funding Allotted]]</f>
        <v>0.21036008512024057</v>
      </c>
    </row>
    <row r="24" spans="1:9" ht="15.6" x14ac:dyDescent="0.3">
      <c r="A24" s="72">
        <v>23</v>
      </c>
      <c r="B24" s="7" t="s">
        <v>32</v>
      </c>
      <c r="C24" s="179">
        <v>712718.76</v>
      </c>
      <c r="D24" s="179">
        <v>1995688.5099999998</v>
      </c>
      <c r="E24" s="182">
        <v>3864806.54</v>
      </c>
      <c r="F24" s="179">
        <v>0</v>
      </c>
      <c r="G24" s="178">
        <f>Table202290[[#This Row],[Q3]]</f>
        <v>3864806.54</v>
      </c>
      <c r="H24" s="179">
        <v>5654797</v>
      </c>
      <c r="I24" s="71">
        <f>Table202290[[#This Row],[YTD Expended]]/Table202290[[#This Row],[Total CCQ, CQF and Mentor Funding Allotted]]</f>
        <v>0.68345628322289909</v>
      </c>
    </row>
    <row r="25" spans="1:9" ht="15.6" x14ac:dyDescent="0.3">
      <c r="A25" s="72">
        <v>24</v>
      </c>
      <c r="B25" s="7" t="s">
        <v>33</v>
      </c>
      <c r="C25" s="179">
        <v>157692.74</v>
      </c>
      <c r="D25" s="179">
        <v>392875.84</v>
      </c>
      <c r="E25" s="182">
        <v>1362579.8599999999</v>
      </c>
      <c r="F25" s="179">
        <v>0</v>
      </c>
      <c r="G25" s="178">
        <f>Table202290[[#This Row],[Q3]]</f>
        <v>1362579.8599999999</v>
      </c>
      <c r="H25" s="179">
        <v>2165318</v>
      </c>
      <c r="I25" s="71">
        <f>Table202290[[#This Row],[YTD Expended]]/Table202290[[#This Row],[Total CCQ, CQF and Mentor Funding Allotted]]</f>
        <v>0.62927471161279769</v>
      </c>
    </row>
    <row r="26" spans="1:9" ht="15.6" x14ac:dyDescent="0.3">
      <c r="A26" s="72">
        <v>25</v>
      </c>
      <c r="B26" s="7" t="s">
        <v>34</v>
      </c>
      <c r="C26" s="179">
        <v>74541.66</v>
      </c>
      <c r="D26" s="179">
        <v>219752.41</v>
      </c>
      <c r="E26" s="182">
        <v>421562.07</v>
      </c>
      <c r="F26" s="179">
        <v>0</v>
      </c>
      <c r="G26" s="178">
        <f>Table202290[[#This Row],[Q3]]</f>
        <v>421562.07</v>
      </c>
      <c r="H26" s="179">
        <v>944604</v>
      </c>
      <c r="I26" s="71">
        <f>Table202290[[#This Row],[YTD Expended]]/Table202290[[#This Row],[Total CCQ, CQF and Mentor Funding Allotted]]</f>
        <v>0.44628444300468767</v>
      </c>
    </row>
    <row r="27" spans="1:9" ht="15.6" x14ac:dyDescent="0.3">
      <c r="A27" s="72">
        <v>26</v>
      </c>
      <c r="B27" s="7" t="s">
        <v>35</v>
      </c>
      <c r="C27" s="179">
        <v>464795.80999999994</v>
      </c>
      <c r="D27" s="179">
        <v>1035244.28</v>
      </c>
      <c r="E27" s="182">
        <v>1567765.47</v>
      </c>
      <c r="F27" s="179">
        <v>0</v>
      </c>
      <c r="G27" s="178">
        <f>Table202290[[#This Row],[Q3]]</f>
        <v>1567765.47</v>
      </c>
      <c r="H27" s="179">
        <v>2643464</v>
      </c>
      <c r="I27" s="71">
        <f>Table202290[[#This Row],[YTD Expended]]/Table202290[[#This Row],[Total CCQ, CQF and Mentor Funding Allotted]]</f>
        <v>0.59307237397596491</v>
      </c>
    </row>
    <row r="28" spans="1:9" ht="15.6" x14ac:dyDescent="0.3">
      <c r="A28" s="72">
        <v>27</v>
      </c>
      <c r="B28" s="7" t="s">
        <v>36</v>
      </c>
      <c r="C28" s="179">
        <v>48154.53</v>
      </c>
      <c r="D28" s="179">
        <v>135740.53</v>
      </c>
      <c r="E28" s="182">
        <v>206549.63</v>
      </c>
      <c r="F28" s="179">
        <v>0</v>
      </c>
      <c r="G28" s="240">
        <f>Table202290[[#This Row],[Q3]]</f>
        <v>206549.63</v>
      </c>
      <c r="H28" s="179">
        <v>749918</v>
      </c>
      <c r="I28" s="71">
        <f>Table202290[[#This Row],[YTD Expended]]/Table202290[[#This Row],[Total CCQ, CQF and Mentor Funding Allotted]]</f>
        <v>0.27542962030515339</v>
      </c>
    </row>
    <row r="29" spans="1:9" ht="16.2" thickBot="1" x14ac:dyDescent="0.35">
      <c r="A29" s="73">
        <v>28</v>
      </c>
      <c r="B29" s="74" t="s">
        <v>37</v>
      </c>
      <c r="C29" s="180">
        <v>164290.59</v>
      </c>
      <c r="D29" s="180">
        <v>3058497.32</v>
      </c>
      <c r="E29" s="182">
        <v>5576106.9800000004</v>
      </c>
      <c r="F29" s="180">
        <v>0</v>
      </c>
      <c r="G29" s="240">
        <f>Table202290[[#This Row],[Q3]]</f>
        <v>5576106.9800000004</v>
      </c>
      <c r="H29" s="180">
        <v>26443615</v>
      </c>
      <c r="I29" s="71">
        <f>Table202290[[#This Row],[YTD Expended]]/Table202290[[#This Row],[Total CCQ, CQF and Mentor Funding Allotted]]</f>
        <v>0.21086780230312688</v>
      </c>
    </row>
    <row r="30" spans="1:9" s="1" customFormat="1" ht="15.6" x14ac:dyDescent="0.3">
      <c r="A30" s="64"/>
      <c r="B30" s="65" t="s">
        <v>38</v>
      </c>
      <c r="C30" s="66">
        <f>SUBTOTAL(109,C2:C29)</f>
        <v>7842990.9499999993</v>
      </c>
      <c r="D30" s="66">
        <f>SUBTOTAL(109,D2:D29)</f>
        <v>27241103.110000007</v>
      </c>
      <c r="E30" s="66">
        <f>SUBTOTAL(109,E2:E29)</f>
        <v>51548177.100000009</v>
      </c>
      <c r="F30" s="66">
        <f>SUBTOTAL(109,F2:F29)</f>
        <v>0</v>
      </c>
      <c r="G30" s="66">
        <f>SUBTOTAL(109,Table202290[YTD Expended])</f>
        <v>51548177.100000009</v>
      </c>
      <c r="H30" s="66">
        <f>SUM(H2:H29)</f>
        <v>110415022</v>
      </c>
      <c r="I30" s="140">
        <f>G30/H30</f>
        <v>0.46685836914473477</v>
      </c>
    </row>
    <row r="31" spans="1:9" s="129" customFormat="1" ht="15.6" x14ac:dyDescent="0.3">
      <c r="A31" s="127" t="s">
        <v>3346</v>
      </c>
      <c r="B31" s="128"/>
      <c r="C31" s="160"/>
      <c r="D31" s="125"/>
      <c r="E31" s="125"/>
      <c r="F31" s="125"/>
      <c r="G31" s="125"/>
      <c r="H31" s="125"/>
      <c r="I31" s="126"/>
    </row>
    <row r="32" spans="1:9" x14ac:dyDescent="0.3">
      <c r="A32" s="22" t="s">
        <v>44</v>
      </c>
    </row>
    <row r="39" x14ac:dyDescent="0.3"/>
    <row r="40" x14ac:dyDescent="0.3"/>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A658C-9E8F-43CD-9C96-3A9496885691}">
  <sheetPr>
    <tabColor theme="1" tint="4.9989318521683403E-2"/>
  </sheetPr>
  <dimension ref="A1:ER1044"/>
  <sheetViews>
    <sheetView topLeftCell="F1" workbookViewId="0"/>
  </sheetViews>
  <sheetFormatPr defaultColWidth="0" defaultRowHeight="15.6" zeroHeight="1" x14ac:dyDescent="0.3"/>
  <cols>
    <col min="1" max="1" width="9.6640625" style="52" customWidth="1"/>
    <col min="2" max="2" width="18.33203125" style="96" bestFit="1" customWidth="1"/>
    <col min="3" max="3" width="12.44140625" style="52" bestFit="1" customWidth="1"/>
    <col min="4" max="4" width="55.44140625" style="97" customWidth="1"/>
    <col min="5" max="5" width="95.6640625" style="53" customWidth="1"/>
    <col min="6" max="6" width="18.33203125" style="52" bestFit="1" customWidth="1"/>
    <col min="7" max="7" width="15.109375" style="52" customWidth="1"/>
    <col min="8" max="8" width="88.6640625" style="54" customWidth="1"/>
    <col min="9" max="146" width="0" style="79" hidden="1" customWidth="1"/>
    <col min="147" max="147" width="0" style="80" hidden="1" customWidth="1"/>
    <col min="148" max="148" width="0" style="84" hidden="1" customWidth="1"/>
    <col min="149" max="16384" width="8.6640625" style="84" hidden="1"/>
  </cols>
  <sheetData>
    <row r="1" spans="1:146" s="79" customFormat="1" ht="109.2" x14ac:dyDescent="0.3">
      <c r="A1" s="23" t="s">
        <v>45</v>
      </c>
      <c r="B1" s="24" t="s">
        <v>9</v>
      </c>
      <c r="C1" s="24" t="s">
        <v>46</v>
      </c>
      <c r="D1" s="23" t="s">
        <v>47</v>
      </c>
      <c r="E1" s="23" t="s">
        <v>48</v>
      </c>
      <c r="F1" s="23" t="s">
        <v>49</v>
      </c>
      <c r="G1" s="23" t="s">
        <v>613</v>
      </c>
      <c r="H1" s="23" t="s">
        <v>50</v>
      </c>
      <c r="I1" s="25" t="s">
        <v>376</v>
      </c>
      <c r="EP1" s="80"/>
    </row>
    <row r="2" spans="1:146" s="79" customFormat="1" ht="109.2" x14ac:dyDescent="0.3">
      <c r="A2" s="9">
        <v>1</v>
      </c>
      <c r="B2" s="9">
        <v>1</v>
      </c>
      <c r="C2" s="9" t="s">
        <v>10</v>
      </c>
      <c r="D2" s="11" t="s">
        <v>1</v>
      </c>
      <c r="E2" s="11" t="s">
        <v>1598</v>
      </c>
      <c r="F2" s="12" t="s">
        <v>51</v>
      </c>
      <c r="G2" s="12">
        <v>7</v>
      </c>
      <c r="H2" s="11" t="s">
        <v>52</v>
      </c>
      <c r="I2" s="63"/>
      <c r="EP2" s="80"/>
    </row>
    <row r="3" spans="1:146" s="79" customFormat="1" ht="46.8" x14ac:dyDescent="0.3">
      <c r="A3" s="26">
        <v>1</v>
      </c>
      <c r="B3" s="26">
        <v>2</v>
      </c>
      <c r="C3" s="26" t="s">
        <v>10</v>
      </c>
      <c r="D3" s="31" t="s">
        <v>1</v>
      </c>
      <c r="E3" s="29" t="s">
        <v>1599</v>
      </c>
      <c r="F3" s="30" t="s">
        <v>63</v>
      </c>
      <c r="G3" s="30">
        <v>131</v>
      </c>
      <c r="H3" s="31" t="s">
        <v>1600</v>
      </c>
      <c r="I3" s="63"/>
      <c r="EP3" s="80"/>
    </row>
    <row r="4" spans="1:146" s="79" customFormat="1" ht="62.4" x14ac:dyDescent="0.3">
      <c r="A4" s="26">
        <v>1</v>
      </c>
      <c r="B4" s="26">
        <v>2</v>
      </c>
      <c r="C4" s="26" t="s">
        <v>10</v>
      </c>
      <c r="D4" s="31" t="s">
        <v>65</v>
      </c>
      <c r="E4" s="29" t="s">
        <v>1601</v>
      </c>
      <c r="F4" s="30" t="s">
        <v>51</v>
      </c>
      <c r="G4" s="30">
        <v>4</v>
      </c>
      <c r="H4" s="31" t="s">
        <v>1602</v>
      </c>
      <c r="I4" s="63"/>
      <c r="EP4" s="80"/>
    </row>
    <row r="5" spans="1:146" s="79" customFormat="1" ht="109.2" x14ac:dyDescent="0.3">
      <c r="A5" s="26">
        <v>1</v>
      </c>
      <c r="B5" s="26">
        <v>2</v>
      </c>
      <c r="C5" s="26" t="s">
        <v>10</v>
      </c>
      <c r="D5" s="31" t="s">
        <v>1</v>
      </c>
      <c r="E5" s="29" t="s">
        <v>1603</v>
      </c>
      <c r="F5" s="30" t="s">
        <v>51</v>
      </c>
      <c r="G5" s="30">
        <v>20</v>
      </c>
      <c r="H5" s="31" t="s">
        <v>52</v>
      </c>
      <c r="I5" s="63"/>
      <c r="EP5" s="80"/>
    </row>
    <row r="6" spans="1:146" s="79" customFormat="1" ht="46.8" x14ac:dyDescent="0.3">
      <c r="A6" s="57">
        <v>1</v>
      </c>
      <c r="B6" s="57">
        <v>3</v>
      </c>
      <c r="C6" s="57" t="s">
        <v>10</v>
      </c>
      <c r="D6" s="78" t="s">
        <v>1</v>
      </c>
      <c r="E6" s="60" t="s">
        <v>1604</v>
      </c>
      <c r="F6" s="61" t="s">
        <v>63</v>
      </c>
      <c r="G6" s="85">
        <v>93</v>
      </c>
      <c r="H6" s="78" t="s">
        <v>1600</v>
      </c>
      <c r="I6" s="63"/>
      <c r="EP6" s="80"/>
    </row>
    <row r="7" spans="1:146" s="79" customFormat="1" ht="31.2" x14ac:dyDescent="0.3">
      <c r="A7" s="57">
        <v>1</v>
      </c>
      <c r="B7" s="57">
        <v>3</v>
      </c>
      <c r="C7" s="57" t="s">
        <v>10</v>
      </c>
      <c r="D7" s="78" t="s">
        <v>0</v>
      </c>
      <c r="E7" s="60" t="s">
        <v>1605</v>
      </c>
      <c r="F7" s="61" t="s">
        <v>63</v>
      </c>
      <c r="G7" s="85">
        <v>16</v>
      </c>
      <c r="H7" s="78" t="s">
        <v>679</v>
      </c>
      <c r="I7" s="63"/>
      <c r="EP7" s="80"/>
    </row>
    <row r="8" spans="1:146" s="79" customFormat="1" ht="62.4" x14ac:dyDescent="0.3">
      <c r="A8" s="57">
        <v>1</v>
      </c>
      <c r="B8" s="57">
        <v>3</v>
      </c>
      <c r="C8" s="57" t="s">
        <v>10</v>
      </c>
      <c r="D8" s="78" t="s">
        <v>65</v>
      </c>
      <c r="E8" s="60" t="s">
        <v>1606</v>
      </c>
      <c r="F8" s="61" t="s">
        <v>51</v>
      </c>
      <c r="G8" s="85">
        <v>27</v>
      </c>
      <c r="H8" s="78" t="s">
        <v>1602</v>
      </c>
      <c r="I8" s="63"/>
      <c r="EP8" s="80"/>
    </row>
    <row r="9" spans="1:146" s="79" customFormat="1" ht="109.2" x14ac:dyDescent="0.3">
      <c r="A9" s="57">
        <v>1</v>
      </c>
      <c r="B9" s="57">
        <v>3</v>
      </c>
      <c r="C9" s="57" t="s">
        <v>10</v>
      </c>
      <c r="D9" s="78" t="s">
        <v>1</v>
      </c>
      <c r="E9" s="60" t="s">
        <v>1607</v>
      </c>
      <c r="F9" s="61" t="s">
        <v>51</v>
      </c>
      <c r="G9" s="85">
        <v>5</v>
      </c>
      <c r="H9" s="78" t="s">
        <v>52</v>
      </c>
      <c r="I9" s="63"/>
      <c r="EP9" s="80"/>
    </row>
    <row r="10" spans="1:146" s="79" customFormat="1" ht="46.8" x14ac:dyDescent="0.3">
      <c r="A10" s="39">
        <v>1</v>
      </c>
      <c r="B10" s="39">
        <v>4</v>
      </c>
      <c r="C10" s="39" t="s">
        <v>10</v>
      </c>
      <c r="D10" s="42" t="s">
        <v>1</v>
      </c>
      <c r="E10" s="40" t="s">
        <v>1608</v>
      </c>
      <c r="F10" s="41" t="s">
        <v>63</v>
      </c>
      <c r="G10" s="43">
        <v>73</v>
      </c>
      <c r="H10" s="42" t="s">
        <v>1600</v>
      </c>
      <c r="I10" s="63"/>
      <c r="EP10" s="80"/>
    </row>
    <row r="11" spans="1:146" s="79" customFormat="1" ht="62.4" x14ac:dyDescent="0.3">
      <c r="A11" s="39">
        <v>1</v>
      </c>
      <c r="B11" s="39">
        <v>4</v>
      </c>
      <c r="C11" s="39" t="s">
        <v>10</v>
      </c>
      <c r="D11" s="42" t="s">
        <v>65</v>
      </c>
      <c r="E11" s="40" t="s">
        <v>1609</v>
      </c>
      <c r="F11" s="41" t="s">
        <v>51</v>
      </c>
      <c r="G11" s="43">
        <v>16</v>
      </c>
      <c r="H11" s="42" t="s">
        <v>1602</v>
      </c>
      <c r="I11" s="63"/>
      <c r="EP11" s="80"/>
    </row>
    <row r="12" spans="1:146" s="79" customFormat="1" ht="93.6" x14ac:dyDescent="0.3">
      <c r="A12" s="39">
        <v>1</v>
      </c>
      <c r="B12" s="39">
        <v>4</v>
      </c>
      <c r="C12" s="39" t="s">
        <v>10</v>
      </c>
      <c r="D12" s="42" t="s">
        <v>1</v>
      </c>
      <c r="E12" s="40" t="s">
        <v>1610</v>
      </c>
      <c r="F12" s="41" t="s">
        <v>51</v>
      </c>
      <c r="G12" s="43">
        <v>20</v>
      </c>
      <c r="H12" s="42" t="s">
        <v>52</v>
      </c>
      <c r="I12" s="63"/>
      <c r="EP12" s="80"/>
    </row>
    <row r="13" spans="1:146" s="79" customFormat="1" ht="62.4" x14ac:dyDescent="0.3">
      <c r="A13" s="9">
        <v>2</v>
      </c>
      <c r="B13" s="9">
        <v>1</v>
      </c>
      <c r="C13" s="9" t="s">
        <v>11</v>
      </c>
      <c r="D13" s="14" t="s">
        <v>1</v>
      </c>
      <c r="E13" s="14" t="s">
        <v>68</v>
      </c>
      <c r="F13" s="9" t="s">
        <v>51</v>
      </c>
      <c r="G13" s="15">
        <v>18</v>
      </c>
      <c r="H13" s="14" t="s">
        <v>69</v>
      </c>
      <c r="I13" s="63"/>
      <c r="EP13" s="80"/>
    </row>
    <row r="14" spans="1:146" s="79" customFormat="1" ht="31.2" x14ac:dyDescent="0.3">
      <c r="A14" s="9">
        <v>2</v>
      </c>
      <c r="B14" s="9">
        <v>1</v>
      </c>
      <c r="C14" s="9" t="s">
        <v>11</v>
      </c>
      <c r="D14" s="14" t="s">
        <v>1</v>
      </c>
      <c r="E14" s="14" t="s">
        <v>53</v>
      </c>
      <c r="F14" s="9" t="s">
        <v>51</v>
      </c>
      <c r="G14" s="15">
        <v>60</v>
      </c>
      <c r="H14" s="14" t="s">
        <v>54</v>
      </c>
      <c r="I14" s="63"/>
      <c r="EP14" s="80"/>
    </row>
    <row r="15" spans="1:146" s="79" customFormat="1" ht="31.2" x14ac:dyDescent="0.3">
      <c r="A15" s="9">
        <v>2</v>
      </c>
      <c r="B15" s="9">
        <v>1</v>
      </c>
      <c r="C15" s="9" t="s">
        <v>11</v>
      </c>
      <c r="D15" s="14" t="s">
        <v>1</v>
      </c>
      <c r="E15" s="14" t="s">
        <v>55</v>
      </c>
      <c r="F15" s="9" t="s">
        <v>51</v>
      </c>
      <c r="G15" s="15">
        <v>7</v>
      </c>
      <c r="H15" s="14" t="s">
        <v>56</v>
      </c>
      <c r="I15" s="63"/>
      <c r="EP15" s="80"/>
    </row>
    <row r="16" spans="1:146" s="79" customFormat="1" ht="31.2" x14ac:dyDescent="0.3">
      <c r="A16" s="9">
        <v>2</v>
      </c>
      <c r="B16" s="9">
        <v>1</v>
      </c>
      <c r="C16" s="9" t="s">
        <v>11</v>
      </c>
      <c r="D16" s="14" t="s">
        <v>1</v>
      </c>
      <c r="E16" s="14" t="s">
        <v>57</v>
      </c>
      <c r="F16" s="9" t="s">
        <v>51</v>
      </c>
      <c r="G16" s="15">
        <v>33</v>
      </c>
      <c r="H16" s="14" t="s">
        <v>58</v>
      </c>
      <c r="I16" s="63"/>
      <c r="EP16" s="80"/>
    </row>
    <row r="17" spans="1:146" s="79" customFormat="1" ht="31.2" x14ac:dyDescent="0.3">
      <c r="A17" s="9">
        <v>2</v>
      </c>
      <c r="B17" s="9">
        <v>1</v>
      </c>
      <c r="C17" s="9" t="s">
        <v>11</v>
      </c>
      <c r="D17" s="14" t="s">
        <v>1</v>
      </c>
      <c r="E17" s="14" t="s">
        <v>59</v>
      </c>
      <c r="F17" s="9" t="s">
        <v>51</v>
      </c>
      <c r="G17" s="15">
        <v>8</v>
      </c>
      <c r="H17" s="14" t="s">
        <v>58</v>
      </c>
      <c r="I17" s="63"/>
      <c r="EP17" s="80"/>
    </row>
    <row r="18" spans="1:146" s="79" customFormat="1" ht="31.2" x14ac:dyDescent="0.3">
      <c r="A18" s="9">
        <v>2</v>
      </c>
      <c r="B18" s="9">
        <v>1</v>
      </c>
      <c r="C18" s="9" t="s">
        <v>11</v>
      </c>
      <c r="D18" s="14" t="s">
        <v>1</v>
      </c>
      <c r="E18" s="14" t="s">
        <v>60</v>
      </c>
      <c r="F18" s="9" t="s">
        <v>51</v>
      </c>
      <c r="G18" s="15">
        <v>20</v>
      </c>
      <c r="H18" s="14" t="s">
        <v>58</v>
      </c>
      <c r="I18" s="63"/>
      <c r="EP18" s="80"/>
    </row>
    <row r="19" spans="1:146" s="79" customFormat="1" ht="31.2" x14ac:dyDescent="0.3">
      <c r="A19" s="9">
        <v>2</v>
      </c>
      <c r="B19" s="9">
        <v>1</v>
      </c>
      <c r="C19" s="9" t="s">
        <v>11</v>
      </c>
      <c r="D19" s="14" t="s">
        <v>1</v>
      </c>
      <c r="E19" s="14" t="s">
        <v>61</v>
      </c>
      <c r="F19" s="9" t="s">
        <v>51</v>
      </c>
      <c r="G19" s="15">
        <v>20</v>
      </c>
      <c r="H19" s="14" t="s">
        <v>58</v>
      </c>
      <c r="I19" s="63"/>
      <c r="EP19" s="80"/>
    </row>
    <row r="20" spans="1:146" s="79" customFormat="1" ht="31.2" x14ac:dyDescent="0.3">
      <c r="A20" s="9">
        <v>2</v>
      </c>
      <c r="B20" s="9">
        <v>1</v>
      </c>
      <c r="C20" s="9" t="s">
        <v>11</v>
      </c>
      <c r="D20" s="14" t="s">
        <v>65</v>
      </c>
      <c r="E20" s="14" t="s">
        <v>72</v>
      </c>
      <c r="F20" s="9" t="s">
        <v>51</v>
      </c>
      <c r="G20" s="15">
        <v>5</v>
      </c>
      <c r="H20" s="14" t="s">
        <v>73</v>
      </c>
      <c r="I20" s="63"/>
      <c r="EP20" s="80"/>
    </row>
    <row r="21" spans="1:146" s="79" customFormat="1" ht="46.8" x14ac:dyDescent="0.3">
      <c r="A21" s="9">
        <v>2</v>
      </c>
      <c r="B21" s="9">
        <v>1</v>
      </c>
      <c r="C21" s="9" t="s">
        <v>11</v>
      </c>
      <c r="D21" s="14" t="s">
        <v>65</v>
      </c>
      <c r="E21" s="14" t="s">
        <v>66</v>
      </c>
      <c r="F21" s="9" t="s">
        <v>63</v>
      </c>
      <c r="G21" s="15">
        <v>134</v>
      </c>
      <c r="H21" s="14" t="s">
        <v>67</v>
      </c>
      <c r="I21" s="63"/>
      <c r="EP21" s="80"/>
    </row>
    <row r="22" spans="1:146" s="79" customFormat="1" ht="46.8" x14ac:dyDescent="0.3">
      <c r="A22" s="9">
        <v>2</v>
      </c>
      <c r="B22" s="9">
        <v>1</v>
      </c>
      <c r="C22" s="9" t="s">
        <v>11</v>
      </c>
      <c r="D22" s="14" t="s">
        <v>0</v>
      </c>
      <c r="E22" s="14" t="s">
        <v>62</v>
      </c>
      <c r="F22" s="9" t="s">
        <v>63</v>
      </c>
      <c r="G22" s="15">
        <v>94</v>
      </c>
      <c r="H22" s="14" t="s">
        <v>64</v>
      </c>
      <c r="I22" s="63"/>
      <c r="EP22" s="80"/>
    </row>
    <row r="23" spans="1:146" s="79" customFormat="1" ht="31.2" x14ac:dyDescent="0.3">
      <c r="A23" s="9">
        <v>2</v>
      </c>
      <c r="B23" s="9">
        <v>1</v>
      </c>
      <c r="C23" s="9" t="s">
        <v>11</v>
      </c>
      <c r="D23" s="14" t="s">
        <v>1</v>
      </c>
      <c r="E23" s="14" t="s">
        <v>70</v>
      </c>
      <c r="F23" s="9" t="s">
        <v>51</v>
      </c>
      <c r="G23" s="15">
        <v>13</v>
      </c>
      <c r="H23" s="14" t="s">
        <v>71</v>
      </c>
      <c r="I23" s="63"/>
      <c r="EP23" s="80"/>
    </row>
    <row r="24" spans="1:146" s="79" customFormat="1" ht="46.8" x14ac:dyDescent="0.3">
      <c r="A24" s="26">
        <v>2</v>
      </c>
      <c r="B24" s="26">
        <v>2</v>
      </c>
      <c r="C24" s="26" t="s">
        <v>11</v>
      </c>
      <c r="D24" s="31" t="s">
        <v>1</v>
      </c>
      <c r="E24" s="29" t="s">
        <v>1611</v>
      </c>
      <c r="F24" s="30" t="s">
        <v>63</v>
      </c>
      <c r="G24" s="30">
        <v>11</v>
      </c>
      <c r="H24" s="31" t="s">
        <v>58</v>
      </c>
      <c r="I24" s="63"/>
      <c r="EP24" s="80"/>
    </row>
    <row r="25" spans="1:146" s="79" customFormat="1" ht="31.2" x14ac:dyDescent="0.3">
      <c r="A25" s="26">
        <v>2</v>
      </c>
      <c r="B25" s="26">
        <v>2</v>
      </c>
      <c r="C25" s="26" t="s">
        <v>11</v>
      </c>
      <c r="D25" s="31" t="s">
        <v>1</v>
      </c>
      <c r="E25" s="29" t="s">
        <v>1612</v>
      </c>
      <c r="F25" s="30" t="s">
        <v>63</v>
      </c>
      <c r="G25" s="30">
        <v>82</v>
      </c>
      <c r="H25" s="31" t="s">
        <v>58</v>
      </c>
      <c r="I25" s="63"/>
      <c r="EP25" s="80"/>
    </row>
    <row r="26" spans="1:146" s="79" customFormat="1" ht="46.8" x14ac:dyDescent="0.3">
      <c r="A26" s="26">
        <v>2</v>
      </c>
      <c r="B26" s="26">
        <v>2</v>
      </c>
      <c r="C26" s="26" t="s">
        <v>11</v>
      </c>
      <c r="D26" s="32" t="s">
        <v>0</v>
      </c>
      <c r="E26" s="32" t="s">
        <v>377</v>
      </c>
      <c r="F26" s="26" t="s">
        <v>63</v>
      </c>
      <c r="G26" s="36">
        <v>25</v>
      </c>
      <c r="H26" s="32" t="s">
        <v>378</v>
      </c>
      <c r="I26" s="63"/>
      <c r="EP26" s="80"/>
    </row>
    <row r="27" spans="1:146" s="79" customFormat="1" ht="31.2" x14ac:dyDescent="0.3">
      <c r="A27" s="26">
        <v>2</v>
      </c>
      <c r="B27" s="26">
        <v>2</v>
      </c>
      <c r="C27" s="26" t="s">
        <v>11</v>
      </c>
      <c r="D27" s="31" t="s">
        <v>65</v>
      </c>
      <c r="E27" s="29" t="s">
        <v>1613</v>
      </c>
      <c r="F27" s="30" t="s">
        <v>51</v>
      </c>
      <c r="G27" s="30">
        <v>4</v>
      </c>
      <c r="H27" s="31" t="s">
        <v>73</v>
      </c>
      <c r="I27" s="63"/>
      <c r="EP27" s="80"/>
    </row>
    <row r="28" spans="1:146" s="79" customFormat="1" ht="31.2" x14ac:dyDescent="0.3">
      <c r="A28" s="26">
        <v>2</v>
      </c>
      <c r="B28" s="26">
        <v>2</v>
      </c>
      <c r="C28" s="26" t="s">
        <v>11</v>
      </c>
      <c r="D28" s="31" t="s">
        <v>65</v>
      </c>
      <c r="E28" s="29" t="s">
        <v>1614</v>
      </c>
      <c r="F28" s="30" t="s">
        <v>63</v>
      </c>
      <c r="G28" s="30">
        <v>3</v>
      </c>
      <c r="H28" s="31" t="s">
        <v>1615</v>
      </c>
      <c r="I28" s="63"/>
      <c r="EP28" s="80"/>
    </row>
    <row r="29" spans="1:146" s="79" customFormat="1" ht="46.8" x14ac:dyDescent="0.3">
      <c r="A29" s="26">
        <v>2</v>
      </c>
      <c r="B29" s="26">
        <v>2</v>
      </c>
      <c r="C29" s="26" t="s">
        <v>11</v>
      </c>
      <c r="D29" s="31" t="s">
        <v>65</v>
      </c>
      <c r="E29" s="29" t="s">
        <v>380</v>
      </c>
      <c r="F29" s="30" t="s">
        <v>51</v>
      </c>
      <c r="G29" s="30">
        <v>29</v>
      </c>
      <c r="H29" s="31" t="s">
        <v>1616</v>
      </c>
      <c r="I29" s="63"/>
      <c r="EP29" s="80"/>
    </row>
    <row r="30" spans="1:146" s="79" customFormat="1" ht="31.2" x14ac:dyDescent="0.3">
      <c r="A30" s="26">
        <v>2</v>
      </c>
      <c r="B30" s="26">
        <v>2</v>
      </c>
      <c r="C30" s="26" t="s">
        <v>11</v>
      </c>
      <c r="D30" s="31" t="s">
        <v>0</v>
      </c>
      <c r="E30" s="29" t="s">
        <v>1617</v>
      </c>
      <c r="F30" s="30" t="s">
        <v>63</v>
      </c>
      <c r="G30" s="30">
        <v>4</v>
      </c>
      <c r="H30" s="31" t="s">
        <v>1618</v>
      </c>
      <c r="I30" s="63"/>
      <c r="EP30" s="80"/>
    </row>
    <row r="31" spans="1:146" s="79" customFormat="1" ht="31.2" x14ac:dyDescent="0.3">
      <c r="A31" s="26">
        <v>2</v>
      </c>
      <c r="B31" s="26">
        <v>2</v>
      </c>
      <c r="C31" s="26" t="s">
        <v>11</v>
      </c>
      <c r="D31" s="31" t="s">
        <v>0</v>
      </c>
      <c r="E31" s="29" t="s">
        <v>1619</v>
      </c>
      <c r="F31" s="30" t="s">
        <v>63</v>
      </c>
      <c r="G31" s="30">
        <v>5</v>
      </c>
      <c r="H31" s="31" t="s">
        <v>1620</v>
      </c>
      <c r="I31" s="63"/>
      <c r="EP31" s="80"/>
    </row>
    <row r="32" spans="1:146" s="79" customFormat="1" ht="31.2" x14ac:dyDescent="0.3">
      <c r="A32" s="26">
        <v>2</v>
      </c>
      <c r="B32" s="26">
        <v>2</v>
      </c>
      <c r="C32" s="26" t="s">
        <v>11</v>
      </c>
      <c r="D32" s="31" t="s">
        <v>65</v>
      </c>
      <c r="E32" s="29" t="s">
        <v>1621</v>
      </c>
      <c r="F32" s="30" t="s">
        <v>63</v>
      </c>
      <c r="G32" s="30">
        <v>3</v>
      </c>
      <c r="H32" s="31" t="s">
        <v>1622</v>
      </c>
      <c r="I32" s="63"/>
      <c r="EP32" s="80"/>
    </row>
    <row r="33" spans="1:146" s="79" customFormat="1" ht="46.8" x14ac:dyDescent="0.3">
      <c r="A33" s="26">
        <v>2</v>
      </c>
      <c r="B33" s="26">
        <v>2</v>
      </c>
      <c r="C33" s="26" t="s">
        <v>11</v>
      </c>
      <c r="D33" s="32" t="s">
        <v>1</v>
      </c>
      <c r="E33" s="32" t="s">
        <v>1623</v>
      </c>
      <c r="F33" s="26" t="s">
        <v>63</v>
      </c>
      <c r="G33" s="36">
        <v>6</v>
      </c>
      <c r="H33" s="32" t="s">
        <v>1624</v>
      </c>
      <c r="I33" s="63"/>
      <c r="EP33" s="80"/>
    </row>
    <row r="34" spans="1:146" s="79" customFormat="1" ht="31.2" x14ac:dyDescent="0.3">
      <c r="A34" s="26">
        <v>2</v>
      </c>
      <c r="B34" s="26">
        <v>2</v>
      </c>
      <c r="C34" s="26" t="s">
        <v>11</v>
      </c>
      <c r="D34" s="32" t="s">
        <v>65</v>
      </c>
      <c r="E34" s="32" t="s">
        <v>1625</v>
      </c>
      <c r="F34" s="26" t="s">
        <v>63</v>
      </c>
      <c r="G34" s="36">
        <v>11</v>
      </c>
      <c r="H34" s="32" t="s">
        <v>1626</v>
      </c>
      <c r="I34" s="63"/>
      <c r="EP34" s="80"/>
    </row>
    <row r="35" spans="1:146" s="79" customFormat="1" ht="31.2" x14ac:dyDescent="0.3">
      <c r="A35" s="26">
        <v>2</v>
      </c>
      <c r="B35" s="26">
        <v>2</v>
      </c>
      <c r="C35" s="26" t="s">
        <v>11</v>
      </c>
      <c r="D35" s="32" t="s">
        <v>1</v>
      </c>
      <c r="E35" s="32" t="s">
        <v>379</v>
      </c>
      <c r="F35" s="26" t="s">
        <v>51</v>
      </c>
      <c r="G35" s="36">
        <v>15</v>
      </c>
      <c r="H35" s="32" t="s">
        <v>71</v>
      </c>
      <c r="I35" s="63"/>
      <c r="EP35" s="80"/>
    </row>
    <row r="36" spans="1:146" s="79" customFormat="1" ht="31.2" x14ac:dyDescent="0.3">
      <c r="A36" s="57">
        <v>2</v>
      </c>
      <c r="B36" s="57">
        <v>3</v>
      </c>
      <c r="C36" s="57" t="s">
        <v>11</v>
      </c>
      <c r="D36" s="78" t="s">
        <v>1</v>
      </c>
      <c r="E36" s="60" t="s">
        <v>983</v>
      </c>
      <c r="F36" s="61" t="s">
        <v>63</v>
      </c>
      <c r="G36" s="61">
        <v>54</v>
      </c>
      <c r="H36" s="78" t="s">
        <v>984</v>
      </c>
      <c r="I36" s="63"/>
      <c r="EP36" s="80"/>
    </row>
    <row r="37" spans="1:146" s="79" customFormat="1" ht="31.2" x14ac:dyDescent="0.3">
      <c r="A37" s="57">
        <v>2</v>
      </c>
      <c r="B37" s="57">
        <v>3</v>
      </c>
      <c r="C37" s="57" t="s">
        <v>11</v>
      </c>
      <c r="D37" s="78" t="s">
        <v>1</v>
      </c>
      <c r="E37" s="60" t="s">
        <v>1627</v>
      </c>
      <c r="F37" s="61" t="s">
        <v>63</v>
      </c>
      <c r="G37" s="61">
        <v>20</v>
      </c>
      <c r="H37" s="78" t="s">
        <v>58</v>
      </c>
      <c r="I37" s="63"/>
      <c r="EP37" s="80"/>
    </row>
    <row r="38" spans="1:146" s="79" customFormat="1" ht="46.8" x14ac:dyDescent="0.3">
      <c r="A38" s="57">
        <v>2</v>
      </c>
      <c r="B38" s="57">
        <v>3</v>
      </c>
      <c r="C38" s="57" t="s">
        <v>11</v>
      </c>
      <c r="D38" s="78" t="s">
        <v>0</v>
      </c>
      <c r="E38" s="60" t="s">
        <v>986</v>
      </c>
      <c r="F38" s="61" t="s">
        <v>63</v>
      </c>
      <c r="G38" s="61">
        <v>28</v>
      </c>
      <c r="H38" s="78" t="s">
        <v>378</v>
      </c>
      <c r="I38" s="63"/>
      <c r="EP38" s="80"/>
    </row>
    <row r="39" spans="1:146" s="79" customFormat="1" ht="31.2" x14ac:dyDescent="0.3">
      <c r="A39" s="57">
        <v>2</v>
      </c>
      <c r="B39" s="57">
        <v>3</v>
      </c>
      <c r="C39" s="57" t="s">
        <v>11</v>
      </c>
      <c r="D39" s="78" t="s">
        <v>65</v>
      </c>
      <c r="E39" s="60" t="s">
        <v>1613</v>
      </c>
      <c r="F39" s="61" t="s">
        <v>51</v>
      </c>
      <c r="G39" s="61">
        <v>4</v>
      </c>
      <c r="H39" s="78" t="s">
        <v>73</v>
      </c>
      <c r="I39" s="63"/>
      <c r="EP39" s="80"/>
    </row>
    <row r="40" spans="1:146" s="79" customFormat="1" ht="31.2" x14ac:dyDescent="0.3">
      <c r="A40" s="57">
        <v>2</v>
      </c>
      <c r="B40" s="57">
        <v>3</v>
      </c>
      <c r="C40" s="57" t="s">
        <v>11</v>
      </c>
      <c r="D40" s="78" t="s">
        <v>65</v>
      </c>
      <c r="E40" s="60" t="s">
        <v>1628</v>
      </c>
      <c r="F40" s="61" t="s">
        <v>63</v>
      </c>
      <c r="G40" s="61">
        <v>12</v>
      </c>
      <c r="H40" s="78" t="s">
        <v>1629</v>
      </c>
      <c r="I40" s="63"/>
      <c r="EP40" s="80"/>
    </row>
    <row r="41" spans="1:146" s="79" customFormat="1" ht="31.2" x14ac:dyDescent="0.3">
      <c r="A41" s="57">
        <v>2</v>
      </c>
      <c r="B41" s="57">
        <v>3</v>
      </c>
      <c r="C41" s="57" t="s">
        <v>11</v>
      </c>
      <c r="D41" s="78" t="s">
        <v>65</v>
      </c>
      <c r="E41" s="60" t="s">
        <v>1630</v>
      </c>
      <c r="F41" s="61" t="s">
        <v>63</v>
      </c>
      <c r="G41" s="61">
        <v>32</v>
      </c>
      <c r="H41" s="78" t="s">
        <v>1631</v>
      </c>
      <c r="I41" s="63"/>
      <c r="EP41" s="80"/>
    </row>
    <row r="42" spans="1:146" s="79" customFormat="1" ht="31.2" x14ac:dyDescent="0.3">
      <c r="A42" s="57">
        <v>2</v>
      </c>
      <c r="B42" s="57">
        <v>3</v>
      </c>
      <c r="C42" s="57" t="s">
        <v>11</v>
      </c>
      <c r="D42" s="78" t="s">
        <v>0</v>
      </c>
      <c r="E42" s="60" t="s">
        <v>1632</v>
      </c>
      <c r="F42" s="61" t="s">
        <v>63</v>
      </c>
      <c r="G42" s="61">
        <v>16</v>
      </c>
      <c r="H42" s="78" t="s">
        <v>1631</v>
      </c>
      <c r="I42" s="63"/>
      <c r="EP42" s="80"/>
    </row>
    <row r="43" spans="1:146" s="79" customFormat="1" ht="46.8" x14ac:dyDescent="0.3">
      <c r="A43" s="57">
        <v>2</v>
      </c>
      <c r="B43" s="57">
        <v>3</v>
      </c>
      <c r="C43" s="57" t="s">
        <v>11</v>
      </c>
      <c r="D43" s="78" t="s">
        <v>1</v>
      </c>
      <c r="E43" s="60" t="s">
        <v>1633</v>
      </c>
      <c r="F43" s="61" t="s">
        <v>63</v>
      </c>
      <c r="G43" s="61">
        <v>4</v>
      </c>
      <c r="H43" s="78" t="s">
        <v>1624</v>
      </c>
      <c r="I43" s="63"/>
      <c r="EP43" s="80"/>
    </row>
    <row r="44" spans="1:146" s="79" customFormat="1" ht="31.2" x14ac:dyDescent="0.3">
      <c r="A44" s="57">
        <v>2</v>
      </c>
      <c r="B44" s="57">
        <v>3</v>
      </c>
      <c r="C44" s="57" t="s">
        <v>11</v>
      </c>
      <c r="D44" s="78" t="s">
        <v>1</v>
      </c>
      <c r="E44" s="60" t="s">
        <v>985</v>
      </c>
      <c r="F44" s="61" t="s">
        <v>51</v>
      </c>
      <c r="G44" s="61">
        <v>11</v>
      </c>
      <c r="H44" s="78" t="s">
        <v>71</v>
      </c>
      <c r="I44" s="63"/>
      <c r="EP44" s="80"/>
    </row>
    <row r="45" spans="1:146" s="79" customFormat="1" ht="46.8" x14ac:dyDescent="0.3">
      <c r="A45" s="57">
        <v>2</v>
      </c>
      <c r="B45" s="57">
        <v>3</v>
      </c>
      <c r="C45" s="57" t="s">
        <v>11</v>
      </c>
      <c r="D45" s="78" t="s">
        <v>65</v>
      </c>
      <c r="E45" s="60" t="s">
        <v>380</v>
      </c>
      <c r="F45" s="61" t="s">
        <v>51</v>
      </c>
      <c r="G45" s="61">
        <v>54</v>
      </c>
      <c r="H45" s="78" t="s">
        <v>1616</v>
      </c>
      <c r="I45" s="63"/>
      <c r="EP45" s="80"/>
    </row>
    <row r="46" spans="1:146" s="111" customFormat="1" ht="31.2" x14ac:dyDescent="0.3">
      <c r="A46" s="39">
        <v>2</v>
      </c>
      <c r="B46" s="39">
        <v>4</v>
      </c>
      <c r="C46" s="39" t="s">
        <v>11</v>
      </c>
      <c r="D46" s="42" t="s">
        <v>1</v>
      </c>
      <c r="E46" s="40" t="s">
        <v>1634</v>
      </c>
      <c r="F46" s="41" t="s">
        <v>63</v>
      </c>
      <c r="G46" s="41">
        <v>14</v>
      </c>
      <c r="H46" s="42" t="s">
        <v>58</v>
      </c>
      <c r="I46" s="110"/>
      <c r="EP46" s="112"/>
    </row>
    <row r="47" spans="1:146" s="111" customFormat="1" ht="31.2" x14ac:dyDescent="0.3">
      <c r="A47" s="39">
        <v>2</v>
      </c>
      <c r="B47" s="39">
        <v>4</v>
      </c>
      <c r="C47" s="39" t="s">
        <v>11</v>
      </c>
      <c r="D47" s="42" t="s">
        <v>1</v>
      </c>
      <c r="E47" s="40" t="s">
        <v>1058</v>
      </c>
      <c r="F47" s="41" t="s">
        <v>63</v>
      </c>
      <c r="G47" s="41">
        <v>26</v>
      </c>
      <c r="H47" s="42" t="s">
        <v>1059</v>
      </c>
      <c r="I47" s="110"/>
      <c r="EP47" s="112"/>
    </row>
    <row r="48" spans="1:146" s="111" customFormat="1" ht="46.8" x14ac:dyDescent="0.3">
      <c r="A48" s="39">
        <v>2</v>
      </c>
      <c r="B48" s="39">
        <v>4</v>
      </c>
      <c r="C48" s="39" t="s">
        <v>11</v>
      </c>
      <c r="D48" s="42" t="s">
        <v>1</v>
      </c>
      <c r="E48" s="40" t="s">
        <v>1635</v>
      </c>
      <c r="F48" s="41" t="s">
        <v>63</v>
      </c>
      <c r="G48" s="41">
        <v>22</v>
      </c>
      <c r="H48" s="42" t="s">
        <v>1636</v>
      </c>
      <c r="I48" s="110"/>
      <c r="EP48" s="112"/>
    </row>
    <row r="49" spans="1:146" s="111" customFormat="1" ht="31.2" x14ac:dyDescent="0.3">
      <c r="A49" s="39">
        <v>2</v>
      </c>
      <c r="B49" s="39">
        <v>4</v>
      </c>
      <c r="C49" s="39" t="s">
        <v>11</v>
      </c>
      <c r="D49" s="42" t="s">
        <v>65</v>
      </c>
      <c r="E49" s="40" t="s">
        <v>1613</v>
      </c>
      <c r="F49" s="41" t="s">
        <v>51</v>
      </c>
      <c r="G49" s="41">
        <v>4</v>
      </c>
      <c r="H49" s="42" t="s">
        <v>73</v>
      </c>
      <c r="I49" s="110"/>
      <c r="EP49" s="112"/>
    </row>
    <row r="50" spans="1:146" s="79" customFormat="1" ht="31.2" x14ac:dyDescent="0.3">
      <c r="A50" s="39">
        <v>2</v>
      </c>
      <c r="B50" s="39">
        <v>4</v>
      </c>
      <c r="C50" s="39" t="s">
        <v>11</v>
      </c>
      <c r="D50" s="42" t="s">
        <v>65</v>
      </c>
      <c r="E50" s="40" t="s">
        <v>1637</v>
      </c>
      <c r="F50" s="41" t="s">
        <v>63</v>
      </c>
      <c r="G50" s="41">
        <v>27</v>
      </c>
      <c r="H50" s="42" t="s">
        <v>1631</v>
      </c>
      <c r="I50" s="63"/>
      <c r="EP50" s="80"/>
    </row>
    <row r="51" spans="1:146" s="79" customFormat="1" ht="46.8" x14ac:dyDescent="0.3">
      <c r="A51" s="39">
        <v>2</v>
      </c>
      <c r="B51" s="39">
        <v>4</v>
      </c>
      <c r="C51" s="39" t="s">
        <v>11</v>
      </c>
      <c r="D51" s="42" t="s">
        <v>65</v>
      </c>
      <c r="E51" s="40" t="s">
        <v>1638</v>
      </c>
      <c r="F51" s="41" t="s">
        <v>63</v>
      </c>
      <c r="G51" s="41">
        <v>7</v>
      </c>
      <c r="H51" s="42" t="s">
        <v>1639</v>
      </c>
      <c r="I51" s="63"/>
      <c r="EP51" s="80"/>
    </row>
    <row r="52" spans="1:146" s="79" customFormat="1" ht="31.2" x14ac:dyDescent="0.3">
      <c r="A52" s="39">
        <v>2</v>
      </c>
      <c r="B52" s="39">
        <v>4</v>
      </c>
      <c r="C52" s="39" t="s">
        <v>11</v>
      </c>
      <c r="D52" s="42" t="s">
        <v>65</v>
      </c>
      <c r="E52" s="40" t="s">
        <v>1640</v>
      </c>
      <c r="F52" s="41" t="s">
        <v>63</v>
      </c>
      <c r="G52" s="41">
        <v>13</v>
      </c>
      <c r="H52" s="42" t="s">
        <v>1641</v>
      </c>
      <c r="I52" s="63"/>
      <c r="EP52" s="80"/>
    </row>
    <row r="53" spans="1:146" s="79" customFormat="1" ht="31.2" x14ac:dyDescent="0.3">
      <c r="A53" s="39">
        <v>2</v>
      </c>
      <c r="B53" s="39">
        <v>4</v>
      </c>
      <c r="C53" s="39" t="s">
        <v>11</v>
      </c>
      <c r="D53" s="42" t="s">
        <v>0</v>
      </c>
      <c r="E53" s="40" t="s">
        <v>1642</v>
      </c>
      <c r="F53" s="41" t="s">
        <v>63</v>
      </c>
      <c r="G53" s="41">
        <v>13</v>
      </c>
      <c r="H53" s="42" t="s">
        <v>1631</v>
      </c>
      <c r="I53" s="63"/>
      <c r="EP53" s="80"/>
    </row>
    <row r="54" spans="1:146" s="79" customFormat="1" ht="46.8" x14ac:dyDescent="0.3">
      <c r="A54" s="39">
        <v>2</v>
      </c>
      <c r="B54" s="39">
        <v>4</v>
      </c>
      <c r="C54" s="39" t="s">
        <v>11</v>
      </c>
      <c r="D54" s="44" t="s">
        <v>0</v>
      </c>
      <c r="E54" s="44" t="s">
        <v>1643</v>
      </c>
      <c r="F54" s="39" t="s">
        <v>63</v>
      </c>
      <c r="G54" s="48">
        <v>7</v>
      </c>
      <c r="H54" s="44" t="s">
        <v>1644</v>
      </c>
      <c r="I54" s="63"/>
      <c r="EP54" s="80"/>
    </row>
    <row r="55" spans="1:146" s="79" customFormat="1" ht="46.8" x14ac:dyDescent="0.3">
      <c r="A55" s="39">
        <v>2</v>
      </c>
      <c r="B55" s="39">
        <v>4</v>
      </c>
      <c r="C55" s="39" t="s">
        <v>11</v>
      </c>
      <c r="D55" s="44" t="s">
        <v>1</v>
      </c>
      <c r="E55" s="44" t="s">
        <v>1645</v>
      </c>
      <c r="F55" s="39" t="s">
        <v>63</v>
      </c>
      <c r="G55" s="48">
        <v>10</v>
      </c>
      <c r="H55" s="44" t="s">
        <v>1646</v>
      </c>
      <c r="I55" s="63"/>
      <c r="EP55" s="80"/>
    </row>
    <row r="56" spans="1:146" s="79" customFormat="1" ht="31.2" x14ac:dyDescent="0.3">
      <c r="A56" s="39">
        <v>2</v>
      </c>
      <c r="B56" s="39">
        <v>4</v>
      </c>
      <c r="C56" s="39" t="s">
        <v>11</v>
      </c>
      <c r="D56" s="44" t="s">
        <v>1</v>
      </c>
      <c r="E56" s="44" t="s">
        <v>1647</v>
      </c>
      <c r="F56" s="39" t="s">
        <v>51</v>
      </c>
      <c r="G56" s="48">
        <v>20</v>
      </c>
      <c r="H56" s="44" t="s">
        <v>71</v>
      </c>
      <c r="I56" s="63"/>
      <c r="EP56" s="80"/>
    </row>
    <row r="57" spans="1:146" s="79" customFormat="1" ht="46.8" x14ac:dyDescent="0.3">
      <c r="A57" s="39">
        <v>2</v>
      </c>
      <c r="B57" s="39">
        <v>4</v>
      </c>
      <c r="C57" s="39" t="s">
        <v>11</v>
      </c>
      <c r="D57" s="44" t="s">
        <v>65</v>
      </c>
      <c r="E57" s="44" t="s">
        <v>380</v>
      </c>
      <c r="F57" s="39" t="s">
        <v>51</v>
      </c>
      <c r="G57" s="48">
        <v>52</v>
      </c>
      <c r="H57" s="44" t="s">
        <v>1616</v>
      </c>
      <c r="I57" s="63"/>
      <c r="EP57" s="80"/>
    </row>
    <row r="58" spans="1:146" s="79" customFormat="1" x14ac:dyDescent="0.3">
      <c r="A58" s="9">
        <v>3</v>
      </c>
      <c r="B58" s="9">
        <v>1</v>
      </c>
      <c r="C58" s="9" t="s">
        <v>12</v>
      </c>
      <c r="D58" s="55" t="s">
        <v>65</v>
      </c>
      <c r="E58" s="14" t="s">
        <v>1648</v>
      </c>
      <c r="F58" s="9" t="s">
        <v>51</v>
      </c>
      <c r="G58" s="15">
        <v>1</v>
      </c>
      <c r="H58" s="14" t="s">
        <v>381</v>
      </c>
      <c r="I58" s="63"/>
      <c r="EP58" s="80"/>
    </row>
    <row r="59" spans="1:146" s="79" customFormat="1" ht="31.2" x14ac:dyDescent="0.3">
      <c r="A59" s="9">
        <v>3</v>
      </c>
      <c r="B59" s="9">
        <v>1</v>
      </c>
      <c r="C59" s="9" t="s">
        <v>12</v>
      </c>
      <c r="D59" s="14" t="s">
        <v>65</v>
      </c>
      <c r="E59" s="14" t="s">
        <v>74</v>
      </c>
      <c r="F59" s="9" t="s">
        <v>51</v>
      </c>
      <c r="G59" s="15" t="s">
        <v>75</v>
      </c>
      <c r="H59" s="14" t="s">
        <v>76</v>
      </c>
      <c r="I59" s="63"/>
      <c r="EP59" s="80"/>
    </row>
    <row r="60" spans="1:146" s="79" customFormat="1" ht="140.4" x14ac:dyDescent="0.3">
      <c r="A60" s="26">
        <v>3</v>
      </c>
      <c r="B60" s="26">
        <v>2</v>
      </c>
      <c r="C60" s="26" t="s">
        <v>12</v>
      </c>
      <c r="D60" s="32" t="s">
        <v>1</v>
      </c>
      <c r="E60" s="32" t="s">
        <v>1649</v>
      </c>
      <c r="F60" s="26" t="s">
        <v>51</v>
      </c>
      <c r="G60" s="36">
        <v>159</v>
      </c>
      <c r="H60" s="32" t="s">
        <v>88</v>
      </c>
      <c r="I60" s="63"/>
      <c r="EP60" s="80"/>
    </row>
    <row r="61" spans="1:146" s="79" customFormat="1" ht="62.4" x14ac:dyDescent="0.3">
      <c r="A61" s="26">
        <v>3</v>
      </c>
      <c r="B61" s="26">
        <v>2</v>
      </c>
      <c r="C61" s="26" t="s">
        <v>12</v>
      </c>
      <c r="D61" s="32" t="s">
        <v>1</v>
      </c>
      <c r="E61" s="32" t="s">
        <v>1650</v>
      </c>
      <c r="F61" s="26" t="s">
        <v>51</v>
      </c>
      <c r="G61" s="36">
        <v>96</v>
      </c>
      <c r="H61" s="32" t="s">
        <v>384</v>
      </c>
      <c r="I61" s="63"/>
      <c r="EP61" s="80"/>
    </row>
    <row r="62" spans="1:146" s="79" customFormat="1" ht="62.4" x14ac:dyDescent="0.3">
      <c r="A62" s="26">
        <v>3</v>
      </c>
      <c r="B62" s="26">
        <v>2</v>
      </c>
      <c r="C62" s="26" t="s">
        <v>12</v>
      </c>
      <c r="D62" s="32" t="s">
        <v>1</v>
      </c>
      <c r="E62" s="32" t="s">
        <v>1651</v>
      </c>
      <c r="F62" s="26" t="s">
        <v>51</v>
      </c>
      <c r="G62" s="36">
        <v>17</v>
      </c>
      <c r="H62" s="32" t="s">
        <v>384</v>
      </c>
      <c r="I62" s="63"/>
      <c r="EP62" s="80"/>
    </row>
    <row r="63" spans="1:146" s="79" customFormat="1" x14ac:dyDescent="0.3">
      <c r="A63" s="26">
        <v>3</v>
      </c>
      <c r="B63" s="26">
        <v>2</v>
      </c>
      <c r="C63" s="26" t="s">
        <v>12</v>
      </c>
      <c r="D63" s="32" t="s">
        <v>65</v>
      </c>
      <c r="E63" s="32" t="s">
        <v>1652</v>
      </c>
      <c r="F63" s="26" t="s">
        <v>51</v>
      </c>
      <c r="G63" s="36">
        <v>2</v>
      </c>
      <c r="H63" s="32" t="s">
        <v>381</v>
      </c>
      <c r="I63" s="63"/>
      <c r="EP63" s="80"/>
    </row>
    <row r="64" spans="1:146" s="79" customFormat="1" ht="31.2" x14ac:dyDescent="0.3">
      <c r="A64" s="26">
        <v>3</v>
      </c>
      <c r="B64" s="26">
        <v>2</v>
      </c>
      <c r="C64" s="26" t="s">
        <v>12</v>
      </c>
      <c r="D64" s="32" t="s">
        <v>65</v>
      </c>
      <c r="E64" s="32" t="s">
        <v>1653</v>
      </c>
      <c r="F64" s="26" t="s">
        <v>51</v>
      </c>
      <c r="G64" s="36" t="s">
        <v>75</v>
      </c>
      <c r="H64" s="32" t="s">
        <v>382</v>
      </c>
      <c r="I64" s="63"/>
      <c r="EP64" s="80"/>
    </row>
    <row r="65" spans="1:146" s="79" customFormat="1" ht="93.6" x14ac:dyDescent="0.3">
      <c r="A65" s="26">
        <v>3</v>
      </c>
      <c r="B65" s="26">
        <v>2</v>
      </c>
      <c r="C65" s="26" t="s">
        <v>12</v>
      </c>
      <c r="D65" s="32" t="s">
        <v>65</v>
      </c>
      <c r="E65" s="32" t="s">
        <v>1654</v>
      </c>
      <c r="F65" s="26" t="s">
        <v>51</v>
      </c>
      <c r="G65" s="36">
        <v>2</v>
      </c>
      <c r="H65" s="32" t="s">
        <v>1655</v>
      </c>
      <c r="I65" s="63"/>
      <c r="EP65" s="80"/>
    </row>
    <row r="66" spans="1:146" s="79" customFormat="1" ht="78" x14ac:dyDescent="0.3">
      <c r="A66" s="26">
        <v>3</v>
      </c>
      <c r="B66" s="26">
        <v>2</v>
      </c>
      <c r="C66" s="26" t="s">
        <v>12</v>
      </c>
      <c r="D66" s="32" t="s">
        <v>65</v>
      </c>
      <c r="E66" s="32" t="s">
        <v>1656</v>
      </c>
      <c r="F66" s="26" t="s">
        <v>63</v>
      </c>
      <c r="G66" s="36">
        <v>36</v>
      </c>
      <c r="H66" s="32" t="s">
        <v>383</v>
      </c>
      <c r="I66" s="63"/>
      <c r="EP66" s="80"/>
    </row>
    <row r="67" spans="1:146" s="79" customFormat="1" ht="93.6" x14ac:dyDescent="0.3">
      <c r="A67" s="57">
        <v>3</v>
      </c>
      <c r="B67" s="57">
        <v>3</v>
      </c>
      <c r="C67" s="57" t="s">
        <v>12</v>
      </c>
      <c r="D67" s="58" t="s">
        <v>65</v>
      </c>
      <c r="E67" s="58" t="s">
        <v>1657</v>
      </c>
      <c r="F67" s="57" t="s">
        <v>51</v>
      </c>
      <c r="G67" s="57" t="s">
        <v>75</v>
      </c>
      <c r="H67" s="58" t="s">
        <v>88</v>
      </c>
      <c r="I67" s="63"/>
      <c r="EP67" s="80"/>
    </row>
    <row r="68" spans="1:146" s="79" customFormat="1" ht="62.4" x14ac:dyDescent="0.3">
      <c r="A68" s="57">
        <v>3</v>
      </c>
      <c r="B68" s="57">
        <v>3</v>
      </c>
      <c r="C68" s="57" t="s">
        <v>12</v>
      </c>
      <c r="D68" s="58" t="s">
        <v>1</v>
      </c>
      <c r="E68" s="58" t="s">
        <v>1658</v>
      </c>
      <c r="F68" s="57" t="s">
        <v>51</v>
      </c>
      <c r="G68" s="57">
        <v>27</v>
      </c>
      <c r="H68" s="58" t="s">
        <v>384</v>
      </c>
      <c r="I68" s="63"/>
      <c r="EP68" s="80"/>
    </row>
    <row r="69" spans="1:146" s="79" customFormat="1" ht="124.8" x14ac:dyDescent="0.3">
      <c r="A69" s="57">
        <v>3</v>
      </c>
      <c r="B69" s="57">
        <v>3</v>
      </c>
      <c r="C69" s="57" t="s">
        <v>12</v>
      </c>
      <c r="D69" s="58" t="s">
        <v>1</v>
      </c>
      <c r="E69" s="58" t="s">
        <v>1659</v>
      </c>
      <c r="F69" s="57" t="s">
        <v>51</v>
      </c>
      <c r="G69" s="57">
        <v>159</v>
      </c>
      <c r="H69" s="58" t="s">
        <v>88</v>
      </c>
      <c r="I69" s="63"/>
      <c r="EP69" s="80"/>
    </row>
    <row r="70" spans="1:146" s="79" customFormat="1" ht="62.4" x14ac:dyDescent="0.3">
      <c r="A70" s="57">
        <v>3</v>
      </c>
      <c r="B70" s="57">
        <v>3</v>
      </c>
      <c r="C70" s="57" t="s">
        <v>12</v>
      </c>
      <c r="D70" s="58" t="s">
        <v>1</v>
      </c>
      <c r="E70" s="58" t="s">
        <v>1660</v>
      </c>
      <c r="F70" s="57" t="s">
        <v>51</v>
      </c>
      <c r="G70" s="57">
        <v>53</v>
      </c>
      <c r="H70" s="58" t="s">
        <v>384</v>
      </c>
      <c r="I70" s="63"/>
      <c r="EP70" s="80"/>
    </row>
    <row r="71" spans="1:146" s="79" customFormat="1" ht="31.2" x14ac:dyDescent="0.3">
      <c r="A71" s="57">
        <v>3</v>
      </c>
      <c r="B71" s="57">
        <v>3</v>
      </c>
      <c r="C71" s="57" t="s">
        <v>12</v>
      </c>
      <c r="D71" s="58" t="s">
        <v>65</v>
      </c>
      <c r="E71" s="58" t="s">
        <v>1661</v>
      </c>
      <c r="F71" s="57" t="s">
        <v>51</v>
      </c>
      <c r="G71" s="57" t="s">
        <v>75</v>
      </c>
      <c r="H71" s="58" t="s">
        <v>382</v>
      </c>
      <c r="I71" s="63"/>
      <c r="EP71" s="80"/>
    </row>
    <row r="72" spans="1:146" s="79" customFormat="1" ht="31.2" x14ac:dyDescent="0.3">
      <c r="A72" s="57">
        <v>3</v>
      </c>
      <c r="B72" s="57">
        <v>3</v>
      </c>
      <c r="C72" s="57" t="s">
        <v>12</v>
      </c>
      <c r="D72" s="58" t="s">
        <v>65</v>
      </c>
      <c r="E72" s="58" t="s">
        <v>1662</v>
      </c>
      <c r="F72" s="57" t="s">
        <v>51</v>
      </c>
      <c r="G72" s="57">
        <v>4</v>
      </c>
      <c r="H72" s="58" t="s">
        <v>681</v>
      </c>
      <c r="I72" s="63"/>
      <c r="EP72" s="80"/>
    </row>
    <row r="73" spans="1:146" s="79" customFormat="1" x14ac:dyDescent="0.3">
      <c r="A73" s="57">
        <v>3</v>
      </c>
      <c r="B73" s="57">
        <v>3</v>
      </c>
      <c r="C73" s="57" t="s">
        <v>12</v>
      </c>
      <c r="D73" s="58" t="s">
        <v>65</v>
      </c>
      <c r="E73" s="58" t="s">
        <v>1663</v>
      </c>
      <c r="F73" s="57" t="s">
        <v>51</v>
      </c>
      <c r="G73" s="57">
        <v>3</v>
      </c>
      <c r="H73" s="58" t="s">
        <v>381</v>
      </c>
      <c r="I73" s="63"/>
      <c r="EP73" s="80"/>
    </row>
    <row r="74" spans="1:146" s="79" customFormat="1" ht="93.6" x14ac:dyDescent="0.3">
      <c r="A74" s="57">
        <v>3</v>
      </c>
      <c r="B74" s="57">
        <v>3</v>
      </c>
      <c r="C74" s="57" t="s">
        <v>12</v>
      </c>
      <c r="D74" s="58" t="s">
        <v>0</v>
      </c>
      <c r="E74" s="58" t="s">
        <v>1664</v>
      </c>
      <c r="F74" s="57" t="s">
        <v>51</v>
      </c>
      <c r="G74" s="57">
        <v>11</v>
      </c>
      <c r="H74" s="58" t="s">
        <v>682</v>
      </c>
      <c r="I74" s="63"/>
      <c r="EP74" s="80"/>
    </row>
    <row r="75" spans="1:146" s="79" customFormat="1" ht="31.2" x14ac:dyDescent="0.3">
      <c r="A75" s="57">
        <v>3</v>
      </c>
      <c r="B75" s="57">
        <v>3</v>
      </c>
      <c r="C75" s="57" t="s">
        <v>12</v>
      </c>
      <c r="D75" s="58" t="s">
        <v>0</v>
      </c>
      <c r="E75" s="58" t="s">
        <v>1665</v>
      </c>
      <c r="F75" s="57" t="s">
        <v>51</v>
      </c>
      <c r="G75" s="57">
        <v>8</v>
      </c>
      <c r="H75" s="58" t="s">
        <v>1666</v>
      </c>
      <c r="I75" s="63"/>
      <c r="EP75" s="80"/>
    </row>
    <row r="76" spans="1:146" s="79" customFormat="1" ht="124.8" x14ac:dyDescent="0.3">
      <c r="A76" s="57">
        <v>3</v>
      </c>
      <c r="B76" s="57">
        <v>3</v>
      </c>
      <c r="C76" s="57" t="s">
        <v>12</v>
      </c>
      <c r="D76" s="58" t="s">
        <v>65</v>
      </c>
      <c r="E76" s="58" t="s">
        <v>1667</v>
      </c>
      <c r="F76" s="57" t="s">
        <v>51</v>
      </c>
      <c r="G76" s="57">
        <v>2</v>
      </c>
      <c r="H76" s="58" t="s">
        <v>680</v>
      </c>
      <c r="I76" s="63"/>
      <c r="EP76" s="80"/>
    </row>
    <row r="77" spans="1:146" s="79" customFormat="1" ht="93.6" x14ac:dyDescent="0.3">
      <c r="A77" s="57">
        <v>3</v>
      </c>
      <c r="B77" s="57">
        <v>3</v>
      </c>
      <c r="C77" s="57" t="s">
        <v>12</v>
      </c>
      <c r="D77" s="58" t="s">
        <v>1</v>
      </c>
      <c r="E77" s="58" t="s">
        <v>1668</v>
      </c>
      <c r="F77" s="57" t="s">
        <v>51</v>
      </c>
      <c r="G77" s="57">
        <v>7</v>
      </c>
      <c r="H77" s="58" t="s">
        <v>683</v>
      </c>
      <c r="I77" s="63"/>
      <c r="EP77" s="80"/>
    </row>
    <row r="78" spans="1:146" s="79" customFormat="1" ht="27.6" customHeight="1" x14ac:dyDescent="0.3">
      <c r="A78" s="39">
        <v>3</v>
      </c>
      <c r="B78" s="39">
        <v>4</v>
      </c>
      <c r="C78" s="39" t="s">
        <v>12</v>
      </c>
      <c r="D78" s="44" t="s">
        <v>1</v>
      </c>
      <c r="E78" s="44" t="s">
        <v>1669</v>
      </c>
      <c r="F78" s="39" t="s">
        <v>51</v>
      </c>
      <c r="G78" s="48">
        <v>159</v>
      </c>
      <c r="H78" s="44" t="s">
        <v>88</v>
      </c>
      <c r="I78" s="63"/>
      <c r="EP78" s="80"/>
    </row>
    <row r="79" spans="1:146" s="79" customFormat="1" ht="27.6" customHeight="1" x14ac:dyDescent="0.3">
      <c r="A79" s="39">
        <v>3</v>
      </c>
      <c r="B79" s="39">
        <v>4</v>
      </c>
      <c r="C79" s="39" t="s">
        <v>12</v>
      </c>
      <c r="D79" s="44" t="s">
        <v>1</v>
      </c>
      <c r="E79" s="44" t="s">
        <v>1062</v>
      </c>
      <c r="F79" s="39" t="s">
        <v>51</v>
      </c>
      <c r="G79" s="48">
        <v>45</v>
      </c>
      <c r="H79" s="44" t="s">
        <v>384</v>
      </c>
      <c r="I79" s="63"/>
      <c r="EP79" s="80"/>
    </row>
    <row r="80" spans="1:146" s="79" customFormat="1" ht="27.6" customHeight="1" x14ac:dyDescent="0.3">
      <c r="A80" s="39">
        <v>3</v>
      </c>
      <c r="B80" s="39">
        <v>4</v>
      </c>
      <c r="C80" s="39" t="s">
        <v>12</v>
      </c>
      <c r="D80" s="44" t="s">
        <v>119</v>
      </c>
      <c r="E80" s="44" t="s">
        <v>1670</v>
      </c>
      <c r="F80" s="39" t="s">
        <v>51</v>
      </c>
      <c r="G80" s="48">
        <v>36</v>
      </c>
      <c r="H80" s="44" t="s">
        <v>88</v>
      </c>
      <c r="I80" s="63"/>
      <c r="EP80" s="80"/>
    </row>
    <row r="81" spans="1:146" s="79" customFormat="1" ht="27.6" customHeight="1" x14ac:dyDescent="0.3">
      <c r="A81" s="39">
        <v>3</v>
      </c>
      <c r="B81" s="39">
        <v>4</v>
      </c>
      <c r="C81" s="39" t="s">
        <v>12</v>
      </c>
      <c r="D81" s="44" t="s">
        <v>65</v>
      </c>
      <c r="E81" s="44" t="s">
        <v>1671</v>
      </c>
      <c r="F81" s="39" t="s">
        <v>51</v>
      </c>
      <c r="G81" s="48" t="s">
        <v>75</v>
      </c>
      <c r="H81" s="44" t="s">
        <v>255</v>
      </c>
      <c r="I81" s="63"/>
      <c r="EP81" s="80"/>
    </row>
    <row r="82" spans="1:146" s="79" customFormat="1" ht="27.6" customHeight="1" x14ac:dyDescent="0.3">
      <c r="A82" s="39">
        <v>3</v>
      </c>
      <c r="B82" s="39">
        <v>4</v>
      </c>
      <c r="C82" s="39" t="s">
        <v>12</v>
      </c>
      <c r="D82" s="44" t="s">
        <v>65</v>
      </c>
      <c r="E82" s="44" t="s">
        <v>1672</v>
      </c>
      <c r="F82" s="39" t="s">
        <v>51</v>
      </c>
      <c r="G82" s="48">
        <v>4</v>
      </c>
      <c r="H82" s="44"/>
      <c r="I82" s="63"/>
      <c r="EP82" s="80"/>
    </row>
    <row r="83" spans="1:146" s="79" customFormat="1" ht="27.6" customHeight="1" x14ac:dyDescent="0.3">
      <c r="A83" s="39">
        <v>3</v>
      </c>
      <c r="B83" s="39">
        <v>4</v>
      </c>
      <c r="C83" s="39" t="s">
        <v>12</v>
      </c>
      <c r="D83" s="44" t="s">
        <v>65</v>
      </c>
      <c r="E83" s="44" t="s">
        <v>1673</v>
      </c>
      <c r="F83" s="39" t="s">
        <v>51</v>
      </c>
      <c r="G83" s="48">
        <v>4</v>
      </c>
      <c r="H83" s="44" t="s">
        <v>381</v>
      </c>
      <c r="I83" s="63"/>
      <c r="EP83" s="80"/>
    </row>
    <row r="84" spans="1:146" s="79" customFormat="1" ht="27.6" customHeight="1" x14ac:dyDescent="0.3">
      <c r="A84" s="39">
        <v>3</v>
      </c>
      <c r="B84" s="39">
        <v>4</v>
      </c>
      <c r="C84" s="39" t="s">
        <v>12</v>
      </c>
      <c r="D84" s="44" t="s">
        <v>65</v>
      </c>
      <c r="E84" s="44" t="s">
        <v>1674</v>
      </c>
      <c r="F84" s="39" t="s">
        <v>51</v>
      </c>
      <c r="G84" s="48">
        <v>6</v>
      </c>
      <c r="H84" s="44" t="s">
        <v>1061</v>
      </c>
      <c r="I84" s="63"/>
      <c r="EP84" s="80"/>
    </row>
    <row r="85" spans="1:146" s="79" customFormat="1" ht="27.6" customHeight="1" x14ac:dyDescent="0.3">
      <c r="A85" s="39">
        <v>3</v>
      </c>
      <c r="B85" s="39">
        <v>4</v>
      </c>
      <c r="C85" s="39" t="s">
        <v>12</v>
      </c>
      <c r="D85" s="44" t="s">
        <v>65</v>
      </c>
      <c r="E85" s="44" t="s">
        <v>1675</v>
      </c>
      <c r="F85" s="39" t="s">
        <v>51</v>
      </c>
      <c r="G85" s="48" t="s">
        <v>75</v>
      </c>
      <c r="H85" s="44" t="s">
        <v>88</v>
      </c>
      <c r="I85" s="63"/>
      <c r="EP85" s="80"/>
    </row>
    <row r="86" spans="1:146" s="79" customFormat="1" ht="27.6" customHeight="1" x14ac:dyDescent="0.3">
      <c r="A86" s="39">
        <v>3</v>
      </c>
      <c r="B86" s="39">
        <v>4</v>
      </c>
      <c r="C86" s="39" t="s">
        <v>12</v>
      </c>
      <c r="D86" s="44" t="s">
        <v>0</v>
      </c>
      <c r="E86" s="44" t="s">
        <v>1676</v>
      </c>
      <c r="F86" s="39" t="s">
        <v>51</v>
      </c>
      <c r="G86" s="48">
        <v>10</v>
      </c>
      <c r="H86" s="44" t="s">
        <v>682</v>
      </c>
      <c r="I86" s="63"/>
      <c r="EP86" s="80"/>
    </row>
    <row r="87" spans="1:146" s="79" customFormat="1" ht="27.6" customHeight="1" x14ac:dyDescent="0.3">
      <c r="A87" s="39">
        <v>3</v>
      </c>
      <c r="B87" s="39">
        <v>4</v>
      </c>
      <c r="C87" s="39" t="s">
        <v>12</v>
      </c>
      <c r="D87" s="44" t="s">
        <v>1</v>
      </c>
      <c r="E87" s="44" t="s">
        <v>1677</v>
      </c>
      <c r="F87" s="39" t="s">
        <v>51</v>
      </c>
      <c r="G87" s="48">
        <v>4</v>
      </c>
      <c r="H87" s="44" t="s">
        <v>683</v>
      </c>
      <c r="I87" s="63"/>
      <c r="EP87" s="80"/>
    </row>
    <row r="88" spans="1:146" s="79" customFormat="1" ht="78" x14ac:dyDescent="0.3">
      <c r="A88" s="9">
        <v>4</v>
      </c>
      <c r="B88" s="9">
        <v>1</v>
      </c>
      <c r="C88" s="9" t="s">
        <v>77</v>
      </c>
      <c r="D88" s="14" t="s">
        <v>1</v>
      </c>
      <c r="E88" s="14" t="s">
        <v>91</v>
      </c>
      <c r="F88" s="9" t="s">
        <v>51</v>
      </c>
      <c r="G88" s="15">
        <v>315</v>
      </c>
      <c r="H88" s="14" t="s">
        <v>92</v>
      </c>
      <c r="I88" s="63"/>
      <c r="EP88" s="80"/>
    </row>
    <row r="89" spans="1:146" s="79" customFormat="1" ht="93.6" x14ac:dyDescent="0.3">
      <c r="A89" s="9">
        <v>4</v>
      </c>
      <c r="B89" s="9">
        <v>1</v>
      </c>
      <c r="C89" s="9" t="s">
        <v>77</v>
      </c>
      <c r="D89" s="14" t="s">
        <v>4</v>
      </c>
      <c r="E89" s="14" t="s">
        <v>80</v>
      </c>
      <c r="F89" s="9" t="s">
        <v>63</v>
      </c>
      <c r="G89" s="15">
        <v>1</v>
      </c>
      <c r="H89" s="14" t="s">
        <v>81</v>
      </c>
      <c r="I89" s="63"/>
      <c r="EP89" s="80"/>
    </row>
    <row r="90" spans="1:146" s="79" customFormat="1" ht="156" x14ac:dyDescent="0.3">
      <c r="A90" s="9">
        <v>4</v>
      </c>
      <c r="B90" s="9">
        <v>1</v>
      </c>
      <c r="C90" s="9" t="s">
        <v>77</v>
      </c>
      <c r="D90" s="14" t="s">
        <v>65</v>
      </c>
      <c r="E90" s="14" t="s">
        <v>83</v>
      </c>
      <c r="F90" s="9" t="s">
        <v>63</v>
      </c>
      <c r="G90" s="15">
        <v>7</v>
      </c>
      <c r="H90" s="14" t="s">
        <v>84</v>
      </c>
      <c r="I90" s="63"/>
      <c r="EP90" s="80"/>
    </row>
    <row r="91" spans="1:146" s="79" customFormat="1" ht="62.4" x14ac:dyDescent="0.3">
      <c r="A91" s="9">
        <v>4</v>
      </c>
      <c r="B91" s="9">
        <v>1</v>
      </c>
      <c r="C91" s="9" t="s">
        <v>77</v>
      </c>
      <c r="D91" s="14" t="s">
        <v>65</v>
      </c>
      <c r="E91" s="14" t="s">
        <v>87</v>
      </c>
      <c r="F91" s="9" t="s">
        <v>51</v>
      </c>
      <c r="G91" s="15">
        <v>10</v>
      </c>
      <c r="H91" s="14" t="s">
        <v>88</v>
      </c>
      <c r="I91" s="63"/>
      <c r="EP91" s="80"/>
    </row>
    <row r="92" spans="1:146" s="79" customFormat="1" ht="62.4" x14ac:dyDescent="0.3">
      <c r="A92" s="9">
        <v>4</v>
      </c>
      <c r="B92" s="9">
        <v>1</v>
      </c>
      <c r="C92" s="9" t="s">
        <v>77</v>
      </c>
      <c r="D92" s="14" t="s">
        <v>65</v>
      </c>
      <c r="E92" s="14" t="s">
        <v>78</v>
      </c>
      <c r="F92" s="9" t="s">
        <v>51</v>
      </c>
      <c r="G92" s="15">
        <v>5</v>
      </c>
      <c r="H92" s="14" t="s">
        <v>79</v>
      </c>
      <c r="I92" s="63"/>
      <c r="EP92" s="80"/>
    </row>
    <row r="93" spans="1:146" s="79" customFormat="1" ht="93.6" x14ac:dyDescent="0.3">
      <c r="A93" s="9">
        <v>4</v>
      </c>
      <c r="B93" s="9">
        <v>1</v>
      </c>
      <c r="C93" s="9" t="s">
        <v>77</v>
      </c>
      <c r="D93" s="14" t="s">
        <v>65</v>
      </c>
      <c r="E93" s="14" t="s">
        <v>85</v>
      </c>
      <c r="F93" s="9" t="s">
        <v>51</v>
      </c>
      <c r="G93" s="15">
        <v>15</v>
      </c>
      <c r="H93" s="14" t="s">
        <v>86</v>
      </c>
      <c r="I93" s="63"/>
      <c r="EP93" s="80"/>
    </row>
    <row r="94" spans="1:146" s="79" customFormat="1" ht="78" x14ac:dyDescent="0.3">
      <c r="A94" s="9">
        <v>4</v>
      </c>
      <c r="B94" s="9">
        <v>1</v>
      </c>
      <c r="C94" s="9" t="s">
        <v>77</v>
      </c>
      <c r="D94" s="14" t="s">
        <v>65</v>
      </c>
      <c r="E94" s="14" t="s">
        <v>551</v>
      </c>
      <c r="F94" s="9" t="s">
        <v>51</v>
      </c>
      <c r="G94" s="15">
        <v>10</v>
      </c>
      <c r="H94" s="14" t="s">
        <v>82</v>
      </c>
      <c r="I94" s="63"/>
      <c r="EP94" s="80"/>
    </row>
    <row r="95" spans="1:146" s="79" customFormat="1" ht="62.4" x14ac:dyDescent="0.3">
      <c r="A95" s="9">
        <v>4</v>
      </c>
      <c r="B95" s="9">
        <v>1</v>
      </c>
      <c r="C95" s="9" t="s">
        <v>77</v>
      </c>
      <c r="D95" s="14" t="s">
        <v>65</v>
      </c>
      <c r="E95" s="14" t="s">
        <v>93</v>
      </c>
      <c r="F95" s="9" t="s">
        <v>51</v>
      </c>
      <c r="G95" s="15">
        <v>2</v>
      </c>
      <c r="H95" s="14" t="s">
        <v>94</v>
      </c>
      <c r="I95" s="63"/>
      <c r="EP95" s="80"/>
    </row>
    <row r="96" spans="1:146" s="79" customFormat="1" ht="78" x14ac:dyDescent="0.3">
      <c r="A96" s="9">
        <v>4</v>
      </c>
      <c r="B96" s="9">
        <v>1</v>
      </c>
      <c r="C96" s="9" t="s">
        <v>77</v>
      </c>
      <c r="D96" s="14" t="s">
        <v>1</v>
      </c>
      <c r="E96" s="14" t="s">
        <v>89</v>
      </c>
      <c r="F96" s="9" t="s">
        <v>63</v>
      </c>
      <c r="G96" s="15">
        <v>24</v>
      </c>
      <c r="H96" s="14" t="s">
        <v>90</v>
      </c>
      <c r="I96" s="63"/>
      <c r="EP96" s="80"/>
    </row>
    <row r="97" spans="1:146" s="79" customFormat="1" ht="62.4" x14ac:dyDescent="0.3">
      <c r="A97" s="26">
        <v>4</v>
      </c>
      <c r="B97" s="26">
        <v>2</v>
      </c>
      <c r="C97" s="26" t="s">
        <v>77</v>
      </c>
      <c r="D97" s="32" t="s">
        <v>65</v>
      </c>
      <c r="E97" s="32" t="s">
        <v>557</v>
      </c>
      <c r="F97" s="26" t="s">
        <v>63</v>
      </c>
      <c r="G97" s="36">
        <v>1</v>
      </c>
      <c r="H97" s="32" t="s">
        <v>94</v>
      </c>
      <c r="I97" s="63"/>
      <c r="EP97" s="80"/>
    </row>
    <row r="98" spans="1:146" s="79" customFormat="1" ht="78" x14ac:dyDescent="0.3">
      <c r="A98" s="26">
        <v>4</v>
      </c>
      <c r="B98" s="26">
        <v>2</v>
      </c>
      <c r="C98" s="26" t="s">
        <v>77</v>
      </c>
      <c r="D98" s="32" t="s">
        <v>1</v>
      </c>
      <c r="E98" s="32" t="s">
        <v>91</v>
      </c>
      <c r="F98" s="26" t="s">
        <v>51</v>
      </c>
      <c r="G98" s="36">
        <v>266</v>
      </c>
      <c r="H98" s="32" t="s">
        <v>1678</v>
      </c>
      <c r="I98" s="63"/>
      <c r="EP98" s="80"/>
    </row>
    <row r="99" spans="1:146" s="79" customFormat="1" ht="140.4" x14ac:dyDescent="0.3">
      <c r="A99" s="26">
        <v>4</v>
      </c>
      <c r="B99" s="26">
        <v>2</v>
      </c>
      <c r="C99" s="26" t="s">
        <v>77</v>
      </c>
      <c r="D99" s="32" t="s">
        <v>4</v>
      </c>
      <c r="E99" s="32" t="s">
        <v>1679</v>
      </c>
      <c r="F99" s="26" t="s">
        <v>51</v>
      </c>
      <c r="G99" s="36">
        <v>8</v>
      </c>
      <c r="H99" s="32" t="s">
        <v>400</v>
      </c>
      <c r="I99" s="63"/>
      <c r="EP99" s="80"/>
    </row>
    <row r="100" spans="1:146" s="79" customFormat="1" ht="156" x14ac:dyDescent="0.3">
      <c r="A100" s="26">
        <v>4</v>
      </c>
      <c r="B100" s="26">
        <v>2</v>
      </c>
      <c r="C100" s="26" t="s">
        <v>77</v>
      </c>
      <c r="D100" s="32" t="s">
        <v>141</v>
      </c>
      <c r="E100" s="32" t="s">
        <v>401</v>
      </c>
      <c r="F100" s="26" t="s">
        <v>51</v>
      </c>
      <c r="G100" s="36">
        <v>369</v>
      </c>
      <c r="H100" s="32" t="s">
        <v>402</v>
      </c>
      <c r="I100" s="63"/>
      <c r="EP100" s="80"/>
    </row>
    <row r="101" spans="1:146" s="79" customFormat="1" ht="109.2" x14ac:dyDescent="0.3">
      <c r="A101" s="26">
        <v>4</v>
      </c>
      <c r="B101" s="26">
        <v>2</v>
      </c>
      <c r="C101" s="26" t="s">
        <v>77</v>
      </c>
      <c r="D101" s="32" t="s">
        <v>4</v>
      </c>
      <c r="E101" s="32" t="s">
        <v>673</v>
      </c>
      <c r="F101" s="26" t="s">
        <v>51</v>
      </c>
      <c r="G101" s="36">
        <v>1</v>
      </c>
      <c r="H101" s="32" t="s">
        <v>399</v>
      </c>
      <c r="I101" s="63"/>
      <c r="EP101" s="80"/>
    </row>
    <row r="102" spans="1:146" s="79" customFormat="1" ht="109.2" x14ac:dyDescent="0.3">
      <c r="A102" s="26">
        <v>4</v>
      </c>
      <c r="B102" s="26">
        <v>2</v>
      </c>
      <c r="C102" s="26" t="s">
        <v>77</v>
      </c>
      <c r="D102" s="32" t="s">
        <v>65</v>
      </c>
      <c r="E102" s="32" t="s">
        <v>385</v>
      </c>
      <c r="F102" s="26" t="s">
        <v>63</v>
      </c>
      <c r="G102" s="36">
        <v>14</v>
      </c>
      <c r="H102" s="32" t="s">
        <v>386</v>
      </c>
      <c r="I102" s="63"/>
      <c r="EP102" s="80"/>
    </row>
    <row r="103" spans="1:146" s="79" customFormat="1" ht="62.4" x14ac:dyDescent="0.3">
      <c r="A103" s="26">
        <v>4</v>
      </c>
      <c r="B103" s="26">
        <v>2</v>
      </c>
      <c r="C103" s="26" t="s">
        <v>77</v>
      </c>
      <c r="D103" s="32" t="s">
        <v>65</v>
      </c>
      <c r="E103" s="32" t="s">
        <v>387</v>
      </c>
      <c r="F103" s="26" t="s">
        <v>63</v>
      </c>
      <c r="G103" s="36">
        <v>1</v>
      </c>
      <c r="H103" s="32" t="s">
        <v>388</v>
      </c>
      <c r="I103" s="63"/>
      <c r="EP103" s="80"/>
    </row>
    <row r="104" spans="1:146" s="79" customFormat="1" ht="62.4" x14ac:dyDescent="0.3">
      <c r="A104" s="26">
        <v>4</v>
      </c>
      <c r="B104" s="26">
        <v>2</v>
      </c>
      <c r="C104" s="26" t="s">
        <v>77</v>
      </c>
      <c r="D104" s="32" t="s">
        <v>65</v>
      </c>
      <c r="E104" s="32" t="s">
        <v>555</v>
      </c>
      <c r="F104" s="26" t="s">
        <v>51</v>
      </c>
      <c r="G104" s="36">
        <v>1</v>
      </c>
      <c r="H104" s="32" t="s">
        <v>389</v>
      </c>
      <c r="I104" s="63"/>
      <c r="EP104" s="80"/>
    </row>
    <row r="105" spans="1:146" s="79" customFormat="1" ht="62.4" x14ac:dyDescent="0.3">
      <c r="A105" s="26">
        <v>4</v>
      </c>
      <c r="B105" s="26">
        <v>2</v>
      </c>
      <c r="C105" s="26" t="s">
        <v>77</v>
      </c>
      <c r="D105" s="32" t="s">
        <v>65</v>
      </c>
      <c r="E105" s="32" t="s">
        <v>556</v>
      </c>
      <c r="F105" s="26" t="s">
        <v>51</v>
      </c>
      <c r="G105" s="36">
        <v>13</v>
      </c>
      <c r="H105" s="32" t="s">
        <v>88</v>
      </c>
      <c r="I105" s="63"/>
      <c r="EP105" s="80"/>
    </row>
    <row r="106" spans="1:146" s="79" customFormat="1" ht="93.6" x14ac:dyDescent="0.3">
      <c r="A106" s="26">
        <v>4</v>
      </c>
      <c r="B106" s="26">
        <v>2</v>
      </c>
      <c r="C106" s="26" t="s">
        <v>77</v>
      </c>
      <c r="D106" s="32" t="s">
        <v>65</v>
      </c>
      <c r="E106" s="32" t="s">
        <v>1680</v>
      </c>
      <c r="F106" s="26" t="s">
        <v>51</v>
      </c>
      <c r="G106" s="36">
        <v>17</v>
      </c>
      <c r="H106" s="32" t="s">
        <v>396</v>
      </c>
      <c r="I106" s="63"/>
      <c r="EP106" s="80"/>
    </row>
    <row r="107" spans="1:146" s="79" customFormat="1" ht="78" x14ac:dyDescent="0.3">
      <c r="A107" s="26">
        <v>4</v>
      </c>
      <c r="B107" s="26">
        <v>2</v>
      </c>
      <c r="C107" s="26" t="s">
        <v>77</v>
      </c>
      <c r="D107" s="32" t="s">
        <v>65</v>
      </c>
      <c r="E107" s="32" t="s">
        <v>1681</v>
      </c>
      <c r="F107" s="26" t="s">
        <v>51</v>
      </c>
      <c r="G107" s="36">
        <v>10</v>
      </c>
      <c r="H107" s="32" t="s">
        <v>82</v>
      </c>
      <c r="I107" s="63"/>
      <c r="EP107" s="80"/>
    </row>
    <row r="108" spans="1:146" s="79" customFormat="1" ht="218.4" x14ac:dyDescent="0.3">
      <c r="A108" s="26">
        <v>4</v>
      </c>
      <c r="B108" s="26">
        <v>2</v>
      </c>
      <c r="C108" s="26" t="s">
        <v>77</v>
      </c>
      <c r="D108" s="32" t="s">
        <v>65</v>
      </c>
      <c r="E108" s="32" t="s">
        <v>1682</v>
      </c>
      <c r="F108" s="26" t="s">
        <v>51</v>
      </c>
      <c r="G108" s="36">
        <v>6</v>
      </c>
      <c r="H108" s="32" t="s">
        <v>397</v>
      </c>
      <c r="I108" s="63"/>
      <c r="EP108" s="80"/>
    </row>
    <row r="109" spans="1:146" s="79" customFormat="1" ht="140.4" x14ac:dyDescent="0.3">
      <c r="A109" s="26">
        <v>4</v>
      </c>
      <c r="B109" s="26">
        <v>2</v>
      </c>
      <c r="C109" s="26" t="s">
        <v>77</v>
      </c>
      <c r="D109" s="32" t="s">
        <v>65</v>
      </c>
      <c r="E109" s="32" t="s">
        <v>1683</v>
      </c>
      <c r="F109" s="26" t="s">
        <v>51</v>
      </c>
      <c r="G109" s="36">
        <v>50</v>
      </c>
      <c r="H109" s="32" t="s">
        <v>398</v>
      </c>
      <c r="I109" s="63"/>
      <c r="EP109" s="80"/>
    </row>
    <row r="110" spans="1:146" s="79" customFormat="1" ht="124.8" x14ac:dyDescent="0.3">
      <c r="A110" s="26">
        <v>4</v>
      </c>
      <c r="B110" s="26">
        <v>2</v>
      </c>
      <c r="C110" s="26" t="s">
        <v>77</v>
      </c>
      <c r="D110" s="32" t="s">
        <v>1</v>
      </c>
      <c r="E110" s="32" t="s">
        <v>1684</v>
      </c>
      <c r="F110" s="26" t="s">
        <v>51</v>
      </c>
      <c r="G110" s="36">
        <v>64</v>
      </c>
      <c r="H110" s="32" t="s">
        <v>390</v>
      </c>
      <c r="I110" s="63"/>
      <c r="EP110" s="80"/>
    </row>
    <row r="111" spans="1:146" s="79" customFormat="1" ht="78" x14ac:dyDescent="0.3">
      <c r="A111" s="26">
        <v>4</v>
      </c>
      <c r="B111" s="26">
        <v>2</v>
      </c>
      <c r="C111" s="26" t="s">
        <v>77</v>
      </c>
      <c r="D111" s="32" t="s">
        <v>1</v>
      </c>
      <c r="E111" s="32" t="s">
        <v>393</v>
      </c>
      <c r="F111" s="26" t="s">
        <v>63</v>
      </c>
      <c r="G111" s="36" t="s">
        <v>394</v>
      </c>
      <c r="H111" s="32" t="s">
        <v>395</v>
      </c>
      <c r="I111" s="63"/>
      <c r="EP111" s="80"/>
    </row>
    <row r="112" spans="1:146" s="79" customFormat="1" ht="93.6" x14ac:dyDescent="0.3">
      <c r="A112" s="26">
        <v>4</v>
      </c>
      <c r="B112" s="26">
        <v>2</v>
      </c>
      <c r="C112" s="26" t="s">
        <v>77</v>
      </c>
      <c r="D112" s="32" t="s">
        <v>1</v>
      </c>
      <c r="E112" s="32" t="s">
        <v>391</v>
      </c>
      <c r="F112" s="26" t="s">
        <v>51</v>
      </c>
      <c r="G112" s="36">
        <v>22</v>
      </c>
      <c r="H112" s="32" t="s">
        <v>392</v>
      </c>
      <c r="I112" s="63"/>
      <c r="EP112" s="80"/>
    </row>
    <row r="113" spans="1:146" s="79" customFormat="1" ht="156" x14ac:dyDescent="0.3">
      <c r="A113" s="57">
        <v>4</v>
      </c>
      <c r="B113" s="57">
        <v>3</v>
      </c>
      <c r="C113" s="57" t="s">
        <v>77</v>
      </c>
      <c r="D113" s="58" t="s">
        <v>1</v>
      </c>
      <c r="E113" s="58" t="s">
        <v>684</v>
      </c>
      <c r="F113" s="57" t="s">
        <v>51</v>
      </c>
      <c r="G113" s="57">
        <v>0</v>
      </c>
      <c r="H113" s="58" t="s">
        <v>685</v>
      </c>
      <c r="I113" s="63"/>
      <c r="EP113" s="80"/>
    </row>
    <row r="114" spans="1:146" s="79" customFormat="1" ht="78" x14ac:dyDescent="0.3">
      <c r="A114" s="57">
        <v>4</v>
      </c>
      <c r="B114" s="57">
        <v>3</v>
      </c>
      <c r="C114" s="57" t="s">
        <v>77</v>
      </c>
      <c r="D114" s="58" t="s">
        <v>1</v>
      </c>
      <c r="E114" s="58" t="s">
        <v>91</v>
      </c>
      <c r="F114" s="57" t="s">
        <v>51</v>
      </c>
      <c r="G114" s="57">
        <v>350</v>
      </c>
      <c r="H114" s="58" t="s">
        <v>1685</v>
      </c>
      <c r="I114" s="63"/>
      <c r="EP114" s="80"/>
    </row>
    <row r="115" spans="1:146" s="79" customFormat="1" ht="124.8" x14ac:dyDescent="0.3">
      <c r="A115" s="57">
        <v>4</v>
      </c>
      <c r="B115" s="57">
        <v>3</v>
      </c>
      <c r="C115" s="57" t="s">
        <v>77</v>
      </c>
      <c r="D115" s="58" t="s">
        <v>4</v>
      </c>
      <c r="E115" s="58" t="s">
        <v>1686</v>
      </c>
      <c r="F115" s="57" t="s">
        <v>63</v>
      </c>
      <c r="G115" s="59">
        <v>8</v>
      </c>
      <c r="H115" s="58" t="s">
        <v>703</v>
      </c>
      <c r="I115" s="63"/>
      <c r="EP115" s="80"/>
    </row>
    <row r="116" spans="1:146" s="79" customFormat="1" ht="93.6" x14ac:dyDescent="0.3">
      <c r="A116" s="57">
        <v>4</v>
      </c>
      <c r="B116" s="57">
        <v>3</v>
      </c>
      <c r="C116" s="57" t="s">
        <v>77</v>
      </c>
      <c r="D116" s="58" t="s">
        <v>65</v>
      </c>
      <c r="E116" s="58" t="s">
        <v>1680</v>
      </c>
      <c r="F116" s="57" t="s">
        <v>51</v>
      </c>
      <c r="G116" s="59">
        <v>17</v>
      </c>
      <c r="H116" s="58" t="s">
        <v>702</v>
      </c>
      <c r="I116" s="63"/>
      <c r="EP116" s="80"/>
    </row>
    <row r="117" spans="1:146" s="79" customFormat="1" ht="202.8" x14ac:dyDescent="0.3">
      <c r="A117" s="57">
        <v>4</v>
      </c>
      <c r="B117" s="57">
        <v>3</v>
      </c>
      <c r="C117" s="57" t="s">
        <v>77</v>
      </c>
      <c r="D117" s="58" t="s">
        <v>65</v>
      </c>
      <c r="E117" s="58" t="s">
        <v>1687</v>
      </c>
      <c r="F117" s="57" t="s">
        <v>51</v>
      </c>
      <c r="G117" s="57">
        <v>5</v>
      </c>
      <c r="H117" s="58" t="s">
        <v>700</v>
      </c>
      <c r="I117" s="63"/>
      <c r="EP117" s="80"/>
    </row>
    <row r="118" spans="1:146" s="79" customFormat="1" ht="78" x14ac:dyDescent="0.3">
      <c r="A118" s="57">
        <v>4</v>
      </c>
      <c r="B118" s="57">
        <v>3</v>
      </c>
      <c r="C118" s="57" t="s">
        <v>77</v>
      </c>
      <c r="D118" s="58" t="s">
        <v>65</v>
      </c>
      <c r="E118" s="58" t="s">
        <v>1688</v>
      </c>
      <c r="F118" s="57" t="s">
        <v>51</v>
      </c>
      <c r="G118" s="57">
        <v>9</v>
      </c>
      <c r="H118" s="58" t="s">
        <v>82</v>
      </c>
      <c r="I118" s="63"/>
      <c r="EP118" s="80"/>
    </row>
    <row r="119" spans="1:146" s="79" customFormat="1" ht="46.8" x14ac:dyDescent="0.3">
      <c r="A119" s="57">
        <v>4</v>
      </c>
      <c r="B119" s="57">
        <v>3</v>
      </c>
      <c r="C119" s="57" t="s">
        <v>77</v>
      </c>
      <c r="D119" s="58" t="s">
        <v>65</v>
      </c>
      <c r="E119" s="58" t="s">
        <v>686</v>
      </c>
      <c r="F119" s="57" t="s">
        <v>63</v>
      </c>
      <c r="G119" s="57">
        <v>4</v>
      </c>
      <c r="H119" s="58" t="s">
        <v>687</v>
      </c>
      <c r="I119" s="63"/>
      <c r="EP119" s="80"/>
    </row>
    <row r="120" spans="1:146" s="79" customFormat="1" ht="78" x14ac:dyDescent="0.3">
      <c r="A120" s="57">
        <v>4</v>
      </c>
      <c r="B120" s="57">
        <v>3</v>
      </c>
      <c r="C120" s="57" t="s">
        <v>77</v>
      </c>
      <c r="D120" s="58" t="s">
        <v>65</v>
      </c>
      <c r="E120" s="58" t="s">
        <v>691</v>
      </c>
      <c r="F120" s="57" t="s">
        <v>51</v>
      </c>
      <c r="G120" s="57">
        <v>4</v>
      </c>
      <c r="H120" s="58" t="s">
        <v>692</v>
      </c>
      <c r="I120" s="63"/>
      <c r="EP120" s="80"/>
    </row>
    <row r="121" spans="1:146" s="79" customFormat="1" ht="187.2" x14ac:dyDescent="0.3">
      <c r="A121" s="57">
        <v>4</v>
      </c>
      <c r="B121" s="57">
        <v>3</v>
      </c>
      <c r="C121" s="57" t="s">
        <v>77</v>
      </c>
      <c r="D121" s="58" t="s">
        <v>65</v>
      </c>
      <c r="E121" s="58" t="s">
        <v>693</v>
      </c>
      <c r="F121" s="57" t="s">
        <v>63</v>
      </c>
      <c r="G121" s="57">
        <v>16</v>
      </c>
      <c r="H121" s="58" t="s">
        <v>694</v>
      </c>
      <c r="I121" s="63"/>
      <c r="EP121" s="80"/>
    </row>
    <row r="122" spans="1:146" s="79" customFormat="1" ht="46.8" x14ac:dyDescent="0.3">
      <c r="A122" s="57">
        <v>4</v>
      </c>
      <c r="B122" s="57">
        <v>3</v>
      </c>
      <c r="C122" s="57" t="s">
        <v>77</v>
      </c>
      <c r="D122" s="58" t="s">
        <v>65</v>
      </c>
      <c r="E122" s="58" t="s">
        <v>695</v>
      </c>
      <c r="F122" s="57" t="s">
        <v>51</v>
      </c>
      <c r="G122" s="57">
        <v>14</v>
      </c>
      <c r="H122" s="58" t="s">
        <v>696</v>
      </c>
      <c r="I122" s="63"/>
      <c r="EP122" s="80"/>
    </row>
    <row r="123" spans="1:146" s="79" customFormat="1" ht="62.4" x14ac:dyDescent="0.3">
      <c r="A123" s="57">
        <v>4</v>
      </c>
      <c r="B123" s="57">
        <v>3</v>
      </c>
      <c r="C123" s="57" t="s">
        <v>77</v>
      </c>
      <c r="D123" s="58" t="s">
        <v>65</v>
      </c>
      <c r="E123" s="58" t="s">
        <v>689</v>
      </c>
      <c r="F123" s="57" t="s">
        <v>63</v>
      </c>
      <c r="G123" s="59">
        <v>1</v>
      </c>
      <c r="H123" s="58" t="s">
        <v>690</v>
      </c>
      <c r="I123" s="63"/>
      <c r="EP123" s="80"/>
    </row>
    <row r="124" spans="1:146" s="79" customFormat="1" ht="156" x14ac:dyDescent="0.3">
      <c r="A124" s="57">
        <v>4</v>
      </c>
      <c r="B124" s="57">
        <v>3</v>
      </c>
      <c r="C124" s="57" t="s">
        <v>77</v>
      </c>
      <c r="D124" s="58" t="s">
        <v>65</v>
      </c>
      <c r="E124" s="58" t="s">
        <v>698</v>
      </c>
      <c r="F124" s="57" t="s">
        <v>51</v>
      </c>
      <c r="G124" s="59">
        <v>100</v>
      </c>
      <c r="H124" s="58" t="s">
        <v>699</v>
      </c>
      <c r="I124" s="63"/>
      <c r="EP124" s="80"/>
    </row>
    <row r="125" spans="1:146" s="79" customFormat="1" ht="156" x14ac:dyDescent="0.3">
      <c r="A125" s="57">
        <v>4</v>
      </c>
      <c r="B125" s="57">
        <v>3</v>
      </c>
      <c r="C125" s="57" t="s">
        <v>77</v>
      </c>
      <c r="D125" s="58" t="s">
        <v>65</v>
      </c>
      <c r="E125" s="58" t="s">
        <v>1689</v>
      </c>
      <c r="F125" s="57" t="s">
        <v>51</v>
      </c>
      <c r="G125" s="59">
        <v>59</v>
      </c>
      <c r="H125" s="58" t="s">
        <v>701</v>
      </c>
      <c r="I125" s="63"/>
      <c r="EP125" s="80"/>
    </row>
    <row r="126" spans="1:146" s="79" customFormat="1" ht="109.2" x14ac:dyDescent="0.3">
      <c r="A126" s="57">
        <v>4</v>
      </c>
      <c r="B126" s="57">
        <v>3</v>
      </c>
      <c r="C126" s="57" t="s">
        <v>77</v>
      </c>
      <c r="D126" s="58" t="s">
        <v>65</v>
      </c>
      <c r="E126" s="58" t="s">
        <v>1690</v>
      </c>
      <c r="F126" s="57" t="s">
        <v>51</v>
      </c>
      <c r="G126" s="57">
        <v>100</v>
      </c>
      <c r="H126" s="58" t="s">
        <v>697</v>
      </c>
      <c r="I126" s="63"/>
      <c r="EP126" s="80"/>
    </row>
    <row r="127" spans="1:146" s="79" customFormat="1" ht="93.6" x14ac:dyDescent="0.3">
      <c r="A127" s="57">
        <v>4</v>
      </c>
      <c r="B127" s="57">
        <v>3</v>
      </c>
      <c r="C127" s="57" t="s">
        <v>77</v>
      </c>
      <c r="D127" s="58" t="s">
        <v>1</v>
      </c>
      <c r="E127" s="58" t="s">
        <v>1691</v>
      </c>
      <c r="F127" s="57" t="s">
        <v>51</v>
      </c>
      <c r="G127" s="57">
        <v>3</v>
      </c>
      <c r="H127" s="58" t="s">
        <v>688</v>
      </c>
      <c r="I127" s="63"/>
      <c r="EP127" s="80"/>
    </row>
    <row r="128" spans="1:146" s="79" customFormat="1" ht="156" x14ac:dyDescent="0.3">
      <c r="A128" s="39">
        <v>4</v>
      </c>
      <c r="B128" s="39">
        <v>4</v>
      </c>
      <c r="C128" s="39" t="s">
        <v>77</v>
      </c>
      <c r="D128" s="44" t="s">
        <v>1</v>
      </c>
      <c r="E128" s="44" t="s">
        <v>1692</v>
      </c>
      <c r="F128" s="39" t="s">
        <v>63</v>
      </c>
      <c r="G128" s="48">
        <v>216</v>
      </c>
      <c r="H128" s="44" t="s">
        <v>1693</v>
      </c>
      <c r="I128" s="63"/>
      <c r="EP128" s="80"/>
    </row>
    <row r="129" spans="1:146" s="79" customFormat="1" ht="234" x14ac:dyDescent="0.3">
      <c r="A129" s="39">
        <v>4</v>
      </c>
      <c r="B129" s="39">
        <v>4</v>
      </c>
      <c r="C129" s="39" t="s">
        <v>77</v>
      </c>
      <c r="D129" s="44" t="s">
        <v>1</v>
      </c>
      <c r="E129" s="44" t="s">
        <v>1694</v>
      </c>
      <c r="F129" s="39" t="s">
        <v>63</v>
      </c>
      <c r="G129" s="48">
        <v>576</v>
      </c>
      <c r="H129" s="44" t="s">
        <v>1695</v>
      </c>
      <c r="I129" s="63"/>
      <c r="EP129" s="80"/>
    </row>
    <row r="130" spans="1:146" s="79" customFormat="1" ht="171.6" x14ac:dyDescent="0.3">
      <c r="A130" s="39">
        <v>4</v>
      </c>
      <c r="B130" s="39">
        <v>4</v>
      </c>
      <c r="C130" s="39" t="s">
        <v>77</v>
      </c>
      <c r="D130" s="44" t="s">
        <v>1</v>
      </c>
      <c r="E130" s="44" t="s">
        <v>1696</v>
      </c>
      <c r="F130" s="39" t="s">
        <v>51</v>
      </c>
      <c r="G130" s="48">
        <v>486</v>
      </c>
      <c r="H130" s="44" t="s">
        <v>1695</v>
      </c>
      <c r="I130" s="63"/>
      <c r="EP130" s="80"/>
    </row>
    <row r="131" spans="1:146" s="79" customFormat="1" ht="78" x14ac:dyDescent="0.3">
      <c r="A131" s="39">
        <v>4</v>
      </c>
      <c r="B131" s="39">
        <v>4</v>
      </c>
      <c r="C131" s="39" t="s">
        <v>77</v>
      </c>
      <c r="D131" s="44" t="s">
        <v>1</v>
      </c>
      <c r="E131" s="44" t="s">
        <v>1697</v>
      </c>
      <c r="F131" s="39" t="s">
        <v>63</v>
      </c>
      <c r="G131" s="48">
        <v>19</v>
      </c>
      <c r="H131" s="44" t="s">
        <v>1065</v>
      </c>
      <c r="I131" s="63"/>
      <c r="EP131" s="80"/>
    </row>
    <row r="132" spans="1:146" s="79" customFormat="1" ht="62.4" x14ac:dyDescent="0.3">
      <c r="A132" s="39">
        <v>4</v>
      </c>
      <c r="B132" s="39">
        <v>4</v>
      </c>
      <c r="C132" s="39" t="s">
        <v>77</v>
      </c>
      <c r="D132" s="44" t="s">
        <v>65</v>
      </c>
      <c r="E132" s="44" t="s">
        <v>1698</v>
      </c>
      <c r="F132" s="39" t="s">
        <v>63</v>
      </c>
      <c r="G132" s="48">
        <v>2</v>
      </c>
      <c r="H132" s="44" t="s">
        <v>1066</v>
      </c>
      <c r="I132" s="63"/>
      <c r="EP132" s="80"/>
    </row>
    <row r="133" spans="1:146" s="79" customFormat="1" ht="62.4" x14ac:dyDescent="0.3">
      <c r="A133" s="39">
        <v>4</v>
      </c>
      <c r="B133" s="39">
        <v>4</v>
      </c>
      <c r="C133" s="39" t="s">
        <v>77</v>
      </c>
      <c r="D133" s="44" t="s">
        <v>65</v>
      </c>
      <c r="E133" s="44" t="s">
        <v>1067</v>
      </c>
      <c r="F133" s="39" t="s">
        <v>63</v>
      </c>
      <c r="G133" s="48">
        <v>8</v>
      </c>
      <c r="H133" s="44" t="s">
        <v>1068</v>
      </c>
      <c r="I133" s="63"/>
      <c r="EP133" s="80"/>
    </row>
    <row r="134" spans="1:146" s="79" customFormat="1" ht="27.6" customHeight="1" x14ac:dyDescent="0.3">
      <c r="A134" s="39">
        <v>4</v>
      </c>
      <c r="B134" s="39">
        <v>4</v>
      </c>
      <c r="C134" s="39" t="s">
        <v>77</v>
      </c>
      <c r="D134" s="44" t="s">
        <v>65</v>
      </c>
      <c r="E134" s="44" t="s">
        <v>1069</v>
      </c>
      <c r="F134" s="39" t="s">
        <v>51</v>
      </c>
      <c r="G134" s="48">
        <v>12</v>
      </c>
      <c r="H134" s="44" t="s">
        <v>1070</v>
      </c>
      <c r="I134" s="63"/>
      <c r="EP134" s="80"/>
    </row>
    <row r="135" spans="1:146" s="79" customFormat="1" ht="78" x14ac:dyDescent="0.3">
      <c r="A135" s="39">
        <v>4</v>
      </c>
      <c r="B135" s="39">
        <v>4</v>
      </c>
      <c r="C135" s="39" t="s">
        <v>77</v>
      </c>
      <c r="D135" s="44" t="s">
        <v>65</v>
      </c>
      <c r="E135" s="44" t="s">
        <v>1699</v>
      </c>
      <c r="F135" s="39" t="s">
        <v>51</v>
      </c>
      <c r="G135" s="48">
        <v>17</v>
      </c>
      <c r="H135" s="44" t="s">
        <v>1467</v>
      </c>
      <c r="I135" s="63"/>
      <c r="EP135" s="80"/>
    </row>
    <row r="136" spans="1:146" s="79" customFormat="1" ht="218.4" x14ac:dyDescent="0.3">
      <c r="A136" s="39">
        <v>4</v>
      </c>
      <c r="B136" s="39">
        <v>4</v>
      </c>
      <c r="C136" s="39" t="s">
        <v>77</v>
      </c>
      <c r="D136" s="44" t="s">
        <v>65</v>
      </c>
      <c r="E136" s="44" t="s">
        <v>1468</v>
      </c>
      <c r="F136" s="39" t="s">
        <v>51</v>
      </c>
      <c r="G136" s="48">
        <v>4</v>
      </c>
      <c r="H136" s="44" t="s">
        <v>1071</v>
      </c>
      <c r="I136" s="63"/>
      <c r="EP136" s="80"/>
    </row>
    <row r="137" spans="1:146" s="79" customFormat="1" ht="109.2" x14ac:dyDescent="0.3">
      <c r="A137" s="39">
        <v>4</v>
      </c>
      <c r="B137" s="39">
        <v>4</v>
      </c>
      <c r="C137" s="39" t="s">
        <v>77</v>
      </c>
      <c r="D137" s="44" t="s">
        <v>141</v>
      </c>
      <c r="E137" s="44" t="s">
        <v>1700</v>
      </c>
      <c r="F137" s="39" t="s">
        <v>63</v>
      </c>
      <c r="G137" s="48">
        <v>848</v>
      </c>
      <c r="H137" s="44" t="s">
        <v>1073</v>
      </c>
      <c r="I137" s="63"/>
      <c r="EP137" s="80"/>
    </row>
    <row r="138" spans="1:146" s="79" customFormat="1" ht="156" x14ac:dyDescent="0.3">
      <c r="A138" s="39">
        <v>4</v>
      </c>
      <c r="B138" s="39">
        <v>4</v>
      </c>
      <c r="C138" s="39" t="s">
        <v>77</v>
      </c>
      <c r="D138" s="44" t="s">
        <v>65</v>
      </c>
      <c r="E138" s="44" t="s">
        <v>1469</v>
      </c>
      <c r="F138" s="39" t="s">
        <v>63</v>
      </c>
      <c r="G138" s="48">
        <v>100</v>
      </c>
      <c r="H138" s="44" t="s">
        <v>699</v>
      </c>
      <c r="I138" s="63"/>
      <c r="EP138" s="80"/>
    </row>
    <row r="139" spans="1:146" s="79" customFormat="1" ht="156" x14ac:dyDescent="0.3">
      <c r="A139" s="39">
        <v>4</v>
      </c>
      <c r="B139" s="39">
        <v>4</v>
      </c>
      <c r="C139" s="39" t="s">
        <v>77</v>
      </c>
      <c r="D139" s="44" t="s">
        <v>65</v>
      </c>
      <c r="E139" s="44" t="s">
        <v>1701</v>
      </c>
      <c r="F139" s="39" t="s">
        <v>51</v>
      </c>
      <c r="G139" s="48">
        <v>82</v>
      </c>
      <c r="H139" s="44" t="s">
        <v>1702</v>
      </c>
      <c r="I139" s="63"/>
      <c r="EP139" s="80"/>
    </row>
    <row r="140" spans="1:146" s="79" customFormat="1" ht="171.6" x14ac:dyDescent="0.3">
      <c r="A140" s="39">
        <v>4</v>
      </c>
      <c r="B140" s="39">
        <v>4</v>
      </c>
      <c r="C140" s="39" t="s">
        <v>77</v>
      </c>
      <c r="D140" s="44" t="s">
        <v>65</v>
      </c>
      <c r="E140" s="44" t="s">
        <v>1703</v>
      </c>
      <c r="F140" s="39" t="s">
        <v>63</v>
      </c>
      <c r="G140" s="48">
        <v>6</v>
      </c>
      <c r="H140" s="44" t="s">
        <v>1072</v>
      </c>
      <c r="I140" s="63"/>
      <c r="EP140" s="80"/>
    </row>
    <row r="141" spans="1:146" s="79" customFormat="1" ht="109.2" x14ac:dyDescent="0.3">
      <c r="A141" s="39">
        <v>4</v>
      </c>
      <c r="B141" s="39">
        <v>4</v>
      </c>
      <c r="C141" s="39" t="s">
        <v>77</v>
      </c>
      <c r="D141" s="44" t="s">
        <v>1</v>
      </c>
      <c r="E141" s="44" t="s">
        <v>1704</v>
      </c>
      <c r="F141" s="39" t="s">
        <v>63</v>
      </c>
      <c r="G141" s="48">
        <v>38</v>
      </c>
      <c r="H141" s="44" t="s">
        <v>1705</v>
      </c>
      <c r="I141" s="63"/>
      <c r="EP141" s="80"/>
    </row>
    <row r="142" spans="1:146" s="83" customFormat="1" ht="124.8" x14ac:dyDescent="0.3">
      <c r="A142" s="39">
        <v>4</v>
      </c>
      <c r="B142" s="39">
        <v>4</v>
      </c>
      <c r="C142" s="39" t="s">
        <v>77</v>
      </c>
      <c r="D142" s="44" t="s">
        <v>1</v>
      </c>
      <c r="E142" s="44" t="s">
        <v>1063</v>
      </c>
      <c r="F142" s="39" t="s">
        <v>51</v>
      </c>
      <c r="G142" s="48">
        <v>13</v>
      </c>
      <c r="H142" s="44" t="s">
        <v>1064</v>
      </c>
      <c r="I142" s="63"/>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82"/>
    </row>
    <row r="143" spans="1:146" s="83" customFormat="1" ht="171.6" x14ac:dyDescent="0.3">
      <c r="A143" s="39">
        <v>4</v>
      </c>
      <c r="B143" s="39">
        <v>4</v>
      </c>
      <c r="C143" s="39" t="s">
        <v>77</v>
      </c>
      <c r="D143" s="44" t="s">
        <v>1</v>
      </c>
      <c r="E143" s="44" t="s">
        <v>1706</v>
      </c>
      <c r="F143" s="39" t="s">
        <v>63</v>
      </c>
      <c r="G143" s="48">
        <v>38</v>
      </c>
      <c r="H143" s="44" t="s">
        <v>1707</v>
      </c>
      <c r="I143" s="63"/>
      <c r="J143" s="79"/>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82"/>
    </row>
    <row r="144" spans="1:146" s="83" customFormat="1" ht="93.6" x14ac:dyDescent="0.3">
      <c r="A144" s="39">
        <v>4</v>
      </c>
      <c r="B144" s="39">
        <v>4</v>
      </c>
      <c r="C144" s="39" t="s">
        <v>77</v>
      </c>
      <c r="D144" s="44" t="s">
        <v>1</v>
      </c>
      <c r="E144" s="44" t="s">
        <v>1708</v>
      </c>
      <c r="F144" s="39" t="s">
        <v>63</v>
      </c>
      <c r="G144" s="48">
        <v>1</v>
      </c>
      <c r="H144" s="44" t="s">
        <v>1709</v>
      </c>
      <c r="I144" s="63"/>
      <c r="J144" s="79"/>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82"/>
    </row>
    <row r="145" spans="1:146" s="83" customFormat="1" x14ac:dyDescent="0.3">
      <c r="A145" s="9">
        <v>5</v>
      </c>
      <c r="B145" s="9">
        <v>1</v>
      </c>
      <c r="C145" s="9" t="s">
        <v>95</v>
      </c>
      <c r="D145" s="17" t="s">
        <v>65</v>
      </c>
      <c r="E145" s="17" t="s">
        <v>1710</v>
      </c>
      <c r="F145" s="19" t="s">
        <v>51</v>
      </c>
      <c r="G145" s="19">
        <v>1</v>
      </c>
      <c r="H145" s="17" t="s">
        <v>98</v>
      </c>
      <c r="I145" s="63"/>
      <c r="J145" s="79"/>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82"/>
    </row>
    <row r="146" spans="1:146" s="83" customFormat="1" x14ac:dyDescent="0.3">
      <c r="A146" s="9">
        <v>5</v>
      </c>
      <c r="B146" s="9">
        <v>1</v>
      </c>
      <c r="C146" s="9" t="s">
        <v>95</v>
      </c>
      <c r="D146" s="17" t="s">
        <v>1</v>
      </c>
      <c r="E146" s="123" t="s">
        <v>1711</v>
      </c>
      <c r="F146" s="19" t="s">
        <v>51</v>
      </c>
      <c r="G146" s="19">
        <v>10</v>
      </c>
      <c r="H146" s="17" t="s">
        <v>96</v>
      </c>
      <c r="I146" s="63"/>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82"/>
    </row>
    <row r="147" spans="1:146" s="83" customFormat="1" x14ac:dyDescent="0.3">
      <c r="A147" s="9">
        <v>5</v>
      </c>
      <c r="B147" s="9">
        <v>1</v>
      </c>
      <c r="C147" s="9" t="s">
        <v>95</v>
      </c>
      <c r="D147" s="17" t="s">
        <v>65</v>
      </c>
      <c r="E147" s="123" t="s">
        <v>1712</v>
      </c>
      <c r="F147" s="19" t="s">
        <v>51</v>
      </c>
      <c r="G147" s="19">
        <v>84</v>
      </c>
      <c r="H147" s="17" t="s">
        <v>97</v>
      </c>
      <c r="I147" s="63"/>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82"/>
    </row>
    <row r="148" spans="1:146" s="83" customFormat="1" x14ac:dyDescent="0.3">
      <c r="A148" s="26">
        <v>5</v>
      </c>
      <c r="B148" s="26" t="s">
        <v>95</v>
      </c>
      <c r="C148" s="26">
        <v>2</v>
      </c>
      <c r="D148" s="32" t="s">
        <v>4</v>
      </c>
      <c r="E148" s="32" t="s">
        <v>671</v>
      </c>
      <c r="F148" s="26" t="s">
        <v>51</v>
      </c>
      <c r="G148" s="36">
        <v>67</v>
      </c>
      <c r="H148" s="32" t="s">
        <v>594</v>
      </c>
      <c r="I148" s="63"/>
      <c r="J148" s="79"/>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82"/>
    </row>
    <row r="149" spans="1:146" s="83" customFormat="1" x14ac:dyDescent="0.3">
      <c r="A149" s="26">
        <v>5</v>
      </c>
      <c r="B149" s="26" t="s">
        <v>95</v>
      </c>
      <c r="C149" s="26">
        <v>2</v>
      </c>
      <c r="D149" s="32" t="s">
        <v>0</v>
      </c>
      <c r="E149" s="32" t="s">
        <v>619</v>
      </c>
      <c r="F149" s="26" t="s">
        <v>63</v>
      </c>
      <c r="G149" s="36">
        <v>33</v>
      </c>
      <c r="H149" s="32" t="s">
        <v>591</v>
      </c>
      <c r="I149" s="63"/>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82"/>
    </row>
    <row r="150" spans="1:146" s="83" customFormat="1" ht="144" customHeight="1" x14ac:dyDescent="0.3">
      <c r="A150" s="26">
        <v>5</v>
      </c>
      <c r="B150" s="26" t="s">
        <v>95</v>
      </c>
      <c r="C150" s="26">
        <v>2</v>
      </c>
      <c r="D150" s="32" t="s">
        <v>124</v>
      </c>
      <c r="E150" s="32" t="s">
        <v>622</v>
      </c>
      <c r="F150" s="26" t="s">
        <v>63</v>
      </c>
      <c r="G150" s="36">
        <v>15</v>
      </c>
      <c r="H150" s="32" t="s">
        <v>596</v>
      </c>
      <c r="I150" s="63"/>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82"/>
    </row>
    <row r="151" spans="1:146" s="83" customFormat="1" ht="31.2" x14ac:dyDescent="0.3">
      <c r="A151" s="26">
        <v>5</v>
      </c>
      <c r="B151" s="26" t="s">
        <v>95</v>
      </c>
      <c r="C151" s="26">
        <v>2</v>
      </c>
      <c r="D151" s="32" t="s">
        <v>124</v>
      </c>
      <c r="E151" s="32" t="s">
        <v>659</v>
      </c>
      <c r="F151" s="26" t="s">
        <v>63</v>
      </c>
      <c r="G151" s="36">
        <v>5</v>
      </c>
      <c r="H151" s="32" t="s">
        <v>597</v>
      </c>
      <c r="I151" s="63"/>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82"/>
    </row>
    <row r="152" spans="1:146" s="83" customFormat="1" x14ac:dyDescent="0.3">
      <c r="A152" s="26">
        <v>5</v>
      </c>
      <c r="B152" s="26" t="s">
        <v>95</v>
      </c>
      <c r="C152" s="26">
        <v>2</v>
      </c>
      <c r="D152" s="32" t="s">
        <v>1</v>
      </c>
      <c r="E152" s="32" t="s">
        <v>626</v>
      </c>
      <c r="F152" s="26" t="s">
        <v>51</v>
      </c>
      <c r="G152" s="36">
        <v>5</v>
      </c>
      <c r="H152" s="32" t="s">
        <v>600</v>
      </c>
      <c r="I152" s="63"/>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82"/>
    </row>
    <row r="153" spans="1:146" s="83" customFormat="1" x14ac:dyDescent="0.3">
      <c r="A153" s="26">
        <v>5</v>
      </c>
      <c r="B153" s="26" t="s">
        <v>95</v>
      </c>
      <c r="C153" s="26">
        <v>2</v>
      </c>
      <c r="D153" s="35" t="s">
        <v>1</v>
      </c>
      <c r="E153" s="28" t="s">
        <v>627</v>
      </c>
      <c r="F153" s="34" t="s">
        <v>51</v>
      </c>
      <c r="G153" s="34">
        <v>22</v>
      </c>
      <c r="H153" s="35" t="s">
        <v>600</v>
      </c>
      <c r="I153" s="63"/>
      <c r="J153" s="79"/>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82"/>
    </row>
    <row r="154" spans="1:146" s="83" customFormat="1" ht="31.2" x14ac:dyDescent="0.3">
      <c r="A154" s="26">
        <v>5</v>
      </c>
      <c r="B154" s="26" t="s">
        <v>95</v>
      </c>
      <c r="C154" s="26">
        <v>2</v>
      </c>
      <c r="D154" s="32" t="s">
        <v>375</v>
      </c>
      <c r="E154" s="32" t="s">
        <v>615</v>
      </c>
      <c r="F154" s="26" t="s">
        <v>51</v>
      </c>
      <c r="G154" s="36">
        <v>154</v>
      </c>
      <c r="H154" s="32" t="s">
        <v>97</v>
      </c>
      <c r="I154" s="63"/>
      <c r="J154" s="79"/>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82"/>
    </row>
    <row r="155" spans="1:146" s="83" customFormat="1" ht="31.2" x14ac:dyDescent="0.3">
      <c r="A155" s="26">
        <v>5</v>
      </c>
      <c r="B155" s="26" t="s">
        <v>95</v>
      </c>
      <c r="C155" s="26">
        <v>2</v>
      </c>
      <c r="D155" s="32" t="s">
        <v>375</v>
      </c>
      <c r="E155" s="32" t="s">
        <v>616</v>
      </c>
      <c r="F155" s="26" t="s">
        <v>51</v>
      </c>
      <c r="G155" s="36">
        <v>43</v>
      </c>
      <c r="H155" s="32" t="s">
        <v>588</v>
      </c>
      <c r="I155" s="63"/>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82"/>
    </row>
    <row r="156" spans="1:146" s="83" customFormat="1" x14ac:dyDescent="0.3">
      <c r="A156" s="26">
        <v>5</v>
      </c>
      <c r="B156" s="26" t="s">
        <v>95</v>
      </c>
      <c r="C156" s="26">
        <v>2</v>
      </c>
      <c r="D156" s="32" t="s">
        <v>375</v>
      </c>
      <c r="E156" s="32" t="s">
        <v>617</v>
      </c>
      <c r="F156" s="26" t="s">
        <v>63</v>
      </c>
      <c r="G156" s="36">
        <v>15</v>
      </c>
      <c r="H156" s="32" t="s">
        <v>589</v>
      </c>
      <c r="I156" s="63"/>
      <c r="J156" s="79"/>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82"/>
    </row>
    <row r="157" spans="1:146" s="83" customFormat="1" x14ac:dyDescent="0.3">
      <c r="A157" s="26">
        <v>5</v>
      </c>
      <c r="B157" s="26" t="s">
        <v>95</v>
      </c>
      <c r="C157" s="26">
        <v>2</v>
      </c>
      <c r="D157" s="32" t="s">
        <v>375</v>
      </c>
      <c r="E157" s="32" t="s">
        <v>618</v>
      </c>
      <c r="F157" s="26" t="s">
        <v>51</v>
      </c>
      <c r="G157" s="36">
        <v>250</v>
      </c>
      <c r="H157" s="32" t="s">
        <v>590</v>
      </c>
      <c r="I157" s="63"/>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82"/>
    </row>
    <row r="158" spans="1:146" s="83" customFormat="1" ht="31.2" x14ac:dyDescent="0.3">
      <c r="A158" s="26">
        <v>5</v>
      </c>
      <c r="B158" s="26" t="s">
        <v>95</v>
      </c>
      <c r="C158" s="26">
        <v>2</v>
      </c>
      <c r="D158" s="32" t="s">
        <v>375</v>
      </c>
      <c r="E158" s="32" t="s">
        <v>620</v>
      </c>
      <c r="F158" s="26" t="s">
        <v>51</v>
      </c>
      <c r="G158" s="36">
        <v>6</v>
      </c>
      <c r="H158" s="32" t="s">
        <v>592</v>
      </c>
      <c r="I158" s="63"/>
      <c r="J158" s="79"/>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82"/>
    </row>
    <row r="159" spans="1:146" s="83" customFormat="1" x14ac:dyDescent="0.3">
      <c r="A159" s="26">
        <v>5</v>
      </c>
      <c r="B159" s="26" t="s">
        <v>95</v>
      </c>
      <c r="C159" s="26">
        <v>2</v>
      </c>
      <c r="D159" s="32" t="s">
        <v>375</v>
      </c>
      <c r="E159" s="32" t="s">
        <v>672</v>
      </c>
      <c r="F159" s="26" t="s">
        <v>51</v>
      </c>
      <c r="G159" s="36">
        <v>182</v>
      </c>
      <c r="H159" s="32" t="s">
        <v>593</v>
      </c>
      <c r="I159" s="63"/>
      <c r="J159" s="79"/>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82"/>
    </row>
    <row r="160" spans="1:146" s="83" customFormat="1" ht="31.2" x14ac:dyDescent="0.3">
      <c r="A160" s="26">
        <v>5</v>
      </c>
      <c r="B160" s="26" t="s">
        <v>95</v>
      </c>
      <c r="C160" s="26">
        <v>2</v>
      </c>
      <c r="D160" s="32" t="s">
        <v>375</v>
      </c>
      <c r="E160" s="32" t="s">
        <v>621</v>
      </c>
      <c r="F160" s="26" t="s">
        <v>51</v>
      </c>
      <c r="G160" s="36">
        <v>1000</v>
      </c>
      <c r="H160" s="32" t="s">
        <v>595</v>
      </c>
      <c r="I160" s="63"/>
      <c r="J160" s="79"/>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82"/>
    </row>
    <row r="161" spans="1:146" s="83" customFormat="1" x14ac:dyDescent="0.3">
      <c r="A161" s="26">
        <v>5</v>
      </c>
      <c r="B161" s="26" t="s">
        <v>95</v>
      </c>
      <c r="C161" s="26">
        <v>2</v>
      </c>
      <c r="D161" s="32" t="s">
        <v>375</v>
      </c>
      <c r="E161" s="32" t="s">
        <v>623</v>
      </c>
      <c r="F161" s="26" t="s">
        <v>63</v>
      </c>
      <c r="G161" s="36">
        <v>33</v>
      </c>
      <c r="H161" s="32" t="s">
        <v>598</v>
      </c>
      <c r="I161" s="63"/>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82"/>
    </row>
    <row r="162" spans="1:146" s="83" customFormat="1" x14ac:dyDescent="0.3">
      <c r="A162" s="26">
        <v>5</v>
      </c>
      <c r="B162" s="26" t="s">
        <v>95</v>
      </c>
      <c r="C162" s="26">
        <v>2</v>
      </c>
      <c r="D162" s="32" t="s">
        <v>375</v>
      </c>
      <c r="E162" s="32" t="s">
        <v>624</v>
      </c>
      <c r="F162" s="26" t="s">
        <v>51</v>
      </c>
      <c r="G162" s="36">
        <v>8</v>
      </c>
      <c r="H162" s="32" t="s">
        <v>599</v>
      </c>
      <c r="I162" s="63"/>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82"/>
    </row>
    <row r="163" spans="1:146" s="83" customFormat="1" x14ac:dyDescent="0.3">
      <c r="A163" s="26">
        <v>5</v>
      </c>
      <c r="B163" s="26" t="s">
        <v>95</v>
      </c>
      <c r="C163" s="26">
        <v>2</v>
      </c>
      <c r="D163" s="32" t="s">
        <v>375</v>
      </c>
      <c r="E163" s="32" t="s">
        <v>625</v>
      </c>
      <c r="F163" s="26" t="s">
        <v>51</v>
      </c>
      <c r="G163" s="36">
        <v>5</v>
      </c>
      <c r="H163" s="32" t="s">
        <v>598</v>
      </c>
      <c r="I163" s="63"/>
      <c r="J163" s="79"/>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82"/>
    </row>
    <row r="164" spans="1:146" s="83" customFormat="1" x14ac:dyDescent="0.3">
      <c r="A164" s="26">
        <v>5</v>
      </c>
      <c r="B164" s="26" t="s">
        <v>95</v>
      </c>
      <c r="C164" s="26">
        <v>2</v>
      </c>
      <c r="D164" s="35" t="s">
        <v>375</v>
      </c>
      <c r="E164" s="33" t="s">
        <v>628</v>
      </c>
      <c r="F164" s="34" t="s">
        <v>51</v>
      </c>
      <c r="G164" s="34">
        <v>12</v>
      </c>
      <c r="H164" s="35" t="s">
        <v>601</v>
      </c>
      <c r="I164" s="63"/>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82"/>
    </row>
    <row r="165" spans="1:146" s="83" customFormat="1" x14ac:dyDescent="0.3">
      <c r="A165" s="26">
        <v>5</v>
      </c>
      <c r="B165" s="26" t="s">
        <v>95</v>
      </c>
      <c r="C165" s="26">
        <v>2</v>
      </c>
      <c r="D165" s="31" t="s">
        <v>375</v>
      </c>
      <c r="E165" s="29" t="s">
        <v>629</v>
      </c>
      <c r="F165" s="30" t="s">
        <v>63</v>
      </c>
      <c r="G165" s="30">
        <v>19</v>
      </c>
      <c r="H165" s="31" t="s">
        <v>602</v>
      </c>
      <c r="I165" s="63"/>
      <c r="J165" s="79"/>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82"/>
    </row>
    <row r="166" spans="1:146" s="83" customFormat="1" x14ac:dyDescent="0.3">
      <c r="A166" s="26">
        <v>5</v>
      </c>
      <c r="B166" s="26" t="s">
        <v>95</v>
      </c>
      <c r="C166" s="26">
        <v>2</v>
      </c>
      <c r="D166" s="31" t="s">
        <v>375</v>
      </c>
      <c r="E166" s="29" t="s">
        <v>630</v>
      </c>
      <c r="F166" s="30" t="s">
        <v>51</v>
      </c>
      <c r="G166" s="30">
        <v>4</v>
      </c>
      <c r="H166" s="31" t="s">
        <v>603</v>
      </c>
      <c r="I166" s="63"/>
      <c r="J166" s="79"/>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82"/>
    </row>
    <row r="167" spans="1:146" s="83" customFormat="1" ht="31.2" x14ac:dyDescent="0.3">
      <c r="A167" s="57">
        <v>5</v>
      </c>
      <c r="B167" s="57" t="s">
        <v>95</v>
      </c>
      <c r="C167" s="57">
        <v>3</v>
      </c>
      <c r="D167" s="58" t="s">
        <v>4</v>
      </c>
      <c r="E167" s="58" t="s">
        <v>1038</v>
      </c>
      <c r="F167" s="57" t="s">
        <v>63</v>
      </c>
      <c r="G167" s="59">
        <v>54</v>
      </c>
      <c r="H167" s="58" t="s">
        <v>980</v>
      </c>
      <c r="I167" s="63"/>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82"/>
    </row>
    <row r="168" spans="1:146" s="83" customFormat="1" ht="31.2" x14ac:dyDescent="0.3">
      <c r="A168" s="57">
        <v>5</v>
      </c>
      <c r="B168" s="57" t="s">
        <v>95</v>
      </c>
      <c r="C168" s="57">
        <v>3</v>
      </c>
      <c r="D168" s="58" t="s">
        <v>1</v>
      </c>
      <c r="E168" s="58" t="s">
        <v>1039</v>
      </c>
      <c r="F168" s="57" t="s">
        <v>63</v>
      </c>
      <c r="G168" s="59">
        <v>675</v>
      </c>
      <c r="H168" s="58" t="s">
        <v>971</v>
      </c>
      <c r="I168" s="63"/>
      <c r="J168" s="79"/>
      <c r="K168" s="79"/>
      <c r="L168" s="79"/>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82"/>
    </row>
    <row r="169" spans="1:146" s="83" customFormat="1" x14ac:dyDescent="0.3">
      <c r="A169" s="57">
        <v>5</v>
      </c>
      <c r="B169" s="57" t="s">
        <v>95</v>
      </c>
      <c r="C169" s="57">
        <v>3</v>
      </c>
      <c r="D169" s="58" t="s">
        <v>1</v>
      </c>
      <c r="E169" s="58" t="s">
        <v>1040</v>
      </c>
      <c r="F169" s="57" t="s">
        <v>51</v>
      </c>
      <c r="G169" s="59">
        <v>22</v>
      </c>
      <c r="H169" s="58" t="s">
        <v>972</v>
      </c>
      <c r="I169" s="63"/>
      <c r="J169" s="79"/>
      <c r="K169" s="79"/>
      <c r="L169" s="79"/>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82"/>
    </row>
    <row r="170" spans="1:146" s="83" customFormat="1" ht="31.2" x14ac:dyDescent="0.3">
      <c r="A170" s="57">
        <v>5</v>
      </c>
      <c r="B170" s="57" t="s">
        <v>95</v>
      </c>
      <c r="C170" s="57">
        <v>3</v>
      </c>
      <c r="D170" s="58" t="s">
        <v>375</v>
      </c>
      <c r="E170" s="58" t="s">
        <v>1041</v>
      </c>
      <c r="F170" s="57" t="s">
        <v>63</v>
      </c>
      <c r="G170" s="59">
        <v>5</v>
      </c>
      <c r="H170" s="58" t="s">
        <v>974</v>
      </c>
      <c r="I170" s="63"/>
      <c r="J170" s="79"/>
      <c r="K170" s="79"/>
      <c r="L170" s="79"/>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82"/>
    </row>
    <row r="171" spans="1:146" s="83" customFormat="1" x14ac:dyDescent="0.3">
      <c r="A171" s="57">
        <v>5</v>
      </c>
      <c r="B171" s="57" t="s">
        <v>95</v>
      </c>
      <c r="C171" s="57">
        <v>3</v>
      </c>
      <c r="D171" s="58" t="s">
        <v>375</v>
      </c>
      <c r="E171" s="58" t="s">
        <v>1042</v>
      </c>
      <c r="F171" s="57" t="s">
        <v>51</v>
      </c>
      <c r="G171" s="59">
        <v>9</v>
      </c>
      <c r="H171" s="58" t="s">
        <v>997</v>
      </c>
      <c r="I171" s="63"/>
      <c r="J171" s="79"/>
      <c r="K171" s="79"/>
      <c r="L171" s="79"/>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82"/>
    </row>
    <row r="172" spans="1:146" s="83" customFormat="1" ht="31.2" x14ac:dyDescent="0.3">
      <c r="A172" s="57">
        <v>5</v>
      </c>
      <c r="B172" s="57" t="s">
        <v>95</v>
      </c>
      <c r="C172" s="57">
        <v>3</v>
      </c>
      <c r="D172" s="58" t="s">
        <v>375</v>
      </c>
      <c r="E172" s="58" t="s">
        <v>1043</v>
      </c>
      <c r="F172" s="57" t="s">
        <v>51</v>
      </c>
      <c r="G172" s="59">
        <v>8</v>
      </c>
      <c r="H172" s="58" t="s">
        <v>975</v>
      </c>
      <c r="I172" s="63"/>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82"/>
    </row>
    <row r="173" spans="1:146" s="83" customFormat="1" ht="31.2" x14ac:dyDescent="0.3">
      <c r="A173" s="57">
        <v>5</v>
      </c>
      <c r="B173" s="57" t="s">
        <v>95</v>
      </c>
      <c r="C173" s="57">
        <v>3</v>
      </c>
      <c r="D173" s="58" t="s">
        <v>375</v>
      </c>
      <c r="E173" s="58" t="s">
        <v>1044</v>
      </c>
      <c r="F173" s="57" t="s">
        <v>63</v>
      </c>
      <c r="G173" s="59">
        <v>6</v>
      </c>
      <c r="H173" s="58" t="s">
        <v>998</v>
      </c>
      <c r="I173" s="63"/>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82"/>
    </row>
    <row r="174" spans="1:146" s="83" customFormat="1" ht="31.2" x14ac:dyDescent="0.3">
      <c r="A174" s="57">
        <v>5</v>
      </c>
      <c r="B174" s="57" t="s">
        <v>95</v>
      </c>
      <c r="C174" s="57">
        <v>3</v>
      </c>
      <c r="D174" s="58" t="s">
        <v>375</v>
      </c>
      <c r="E174" s="58" t="s">
        <v>1045</v>
      </c>
      <c r="F174" s="57" t="s">
        <v>63</v>
      </c>
      <c r="G174" s="59">
        <v>4</v>
      </c>
      <c r="H174" s="58" t="s">
        <v>976</v>
      </c>
      <c r="I174" s="63"/>
      <c r="J174" s="79"/>
      <c r="K174" s="79"/>
      <c r="L174" s="79"/>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82"/>
    </row>
    <row r="175" spans="1:146" s="83" customFormat="1" x14ac:dyDescent="0.3">
      <c r="A175" s="57">
        <v>5</v>
      </c>
      <c r="B175" s="57" t="s">
        <v>95</v>
      </c>
      <c r="C175" s="57">
        <v>3</v>
      </c>
      <c r="D175" s="58" t="s">
        <v>1</v>
      </c>
      <c r="E175" s="58" t="s">
        <v>977</v>
      </c>
      <c r="F175" s="57" t="s">
        <v>51</v>
      </c>
      <c r="G175" s="59">
        <v>13</v>
      </c>
      <c r="H175" s="58" t="s">
        <v>600</v>
      </c>
      <c r="I175" s="63"/>
      <c r="J175" s="79"/>
      <c r="K175" s="79"/>
      <c r="L175" s="79"/>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82"/>
    </row>
    <row r="176" spans="1:146" s="83" customFormat="1" ht="31.2" x14ac:dyDescent="0.3">
      <c r="A176" s="57">
        <v>5</v>
      </c>
      <c r="B176" s="57" t="s">
        <v>95</v>
      </c>
      <c r="C176" s="57">
        <v>3</v>
      </c>
      <c r="D176" s="58" t="s">
        <v>1</v>
      </c>
      <c r="E176" s="58" t="s">
        <v>1046</v>
      </c>
      <c r="F176" s="57" t="s">
        <v>51</v>
      </c>
      <c r="G176" s="59">
        <v>270</v>
      </c>
      <c r="H176" s="58" t="s">
        <v>982</v>
      </c>
      <c r="I176" s="63"/>
      <c r="J176" s="79"/>
      <c r="K176" s="79"/>
      <c r="L176" s="79"/>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82"/>
    </row>
    <row r="177" spans="1:147" s="83" customFormat="1" x14ac:dyDescent="0.3">
      <c r="A177" s="57">
        <v>5</v>
      </c>
      <c r="B177" s="57" t="s">
        <v>95</v>
      </c>
      <c r="C177" s="57">
        <v>3</v>
      </c>
      <c r="D177" s="58" t="s">
        <v>375</v>
      </c>
      <c r="E177" s="58" t="s">
        <v>1047</v>
      </c>
      <c r="F177" s="57" t="s">
        <v>51</v>
      </c>
      <c r="G177" s="59">
        <v>114</v>
      </c>
      <c r="H177" s="58" t="s">
        <v>969</v>
      </c>
      <c r="I177" s="63"/>
      <c r="J177" s="79"/>
      <c r="K177" s="79"/>
      <c r="L177" s="79"/>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82"/>
    </row>
    <row r="178" spans="1:147" s="83" customFormat="1" x14ac:dyDescent="0.3">
      <c r="A178" s="57">
        <v>5</v>
      </c>
      <c r="B178" s="57" t="s">
        <v>95</v>
      </c>
      <c r="C178" s="57">
        <v>3</v>
      </c>
      <c r="D178" s="58" t="s">
        <v>375</v>
      </c>
      <c r="E178" s="58" t="s">
        <v>1048</v>
      </c>
      <c r="F178" s="57" t="s">
        <v>63</v>
      </c>
      <c r="G178" s="59">
        <v>10</v>
      </c>
      <c r="H178" s="58" t="s">
        <v>970</v>
      </c>
      <c r="I178" s="63"/>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82"/>
    </row>
    <row r="179" spans="1:147" s="83" customFormat="1" x14ac:dyDescent="0.3">
      <c r="A179" s="57">
        <v>5</v>
      </c>
      <c r="B179" s="57" t="s">
        <v>95</v>
      </c>
      <c r="C179" s="57">
        <v>3</v>
      </c>
      <c r="D179" s="58" t="s">
        <v>375</v>
      </c>
      <c r="E179" s="58" t="s">
        <v>1049</v>
      </c>
      <c r="F179" s="57" t="s">
        <v>63</v>
      </c>
      <c r="G179" s="59">
        <v>38</v>
      </c>
      <c r="H179" s="58" t="s">
        <v>591</v>
      </c>
      <c r="I179" s="63"/>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82"/>
    </row>
    <row r="180" spans="1:147" x14ac:dyDescent="0.3">
      <c r="A180" s="57">
        <v>5</v>
      </c>
      <c r="B180" s="57" t="s">
        <v>95</v>
      </c>
      <c r="C180" s="57">
        <v>3</v>
      </c>
      <c r="D180" s="58" t="s">
        <v>375</v>
      </c>
      <c r="E180" s="58" t="s">
        <v>1051</v>
      </c>
      <c r="F180" s="57" t="s">
        <v>51</v>
      </c>
      <c r="G180" s="59">
        <v>56</v>
      </c>
      <c r="H180" s="58" t="s">
        <v>973</v>
      </c>
      <c r="I180" s="63"/>
      <c r="EP180" s="80"/>
      <c r="EQ180" s="84"/>
    </row>
    <row r="181" spans="1:147" x14ac:dyDescent="0.3">
      <c r="A181" s="57">
        <v>5</v>
      </c>
      <c r="B181" s="57" t="s">
        <v>95</v>
      </c>
      <c r="C181" s="57">
        <v>3</v>
      </c>
      <c r="D181" s="58" t="s">
        <v>375</v>
      </c>
      <c r="E181" s="58" t="s">
        <v>1050</v>
      </c>
      <c r="F181" s="57" t="s">
        <v>63</v>
      </c>
      <c r="G181" s="59">
        <v>50</v>
      </c>
      <c r="H181" s="58" t="s">
        <v>978</v>
      </c>
      <c r="I181" s="63"/>
      <c r="EP181" s="80"/>
      <c r="EQ181" s="84"/>
    </row>
    <row r="182" spans="1:147" s="79" customFormat="1" x14ac:dyDescent="0.3">
      <c r="A182" s="57">
        <v>5</v>
      </c>
      <c r="B182" s="57" t="s">
        <v>95</v>
      </c>
      <c r="C182" s="57">
        <v>3</v>
      </c>
      <c r="D182" s="58" t="s">
        <v>375</v>
      </c>
      <c r="E182" s="58" t="s">
        <v>1052</v>
      </c>
      <c r="F182" s="57" t="s">
        <v>51</v>
      </c>
      <c r="G182" s="59">
        <v>69</v>
      </c>
      <c r="H182" s="58" t="s">
        <v>979</v>
      </c>
      <c r="I182" s="63"/>
      <c r="EP182" s="80"/>
    </row>
    <row r="183" spans="1:147" s="79" customFormat="1" x14ac:dyDescent="0.3">
      <c r="A183" s="57">
        <v>5</v>
      </c>
      <c r="B183" s="57" t="s">
        <v>95</v>
      </c>
      <c r="C183" s="57">
        <v>3</v>
      </c>
      <c r="D183" s="58" t="s">
        <v>375</v>
      </c>
      <c r="E183" s="58" t="s">
        <v>1053</v>
      </c>
      <c r="F183" s="57" t="s">
        <v>51</v>
      </c>
      <c r="G183" s="59">
        <v>53</v>
      </c>
      <c r="H183" s="58" t="s">
        <v>979</v>
      </c>
      <c r="I183" s="63"/>
      <c r="EP183" s="80"/>
    </row>
    <row r="184" spans="1:147" s="79" customFormat="1" ht="31.2" x14ac:dyDescent="0.3">
      <c r="A184" s="57">
        <v>5</v>
      </c>
      <c r="B184" s="57" t="s">
        <v>95</v>
      </c>
      <c r="C184" s="57">
        <v>3</v>
      </c>
      <c r="D184" s="58" t="s">
        <v>375</v>
      </c>
      <c r="E184" s="58" t="s">
        <v>1054</v>
      </c>
      <c r="F184" s="57" t="s">
        <v>63</v>
      </c>
      <c r="G184" s="59">
        <v>151</v>
      </c>
      <c r="H184" s="58" t="s">
        <v>981</v>
      </c>
      <c r="I184" s="63"/>
      <c r="EP184" s="80"/>
    </row>
    <row r="185" spans="1:147" s="79" customFormat="1" x14ac:dyDescent="0.3">
      <c r="A185" s="39">
        <v>5</v>
      </c>
      <c r="B185" s="39" t="s">
        <v>95</v>
      </c>
      <c r="C185" s="39">
        <v>4</v>
      </c>
      <c r="D185" s="46" t="s">
        <v>375</v>
      </c>
      <c r="E185" s="105" t="s">
        <v>1074</v>
      </c>
      <c r="F185" s="45" t="s">
        <v>63</v>
      </c>
      <c r="G185" s="45" t="s">
        <v>1075</v>
      </c>
      <c r="H185" s="46" t="s">
        <v>979</v>
      </c>
      <c r="I185" s="63"/>
      <c r="EP185" s="80"/>
    </row>
    <row r="186" spans="1:147" s="79" customFormat="1" x14ac:dyDescent="0.3">
      <c r="A186" s="39">
        <v>5</v>
      </c>
      <c r="B186" s="39" t="s">
        <v>95</v>
      </c>
      <c r="C186" s="39">
        <v>4</v>
      </c>
      <c r="D186" s="42" t="s">
        <v>375</v>
      </c>
      <c r="E186" s="40" t="s">
        <v>1076</v>
      </c>
      <c r="F186" s="41" t="s">
        <v>63</v>
      </c>
      <c r="G186" s="41" t="s">
        <v>1077</v>
      </c>
      <c r="H186" s="42" t="s">
        <v>600</v>
      </c>
      <c r="I186" s="63"/>
      <c r="EP186" s="80"/>
    </row>
    <row r="187" spans="1:147" s="79" customFormat="1" x14ac:dyDescent="0.3">
      <c r="A187" s="39">
        <v>5</v>
      </c>
      <c r="B187" s="39" t="s">
        <v>95</v>
      </c>
      <c r="C187" s="39">
        <v>4</v>
      </c>
      <c r="D187" s="42" t="s">
        <v>375</v>
      </c>
      <c r="E187" s="40" t="s">
        <v>1078</v>
      </c>
      <c r="F187" s="41" t="s">
        <v>63</v>
      </c>
      <c r="G187" s="41" t="s">
        <v>1079</v>
      </c>
      <c r="H187" s="42" t="s">
        <v>979</v>
      </c>
      <c r="I187" s="63"/>
      <c r="EP187" s="80"/>
    </row>
    <row r="188" spans="1:147" s="79" customFormat="1" x14ac:dyDescent="0.3">
      <c r="A188" s="39">
        <v>5</v>
      </c>
      <c r="B188" s="39" t="s">
        <v>95</v>
      </c>
      <c r="C188" s="39">
        <v>4</v>
      </c>
      <c r="D188" s="42" t="s">
        <v>375</v>
      </c>
      <c r="E188" s="40" t="s">
        <v>1080</v>
      </c>
      <c r="F188" s="41" t="s">
        <v>63</v>
      </c>
      <c r="G188" s="41" t="s">
        <v>1081</v>
      </c>
      <c r="H188" s="42" t="s">
        <v>979</v>
      </c>
      <c r="I188" s="63"/>
      <c r="EP188" s="80"/>
    </row>
    <row r="189" spans="1:147" s="79" customFormat="1" x14ac:dyDescent="0.3">
      <c r="A189" s="39">
        <v>5</v>
      </c>
      <c r="B189" s="39" t="s">
        <v>95</v>
      </c>
      <c r="C189" s="39">
        <v>4</v>
      </c>
      <c r="D189" s="42" t="s">
        <v>1</v>
      </c>
      <c r="E189" s="40" t="s">
        <v>1082</v>
      </c>
      <c r="F189" s="41" t="s">
        <v>63</v>
      </c>
      <c r="G189" s="41">
        <v>265</v>
      </c>
      <c r="H189" s="42" t="s">
        <v>982</v>
      </c>
      <c r="I189" s="63"/>
      <c r="EP189" s="80"/>
    </row>
    <row r="190" spans="1:147" s="79" customFormat="1" x14ac:dyDescent="0.3">
      <c r="A190" s="39">
        <v>5</v>
      </c>
      <c r="B190" s="39" t="s">
        <v>95</v>
      </c>
      <c r="C190" s="39">
        <v>4</v>
      </c>
      <c r="D190" s="42" t="s">
        <v>0</v>
      </c>
      <c r="E190" s="40" t="s">
        <v>1083</v>
      </c>
      <c r="F190" s="41" t="s">
        <v>63</v>
      </c>
      <c r="G190" s="41" t="s">
        <v>1084</v>
      </c>
      <c r="H190" s="42" t="s">
        <v>1085</v>
      </c>
      <c r="I190" s="63"/>
      <c r="EP190" s="80"/>
    </row>
    <row r="191" spans="1:147" s="79" customFormat="1" x14ac:dyDescent="0.3">
      <c r="A191" s="39">
        <v>5</v>
      </c>
      <c r="B191" s="39" t="s">
        <v>95</v>
      </c>
      <c r="C191" s="39">
        <v>4</v>
      </c>
      <c r="D191" s="42" t="s">
        <v>1</v>
      </c>
      <c r="E191" s="40" t="s">
        <v>1086</v>
      </c>
      <c r="F191" s="41" t="s">
        <v>63</v>
      </c>
      <c r="G191" s="41">
        <v>14</v>
      </c>
      <c r="H191" s="42" t="s">
        <v>600</v>
      </c>
      <c r="I191" s="63"/>
      <c r="EP191" s="80"/>
    </row>
    <row r="192" spans="1:147" s="79" customFormat="1" ht="31.2" x14ac:dyDescent="0.3">
      <c r="A192" s="39">
        <v>5</v>
      </c>
      <c r="B192" s="39" t="s">
        <v>95</v>
      </c>
      <c r="C192" s="39">
        <v>4</v>
      </c>
      <c r="D192" s="46" t="s">
        <v>375</v>
      </c>
      <c r="E192" s="46" t="s">
        <v>1087</v>
      </c>
      <c r="F192" s="45" t="s">
        <v>63</v>
      </c>
      <c r="G192" s="45" t="s">
        <v>1088</v>
      </c>
      <c r="H192" s="46" t="s">
        <v>969</v>
      </c>
      <c r="I192" s="63"/>
      <c r="EP192" s="80"/>
    </row>
    <row r="193" spans="1:146" s="79" customFormat="1" x14ac:dyDescent="0.3">
      <c r="A193" s="39">
        <v>5</v>
      </c>
      <c r="B193" s="39" t="s">
        <v>95</v>
      </c>
      <c r="C193" s="39">
        <v>4</v>
      </c>
      <c r="D193" s="46" t="s">
        <v>375</v>
      </c>
      <c r="E193" s="47" t="s">
        <v>1089</v>
      </c>
      <c r="F193" s="45" t="s">
        <v>63</v>
      </c>
      <c r="G193" s="45" t="s">
        <v>1470</v>
      </c>
      <c r="H193" s="46" t="s">
        <v>973</v>
      </c>
      <c r="I193" s="63"/>
      <c r="EP193" s="80"/>
    </row>
    <row r="194" spans="1:146" s="79" customFormat="1" ht="31.2" x14ac:dyDescent="0.3">
      <c r="A194" s="39">
        <v>5</v>
      </c>
      <c r="B194" s="39" t="s">
        <v>95</v>
      </c>
      <c r="C194" s="39">
        <v>4</v>
      </c>
      <c r="D194" s="46" t="s">
        <v>375</v>
      </c>
      <c r="E194" s="47" t="s">
        <v>1090</v>
      </c>
      <c r="F194" s="45" t="s">
        <v>63</v>
      </c>
      <c r="G194" s="45" t="s">
        <v>1091</v>
      </c>
      <c r="H194" s="46" t="s">
        <v>975</v>
      </c>
      <c r="I194" s="63"/>
      <c r="EP194" s="80"/>
    </row>
    <row r="195" spans="1:146" s="79" customFormat="1" x14ac:dyDescent="0.3">
      <c r="A195" s="9">
        <v>6</v>
      </c>
      <c r="B195" s="9" t="s">
        <v>99</v>
      </c>
      <c r="C195" s="9">
        <v>1</v>
      </c>
      <c r="D195" s="14" t="s">
        <v>119</v>
      </c>
      <c r="E195" s="14" t="s">
        <v>120</v>
      </c>
      <c r="F195" s="15" t="s">
        <v>63</v>
      </c>
      <c r="G195" s="15">
        <v>9</v>
      </c>
      <c r="H195" s="14" t="s">
        <v>121</v>
      </c>
      <c r="I195" s="63"/>
      <c r="EP195" s="80"/>
    </row>
    <row r="196" spans="1:146" s="79" customFormat="1" x14ac:dyDescent="0.3">
      <c r="A196" s="9">
        <v>6</v>
      </c>
      <c r="B196" s="9" t="s">
        <v>99</v>
      </c>
      <c r="C196" s="9">
        <v>1</v>
      </c>
      <c r="D196" s="14" t="s">
        <v>119</v>
      </c>
      <c r="E196" s="14" t="s">
        <v>122</v>
      </c>
      <c r="F196" s="15" t="s">
        <v>63</v>
      </c>
      <c r="G196" s="15">
        <v>7</v>
      </c>
      <c r="H196" s="14" t="s">
        <v>123</v>
      </c>
      <c r="I196" s="63"/>
      <c r="EP196" s="80"/>
    </row>
    <row r="197" spans="1:146" s="79" customFormat="1" x14ac:dyDescent="0.3">
      <c r="A197" s="9">
        <v>6</v>
      </c>
      <c r="B197" s="9" t="s">
        <v>99</v>
      </c>
      <c r="C197" s="9">
        <v>1</v>
      </c>
      <c r="D197" s="14" t="s">
        <v>0</v>
      </c>
      <c r="E197" s="14" t="s">
        <v>113</v>
      </c>
      <c r="F197" s="15" t="s">
        <v>63</v>
      </c>
      <c r="G197" s="15">
        <v>5</v>
      </c>
      <c r="H197" s="14" t="s">
        <v>114</v>
      </c>
      <c r="I197" s="63"/>
      <c r="EP197" s="80"/>
    </row>
    <row r="198" spans="1:146" s="79" customFormat="1" ht="31.2" x14ac:dyDescent="0.3">
      <c r="A198" s="9">
        <v>6</v>
      </c>
      <c r="B198" s="9" t="s">
        <v>99</v>
      </c>
      <c r="C198" s="9">
        <v>1</v>
      </c>
      <c r="D198" s="14" t="s">
        <v>124</v>
      </c>
      <c r="E198" s="14" t="s">
        <v>125</v>
      </c>
      <c r="F198" s="15" t="s">
        <v>51</v>
      </c>
      <c r="G198" s="15">
        <v>5</v>
      </c>
      <c r="H198" s="14" t="s">
        <v>126</v>
      </c>
      <c r="I198" s="63"/>
      <c r="EP198" s="80"/>
    </row>
    <row r="199" spans="1:146" s="79" customFormat="1" x14ac:dyDescent="0.3">
      <c r="A199" s="9">
        <v>6</v>
      </c>
      <c r="B199" s="9" t="s">
        <v>99</v>
      </c>
      <c r="C199" s="9">
        <v>1</v>
      </c>
      <c r="D199" s="14" t="s">
        <v>1</v>
      </c>
      <c r="E199" s="14" t="s">
        <v>100</v>
      </c>
      <c r="F199" s="15" t="s">
        <v>63</v>
      </c>
      <c r="G199" s="15">
        <v>39</v>
      </c>
      <c r="H199" s="14" t="s">
        <v>101</v>
      </c>
      <c r="I199" s="63"/>
      <c r="EP199" s="80"/>
    </row>
    <row r="200" spans="1:146" s="79" customFormat="1" x14ac:dyDescent="0.3">
      <c r="A200" s="9">
        <v>6</v>
      </c>
      <c r="B200" s="9" t="s">
        <v>99</v>
      </c>
      <c r="C200" s="9">
        <v>1</v>
      </c>
      <c r="D200" s="14" t="s">
        <v>1</v>
      </c>
      <c r="E200" s="14" t="s">
        <v>102</v>
      </c>
      <c r="F200" s="15" t="s">
        <v>63</v>
      </c>
      <c r="G200" s="15">
        <v>14</v>
      </c>
      <c r="H200" s="14" t="s">
        <v>103</v>
      </c>
      <c r="I200" s="63"/>
      <c r="EP200" s="80"/>
    </row>
    <row r="201" spans="1:146" s="79" customFormat="1" x14ac:dyDescent="0.3">
      <c r="A201" s="9">
        <v>6</v>
      </c>
      <c r="B201" s="9" t="s">
        <v>99</v>
      </c>
      <c r="C201" s="9">
        <v>1</v>
      </c>
      <c r="D201" s="14" t="s">
        <v>1</v>
      </c>
      <c r="E201" s="14" t="s">
        <v>104</v>
      </c>
      <c r="F201" s="15" t="s">
        <v>63</v>
      </c>
      <c r="G201" s="15">
        <v>18</v>
      </c>
      <c r="H201" s="14" t="s">
        <v>103</v>
      </c>
      <c r="I201" s="63"/>
      <c r="EP201" s="80"/>
    </row>
    <row r="202" spans="1:146" s="79" customFormat="1" ht="31.2" x14ac:dyDescent="0.3">
      <c r="A202" s="9">
        <v>6</v>
      </c>
      <c r="B202" s="9" t="s">
        <v>99</v>
      </c>
      <c r="C202" s="9">
        <v>1</v>
      </c>
      <c r="D202" s="114" t="s">
        <v>375</v>
      </c>
      <c r="E202" s="14" t="s">
        <v>105</v>
      </c>
      <c r="F202" s="15" t="s">
        <v>63</v>
      </c>
      <c r="G202" s="15">
        <v>7</v>
      </c>
      <c r="H202" s="14" t="s">
        <v>106</v>
      </c>
      <c r="I202" s="63"/>
      <c r="EP202" s="80"/>
    </row>
    <row r="203" spans="1:146" s="79" customFormat="1" x14ac:dyDescent="0.3">
      <c r="A203" s="9">
        <v>6</v>
      </c>
      <c r="B203" s="9" t="s">
        <v>99</v>
      </c>
      <c r="C203" s="9">
        <v>1</v>
      </c>
      <c r="D203" s="14" t="s">
        <v>1</v>
      </c>
      <c r="E203" s="14" t="s">
        <v>115</v>
      </c>
      <c r="F203" s="15" t="s">
        <v>63</v>
      </c>
      <c r="G203" s="15">
        <v>17</v>
      </c>
      <c r="H203" s="14" t="s">
        <v>116</v>
      </c>
      <c r="I203" s="63"/>
      <c r="EP203" s="80"/>
    </row>
    <row r="204" spans="1:146" s="79" customFormat="1" x14ac:dyDescent="0.3">
      <c r="A204" s="9">
        <v>6</v>
      </c>
      <c r="B204" s="9" t="s">
        <v>99</v>
      </c>
      <c r="C204" s="9">
        <v>1</v>
      </c>
      <c r="D204" s="14" t="s">
        <v>1</v>
      </c>
      <c r="E204" s="14" t="s">
        <v>117</v>
      </c>
      <c r="F204" s="15" t="s">
        <v>63</v>
      </c>
      <c r="G204" s="15">
        <v>11</v>
      </c>
      <c r="H204" s="14" t="s">
        <v>118</v>
      </c>
      <c r="I204" s="63"/>
      <c r="EP204" s="80"/>
    </row>
    <row r="205" spans="1:146" s="79" customFormat="1" x14ac:dyDescent="0.3">
      <c r="A205" s="9">
        <v>6</v>
      </c>
      <c r="B205" s="9" t="s">
        <v>99</v>
      </c>
      <c r="C205" s="9">
        <v>1</v>
      </c>
      <c r="D205" s="14" t="s">
        <v>1</v>
      </c>
      <c r="E205" s="14" t="s">
        <v>127</v>
      </c>
      <c r="F205" s="15" t="s">
        <v>63</v>
      </c>
      <c r="G205" s="15">
        <v>13</v>
      </c>
      <c r="H205" s="14" t="s">
        <v>128</v>
      </c>
      <c r="I205" s="63"/>
      <c r="EP205" s="80"/>
    </row>
    <row r="206" spans="1:146" s="79" customFormat="1" x14ac:dyDescent="0.3">
      <c r="A206" s="9">
        <v>6</v>
      </c>
      <c r="B206" s="9" t="s">
        <v>99</v>
      </c>
      <c r="C206" s="9">
        <v>1</v>
      </c>
      <c r="D206" s="14" t="s">
        <v>1</v>
      </c>
      <c r="E206" s="14" t="s">
        <v>129</v>
      </c>
      <c r="F206" s="15" t="s">
        <v>130</v>
      </c>
      <c r="G206" s="15">
        <v>4</v>
      </c>
      <c r="H206" s="14" t="s">
        <v>131</v>
      </c>
      <c r="I206" s="63"/>
      <c r="EP206" s="80"/>
    </row>
    <row r="207" spans="1:146" s="79" customFormat="1" x14ac:dyDescent="0.3">
      <c r="A207" s="9">
        <v>6</v>
      </c>
      <c r="B207" s="9" t="s">
        <v>99</v>
      </c>
      <c r="C207" s="9">
        <v>1</v>
      </c>
      <c r="D207" s="14" t="s">
        <v>65</v>
      </c>
      <c r="E207" s="14" t="s">
        <v>107</v>
      </c>
      <c r="F207" s="15" t="s">
        <v>63</v>
      </c>
      <c r="G207" s="15">
        <v>26</v>
      </c>
      <c r="H207" s="14" t="s">
        <v>108</v>
      </c>
      <c r="I207" s="63"/>
      <c r="EP207" s="80"/>
    </row>
    <row r="208" spans="1:146" s="79" customFormat="1" x14ac:dyDescent="0.3">
      <c r="A208" s="9">
        <v>6</v>
      </c>
      <c r="B208" s="9" t="s">
        <v>99</v>
      </c>
      <c r="C208" s="9">
        <v>1</v>
      </c>
      <c r="D208" s="14" t="s">
        <v>65</v>
      </c>
      <c r="E208" s="14" t="s">
        <v>109</v>
      </c>
      <c r="F208" s="15" t="s">
        <v>63</v>
      </c>
      <c r="G208" s="15">
        <v>63</v>
      </c>
      <c r="H208" s="14" t="s">
        <v>110</v>
      </c>
      <c r="I208" s="63"/>
      <c r="EP208" s="80"/>
    </row>
    <row r="209" spans="1:146" s="79" customFormat="1" x14ac:dyDescent="0.3">
      <c r="A209" s="9">
        <v>6</v>
      </c>
      <c r="B209" s="9" t="s">
        <v>99</v>
      </c>
      <c r="C209" s="9">
        <v>1</v>
      </c>
      <c r="D209" s="14" t="s">
        <v>65</v>
      </c>
      <c r="E209" s="14" t="s">
        <v>111</v>
      </c>
      <c r="F209" s="15" t="s">
        <v>63</v>
      </c>
      <c r="G209" s="15">
        <v>340</v>
      </c>
      <c r="H209" s="14" t="s">
        <v>112</v>
      </c>
      <c r="I209" s="63"/>
      <c r="EP209" s="80"/>
    </row>
    <row r="210" spans="1:146" s="79" customFormat="1" x14ac:dyDescent="0.3">
      <c r="A210" s="26">
        <v>6</v>
      </c>
      <c r="B210" s="26" t="s">
        <v>99</v>
      </c>
      <c r="C210" s="26">
        <v>2</v>
      </c>
      <c r="D210" s="32" t="s">
        <v>1</v>
      </c>
      <c r="E210" s="32" t="s">
        <v>129</v>
      </c>
      <c r="F210" s="36" t="s">
        <v>51</v>
      </c>
      <c r="G210" s="36">
        <v>38</v>
      </c>
      <c r="H210" s="32" t="s">
        <v>131</v>
      </c>
      <c r="I210" s="63"/>
      <c r="EP210" s="80"/>
    </row>
    <row r="211" spans="1:146" s="79" customFormat="1" x14ac:dyDescent="0.3">
      <c r="A211" s="26">
        <v>6</v>
      </c>
      <c r="B211" s="26" t="s">
        <v>99</v>
      </c>
      <c r="C211" s="26">
        <v>2</v>
      </c>
      <c r="D211" s="32" t="s">
        <v>1</v>
      </c>
      <c r="E211" s="32" t="s">
        <v>403</v>
      </c>
      <c r="F211" s="36" t="s">
        <v>51</v>
      </c>
      <c r="G211" s="36">
        <v>9</v>
      </c>
      <c r="H211" s="32" t="s">
        <v>131</v>
      </c>
      <c r="I211" s="63"/>
      <c r="EP211" s="80"/>
    </row>
    <row r="212" spans="1:146" s="79" customFormat="1" ht="31.2" x14ac:dyDescent="0.3">
      <c r="A212" s="26">
        <v>6</v>
      </c>
      <c r="B212" s="26" t="s">
        <v>99</v>
      </c>
      <c r="C212" s="26">
        <v>2</v>
      </c>
      <c r="D212" s="32" t="s">
        <v>1</v>
      </c>
      <c r="E212" s="32" t="s">
        <v>404</v>
      </c>
      <c r="F212" s="36" t="s">
        <v>63</v>
      </c>
      <c r="G212" s="36">
        <v>1</v>
      </c>
      <c r="H212" s="32" t="s">
        <v>405</v>
      </c>
      <c r="I212" s="63"/>
      <c r="EP212" s="80"/>
    </row>
    <row r="213" spans="1:146" s="79" customFormat="1" x14ac:dyDescent="0.3">
      <c r="A213" s="26">
        <v>6</v>
      </c>
      <c r="B213" s="26" t="s">
        <v>99</v>
      </c>
      <c r="C213" s="26">
        <v>2</v>
      </c>
      <c r="D213" s="32" t="s">
        <v>1</v>
      </c>
      <c r="E213" s="32" t="s">
        <v>406</v>
      </c>
      <c r="F213" s="36" t="s">
        <v>63</v>
      </c>
      <c r="G213" s="36">
        <v>40</v>
      </c>
      <c r="H213" s="32" t="s">
        <v>407</v>
      </c>
      <c r="I213" s="63"/>
      <c r="EP213" s="80"/>
    </row>
    <row r="214" spans="1:146" s="79" customFormat="1" x14ac:dyDescent="0.3">
      <c r="A214" s="26">
        <v>6</v>
      </c>
      <c r="B214" s="26" t="s">
        <v>99</v>
      </c>
      <c r="C214" s="26">
        <v>2</v>
      </c>
      <c r="D214" s="32" t="s">
        <v>1</v>
      </c>
      <c r="E214" s="32" t="s">
        <v>408</v>
      </c>
      <c r="F214" s="36" t="s">
        <v>63</v>
      </c>
      <c r="G214" s="36">
        <v>151</v>
      </c>
      <c r="H214" s="32" t="s">
        <v>409</v>
      </c>
      <c r="I214" s="63"/>
      <c r="EP214" s="80"/>
    </row>
    <row r="215" spans="1:146" s="79" customFormat="1" x14ac:dyDescent="0.3">
      <c r="A215" s="26">
        <v>6</v>
      </c>
      <c r="B215" s="26" t="s">
        <v>99</v>
      </c>
      <c r="C215" s="26">
        <v>2</v>
      </c>
      <c r="D215" s="32" t="s">
        <v>1</v>
      </c>
      <c r="E215" s="32" t="s">
        <v>410</v>
      </c>
      <c r="F215" s="36" t="s">
        <v>51</v>
      </c>
      <c r="G215" s="36">
        <v>2</v>
      </c>
      <c r="H215" s="32" t="s">
        <v>411</v>
      </c>
      <c r="I215" s="63"/>
      <c r="EP215" s="80"/>
    </row>
    <row r="216" spans="1:146" s="79" customFormat="1" x14ac:dyDescent="0.3">
      <c r="A216" s="26">
        <v>6</v>
      </c>
      <c r="B216" s="26" t="s">
        <v>99</v>
      </c>
      <c r="C216" s="26">
        <v>2</v>
      </c>
      <c r="D216" s="32" t="s">
        <v>375</v>
      </c>
      <c r="E216" s="32" t="s">
        <v>412</v>
      </c>
      <c r="F216" s="36" t="s">
        <v>63</v>
      </c>
      <c r="G216" s="36">
        <v>48</v>
      </c>
      <c r="H216" s="32" t="s">
        <v>413</v>
      </c>
      <c r="I216" s="63"/>
      <c r="EP216" s="80"/>
    </row>
    <row r="217" spans="1:146" s="79" customFormat="1" x14ac:dyDescent="0.3">
      <c r="A217" s="26">
        <v>6</v>
      </c>
      <c r="B217" s="26" t="s">
        <v>99</v>
      </c>
      <c r="C217" s="26">
        <v>2</v>
      </c>
      <c r="D217" s="32" t="s">
        <v>375</v>
      </c>
      <c r="E217" s="32" t="s">
        <v>414</v>
      </c>
      <c r="F217" s="36" t="s">
        <v>63</v>
      </c>
      <c r="G217" s="36">
        <v>12</v>
      </c>
      <c r="H217" s="32" t="s">
        <v>118</v>
      </c>
      <c r="I217" s="63"/>
      <c r="EP217" s="80"/>
    </row>
    <row r="218" spans="1:146" s="79" customFormat="1" x14ac:dyDescent="0.3">
      <c r="A218" s="26">
        <v>6</v>
      </c>
      <c r="B218" s="26" t="s">
        <v>99</v>
      </c>
      <c r="C218" s="26">
        <v>2</v>
      </c>
      <c r="D218" s="32" t="s">
        <v>375</v>
      </c>
      <c r="E218" s="32" t="s">
        <v>415</v>
      </c>
      <c r="F218" s="36" t="s">
        <v>63</v>
      </c>
      <c r="G218" s="36">
        <v>1</v>
      </c>
      <c r="H218" s="32" t="s">
        <v>118</v>
      </c>
      <c r="I218" s="63"/>
      <c r="EP218" s="80"/>
    </row>
    <row r="219" spans="1:146" s="79" customFormat="1" x14ac:dyDescent="0.3">
      <c r="A219" s="26">
        <v>6</v>
      </c>
      <c r="B219" s="26" t="s">
        <v>99</v>
      </c>
      <c r="C219" s="26">
        <v>2</v>
      </c>
      <c r="D219" s="32" t="s">
        <v>375</v>
      </c>
      <c r="E219" s="32" t="s">
        <v>416</v>
      </c>
      <c r="F219" s="36" t="s">
        <v>63</v>
      </c>
      <c r="G219" s="36">
        <v>2</v>
      </c>
      <c r="H219" s="32" t="s">
        <v>118</v>
      </c>
      <c r="I219" s="63"/>
      <c r="EP219" s="80"/>
    </row>
    <row r="220" spans="1:146" s="79" customFormat="1" ht="59.25" customHeight="1" x14ac:dyDescent="0.3">
      <c r="A220" s="57">
        <v>6</v>
      </c>
      <c r="B220" s="57" t="s">
        <v>99</v>
      </c>
      <c r="C220" s="57">
        <v>3</v>
      </c>
      <c r="D220" s="58" t="s">
        <v>124</v>
      </c>
      <c r="E220" s="58" t="s">
        <v>721</v>
      </c>
      <c r="F220" s="59" t="s">
        <v>63</v>
      </c>
      <c r="G220" s="59">
        <v>3</v>
      </c>
      <c r="H220" s="58" t="s">
        <v>722</v>
      </c>
      <c r="I220" s="63"/>
      <c r="EP220" s="80"/>
    </row>
    <row r="221" spans="1:146" s="79" customFormat="1" x14ac:dyDescent="0.3">
      <c r="A221" s="57">
        <v>6</v>
      </c>
      <c r="B221" s="57" t="s">
        <v>99</v>
      </c>
      <c r="C221" s="57">
        <v>3</v>
      </c>
      <c r="D221" s="58" t="s">
        <v>1</v>
      </c>
      <c r="E221" s="58" t="s">
        <v>129</v>
      </c>
      <c r="F221" s="59" t="s">
        <v>51</v>
      </c>
      <c r="G221" s="59">
        <v>3</v>
      </c>
      <c r="H221" s="58"/>
      <c r="I221" s="63"/>
      <c r="EP221" s="80"/>
    </row>
    <row r="222" spans="1:146" s="79" customFormat="1" x14ac:dyDescent="0.3">
      <c r="A222" s="57">
        <v>6</v>
      </c>
      <c r="B222" s="57" t="s">
        <v>99</v>
      </c>
      <c r="C222" s="57">
        <v>3</v>
      </c>
      <c r="D222" s="81" t="s">
        <v>1</v>
      </c>
      <c r="E222" s="81" t="s">
        <v>403</v>
      </c>
      <c r="F222" s="86" t="s">
        <v>51</v>
      </c>
      <c r="G222" s="59">
        <v>57</v>
      </c>
      <c r="H222" s="81"/>
      <c r="I222" s="63"/>
      <c r="EP222" s="80"/>
    </row>
    <row r="223" spans="1:146" s="79" customFormat="1" x14ac:dyDescent="0.3">
      <c r="A223" s="57">
        <v>6</v>
      </c>
      <c r="B223" s="57" t="s">
        <v>99</v>
      </c>
      <c r="C223" s="57">
        <v>3</v>
      </c>
      <c r="D223" s="58" t="s">
        <v>1</v>
      </c>
      <c r="E223" s="58" t="s">
        <v>704</v>
      </c>
      <c r="F223" s="59" t="s">
        <v>51</v>
      </c>
      <c r="G223" s="59">
        <v>3</v>
      </c>
      <c r="H223" s="58"/>
      <c r="I223" s="63"/>
      <c r="EP223" s="80"/>
    </row>
    <row r="224" spans="1:146" s="79" customFormat="1" ht="31.2" x14ac:dyDescent="0.3">
      <c r="A224" s="57">
        <v>6</v>
      </c>
      <c r="B224" s="57" t="s">
        <v>99</v>
      </c>
      <c r="C224" s="57">
        <v>3</v>
      </c>
      <c r="D224" s="58" t="s">
        <v>1</v>
      </c>
      <c r="E224" s="58" t="s">
        <v>410</v>
      </c>
      <c r="F224" s="59" t="s">
        <v>63</v>
      </c>
      <c r="G224" s="59">
        <v>2</v>
      </c>
      <c r="H224" s="58" t="s">
        <v>705</v>
      </c>
      <c r="I224" s="63"/>
      <c r="EP224" s="80"/>
    </row>
    <row r="225" spans="1:146" s="79" customFormat="1" x14ac:dyDescent="0.3">
      <c r="A225" s="57">
        <v>6</v>
      </c>
      <c r="B225" s="57" t="s">
        <v>99</v>
      </c>
      <c r="C225" s="57">
        <v>3</v>
      </c>
      <c r="D225" s="58" t="s">
        <v>1</v>
      </c>
      <c r="E225" s="58" t="s">
        <v>706</v>
      </c>
      <c r="F225" s="59" t="s">
        <v>51</v>
      </c>
      <c r="G225" s="59">
        <v>2</v>
      </c>
      <c r="H225" s="58" t="s">
        <v>707</v>
      </c>
      <c r="I225" s="63"/>
      <c r="EP225" s="80"/>
    </row>
    <row r="226" spans="1:146" s="79" customFormat="1" x14ac:dyDescent="0.3">
      <c r="A226" s="57">
        <v>6</v>
      </c>
      <c r="B226" s="57" t="s">
        <v>99</v>
      </c>
      <c r="C226" s="57">
        <v>3</v>
      </c>
      <c r="D226" s="58" t="s">
        <v>1</v>
      </c>
      <c r="E226" s="58" t="s">
        <v>708</v>
      </c>
      <c r="F226" s="59" t="s">
        <v>63</v>
      </c>
      <c r="G226" s="59">
        <v>21</v>
      </c>
      <c r="H226" s="58" t="s">
        <v>103</v>
      </c>
      <c r="I226" s="63"/>
      <c r="EP226" s="80"/>
    </row>
    <row r="227" spans="1:146" s="79" customFormat="1" x14ac:dyDescent="0.3">
      <c r="A227" s="57">
        <v>6</v>
      </c>
      <c r="B227" s="57" t="s">
        <v>99</v>
      </c>
      <c r="C227" s="57">
        <v>3</v>
      </c>
      <c r="D227" s="58" t="s">
        <v>1</v>
      </c>
      <c r="E227" s="58" t="s">
        <v>709</v>
      </c>
      <c r="F227" s="59" t="s">
        <v>63</v>
      </c>
      <c r="G227" s="59">
        <v>13</v>
      </c>
      <c r="H227" s="58" t="s">
        <v>407</v>
      </c>
      <c r="I227" s="63"/>
      <c r="EP227" s="80"/>
    </row>
    <row r="228" spans="1:146" s="79" customFormat="1" x14ac:dyDescent="0.3">
      <c r="A228" s="57">
        <v>6</v>
      </c>
      <c r="B228" s="57" t="s">
        <v>99</v>
      </c>
      <c r="C228" s="57">
        <v>3</v>
      </c>
      <c r="D228" s="58" t="s">
        <v>1</v>
      </c>
      <c r="E228" s="58" t="s">
        <v>710</v>
      </c>
      <c r="F228" s="59" t="s">
        <v>63</v>
      </c>
      <c r="G228" s="59">
        <v>21</v>
      </c>
      <c r="H228" s="58" t="s">
        <v>407</v>
      </c>
      <c r="I228" s="63"/>
      <c r="EP228" s="80"/>
    </row>
    <row r="229" spans="1:146" s="79" customFormat="1" ht="31.2" x14ac:dyDescent="0.3">
      <c r="A229" s="57">
        <v>6</v>
      </c>
      <c r="B229" s="57" t="s">
        <v>99</v>
      </c>
      <c r="C229" s="57">
        <v>3</v>
      </c>
      <c r="D229" s="58" t="s">
        <v>1</v>
      </c>
      <c r="E229" s="58" t="s">
        <v>711</v>
      </c>
      <c r="F229" s="59" t="s">
        <v>51</v>
      </c>
      <c r="G229" s="59">
        <v>5</v>
      </c>
      <c r="H229" s="58" t="s">
        <v>712</v>
      </c>
      <c r="I229" s="63"/>
      <c r="EP229" s="80"/>
    </row>
    <row r="230" spans="1:146" s="79" customFormat="1" ht="31.2" x14ac:dyDescent="0.3">
      <c r="A230" s="57">
        <v>6</v>
      </c>
      <c r="B230" s="57" t="s">
        <v>99</v>
      </c>
      <c r="C230" s="57">
        <v>3</v>
      </c>
      <c r="D230" s="58" t="s">
        <v>1</v>
      </c>
      <c r="E230" s="58" t="s">
        <v>713</v>
      </c>
      <c r="F230" s="59" t="s">
        <v>63</v>
      </c>
      <c r="G230" s="59">
        <v>7</v>
      </c>
      <c r="H230" s="58" t="s">
        <v>714</v>
      </c>
      <c r="I230" s="63"/>
      <c r="EP230" s="80"/>
    </row>
    <row r="231" spans="1:146" s="79" customFormat="1" x14ac:dyDescent="0.3">
      <c r="A231" s="57">
        <v>6</v>
      </c>
      <c r="B231" s="57" t="s">
        <v>99</v>
      </c>
      <c r="C231" s="57">
        <v>3</v>
      </c>
      <c r="D231" s="58" t="s">
        <v>1</v>
      </c>
      <c r="E231" s="58" t="s">
        <v>715</v>
      </c>
      <c r="F231" s="59" t="s">
        <v>63</v>
      </c>
      <c r="G231" s="59">
        <v>5</v>
      </c>
      <c r="H231" s="58" t="s">
        <v>716</v>
      </c>
      <c r="I231" s="63"/>
      <c r="EP231" s="80"/>
    </row>
    <row r="232" spans="1:146" s="79" customFormat="1" ht="31.2" x14ac:dyDescent="0.3">
      <c r="A232" s="57">
        <v>6</v>
      </c>
      <c r="B232" s="57" t="s">
        <v>99</v>
      </c>
      <c r="C232" s="57">
        <v>3</v>
      </c>
      <c r="D232" s="58" t="s">
        <v>1</v>
      </c>
      <c r="E232" s="58" t="s">
        <v>717</v>
      </c>
      <c r="F232" s="59" t="s">
        <v>63</v>
      </c>
      <c r="G232" s="59">
        <v>2</v>
      </c>
      <c r="H232" s="58" t="s">
        <v>712</v>
      </c>
      <c r="I232" s="63"/>
      <c r="EP232" s="80"/>
    </row>
    <row r="233" spans="1:146" s="79" customFormat="1" ht="31.2" x14ac:dyDescent="0.3">
      <c r="A233" s="57">
        <v>6</v>
      </c>
      <c r="B233" s="57" t="s">
        <v>99</v>
      </c>
      <c r="C233" s="57">
        <v>3</v>
      </c>
      <c r="D233" s="58" t="s">
        <v>1</v>
      </c>
      <c r="E233" s="58" t="s">
        <v>718</v>
      </c>
      <c r="F233" s="59" t="s">
        <v>63</v>
      </c>
      <c r="G233" s="59">
        <v>7</v>
      </c>
      <c r="H233" s="58" t="s">
        <v>712</v>
      </c>
      <c r="I233" s="63"/>
      <c r="EP233" s="80"/>
    </row>
    <row r="234" spans="1:146" s="79" customFormat="1" x14ac:dyDescent="0.3">
      <c r="A234" s="57">
        <v>6</v>
      </c>
      <c r="B234" s="57" t="s">
        <v>99</v>
      </c>
      <c r="C234" s="57">
        <v>3</v>
      </c>
      <c r="D234" s="58" t="s">
        <v>375</v>
      </c>
      <c r="E234" s="58" t="s">
        <v>719</v>
      </c>
      <c r="F234" s="59" t="s">
        <v>63</v>
      </c>
      <c r="G234" s="59">
        <v>12</v>
      </c>
      <c r="H234" s="58" t="s">
        <v>720</v>
      </c>
      <c r="I234" s="63"/>
      <c r="EP234" s="80"/>
    </row>
    <row r="235" spans="1:146" s="79" customFormat="1" x14ac:dyDescent="0.3">
      <c r="A235" s="39">
        <v>6</v>
      </c>
      <c r="B235" s="39" t="s">
        <v>99</v>
      </c>
      <c r="C235" s="39">
        <v>4</v>
      </c>
      <c r="D235" s="44" t="s">
        <v>1</v>
      </c>
      <c r="E235" s="44" t="s">
        <v>1519</v>
      </c>
      <c r="F235" s="48" t="s">
        <v>51</v>
      </c>
      <c r="G235" s="48">
        <v>6</v>
      </c>
      <c r="H235" s="44" t="s">
        <v>131</v>
      </c>
      <c r="I235" s="63"/>
      <c r="EP235" s="80"/>
    </row>
    <row r="236" spans="1:146" s="79" customFormat="1" x14ac:dyDescent="0.3">
      <c r="A236" s="39">
        <v>6</v>
      </c>
      <c r="B236" s="39" t="s">
        <v>99</v>
      </c>
      <c r="C236" s="122"/>
      <c r="D236" s="44" t="s">
        <v>1</v>
      </c>
      <c r="E236" s="44" t="s">
        <v>403</v>
      </c>
      <c r="F236" s="48" t="s">
        <v>51</v>
      </c>
      <c r="G236" s="48">
        <v>33</v>
      </c>
      <c r="H236" s="44" t="s">
        <v>131</v>
      </c>
      <c r="I236" s="63"/>
      <c r="EP236" s="80"/>
    </row>
    <row r="237" spans="1:146" s="79" customFormat="1" x14ac:dyDescent="0.3">
      <c r="A237" s="39">
        <v>6</v>
      </c>
      <c r="B237" s="39" t="s">
        <v>99</v>
      </c>
      <c r="C237" s="122"/>
      <c r="D237" s="44" t="s">
        <v>1</v>
      </c>
      <c r="E237" s="44" t="s">
        <v>704</v>
      </c>
      <c r="F237" s="48" t="s">
        <v>51</v>
      </c>
      <c r="G237" s="48">
        <v>1</v>
      </c>
      <c r="H237" s="44" t="s">
        <v>131</v>
      </c>
      <c r="I237" s="63"/>
      <c r="EP237" s="80"/>
    </row>
    <row r="238" spans="1:146" s="79" customFormat="1" x14ac:dyDescent="0.3">
      <c r="A238" s="39">
        <v>6</v>
      </c>
      <c r="B238" s="39" t="s">
        <v>99</v>
      </c>
      <c r="C238" s="122"/>
      <c r="D238" s="44" t="s">
        <v>1</v>
      </c>
      <c r="E238" s="44" t="s">
        <v>1520</v>
      </c>
      <c r="F238" s="48" t="s">
        <v>63</v>
      </c>
      <c r="G238" s="48">
        <v>37</v>
      </c>
      <c r="H238" s="44" t="s">
        <v>1521</v>
      </c>
      <c r="I238" s="63"/>
      <c r="EP238" s="80"/>
    </row>
    <row r="239" spans="1:146" s="79" customFormat="1" x14ac:dyDescent="0.3">
      <c r="A239" s="39">
        <v>6</v>
      </c>
      <c r="B239" s="39" t="s">
        <v>99</v>
      </c>
      <c r="C239" s="122"/>
      <c r="D239" s="44" t="s">
        <v>1</v>
      </c>
      <c r="E239" s="44" t="s">
        <v>1522</v>
      </c>
      <c r="F239" s="48" t="s">
        <v>63</v>
      </c>
      <c r="G239" s="48">
        <v>56</v>
      </c>
      <c r="H239" s="44" t="s">
        <v>1523</v>
      </c>
      <c r="I239" s="63"/>
      <c r="EP239" s="80"/>
    </row>
    <row r="240" spans="1:146" s="79" customFormat="1" x14ac:dyDescent="0.3">
      <c r="A240" s="39">
        <v>6</v>
      </c>
      <c r="B240" s="39" t="s">
        <v>99</v>
      </c>
      <c r="C240" s="122"/>
      <c r="D240" s="44" t="s">
        <v>1</v>
      </c>
      <c r="E240" s="44" t="s">
        <v>1524</v>
      </c>
      <c r="F240" s="48" t="s">
        <v>63</v>
      </c>
      <c r="G240" s="48">
        <v>69</v>
      </c>
      <c r="H240" s="44" t="s">
        <v>1525</v>
      </c>
      <c r="I240" s="63"/>
      <c r="EP240" s="80"/>
    </row>
    <row r="241" spans="1:146" s="79" customFormat="1" ht="31.2" x14ac:dyDescent="0.3">
      <c r="A241" s="39">
        <v>6</v>
      </c>
      <c r="B241" s="39" t="s">
        <v>99</v>
      </c>
      <c r="C241" s="122"/>
      <c r="D241" s="44" t="s">
        <v>1</v>
      </c>
      <c r="E241" s="44" t="s">
        <v>1526</v>
      </c>
      <c r="F241" s="48" t="s">
        <v>63</v>
      </c>
      <c r="G241" s="48">
        <v>3</v>
      </c>
      <c r="H241" s="44" t="s">
        <v>712</v>
      </c>
      <c r="I241" s="63"/>
      <c r="EP241" s="80"/>
    </row>
    <row r="242" spans="1:146" s="79" customFormat="1" ht="31.2" x14ac:dyDescent="0.3">
      <c r="A242" s="39">
        <v>6</v>
      </c>
      <c r="B242" s="39" t="s">
        <v>99</v>
      </c>
      <c r="C242" s="122"/>
      <c r="D242" s="44" t="s">
        <v>1</v>
      </c>
      <c r="E242" s="44" t="s">
        <v>1527</v>
      </c>
      <c r="F242" s="48" t="s">
        <v>63</v>
      </c>
      <c r="G242" s="48">
        <v>27</v>
      </c>
      <c r="H242" s="44" t="s">
        <v>1528</v>
      </c>
      <c r="I242" s="63"/>
      <c r="EP242" s="80"/>
    </row>
    <row r="243" spans="1:146" s="79" customFormat="1" x14ac:dyDescent="0.3">
      <c r="A243" s="39">
        <v>6</v>
      </c>
      <c r="B243" s="39" t="s">
        <v>99</v>
      </c>
      <c r="C243" s="122"/>
      <c r="D243" s="44" t="s">
        <v>1</v>
      </c>
      <c r="E243" s="44" t="s">
        <v>1529</v>
      </c>
      <c r="F243" s="48" t="s">
        <v>63</v>
      </c>
      <c r="G243" s="48">
        <v>27</v>
      </c>
      <c r="H243" s="44" t="s">
        <v>1530</v>
      </c>
      <c r="I243" s="63"/>
      <c r="EP243" s="80"/>
    </row>
    <row r="244" spans="1:146" s="79" customFormat="1" x14ac:dyDescent="0.3">
      <c r="A244" s="39">
        <v>6</v>
      </c>
      <c r="B244" s="39" t="s">
        <v>99</v>
      </c>
      <c r="C244" s="122"/>
      <c r="D244" s="44" t="s">
        <v>1</v>
      </c>
      <c r="E244" s="44" t="s">
        <v>1531</v>
      </c>
      <c r="F244" s="48" t="s">
        <v>63</v>
      </c>
      <c r="G244" s="48">
        <v>48</v>
      </c>
      <c r="H244" s="44" t="s">
        <v>1532</v>
      </c>
      <c r="I244" s="63"/>
      <c r="EP244" s="80"/>
    </row>
    <row r="245" spans="1:146" s="79" customFormat="1" x14ac:dyDescent="0.3">
      <c r="A245" s="39">
        <v>6</v>
      </c>
      <c r="B245" s="39" t="s">
        <v>99</v>
      </c>
      <c r="C245" s="122"/>
      <c r="D245" s="44" t="s">
        <v>1</v>
      </c>
      <c r="E245" s="44" t="s">
        <v>1533</v>
      </c>
      <c r="F245" s="48" t="s">
        <v>63</v>
      </c>
      <c r="G245" s="48">
        <v>29</v>
      </c>
      <c r="H245" s="44" t="s">
        <v>1532</v>
      </c>
      <c r="I245" s="63"/>
      <c r="EP245" s="80"/>
    </row>
    <row r="246" spans="1:146" s="79" customFormat="1" x14ac:dyDescent="0.3">
      <c r="A246" s="39">
        <v>6</v>
      </c>
      <c r="B246" s="39" t="s">
        <v>99</v>
      </c>
      <c r="C246" s="122"/>
      <c r="D246" s="44" t="s">
        <v>1</v>
      </c>
      <c r="E246" s="44" t="s">
        <v>1534</v>
      </c>
      <c r="F246" s="48" t="s">
        <v>63</v>
      </c>
      <c r="G246" s="48">
        <v>25</v>
      </c>
      <c r="H246" s="44" t="s">
        <v>1535</v>
      </c>
      <c r="I246" s="63"/>
      <c r="EP246" s="80"/>
    </row>
    <row r="247" spans="1:146" s="79" customFormat="1" x14ac:dyDescent="0.3">
      <c r="A247" s="39">
        <v>6</v>
      </c>
      <c r="B247" s="39" t="s">
        <v>99</v>
      </c>
      <c r="C247" s="122"/>
      <c r="D247" s="44" t="s">
        <v>1</v>
      </c>
      <c r="E247" s="44" t="s">
        <v>1536</v>
      </c>
      <c r="F247" s="48" t="s">
        <v>63</v>
      </c>
      <c r="G247" s="48">
        <v>28</v>
      </c>
      <c r="H247" s="44" t="s">
        <v>1537</v>
      </c>
      <c r="I247" s="63"/>
      <c r="EP247" s="80"/>
    </row>
    <row r="248" spans="1:146" s="79" customFormat="1" ht="31.2" x14ac:dyDescent="0.3">
      <c r="A248" s="39">
        <v>6</v>
      </c>
      <c r="B248" s="39" t="s">
        <v>99</v>
      </c>
      <c r="C248" s="122"/>
      <c r="D248" s="44" t="s">
        <v>1</v>
      </c>
      <c r="E248" s="44" t="s">
        <v>1538</v>
      </c>
      <c r="F248" s="48" t="s">
        <v>63</v>
      </c>
      <c r="G248" s="48">
        <v>4</v>
      </c>
      <c r="H248" s="44" t="s">
        <v>712</v>
      </c>
      <c r="I248" s="63"/>
      <c r="EP248" s="80"/>
    </row>
    <row r="249" spans="1:146" s="79" customFormat="1" x14ac:dyDescent="0.3">
      <c r="A249" s="39">
        <v>6</v>
      </c>
      <c r="B249" s="39" t="s">
        <v>99</v>
      </c>
      <c r="C249" s="122"/>
      <c r="D249" s="44" t="s">
        <v>1</v>
      </c>
      <c r="E249" s="44" t="s">
        <v>1539</v>
      </c>
      <c r="F249" s="48" t="s">
        <v>63</v>
      </c>
      <c r="G249" s="48">
        <v>3</v>
      </c>
      <c r="H249" s="44" t="s">
        <v>1532</v>
      </c>
      <c r="I249" s="63"/>
      <c r="EP249" s="80"/>
    </row>
    <row r="250" spans="1:146" s="79" customFormat="1" x14ac:dyDescent="0.3">
      <c r="A250" s="39">
        <v>6</v>
      </c>
      <c r="B250" s="39" t="s">
        <v>99</v>
      </c>
      <c r="C250" s="122"/>
      <c r="D250" s="44" t="s">
        <v>1</v>
      </c>
      <c r="E250" s="44" t="s">
        <v>1540</v>
      </c>
      <c r="F250" s="48" t="s">
        <v>63</v>
      </c>
      <c r="G250" s="48">
        <v>20</v>
      </c>
      <c r="H250" s="44" t="s">
        <v>1541</v>
      </c>
      <c r="I250" s="63"/>
      <c r="EP250" s="80"/>
    </row>
    <row r="251" spans="1:146" s="79" customFormat="1" x14ac:dyDescent="0.3">
      <c r="A251" s="39">
        <v>6</v>
      </c>
      <c r="B251" s="39" t="s">
        <v>99</v>
      </c>
      <c r="C251" s="122"/>
      <c r="D251" s="44" t="s">
        <v>1</v>
      </c>
      <c r="E251" s="44" t="s">
        <v>1542</v>
      </c>
      <c r="F251" s="48" t="s">
        <v>63</v>
      </c>
      <c r="G251" s="48">
        <v>275</v>
      </c>
      <c r="H251" s="44" t="s">
        <v>1532</v>
      </c>
      <c r="I251" s="63"/>
      <c r="EP251" s="80"/>
    </row>
    <row r="252" spans="1:146" s="79" customFormat="1" x14ac:dyDescent="0.3">
      <c r="A252" s="39">
        <v>6</v>
      </c>
      <c r="B252" s="39" t="s">
        <v>99</v>
      </c>
      <c r="C252" s="122"/>
      <c r="D252" s="44" t="s">
        <v>1</v>
      </c>
      <c r="E252" s="44" t="s">
        <v>1543</v>
      </c>
      <c r="F252" s="48" t="s">
        <v>63</v>
      </c>
      <c r="G252" s="48">
        <v>41</v>
      </c>
      <c r="H252" s="44" t="s">
        <v>1532</v>
      </c>
      <c r="I252" s="63"/>
      <c r="EP252" s="80"/>
    </row>
    <row r="253" spans="1:146" s="79" customFormat="1" x14ac:dyDescent="0.3">
      <c r="A253" s="39">
        <v>6</v>
      </c>
      <c r="B253" s="39" t="s">
        <v>99</v>
      </c>
      <c r="C253" s="122"/>
      <c r="D253" s="44" t="s">
        <v>1</v>
      </c>
      <c r="E253" s="44" t="s">
        <v>1544</v>
      </c>
      <c r="F253" s="48" t="s">
        <v>63</v>
      </c>
      <c r="G253" s="48">
        <v>34</v>
      </c>
      <c r="H253" s="44" t="s">
        <v>1545</v>
      </c>
      <c r="I253" s="63"/>
      <c r="EP253" s="80"/>
    </row>
    <row r="254" spans="1:146" s="79" customFormat="1" x14ac:dyDescent="0.3">
      <c r="A254" s="39">
        <v>6</v>
      </c>
      <c r="B254" s="39" t="s">
        <v>99</v>
      </c>
      <c r="C254" s="122"/>
      <c r="D254" s="44" t="s">
        <v>1</v>
      </c>
      <c r="E254" s="44" t="s">
        <v>1546</v>
      </c>
      <c r="F254" s="48" t="s">
        <v>63</v>
      </c>
      <c r="G254" s="48">
        <v>46</v>
      </c>
      <c r="H254" s="44" t="s">
        <v>1532</v>
      </c>
      <c r="I254" s="63"/>
      <c r="EP254" s="80"/>
    </row>
    <row r="255" spans="1:146" s="79" customFormat="1" x14ac:dyDescent="0.3">
      <c r="A255" s="39">
        <v>6</v>
      </c>
      <c r="B255" s="39" t="s">
        <v>99</v>
      </c>
      <c r="C255" s="122"/>
      <c r="D255" s="44" t="s">
        <v>1</v>
      </c>
      <c r="E255" s="44" t="s">
        <v>1547</v>
      </c>
      <c r="F255" s="48" t="s">
        <v>63</v>
      </c>
      <c r="G255" s="48">
        <v>22</v>
      </c>
      <c r="H255" s="44" t="s">
        <v>1532</v>
      </c>
      <c r="I255" s="63"/>
      <c r="EP255" s="80"/>
    </row>
    <row r="256" spans="1:146" s="79" customFormat="1" x14ac:dyDescent="0.3">
      <c r="A256" s="39">
        <v>6</v>
      </c>
      <c r="B256" s="39" t="s">
        <v>99</v>
      </c>
      <c r="C256" s="122"/>
      <c r="D256" s="44" t="s">
        <v>1</v>
      </c>
      <c r="E256" s="44" t="s">
        <v>1548</v>
      </c>
      <c r="F256" s="48" t="s">
        <v>63</v>
      </c>
      <c r="G256" s="48">
        <v>41</v>
      </c>
      <c r="H256" s="44" t="s">
        <v>1549</v>
      </c>
      <c r="I256" s="63"/>
      <c r="EP256" s="80"/>
    </row>
    <row r="257" spans="1:146" s="79" customFormat="1" x14ac:dyDescent="0.3">
      <c r="A257" s="39">
        <v>6</v>
      </c>
      <c r="B257" s="39" t="s">
        <v>99</v>
      </c>
      <c r="C257" s="122"/>
      <c r="D257" s="44" t="s">
        <v>1</v>
      </c>
      <c r="E257" s="44" t="s">
        <v>1550</v>
      </c>
      <c r="F257" s="48" t="s">
        <v>63</v>
      </c>
      <c r="G257" s="48">
        <v>27</v>
      </c>
      <c r="H257" s="44" t="s">
        <v>1551</v>
      </c>
      <c r="I257" s="63"/>
      <c r="EP257" s="80"/>
    </row>
    <row r="258" spans="1:146" s="79" customFormat="1" ht="31.2" x14ac:dyDescent="0.3">
      <c r="A258" s="39">
        <v>6</v>
      </c>
      <c r="B258" s="39" t="s">
        <v>99</v>
      </c>
      <c r="C258" s="122"/>
      <c r="D258" s="44" t="s">
        <v>1</v>
      </c>
      <c r="E258" s="44" t="s">
        <v>1552</v>
      </c>
      <c r="F258" s="48" t="s">
        <v>63</v>
      </c>
      <c r="G258" s="48">
        <v>81</v>
      </c>
      <c r="H258" s="44" t="s">
        <v>1528</v>
      </c>
      <c r="I258" s="63"/>
      <c r="EP258" s="80"/>
    </row>
    <row r="259" spans="1:146" s="79" customFormat="1" x14ac:dyDescent="0.3">
      <c r="A259" s="39">
        <v>6</v>
      </c>
      <c r="B259" s="39" t="s">
        <v>99</v>
      </c>
      <c r="C259" s="122"/>
      <c r="D259" s="44" t="s">
        <v>1</v>
      </c>
      <c r="E259" s="44" t="s">
        <v>1553</v>
      </c>
      <c r="F259" s="48" t="s">
        <v>63</v>
      </c>
      <c r="G259" s="48">
        <v>144</v>
      </c>
      <c r="H259" s="44" t="s">
        <v>1532</v>
      </c>
      <c r="I259" s="63"/>
      <c r="EP259" s="80"/>
    </row>
    <row r="260" spans="1:146" s="79" customFormat="1" ht="31.2" x14ac:dyDescent="0.3">
      <c r="A260" s="39">
        <v>6</v>
      </c>
      <c r="B260" s="39" t="s">
        <v>99</v>
      </c>
      <c r="C260" s="39">
        <v>4</v>
      </c>
      <c r="D260" s="44" t="s">
        <v>119</v>
      </c>
      <c r="E260" s="44" t="s">
        <v>1554</v>
      </c>
      <c r="F260" s="48" t="s">
        <v>63</v>
      </c>
      <c r="G260" s="48">
        <v>66</v>
      </c>
      <c r="H260" s="44" t="s">
        <v>1555</v>
      </c>
      <c r="I260" s="63"/>
      <c r="EP260" s="80"/>
    </row>
    <row r="261" spans="1:146" s="79" customFormat="1" x14ac:dyDescent="0.3">
      <c r="A261" s="39">
        <v>6</v>
      </c>
      <c r="B261" s="39" t="s">
        <v>99</v>
      </c>
      <c r="C261" s="39">
        <v>4</v>
      </c>
      <c r="D261" s="44" t="s">
        <v>375</v>
      </c>
      <c r="E261" s="44" t="s">
        <v>1556</v>
      </c>
      <c r="F261" s="48" t="s">
        <v>63</v>
      </c>
      <c r="G261" s="48">
        <v>12</v>
      </c>
      <c r="H261" s="44" t="s">
        <v>720</v>
      </c>
      <c r="I261" s="63"/>
      <c r="EP261" s="80"/>
    </row>
    <row r="262" spans="1:146" s="79" customFormat="1" x14ac:dyDescent="0.3">
      <c r="A262" s="39">
        <v>6</v>
      </c>
      <c r="B262" s="39" t="s">
        <v>99</v>
      </c>
      <c r="C262" s="39">
        <v>4</v>
      </c>
      <c r="D262" s="44" t="s">
        <v>1</v>
      </c>
      <c r="E262" s="44" t="s">
        <v>1557</v>
      </c>
      <c r="F262" s="48" t="s">
        <v>51</v>
      </c>
      <c r="G262" s="48">
        <v>5</v>
      </c>
      <c r="H262" s="44" t="s">
        <v>1558</v>
      </c>
      <c r="I262" s="63"/>
      <c r="EP262" s="80"/>
    </row>
    <row r="263" spans="1:146" s="79" customFormat="1" x14ac:dyDescent="0.3">
      <c r="A263" s="9">
        <v>7</v>
      </c>
      <c r="B263" s="9" t="s">
        <v>16</v>
      </c>
      <c r="C263" s="9">
        <v>1</v>
      </c>
      <c r="D263" s="14" t="s">
        <v>4</v>
      </c>
      <c r="E263" s="14" t="s">
        <v>1559</v>
      </c>
      <c r="F263" s="9" t="s">
        <v>63</v>
      </c>
      <c r="G263" s="15">
        <v>9</v>
      </c>
      <c r="H263" s="14" t="s">
        <v>1560</v>
      </c>
      <c r="I263" s="63"/>
      <c r="EP263" s="80"/>
    </row>
    <row r="264" spans="1:146" s="79" customFormat="1" ht="31.2" x14ac:dyDescent="0.3">
      <c r="A264" s="9">
        <v>7</v>
      </c>
      <c r="B264" s="9" t="s">
        <v>16</v>
      </c>
      <c r="C264" s="9">
        <v>1</v>
      </c>
      <c r="D264" s="14" t="s">
        <v>141</v>
      </c>
      <c r="E264" s="14" t="s">
        <v>142</v>
      </c>
      <c r="F264" s="9" t="s">
        <v>51</v>
      </c>
      <c r="G264" s="15">
        <v>29</v>
      </c>
      <c r="H264" s="14" t="s">
        <v>143</v>
      </c>
      <c r="I264" s="63"/>
      <c r="EP264" s="80"/>
    </row>
    <row r="265" spans="1:146" s="79" customFormat="1" ht="31.2" x14ac:dyDescent="0.3">
      <c r="A265" s="9">
        <v>7</v>
      </c>
      <c r="B265" s="9" t="s">
        <v>16</v>
      </c>
      <c r="C265" s="9">
        <v>1</v>
      </c>
      <c r="D265" s="14" t="s">
        <v>141</v>
      </c>
      <c r="E265" s="14" t="s">
        <v>144</v>
      </c>
      <c r="F265" s="9" t="s">
        <v>51</v>
      </c>
      <c r="G265" s="15">
        <v>24</v>
      </c>
      <c r="H265" s="14" t="s">
        <v>145</v>
      </c>
      <c r="I265" s="63"/>
      <c r="EP265" s="80"/>
    </row>
    <row r="266" spans="1:146" s="79" customFormat="1" ht="31.2" x14ac:dyDescent="0.3">
      <c r="A266" s="9">
        <v>7</v>
      </c>
      <c r="B266" s="9" t="s">
        <v>16</v>
      </c>
      <c r="C266" s="9">
        <v>1</v>
      </c>
      <c r="D266" s="14" t="s">
        <v>1</v>
      </c>
      <c r="E266" s="14" t="s">
        <v>553</v>
      </c>
      <c r="F266" s="9" t="s">
        <v>63</v>
      </c>
      <c r="G266" s="15">
        <v>56</v>
      </c>
      <c r="H266" s="14" t="s">
        <v>137</v>
      </c>
      <c r="I266" s="63"/>
      <c r="EP266" s="80"/>
    </row>
    <row r="267" spans="1:146" s="79" customFormat="1" ht="31.2" x14ac:dyDescent="0.3">
      <c r="A267" s="9">
        <v>7</v>
      </c>
      <c r="B267" s="9" t="s">
        <v>16</v>
      </c>
      <c r="C267" s="9">
        <v>1</v>
      </c>
      <c r="D267" s="14" t="s">
        <v>1</v>
      </c>
      <c r="E267" s="14" t="s">
        <v>138</v>
      </c>
      <c r="F267" s="9" t="s">
        <v>63</v>
      </c>
      <c r="G267" s="15">
        <v>1</v>
      </c>
      <c r="H267" s="14" t="s">
        <v>139</v>
      </c>
      <c r="I267" s="63"/>
      <c r="EP267" s="80"/>
    </row>
    <row r="268" spans="1:146" s="79" customFormat="1" x14ac:dyDescent="0.3">
      <c r="A268" s="9">
        <v>7</v>
      </c>
      <c r="B268" s="9" t="s">
        <v>16</v>
      </c>
      <c r="C268" s="9">
        <v>1</v>
      </c>
      <c r="D268" s="14" t="s">
        <v>1</v>
      </c>
      <c r="E268" s="14" t="s">
        <v>146</v>
      </c>
      <c r="F268" s="9" t="s">
        <v>51</v>
      </c>
      <c r="G268" s="15">
        <v>126</v>
      </c>
      <c r="H268" s="14" t="s">
        <v>147</v>
      </c>
      <c r="I268" s="63"/>
      <c r="EP268" s="80"/>
    </row>
    <row r="269" spans="1:146" s="79" customFormat="1" x14ac:dyDescent="0.3">
      <c r="A269" s="9">
        <v>7</v>
      </c>
      <c r="B269" s="9" t="s">
        <v>16</v>
      </c>
      <c r="C269" s="9">
        <v>1</v>
      </c>
      <c r="D269" s="14" t="s">
        <v>1</v>
      </c>
      <c r="E269" s="14" t="s">
        <v>148</v>
      </c>
      <c r="F269" s="9" t="s">
        <v>51</v>
      </c>
      <c r="G269" s="15">
        <v>444</v>
      </c>
      <c r="H269" s="14" t="s">
        <v>147</v>
      </c>
      <c r="I269" s="63"/>
      <c r="EP269" s="80"/>
    </row>
    <row r="270" spans="1:146" s="79" customFormat="1" x14ac:dyDescent="0.3">
      <c r="A270" s="9">
        <v>7</v>
      </c>
      <c r="B270" s="9" t="s">
        <v>16</v>
      </c>
      <c r="C270" s="9">
        <v>1</v>
      </c>
      <c r="D270" s="14" t="s">
        <v>1</v>
      </c>
      <c r="E270" s="14" t="s">
        <v>149</v>
      </c>
      <c r="F270" s="9" t="s">
        <v>63</v>
      </c>
      <c r="G270" s="15">
        <v>2</v>
      </c>
      <c r="H270" s="14" t="s">
        <v>150</v>
      </c>
      <c r="I270" s="63"/>
      <c r="EP270" s="80"/>
    </row>
    <row r="271" spans="1:146" s="79" customFormat="1" ht="31.2" x14ac:dyDescent="0.3">
      <c r="A271" s="9">
        <v>7</v>
      </c>
      <c r="B271" s="9" t="s">
        <v>16</v>
      </c>
      <c r="C271" s="9">
        <v>1</v>
      </c>
      <c r="D271" s="14" t="s">
        <v>65</v>
      </c>
      <c r="E271" s="14" t="s">
        <v>132</v>
      </c>
      <c r="F271" s="9" t="s">
        <v>63</v>
      </c>
      <c r="G271" s="15">
        <v>62</v>
      </c>
      <c r="H271" s="14" t="s">
        <v>552</v>
      </c>
      <c r="I271" s="63"/>
      <c r="EP271" s="80"/>
    </row>
    <row r="272" spans="1:146" s="79" customFormat="1" x14ac:dyDescent="0.3">
      <c r="A272" s="9">
        <v>7</v>
      </c>
      <c r="B272" s="9" t="s">
        <v>16</v>
      </c>
      <c r="C272" s="9">
        <v>1</v>
      </c>
      <c r="D272" s="14" t="s">
        <v>65</v>
      </c>
      <c r="E272" s="14" t="s">
        <v>133</v>
      </c>
      <c r="F272" s="9" t="s">
        <v>63</v>
      </c>
      <c r="G272" s="15">
        <v>6</v>
      </c>
      <c r="H272" s="14" t="s">
        <v>134</v>
      </c>
      <c r="I272" s="63"/>
      <c r="EP272" s="80"/>
    </row>
    <row r="273" spans="1:146" s="79" customFormat="1" x14ac:dyDescent="0.3">
      <c r="A273" s="9">
        <v>7</v>
      </c>
      <c r="B273" s="9" t="s">
        <v>16</v>
      </c>
      <c r="C273" s="9">
        <v>1</v>
      </c>
      <c r="D273" s="14" t="s">
        <v>65</v>
      </c>
      <c r="E273" s="14" t="s">
        <v>135</v>
      </c>
      <c r="F273" s="9" t="s">
        <v>63</v>
      </c>
      <c r="G273" s="15">
        <v>2</v>
      </c>
      <c r="H273" s="14" t="s">
        <v>136</v>
      </c>
      <c r="I273" s="63"/>
      <c r="EP273" s="80"/>
    </row>
    <row r="274" spans="1:146" s="79" customFormat="1" ht="31.2" x14ac:dyDescent="0.3">
      <c r="A274" s="9">
        <v>7</v>
      </c>
      <c r="B274" s="9" t="s">
        <v>16</v>
      </c>
      <c r="C274" s="9">
        <v>1</v>
      </c>
      <c r="D274" s="14" t="s">
        <v>65</v>
      </c>
      <c r="E274" s="14" t="s">
        <v>554</v>
      </c>
      <c r="F274" s="9" t="s">
        <v>51</v>
      </c>
      <c r="G274" s="15">
        <v>5</v>
      </c>
      <c r="H274" s="14" t="s">
        <v>140</v>
      </c>
      <c r="I274" s="63"/>
      <c r="EP274" s="80"/>
    </row>
    <row r="275" spans="1:146" s="79" customFormat="1" x14ac:dyDescent="0.3">
      <c r="A275" s="26">
        <v>7</v>
      </c>
      <c r="B275" s="26" t="s">
        <v>16</v>
      </c>
      <c r="C275" s="26">
        <v>2</v>
      </c>
      <c r="D275" s="32" t="s">
        <v>1</v>
      </c>
      <c r="E275" s="32" t="s">
        <v>146</v>
      </c>
      <c r="F275" s="26" t="s">
        <v>51</v>
      </c>
      <c r="G275" s="36">
        <v>373</v>
      </c>
      <c r="H275" s="32" t="s">
        <v>147</v>
      </c>
      <c r="I275" s="63"/>
      <c r="EP275" s="80"/>
    </row>
    <row r="276" spans="1:146" s="79" customFormat="1" x14ac:dyDescent="0.3">
      <c r="A276" s="26">
        <v>7</v>
      </c>
      <c r="B276" s="26" t="s">
        <v>16</v>
      </c>
      <c r="C276" s="26">
        <v>2</v>
      </c>
      <c r="D276" s="32" t="s">
        <v>1</v>
      </c>
      <c r="E276" s="32" t="s">
        <v>148</v>
      </c>
      <c r="F276" s="26" t="s">
        <v>51</v>
      </c>
      <c r="G276" s="36">
        <v>215</v>
      </c>
      <c r="H276" s="32" t="s">
        <v>147</v>
      </c>
      <c r="I276" s="63"/>
      <c r="EP276" s="80"/>
    </row>
    <row r="277" spans="1:146" s="79" customFormat="1" ht="31.2" x14ac:dyDescent="0.3">
      <c r="A277" s="57">
        <v>7</v>
      </c>
      <c r="B277" s="57" t="s">
        <v>16</v>
      </c>
      <c r="C277" s="57">
        <v>3</v>
      </c>
      <c r="D277" s="58" t="s">
        <v>141</v>
      </c>
      <c r="E277" s="58" t="s">
        <v>1055</v>
      </c>
      <c r="F277" s="57" t="s">
        <v>51</v>
      </c>
      <c r="G277" s="59">
        <v>33</v>
      </c>
      <c r="H277" s="58" t="s">
        <v>143</v>
      </c>
      <c r="I277" s="63"/>
      <c r="EP277" s="80"/>
    </row>
    <row r="278" spans="1:146" s="79" customFormat="1" x14ac:dyDescent="0.3">
      <c r="A278" s="57">
        <v>7</v>
      </c>
      <c r="B278" s="57" t="s">
        <v>16</v>
      </c>
      <c r="C278" s="57">
        <v>3</v>
      </c>
      <c r="D278" s="58" t="s">
        <v>1</v>
      </c>
      <c r="E278" s="58" t="s">
        <v>146</v>
      </c>
      <c r="F278" s="57" t="s">
        <v>51</v>
      </c>
      <c r="G278" s="59">
        <v>273</v>
      </c>
      <c r="H278" s="58" t="s">
        <v>147</v>
      </c>
      <c r="I278" s="63"/>
      <c r="EP278" s="80"/>
    </row>
    <row r="279" spans="1:146" s="79" customFormat="1" x14ac:dyDescent="0.3">
      <c r="A279" s="57">
        <v>7</v>
      </c>
      <c r="B279" s="57" t="s">
        <v>16</v>
      </c>
      <c r="C279" s="57">
        <v>3</v>
      </c>
      <c r="D279" s="58" t="s">
        <v>1</v>
      </c>
      <c r="E279" s="58" t="s">
        <v>148</v>
      </c>
      <c r="F279" s="57" t="s">
        <v>51</v>
      </c>
      <c r="G279" s="59">
        <v>191</v>
      </c>
      <c r="H279" s="58" t="s">
        <v>147</v>
      </c>
      <c r="I279" s="63"/>
      <c r="EP279" s="80"/>
    </row>
    <row r="280" spans="1:146" s="79" customFormat="1" ht="31.2" x14ac:dyDescent="0.3">
      <c r="A280" s="57">
        <v>7</v>
      </c>
      <c r="B280" s="57" t="s">
        <v>16</v>
      </c>
      <c r="C280" s="57">
        <v>3</v>
      </c>
      <c r="D280" s="58" t="s">
        <v>65</v>
      </c>
      <c r="E280" s="58" t="s">
        <v>723</v>
      </c>
      <c r="F280" s="57" t="s">
        <v>51</v>
      </c>
      <c r="G280" s="59">
        <v>62</v>
      </c>
      <c r="H280" s="58" t="s">
        <v>724</v>
      </c>
      <c r="I280" s="63"/>
      <c r="EP280" s="80"/>
    </row>
    <row r="281" spans="1:146" s="79" customFormat="1" ht="31.2" x14ac:dyDescent="0.3">
      <c r="A281" s="57">
        <v>7</v>
      </c>
      <c r="B281" s="57" t="s">
        <v>16</v>
      </c>
      <c r="C281" s="57">
        <v>3</v>
      </c>
      <c r="D281" s="58" t="s">
        <v>65</v>
      </c>
      <c r="E281" s="58" t="s">
        <v>554</v>
      </c>
      <c r="F281" s="57" t="s">
        <v>51</v>
      </c>
      <c r="G281" s="59">
        <v>4</v>
      </c>
      <c r="H281" s="58" t="s">
        <v>140</v>
      </c>
      <c r="I281" s="50"/>
      <c r="EP281" s="80"/>
    </row>
    <row r="282" spans="1:146" s="79" customFormat="1" x14ac:dyDescent="0.3">
      <c r="A282" s="39">
        <v>7</v>
      </c>
      <c r="B282" s="39" t="s">
        <v>16</v>
      </c>
      <c r="C282" s="39">
        <v>4</v>
      </c>
      <c r="D282" s="44" t="s">
        <v>1</v>
      </c>
      <c r="E282" s="44" t="s">
        <v>146</v>
      </c>
      <c r="F282" s="39" t="s">
        <v>63</v>
      </c>
      <c r="G282" s="48">
        <v>118</v>
      </c>
      <c r="H282" s="44" t="s">
        <v>147</v>
      </c>
      <c r="I282" s="63"/>
      <c r="EP282" s="80"/>
    </row>
    <row r="283" spans="1:146" s="79" customFormat="1" x14ac:dyDescent="0.3">
      <c r="A283" s="39">
        <v>7</v>
      </c>
      <c r="B283" s="39" t="s">
        <v>16</v>
      </c>
      <c r="C283" s="39">
        <v>4</v>
      </c>
      <c r="D283" s="44" t="s">
        <v>1</v>
      </c>
      <c r="E283" s="44" t="s">
        <v>148</v>
      </c>
      <c r="F283" s="39" t="s">
        <v>63</v>
      </c>
      <c r="G283" s="48">
        <v>110</v>
      </c>
      <c r="H283" s="44" t="s">
        <v>147</v>
      </c>
      <c r="I283" s="63"/>
      <c r="EP283" s="80"/>
    </row>
    <row r="284" spans="1:146" s="79" customFormat="1" ht="31.2" x14ac:dyDescent="0.3">
      <c r="A284" s="39">
        <v>7</v>
      </c>
      <c r="B284" s="39" t="s">
        <v>16</v>
      </c>
      <c r="C284" s="39">
        <v>4</v>
      </c>
      <c r="D284" s="44" t="s">
        <v>141</v>
      </c>
      <c r="E284" s="44" t="s">
        <v>142</v>
      </c>
      <c r="F284" s="39" t="s">
        <v>63</v>
      </c>
      <c r="G284" s="48" t="s">
        <v>1092</v>
      </c>
      <c r="H284" s="44" t="s">
        <v>143</v>
      </c>
      <c r="I284" s="63"/>
      <c r="EP284" s="80"/>
    </row>
    <row r="285" spans="1:146" s="79" customFormat="1" ht="31.2" x14ac:dyDescent="0.3">
      <c r="A285" s="39">
        <v>7</v>
      </c>
      <c r="B285" s="39" t="s">
        <v>16</v>
      </c>
      <c r="C285" s="39">
        <v>4</v>
      </c>
      <c r="D285" s="44" t="s">
        <v>65</v>
      </c>
      <c r="E285" s="44" t="s">
        <v>554</v>
      </c>
      <c r="F285" s="39" t="s">
        <v>63</v>
      </c>
      <c r="G285" s="48">
        <v>4</v>
      </c>
      <c r="H285" s="44" t="s">
        <v>140</v>
      </c>
      <c r="I285" s="63"/>
      <c r="EP285" s="80"/>
    </row>
    <row r="286" spans="1:146" s="79" customFormat="1" x14ac:dyDescent="0.3">
      <c r="A286" s="39">
        <v>7</v>
      </c>
      <c r="B286" s="39" t="s">
        <v>16</v>
      </c>
      <c r="C286" s="39">
        <v>4</v>
      </c>
      <c r="D286" s="44" t="s">
        <v>119</v>
      </c>
      <c r="E286" s="44" t="s">
        <v>1471</v>
      </c>
      <c r="F286" s="39" t="s">
        <v>63</v>
      </c>
      <c r="G286" s="48">
        <v>62</v>
      </c>
      <c r="H286" s="44" t="s">
        <v>1093</v>
      </c>
      <c r="I286" s="63"/>
      <c r="EP286" s="80"/>
    </row>
    <row r="287" spans="1:146" s="79" customFormat="1" ht="31.2" x14ac:dyDescent="0.3">
      <c r="A287" s="39">
        <v>7</v>
      </c>
      <c r="B287" s="39" t="s">
        <v>16</v>
      </c>
      <c r="C287" s="39">
        <v>4</v>
      </c>
      <c r="D287" s="44" t="s">
        <v>141</v>
      </c>
      <c r="E287" s="44" t="s">
        <v>1094</v>
      </c>
      <c r="F287" s="39" t="s">
        <v>63</v>
      </c>
      <c r="G287" s="48" t="s">
        <v>1095</v>
      </c>
      <c r="H287" s="44" t="s">
        <v>1096</v>
      </c>
      <c r="I287" s="63"/>
      <c r="EP287" s="80"/>
    </row>
    <row r="288" spans="1:146" s="79" customFormat="1" ht="31.2" x14ac:dyDescent="0.3">
      <c r="A288" s="9">
        <v>8</v>
      </c>
      <c r="B288" s="9" t="s">
        <v>17</v>
      </c>
      <c r="C288" s="9">
        <v>1</v>
      </c>
      <c r="D288" s="14" t="s">
        <v>4</v>
      </c>
      <c r="E288" s="14" t="s">
        <v>158</v>
      </c>
      <c r="F288" s="9" t="s">
        <v>51</v>
      </c>
      <c r="G288" s="15">
        <v>25</v>
      </c>
      <c r="H288" s="14" t="s">
        <v>88</v>
      </c>
      <c r="I288" s="63"/>
      <c r="EP288" s="80"/>
    </row>
    <row r="289" spans="1:146" s="79" customFormat="1" x14ac:dyDescent="0.3">
      <c r="A289" s="9">
        <v>8</v>
      </c>
      <c r="B289" s="9" t="s">
        <v>17</v>
      </c>
      <c r="C289" s="9">
        <v>1</v>
      </c>
      <c r="D289" s="14" t="s">
        <v>0</v>
      </c>
      <c r="E289" s="14" t="s">
        <v>151</v>
      </c>
      <c r="F289" s="9" t="s">
        <v>51</v>
      </c>
      <c r="G289" s="15">
        <v>4</v>
      </c>
      <c r="H289" s="14" t="s">
        <v>88</v>
      </c>
      <c r="I289" s="63"/>
      <c r="EP289" s="80"/>
    </row>
    <row r="290" spans="1:146" s="79" customFormat="1" ht="31.2" x14ac:dyDescent="0.3">
      <c r="A290" s="9">
        <v>8</v>
      </c>
      <c r="B290" s="9" t="s">
        <v>17</v>
      </c>
      <c r="C290" s="9">
        <v>1</v>
      </c>
      <c r="D290" s="14" t="s">
        <v>1</v>
      </c>
      <c r="E290" s="14" t="s">
        <v>152</v>
      </c>
      <c r="F290" s="9" t="s">
        <v>51</v>
      </c>
      <c r="G290" s="15">
        <v>61</v>
      </c>
      <c r="H290" s="14" t="s">
        <v>88</v>
      </c>
      <c r="I290" s="63"/>
      <c r="EP290" s="80"/>
    </row>
    <row r="291" spans="1:146" s="79" customFormat="1" x14ac:dyDescent="0.3">
      <c r="A291" s="9">
        <v>8</v>
      </c>
      <c r="B291" s="9" t="s">
        <v>17</v>
      </c>
      <c r="C291" s="9">
        <v>1</v>
      </c>
      <c r="D291" s="14" t="s">
        <v>1</v>
      </c>
      <c r="E291" s="14" t="s">
        <v>153</v>
      </c>
      <c r="F291" s="9" t="s">
        <v>51</v>
      </c>
      <c r="G291" s="15">
        <v>35</v>
      </c>
      <c r="H291" s="14" t="s">
        <v>88</v>
      </c>
      <c r="I291" s="63"/>
      <c r="EP291" s="80"/>
    </row>
    <row r="292" spans="1:146" s="79" customFormat="1" x14ac:dyDescent="0.3">
      <c r="A292" s="9">
        <v>8</v>
      </c>
      <c r="B292" s="9" t="s">
        <v>17</v>
      </c>
      <c r="C292" s="9">
        <v>1</v>
      </c>
      <c r="D292" s="14" t="s">
        <v>1</v>
      </c>
      <c r="E292" s="14" t="s">
        <v>156</v>
      </c>
      <c r="F292" s="9" t="s">
        <v>51</v>
      </c>
      <c r="G292" s="15">
        <v>87</v>
      </c>
      <c r="H292" s="14" t="s">
        <v>88</v>
      </c>
      <c r="I292" s="63"/>
      <c r="EP292" s="80"/>
    </row>
    <row r="293" spans="1:146" s="79" customFormat="1" x14ac:dyDescent="0.3">
      <c r="A293" s="9">
        <v>8</v>
      </c>
      <c r="B293" s="9" t="s">
        <v>17</v>
      </c>
      <c r="C293" s="9">
        <v>1</v>
      </c>
      <c r="D293" s="14" t="s">
        <v>65</v>
      </c>
      <c r="E293" s="14" t="s">
        <v>154</v>
      </c>
      <c r="F293" s="9" t="s">
        <v>51</v>
      </c>
      <c r="G293" s="15">
        <v>16</v>
      </c>
      <c r="H293" s="14" t="s">
        <v>88</v>
      </c>
      <c r="I293" s="63"/>
      <c r="EP293" s="80"/>
    </row>
    <row r="294" spans="1:146" s="79" customFormat="1" x14ac:dyDescent="0.3">
      <c r="A294" s="9">
        <v>8</v>
      </c>
      <c r="B294" s="9" t="s">
        <v>17</v>
      </c>
      <c r="C294" s="9">
        <v>1</v>
      </c>
      <c r="D294" s="14" t="s">
        <v>65</v>
      </c>
      <c r="E294" s="14" t="s">
        <v>155</v>
      </c>
      <c r="F294" s="9" t="s">
        <v>51</v>
      </c>
      <c r="G294" s="15">
        <v>19</v>
      </c>
      <c r="H294" s="14" t="s">
        <v>88</v>
      </c>
      <c r="I294" s="63"/>
      <c r="EP294" s="80"/>
    </row>
    <row r="295" spans="1:146" s="79" customFormat="1" x14ac:dyDescent="0.3">
      <c r="A295" s="9">
        <v>8</v>
      </c>
      <c r="B295" s="9" t="s">
        <v>17</v>
      </c>
      <c r="C295" s="9">
        <v>1</v>
      </c>
      <c r="D295" s="14" t="s">
        <v>65</v>
      </c>
      <c r="E295" s="14" t="s">
        <v>157</v>
      </c>
      <c r="F295" s="9" t="s">
        <v>51</v>
      </c>
      <c r="G295" s="15">
        <v>208</v>
      </c>
      <c r="H295" s="14" t="s">
        <v>88</v>
      </c>
      <c r="I295" s="63"/>
      <c r="EP295" s="80"/>
    </row>
    <row r="296" spans="1:146" s="79" customFormat="1" x14ac:dyDescent="0.3">
      <c r="A296" s="9">
        <v>8</v>
      </c>
      <c r="B296" s="9" t="s">
        <v>17</v>
      </c>
      <c r="C296" s="9">
        <v>1</v>
      </c>
      <c r="D296" s="14" t="s">
        <v>65</v>
      </c>
      <c r="E296" s="14" t="s">
        <v>159</v>
      </c>
      <c r="F296" s="9" t="s">
        <v>51</v>
      </c>
      <c r="G296" s="15">
        <v>6</v>
      </c>
      <c r="H296" s="14" t="s">
        <v>88</v>
      </c>
      <c r="I296" s="63"/>
      <c r="EP296" s="80"/>
    </row>
    <row r="297" spans="1:146" s="79" customFormat="1" x14ac:dyDescent="0.3">
      <c r="A297" s="26">
        <v>8</v>
      </c>
      <c r="B297" s="26" t="s">
        <v>17</v>
      </c>
      <c r="C297" s="26">
        <v>2</v>
      </c>
      <c r="D297" s="32" t="s">
        <v>0</v>
      </c>
      <c r="E297" s="32" t="s">
        <v>579</v>
      </c>
      <c r="F297" s="26" t="s">
        <v>51</v>
      </c>
      <c r="G297" s="36">
        <v>6</v>
      </c>
      <c r="H297" s="32" t="s">
        <v>88</v>
      </c>
      <c r="I297" s="63"/>
      <c r="EP297" s="80"/>
    </row>
    <row r="298" spans="1:146" s="79" customFormat="1" x14ac:dyDescent="0.3">
      <c r="A298" s="26">
        <v>8</v>
      </c>
      <c r="B298" s="26" t="s">
        <v>17</v>
      </c>
      <c r="C298" s="26">
        <v>2</v>
      </c>
      <c r="D298" s="32" t="s">
        <v>1</v>
      </c>
      <c r="E298" s="32" t="s">
        <v>580</v>
      </c>
      <c r="F298" s="26" t="s">
        <v>51</v>
      </c>
      <c r="G298" s="36">
        <v>2</v>
      </c>
      <c r="H298" s="32" t="s">
        <v>88</v>
      </c>
      <c r="I298" s="63"/>
      <c r="EP298" s="80"/>
    </row>
    <row r="299" spans="1:146" s="79" customFormat="1" x14ac:dyDescent="0.3">
      <c r="A299" s="26">
        <v>8</v>
      </c>
      <c r="B299" s="26" t="s">
        <v>17</v>
      </c>
      <c r="C299" s="26">
        <v>2</v>
      </c>
      <c r="D299" s="32" t="s">
        <v>581</v>
      </c>
      <c r="E299" s="32" t="s">
        <v>582</v>
      </c>
      <c r="F299" s="26" t="s">
        <v>63</v>
      </c>
      <c r="G299" s="36">
        <v>1</v>
      </c>
      <c r="H299" s="32" t="s">
        <v>583</v>
      </c>
      <c r="I299" s="63"/>
      <c r="EP299" s="80"/>
    </row>
    <row r="300" spans="1:146" s="79" customFormat="1" x14ac:dyDescent="0.3">
      <c r="A300" s="26">
        <v>8</v>
      </c>
      <c r="B300" s="26" t="s">
        <v>17</v>
      </c>
      <c r="C300" s="26">
        <v>2</v>
      </c>
      <c r="D300" s="32" t="s">
        <v>1</v>
      </c>
      <c r="E300" s="32" t="s">
        <v>584</v>
      </c>
      <c r="F300" s="26" t="s">
        <v>51</v>
      </c>
      <c r="G300" s="36">
        <v>268</v>
      </c>
      <c r="H300" s="32" t="s">
        <v>88</v>
      </c>
      <c r="I300" s="63"/>
      <c r="EP300" s="80"/>
    </row>
    <row r="301" spans="1:146" s="79" customFormat="1" x14ac:dyDescent="0.3">
      <c r="A301" s="26">
        <v>8</v>
      </c>
      <c r="B301" s="26" t="s">
        <v>17</v>
      </c>
      <c r="C301" s="26">
        <v>2</v>
      </c>
      <c r="D301" s="32" t="s">
        <v>375</v>
      </c>
      <c r="E301" s="32" t="s">
        <v>585</v>
      </c>
      <c r="F301" s="26" t="s">
        <v>51</v>
      </c>
      <c r="G301" s="36">
        <v>31</v>
      </c>
      <c r="H301" s="32" t="s">
        <v>88</v>
      </c>
      <c r="I301" s="63"/>
      <c r="EP301" s="80"/>
    </row>
    <row r="302" spans="1:146" s="79" customFormat="1" x14ac:dyDescent="0.3">
      <c r="A302" s="26">
        <v>8</v>
      </c>
      <c r="B302" s="26" t="s">
        <v>17</v>
      </c>
      <c r="C302" s="26">
        <v>2</v>
      </c>
      <c r="D302" s="32" t="s">
        <v>375</v>
      </c>
      <c r="E302" s="32" t="s">
        <v>586</v>
      </c>
      <c r="F302" s="26" t="s">
        <v>51</v>
      </c>
      <c r="G302" s="36">
        <v>12</v>
      </c>
      <c r="H302" s="32" t="s">
        <v>88</v>
      </c>
      <c r="I302" s="63"/>
      <c r="EP302" s="80"/>
    </row>
    <row r="303" spans="1:146" s="79" customFormat="1" x14ac:dyDescent="0.3">
      <c r="A303" s="26">
        <v>8</v>
      </c>
      <c r="B303" s="26" t="s">
        <v>17</v>
      </c>
      <c r="C303" s="26">
        <v>2</v>
      </c>
      <c r="D303" s="32" t="s">
        <v>375</v>
      </c>
      <c r="E303" s="32" t="s">
        <v>587</v>
      </c>
      <c r="F303" s="26" t="s">
        <v>63</v>
      </c>
      <c r="G303" s="36">
        <v>1</v>
      </c>
      <c r="H303" s="32" t="s">
        <v>88</v>
      </c>
      <c r="I303" s="63"/>
      <c r="EP303" s="80"/>
    </row>
    <row r="304" spans="1:146" s="79" customFormat="1" x14ac:dyDescent="0.3">
      <c r="A304" s="57">
        <v>8</v>
      </c>
      <c r="B304" s="57" t="s">
        <v>17</v>
      </c>
      <c r="C304" s="57">
        <v>3</v>
      </c>
      <c r="D304" s="58" t="s">
        <v>119</v>
      </c>
      <c r="E304" s="58" t="s">
        <v>731</v>
      </c>
      <c r="F304" s="57" t="s">
        <v>63</v>
      </c>
      <c r="G304" s="59">
        <v>1</v>
      </c>
      <c r="H304" s="58" t="s">
        <v>732</v>
      </c>
      <c r="I304" s="63"/>
      <c r="EP304" s="80"/>
    </row>
    <row r="305" spans="1:146" s="79" customFormat="1" x14ac:dyDescent="0.3">
      <c r="A305" s="57">
        <v>8</v>
      </c>
      <c r="B305" s="57" t="s">
        <v>17</v>
      </c>
      <c r="C305" s="57">
        <v>3</v>
      </c>
      <c r="D305" s="58" t="s">
        <v>119</v>
      </c>
      <c r="E305" s="58" t="s">
        <v>733</v>
      </c>
      <c r="F305" s="57" t="s">
        <v>63</v>
      </c>
      <c r="G305" s="59">
        <v>1</v>
      </c>
      <c r="H305" s="58" t="s">
        <v>88</v>
      </c>
      <c r="I305" s="50"/>
      <c r="EP305" s="80"/>
    </row>
    <row r="306" spans="1:146" s="79" customFormat="1" x14ac:dyDescent="0.3">
      <c r="A306" s="57">
        <v>8</v>
      </c>
      <c r="B306" s="57" t="s">
        <v>17</v>
      </c>
      <c r="C306" s="57">
        <v>3</v>
      </c>
      <c r="D306" s="58" t="s">
        <v>0</v>
      </c>
      <c r="E306" s="58" t="s">
        <v>725</v>
      </c>
      <c r="F306" s="57" t="s">
        <v>51</v>
      </c>
      <c r="G306" s="59">
        <v>12</v>
      </c>
      <c r="H306" s="58" t="s">
        <v>88</v>
      </c>
      <c r="I306" s="63"/>
      <c r="EP306" s="80"/>
    </row>
    <row r="307" spans="1:146" s="79" customFormat="1" x14ac:dyDescent="0.3">
      <c r="A307" s="57">
        <v>8</v>
      </c>
      <c r="B307" s="57" t="s">
        <v>17</v>
      </c>
      <c r="C307" s="57">
        <v>3</v>
      </c>
      <c r="D307" s="58" t="s">
        <v>1</v>
      </c>
      <c r="E307" s="58" t="s">
        <v>726</v>
      </c>
      <c r="F307" s="57" t="s">
        <v>63</v>
      </c>
      <c r="G307" s="59">
        <v>292</v>
      </c>
      <c r="H307" s="58" t="s">
        <v>88</v>
      </c>
      <c r="I307" s="63"/>
      <c r="EP307" s="80"/>
    </row>
    <row r="308" spans="1:146" s="79" customFormat="1" x14ac:dyDescent="0.3">
      <c r="A308" s="57">
        <v>8</v>
      </c>
      <c r="B308" s="57" t="s">
        <v>17</v>
      </c>
      <c r="C308" s="57">
        <v>3</v>
      </c>
      <c r="D308" s="58" t="s">
        <v>375</v>
      </c>
      <c r="E308" s="58" t="s">
        <v>727</v>
      </c>
      <c r="F308" s="57" t="s">
        <v>728</v>
      </c>
      <c r="G308" s="59">
        <v>29</v>
      </c>
      <c r="H308" s="58" t="s">
        <v>88</v>
      </c>
      <c r="I308" s="63"/>
      <c r="EP308" s="80"/>
    </row>
    <row r="309" spans="1:146" s="79" customFormat="1" x14ac:dyDescent="0.3">
      <c r="A309" s="57">
        <v>8</v>
      </c>
      <c r="B309" s="57" t="s">
        <v>17</v>
      </c>
      <c r="C309" s="57">
        <v>3</v>
      </c>
      <c r="D309" s="58" t="s">
        <v>375</v>
      </c>
      <c r="E309" s="58" t="s">
        <v>729</v>
      </c>
      <c r="F309" s="57" t="s">
        <v>63</v>
      </c>
      <c r="G309" s="59">
        <v>10</v>
      </c>
      <c r="H309" s="58" t="s">
        <v>88</v>
      </c>
      <c r="I309" s="63"/>
      <c r="EP309" s="80"/>
    </row>
    <row r="310" spans="1:146" s="79" customFormat="1" x14ac:dyDescent="0.3">
      <c r="A310" s="57">
        <v>8</v>
      </c>
      <c r="B310" s="57" t="s">
        <v>17</v>
      </c>
      <c r="C310" s="57">
        <v>3</v>
      </c>
      <c r="D310" s="58" t="s">
        <v>375</v>
      </c>
      <c r="E310" s="58" t="s">
        <v>730</v>
      </c>
      <c r="F310" s="57" t="s">
        <v>63</v>
      </c>
      <c r="G310" s="59">
        <v>22</v>
      </c>
      <c r="H310" s="58" t="s">
        <v>88</v>
      </c>
      <c r="I310" s="63"/>
      <c r="EP310" s="80"/>
    </row>
    <row r="311" spans="1:146" s="79" customFormat="1" x14ac:dyDescent="0.3">
      <c r="A311" s="39">
        <v>8</v>
      </c>
      <c r="B311" s="39" t="s">
        <v>17</v>
      </c>
      <c r="C311" s="39">
        <v>4</v>
      </c>
      <c r="D311" s="44" t="s">
        <v>0</v>
      </c>
      <c r="E311" s="44" t="s">
        <v>1097</v>
      </c>
      <c r="F311" s="39" t="s">
        <v>63</v>
      </c>
      <c r="G311" s="48">
        <v>11</v>
      </c>
      <c r="H311" s="44" t="s">
        <v>88</v>
      </c>
      <c r="I311" s="63"/>
      <c r="EP311" s="80"/>
    </row>
    <row r="312" spans="1:146" s="79" customFormat="1" x14ac:dyDescent="0.3">
      <c r="A312" s="39">
        <v>8</v>
      </c>
      <c r="B312" s="39" t="s">
        <v>17</v>
      </c>
      <c r="C312" s="39">
        <v>4</v>
      </c>
      <c r="D312" s="44" t="s">
        <v>1</v>
      </c>
      <c r="E312" s="44" t="s">
        <v>1098</v>
      </c>
      <c r="F312" s="39" t="s">
        <v>63</v>
      </c>
      <c r="G312" s="48">
        <v>333</v>
      </c>
      <c r="H312" s="44" t="s">
        <v>88</v>
      </c>
      <c r="I312" s="63"/>
      <c r="EP312" s="80"/>
    </row>
    <row r="313" spans="1:146" s="79" customFormat="1" x14ac:dyDescent="0.3">
      <c r="A313" s="39">
        <v>8</v>
      </c>
      <c r="B313" s="39" t="s">
        <v>17</v>
      </c>
      <c r="C313" s="39">
        <v>4</v>
      </c>
      <c r="D313" s="44" t="s">
        <v>375</v>
      </c>
      <c r="E313" s="44" t="s">
        <v>1099</v>
      </c>
      <c r="F313" s="39" t="s">
        <v>63</v>
      </c>
      <c r="G313" s="48">
        <v>19</v>
      </c>
      <c r="H313" s="44" t="s">
        <v>88</v>
      </c>
      <c r="I313" s="63"/>
      <c r="EP313" s="80"/>
    </row>
    <row r="314" spans="1:146" s="79" customFormat="1" x14ac:dyDescent="0.3">
      <c r="A314" s="39">
        <v>8</v>
      </c>
      <c r="B314" s="39" t="s">
        <v>17</v>
      </c>
      <c r="C314" s="39">
        <v>4</v>
      </c>
      <c r="D314" s="44" t="s">
        <v>375</v>
      </c>
      <c r="E314" s="44" t="s">
        <v>1100</v>
      </c>
      <c r="F314" s="39" t="s">
        <v>51</v>
      </c>
      <c r="G314" s="48">
        <v>13</v>
      </c>
      <c r="H314" s="44" t="s">
        <v>88</v>
      </c>
      <c r="I314" s="63"/>
      <c r="EP314" s="80"/>
    </row>
    <row r="315" spans="1:146" s="79" customFormat="1" x14ac:dyDescent="0.3">
      <c r="A315" s="39">
        <v>8</v>
      </c>
      <c r="B315" s="39" t="s">
        <v>17</v>
      </c>
      <c r="C315" s="39">
        <v>4</v>
      </c>
      <c r="D315" s="44" t="s">
        <v>375</v>
      </c>
      <c r="E315" s="44" t="s">
        <v>1101</v>
      </c>
      <c r="F315" s="39" t="s">
        <v>51</v>
      </c>
      <c r="G315" s="48">
        <v>28</v>
      </c>
      <c r="H315" s="44" t="s">
        <v>88</v>
      </c>
      <c r="I315" s="63"/>
      <c r="EP315" s="80"/>
    </row>
    <row r="316" spans="1:146" s="79" customFormat="1" x14ac:dyDescent="0.3">
      <c r="A316" s="39">
        <v>8</v>
      </c>
      <c r="B316" s="39" t="s">
        <v>17</v>
      </c>
      <c r="C316" s="39">
        <v>4</v>
      </c>
      <c r="D316" s="44" t="s">
        <v>119</v>
      </c>
      <c r="E316" s="44" t="s">
        <v>733</v>
      </c>
      <c r="F316" s="39" t="s">
        <v>63</v>
      </c>
      <c r="G316" s="48">
        <v>1</v>
      </c>
      <c r="H316" s="44" t="s">
        <v>88</v>
      </c>
      <c r="I316" s="63"/>
      <c r="EP316" s="80"/>
    </row>
    <row r="317" spans="1:146" s="79" customFormat="1" ht="62.4" x14ac:dyDescent="0.3">
      <c r="A317" s="9">
        <v>9</v>
      </c>
      <c r="B317" s="9" t="s">
        <v>18</v>
      </c>
      <c r="C317" s="9">
        <v>1</v>
      </c>
      <c r="D317" s="14" t="s">
        <v>0</v>
      </c>
      <c r="E317" s="14" t="s">
        <v>169</v>
      </c>
      <c r="F317" s="9" t="s">
        <v>63</v>
      </c>
      <c r="G317" s="15">
        <v>1</v>
      </c>
      <c r="H317" s="14" t="s">
        <v>170</v>
      </c>
      <c r="I317" s="63"/>
      <c r="EP317" s="80"/>
    </row>
    <row r="318" spans="1:146" s="79" customFormat="1" ht="46.8" x14ac:dyDescent="0.3">
      <c r="A318" s="9">
        <v>9</v>
      </c>
      <c r="B318" s="9" t="s">
        <v>18</v>
      </c>
      <c r="C318" s="9">
        <v>1</v>
      </c>
      <c r="D318" s="14" t="s">
        <v>1</v>
      </c>
      <c r="E318" s="14" t="s">
        <v>163</v>
      </c>
      <c r="F318" s="9" t="s">
        <v>51</v>
      </c>
      <c r="G318" s="15">
        <v>1</v>
      </c>
      <c r="H318" s="14" t="s">
        <v>164</v>
      </c>
      <c r="I318" s="63"/>
      <c r="EP318" s="80"/>
    </row>
    <row r="319" spans="1:146" s="79" customFormat="1" ht="31.2" x14ac:dyDescent="0.3">
      <c r="A319" s="9">
        <v>9</v>
      </c>
      <c r="B319" s="9" t="s">
        <v>18</v>
      </c>
      <c r="C319" s="9">
        <v>1</v>
      </c>
      <c r="D319" s="14" t="s">
        <v>1</v>
      </c>
      <c r="E319" s="14" t="s">
        <v>167</v>
      </c>
      <c r="F319" s="9" t="s">
        <v>51</v>
      </c>
      <c r="G319" s="15">
        <v>4</v>
      </c>
      <c r="H319" s="14" t="s">
        <v>168</v>
      </c>
      <c r="I319" s="63"/>
      <c r="EP319" s="80"/>
    </row>
    <row r="320" spans="1:146" s="79" customFormat="1" ht="31.2" x14ac:dyDescent="0.3">
      <c r="A320" s="9">
        <v>9</v>
      </c>
      <c r="B320" s="9" t="s">
        <v>18</v>
      </c>
      <c r="C320" s="9">
        <v>1</v>
      </c>
      <c r="D320" s="14" t="s">
        <v>65</v>
      </c>
      <c r="E320" s="14" t="s">
        <v>160</v>
      </c>
      <c r="F320" s="9" t="s">
        <v>51</v>
      </c>
      <c r="G320" s="15" t="s">
        <v>161</v>
      </c>
      <c r="H320" s="14" t="s">
        <v>162</v>
      </c>
      <c r="I320" s="63"/>
      <c r="EP320" s="80"/>
    </row>
    <row r="321" spans="1:146" s="79" customFormat="1" ht="62.4" x14ac:dyDescent="0.3">
      <c r="A321" s="9">
        <v>9</v>
      </c>
      <c r="B321" s="9" t="s">
        <v>18</v>
      </c>
      <c r="C321" s="9">
        <v>1</v>
      </c>
      <c r="D321" s="14" t="s">
        <v>65</v>
      </c>
      <c r="E321" s="14" t="s">
        <v>165</v>
      </c>
      <c r="F321" s="9" t="s">
        <v>51</v>
      </c>
      <c r="G321" s="15">
        <v>48</v>
      </c>
      <c r="H321" s="14" t="s">
        <v>166</v>
      </c>
      <c r="I321" s="63"/>
      <c r="EP321" s="80"/>
    </row>
    <row r="322" spans="1:146" s="79" customFormat="1" ht="31.2" x14ac:dyDescent="0.3">
      <c r="A322" s="26">
        <v>9</v>
      </c>
      <c r="B322" s="26" t="s">
        <v>18</v>
      </c>
      <c r="C322" s="26">
        <v>2</v>
      </c>
      <c r="D322" s="115" t="s">
        <v>375</v>
      </c>
      <c r="E322" s="32" t="s">
        <v>417</v>
      </c>
      <c r="F322" s="26" t="s">
        <v>51</v>
      </c>
      <c r="G322" s="36">
        <v>4</v>
      </c>
      <c r="H322" s="32" t="s">
        <v>559</v>
      </c>
      <c r="I322" s="63"/>
      <c r="EP322" s="80"/>
    </row>
    <row r="323" spans="1:146" s="79" customFormat="1" x14ac:dyDescent="0.3">
      <c r="A323" s="26">
        <v>9</v>
      </c>
      <c r="B323" s="26" t="s">
        <v>18</v>
      </c>
      <c r="C323" s="26">
        <v>2</v>
      </c>
      <c r="D323" s="32" t="s">
        <v>1</v>
      </c>
      <c r="E323" s="32" t="s">
        <v>421</v>
      </c>
      <c r="F323" s="26" t="s">
        <v>51</v>
      </c>
      <c r="G323" s="36">
        <v>1</v>
      </c>
      <c r="H323" s="32" t="s">
        <v>422</v>
      </c>
      <c r="I323" s="63"/>
      <c r="EP323" s="80"/>
    </row>
    <row r="324" spans="1:146" s="79" customFormat="1" ht="62.4" x14ac:dyDescent="0.3">
      <c r="A324" s="26">
        <v>9</v>
      </c>
      <c r="B324" s="26" t="s">
        <v>18</v>
      </c>
      <c r="C324" s="26">
        <v>2</v>
      </c>
      <c r="D324" s="32" t="s">
        <v>375</v>
      </c>
      <c r="E324" s="32" t="s">
        <v>631</v>
      </c>
      <c r="F324" s="26" t="s">
        <v>51</v>
      </c>
      <c r="G324" s="36">
        <v>17</v>
      </c>
      <c r="H324" s="32" t="s">
        <v>558</v>
      </c>
      <c r="I324" s="63"/>
      <c r="EP324" s="80"/>
    </row>
    <row r="325" spans="1:146" s="79" customFormat="1" ht="46.8" x14ac:dyDescent="0.3">
      <c r="A325" s="26">
        <v>9</v>
      </c>
      <c r="B325" s="26" t="s">
        <v>18</v>
      </c>
      <c r="C325" s="26">
        <v>2</v>
      </c>
      <c r="D325" s="32" t="s">
        <v>375</v>
      </c>
      <c r="E325" s="32" t="s">
        <v>632</v>
      </c>
      <c r="F325" s="26" t="s">
        <v>51</v>
      </c>
      <c r="G325" s="36">
        <v>2</v>
      </c>
      <c r="H325" s="32" t="s">
        <v>418</v>
      </c>
      <c r="I325" s="63"/>
      <c r="EP325" s="80"/>
    </row>
    <row r="326" spans="1:146" s="79" customFormat="1" ht="31.2" x14ac:dyDescent="0.3">
      <c r="A326" s="26">
        <v>9</v>
      </c>
      <c r="B326" s="26" t="s">
        <v>18</v>
      </c>
      <c r="C326" s="26">
        <v>2</v>
      </c>
      <c r="D326" s="32" t="s">
        <v>375</v>
      </c>
      <c r="E326" s="32" t="s">
        <v>419</v>
      </c>
      <c r="F326" s="26" t="s">
        <v>51</v>
      </c>
      <c r="G326" s="36">
        <v>1</v>
      </c>
      <c r="H326" s="32" t="s">
        <v>420</v>
      </c>
      <c r="I326" s="63"/>
      <c r="EP326" s="80"/>
    </row>
    <row r="327" spans="1:146" s="79" customFormat="1" x14ac:dyDescent="0.3">
      <c r="A327" s="57">
        <v>9</v>
      </c>
      <c r="B327" s="57" t="s">
        <v>18</v>
      </c>
      <c r="C327" s="57">
        <v>3</v>
      </c>
      <c r="D327" s="58" t="s">
        <v>1</v>
      </c>
      <c r="E327" s="58" t="s">
        <v>738</v>
      </c>
      <c r="F327" s="57" t="s">
        <v>51</v>
      </c>
      <c r="G327" s="59">
        <v>1</v>
      </c>
      <c r="H327" s="58" t="s">
        <v>739</v>
      </c>
      <c r="I327" s="63"/>
      <c r="EP327" s="80"/>
    </row>
    <row r="328" spans="1:146" s="79" customFormat="1" ht="31.2" x14ac:dyDescent="0.3">
      <c r="A328" s="57">
        <v>9</v>
      </c>
      <c r="B328" s="57" t="s">
        <v>18</v>
      </c>
      <c r="C328" s="57">
        <v>3</v>
      </c>
      <c r="D328" s="58" t="s">
        <v>1</v>
      </c>
      <c r="E328" s="58" t="s">
        <v>740</v>
      </c>
      <c r="F328" s="57" t="s">
        <v>63</v>
      </c>
      <c r="G328" s="59">
        <v>25</v>
      </c>
      <c r="H328" s="58" t="s">
        <v>741</v>
      </c>
      <c r="I328" s="63"/>
      <c r="EP328" s="80"/>
    </row>
    <row r="329" spans="1:146" s="79" customFormat="1" ht="31.2" x14ac:dyDescent="0.3">
      <c r="A329" s="57">
        <v>9</v>
      </c>
      <c r="B329" s="57" t="s">
        <v>18</v>
      </c>
      <c r="C329" s="57">
        <v>3</v>
      </c>
      <c r="D329" s="58" t="s">
        <v>1</v>
      </c>
      <c r="E329" s="58" t="s">
        <v>742</v>
      </c>
      <c r="F329" s="57" t="s">
        <v>51</v>
      </c>
      <c r="G329" s="59">
        <v>22</v>
      </c>
      <c r="H329" s="58" t="s">
        <v>743</v>
      </c>
      <c r="I329" s="63"/>
      <c r="EP329" s="80"/>
    </row>
    <row r="330" spans="1:146" s="79" customFormat="1" ht="62.4" x14ac:dyDescent="0.3">
      <c r="A330" s="57">
        <v>9</v>
      </c>
      <c r="B330" s="57" t="s">
        <v>18</v>
      </c>
      <c r="C330" s="57">
        <v>3</v>
      </c>
      <c r="D330" s="58" t="s">
        <v>375</v>
      </c>
      <c r="E330" s="58" t="s">
        <v>1037</v>
      </c>
      <c r="F330" s="57" t="s">
        <v>51</v>
      </c>
      <c r="G330" s="59">
        <v>12</v>
      </c>
      <c r="H330" s="58" t="s">
        <v>734</v>
      </c>
      <c r="I330" s="63"/>
      <c r="EP330" s="80"/>
    </row>
    <row r="331" spans="1:146" s="79" customFormat="1" ht="31.2" x14ac:dyDescent="0.3">
      <c r="A331" s="57">
        <v>9</v>
      </c>
      <c r="B331" s="57" t="s">
        <v>18</v>
      </c>
      <c r="C331" s="57">
        <v>3</v>
      </c>
      <c r="D331" s="58" t="s">
        <v>375</v>
      </c>
      <c r="E331" s="58" t="s">
        <v>417</v>
      </c>
      <c r="F331" s="57" t="s">
        <v>51</v>
      </c>
      <c r="G331" s="59">
        <v>4</v>
      </c>
      <c r="H331" s="58" t="s">
        <v>735</v>
      </c>
      <c r="I331" s="63"/>
      <c r="EP331" s="80"/>
    </row>
    <row r="332" spans="1:146" s="79" customFormat="1" x14ac:dyDescent="0.3">
      <c r="A332" s="57">
        <v>9</v>
      </c>
      <c r="B332" s="57" t="s">
        <v>18</v>
      </c>
      <c r="C332" s="57">
        <v>3</v>
      </c>
      <c r="D332" s="58" t="s">
        <v>375</v>
      </c>
      <c r="E332" s="58" t="s">
        <v>736</v>
      </c>
      <c r="F332" s="57" t="s">
        <v>51</v>
      </c>
      <c r="G332" s="59">
        <v>9</v>
      </c>
      <c r="H332" s="58" t="s">
        <v>737</v>
      </c>
      <c r="I332" s="63"/>
      <c r="EP332" s="80"/>
    </row>
    <row r="333" spans="1:146" s="79" customFormat="1" ht="31.2" x14ac:dyDescent="0.3">
      <c r="A333" s="57">
        <v>9</v>
      </c>
      <c r="B333" s="57" t="s">
        <v>18</v>
      </c>
      <c r="C333" s="57">
        <v>3</v>
      </c>
      <c r="D333" s="58" t="s">
        <v>375</v>
      </c>
      <c r="E333" s="58" t="s">
        <v>744</v>
      </c>
      <c r="F333" s="57" t="s">
        <v>63</v>
      </c>
      <c r="G333" s="59">
        <v>1</v>
      </c>
      <c r="H333" s="58" t="s">
        <v>745</v>
      </c>
      <c r="I333" s="50"/>
      <c r="EP333" s="80"/>
    </row>
    <row r="334" spans="1:146" s="79" customFormat="1" ht="62.4" x14ac:dyDescent="0.3">
      <c r="A334" s="39">
        <v>9</v>
      </c>
      <c r="B334" s="39" t="s">
        <v>18</v>
      </c>
      <c r="C334" s="39">
        <v>4</v>
      </c>
      <c r="D334" s="44" t="s">
        <v>375</v>
      </c>
      <c r="E334" s="44" t="s">
        <v>1102</v>
      </c>
      <c r="F334" s="39" t="s">
        <v>51</v>
      </c>
      <c r="G334" s="48" t="s">
        <v>1103</v>
      </c>
      <c r="H334" s="44" t="s">
        <v>1104</v>
      </c>
      <c r="I334" s="63"/>
      <c r="EP334" s="80"/>
    </row>
    <row r="335" spans="1:146" s="79" customFormat="1" ht="31.2" x14ac:dyDescent="0.3">
      <c r="A335" s="39">
        <v>9</v>
      </c>
      <c r="B335" s="39" t="s">
        <v>18</v>
      </c>
      <c r="C335" s="39">
        <v>4</v>
      </c>
      <c r="D335" s="44" t="s">
        <v>375</v>
      </c>
      <c r="E335" s="44" t="s">
        <v>417</v>
      </c>
      <c r="F335" s="39" t="s">
        <v>51</v>
      </c>
      <c r="G335" s="48">
        <v>4</v>
      </c>
      <c r="H335" s="44" t="s">
        <v>735</v>
      </c>
      <c r="I335" s="63"/>
      <c r="EP335" s="80"/>
    </row>
    <row r="336" spans="1:146" s="79" customFormat="1" ht="78" x14ac:dyDescent="0.3">
      <c r="A336" s="39">
        <v>9</v>
      </c>
      <c r="B336" s="39" t="s">
        <v>18</v>
      </c>
      <c r="C336" s="39">
        <v>4</v>
      </c>
      <c r="D336" s="44" t="s">
        <v>375</v>
      </c>
      <c r="E336" s="44" t="s">
        <v>1105</v>
      </c>
      <c r="F336" s="39" t="s">
        <v>63</v>
      </c>
      <c r="G336" s="48" t="s">
        <v>1106</v>
      </c>
      <c r="H336" s="44" t="s">
        <v>1472</v>
      </c>
      <c r="I336" s="63"/>
      <c r="EP336" s="80"/>
    </row>
    <row r="337" spans="1:146" s="79" customFormat="1" ht="140.4" x14ac:dyDescent="0.3">
      <c r="A337" s="39">
        <v>9</v>
      </c>
      <c r="B337" s="39" t="s">
        <v>18</v>
      </c>
      <c r="C337" s="39">
        <v>4</v>
      </c>
      <c r="D337" s="44" t="s">
        <v>1</v>
      </c>
      <c r="E337" s="44" t="s">
        <v>1107</v>
      </c>
      <c r="F337" s="39" t="s">
        <v>63</v>
      </c>
      <c r="G337" s="48" t="s">
        <v>1108</v>
      </c>
      <c r="H337" s="44" t="s">
        <v>1109</v>
      </c>
      <c r="I337" s="63"/>
      <c r="EP337" s="80"/>
    </row>
    <row r="338" spans="1:146" s="79" customFormat="1" ht="31.2" x14ac:dyDescent="0.3">
      <c r="A338" s="39">
        <v>9</v>
      </c>
      <c r="B338" s="39" t="s">
        <v>18</v>
      </c>
      <c r="C338" s="39">
        <v>4</v>
      </c>
      <c r="D338" s="44" t="s">
        <v>1</v>
      </c>
      <c r="E338" s="44" t="s">
        <v>1110</v>
      </c>
      <c r="F338" s="39" t="s">
        <v>63</v>
      </c>
      <c r="G338" s="48" t="s">
        <v>1111</v>
      </c>
      <c r="H338" s="44" t="s">
        <v>1112</v>
      </c>
      <c r="I338" s="63"/>
      <c r="EP338" s="80"/>
    </row>
    <row r="339" spans="1:146" s="79" customFormat="1" ht="62.4" x14ac:dyDescent="0.3">
      <c r="A339" s="39">
        <v>9</v>
      </c>
      <c r="B339" s="39" t="s">
        <v>18</v>
      </c>
      <c r="C339" s="39">
        <v>4</v>
      </c>
      <c r="D339" s="44" t="s">
        <v>375</v>
      </c>
      <c r="E339" s="44" t="s">
        <v>1113</v>
      </c>
      <c r="F339" s="39" t="s">
        <v>63</v>
      </c>
      <c r="G339" s="48" t="s">
        <v>1114</v>
      </c>
      <c r="H339" s="44" t="s">
        <v>1115</v>
      </c>
      <c r="I339" s="63"/>
      <c r="EP339" s="80"/>
    </row>
    <row r="340" spans="1:146" s="79" customFormat="1" ht="46.8" x14ac:dyDescent="0.3">
      <c r="A340" s="39">
        <v>9</v>
      </c>
      <c r="B340" s="39" t="s">
        <v>18</v>
      </c>
      <c r="C340" s="39">
        <v>4</v>
      </c>
      <c r="D340" s="44" t="s">
        <v>124</v>
      </c>
      <c r="E340" s="44" t="s">
        <v>1116</v>
      </c>
      <c r="F340" s="39" t="s">
        <v>63</v>
      </c>
      <c r="G340" s="48" t="s">
        <v>1117</v>
      </c>
      <c r="H340" s="44" t="s">
        <v>1118</v>
      </c>
      <c r="I340" s="63"/>
      <c r="EP340" s="80"/>
    </row>
    <row r="341" spans="1:146" s="79" customFormat="1" ht="31.2" x14ac:dyDescent="0.3">
      <c r="A341" s="39">
        <v>9</v>
      </c>
      <c r="B341" s="39" t="s">
        <v>18</v>
      </c>
      <c r="C341" s="39">
        <v>4</v>
      </c>
      <c r="D341" s="44" t="s">
        <v>124</v>
      </c>
      <c r="E341" s="44" t="s">
        <v>1119</v>
      </c>
      <c r="F341" s="39" t="s">
        <v>63</v>
      </c>
      <c r="G341" s="48">
        <v>4</v>
      </c>
      <c r="H341" s="44" t="s">
        <v>1473</v>
      </c>
      <c r="I341" s="63"/>
      <c r="EP341" s="80"/>
    </row>
    <row r="342" spans="1:146" s="79" customFormat="1" ht="78" x14ac:dyDescent="0.3">
      <c r="A342" s="9">
        <v>10</v>
      </c>
      <c r="B342" s="9" t="s">
        <v>19</v>
      </c>
      <c r="C342" s="9">
        <v>1</v>
      </c>
      <c r="D342" s="14" t="s">
        <v>1</v>
      </c>
      <c r="E342" s="14" t="s">
        <v>171</v>
      </c>
      <c r="F342" s="9" t="s">
        <v>63</v>
      </c>
      <c r="G342" s="15">
        <v>170</v>
      </c>
      <c r="H342" s="14" t="s">
        <v>172</v>
      </c>
      <c r="I342" s="63"/>
      <c r="EP342" s="80"/>
    </row>
    <row r="343" spans="1:146" s="79" customFormat="1" x14ac:dyDescent="0.3">
      <c r="A343" s="9">
        <v>10</v>
      </c>
      <c r="B343" s="9" t="s">
        <v>19</v>
      </c>
      <c r="C343" s="9">
        <v>1</v>
      </c>
      <c r="D343" s="14" t="s">
        <v>65</v>
      </c>
      <c r="E343" s="14" t="s">
        <v>173</v>
      </c>
      <c r="F343" s="9" t="s">
        <v>51</v>
      </c>
      <c r="G343" s="15">
        <v>3</v>
      </c>
      <c r="H343" s="14" t="s">
        <v>174</v>
      </c>
      <c r="I343" s="63"/>
      <c r="EP343" s="80"/>
    </row>
    <row r="344" spans="1:146" s="79" customFormat="1" ht="31.2" x14ac:dyDescent="0.3">
      <c r="A344" s="26">
        <v>10</v>
      </c>
      <c r="B344" s="26" t="s">
        <v>19</v>
      </c>
      <c r="C344" s="26">
        <v>2</v>
      </c>
      <c r="D344" s="32" t="s">
        <v>124</v>
      </c>
      <c r="E344" s="32" t="s">
        <v>425</v>
      </c>
      <c r="F344" s="26" t="s">
        <v>51</v>
      </c>
      <c r="G344" s="36">
        <v>1</v>
      </c>
      <c r="H344" s="32" t="s">
        <v>426</v>
      </c>
      <c r="I344" s="63"/>
      <c r="EP344" s="80"/>
    </row>
    <row r="345" spans="1:146" s="79" customFormat="1" ht="31.2" x14ac:dyDescent="0.3">
      <c r="A345" s="26">
        <v>10</v>
      </c>
      <c r="B345" s="26" t="s">
        <v>19</v>
      </c>
      <c r="C345" s="26">
        <v>2</v>
      </c>
      <c r="D345" s="32" t="s">
        <v>1</v>
      </c>
      <c r="E345" s="32" t="s">
        <v>560</v>
      </c>
      <c r="F345" s="26" t="s">
        <v>63</v>
      </c>
      <c r="G345" s="36">
        <v>85</v>
      </c>
      <c r="H345" s="32" t="s">
        <v>423</v>
      </c>
      <c r="I345" s="63"/>
      <c r="EP345" s="80"/>
    </row>
    <row r="346" spans="1:146" s="79" customFormat="1" x14ac:dyDescent="0.3">
      <c r="A346" s="26">
        <v>10</v>
      </c>
      <c r="B346" s="26" t="s">
        <v>19</v>
      </c>
      <c r="C346" s="26">
        <v>2</v>
      </c>
      <c r="D346" s="32" t="s">
        <v>1</v>
      </c>
      <c r="E346" s="32" t="s">
        <v>424</v>
      </c>
      <c r="F346" s="26" t="s">
        <v>63</v>
      </c>
      <c r="G346" s="36">
        <v>22</v>
      </c>
      <c r="H346" s="32"/>
      <c r="I346" s="63"/>
      <c r="EP346" s="80"/>
    </row>
    <row r="347" spans="1:146" s="79" customFormat="1" ht="93.6" x14ac:dyDescent="0.3">
      <c r="A347" s="57">
        <v>10</v>
      </c>
      <c r="B347" s="57" t="s">
        <v>19</v>
      </c>
      <c r="C347" s="57">
        <v>3</v>
      </c>
      <c r="D347" s="58" t="s">
        <v>1</v>
      </c>
      <c r="E347" s="58" t="s">
        <v>987</v>
      </c>
      <c r="F347" s="57" t="s">
        <v>63</v>
      </c>
      <c r="G347" s="59">
        <v>37</v>
      </c>
      <c r="H347" s="58" t="s">
        <v>988</v>
      </c>
      <c r="I347" s="50"/>
      <c r="EP347" s="80"/>
    </row>
    <row r="348" spans="1:146" s="79" customFormat="1" ht="31.2" x14ac:dyDescent="0.3">
      <c r="A348" s="57">
        <v>10</v>
      </c>
      <c r="B348" s="57" t="s">
        <v>19</v>
      </c>
      <c r="C348" s="57">
        <v>3</v>
      </c>
      <c r="D348" s="58" t="s">
        <v>1</v>
      </c>
      <c r="E348" s="58" t="s">
        <v>989</v>
      </c>
      <c r="F348" s="57" t="s">
        <v>63</v>
      </c>
      <c r="G348" s="59">
        <v>59</v>
      </c>
      <c r="H348" s="58" t="s">
        <v>990</v>
      </c>
      <c r="I348" s="50"/>
      <c r="EP348" s="80"/>
    </row>
    <row r="349" spans="1:146" s="79" customFormat="1" ht="31.2" x14ac:dyDescent="0.3">
      <c r="A349" s="57">
        <v>10</v>
      </c>
      <c r="B349" s="57" t="s">
        <v>19</v>
      </c>
      <c r="C349" s="57">
        <v>3</v>
      </c>
      <c r="D349" s="58" t="s">
        <v>1</v>
      </c>
      <c r="E349" s="58" t="s">
        <v>991</v>
      </c>
      <c r="F349" s="57" t="s">
        <v>63</v>
      </c>
      <c r="G349" s="59">
        <v>30</v>
      </c>
      <c r="H349" s="58" t="s">
        <v>992</v>
      </c>
      <c r="I349" s="50"/>
      <c r="EP349" s="80"/>
    </row>
    <row r="350" spans="1:146" s="79" customFormat="1" ht="31.2" x14ac:dyDescent="0.3">
      <c r="A350" s="57">
        <v>10</v>
      </c>
      <c r="B350" s="57" t="s">
        <v>19</v>
      </c>
      <c r="C350" s="57">
        <v>3</v>
      </c>
      <c r="D350" s="58" t="s">
        <v>1</v>
      </c>
      <c r="E350" s="58" t="s">
        <v>993</v>
      </c>
      <c r="F350" s="57" t="s">
        <v>63</v>
      </c>
      <c r="G350" s="59">
        <v>227</v>
      </c>
      <c r="H350" s="58" t="s">
        <v>423</v>
      </c>
      <c r="I350" s="50"/>
      <c r="EP350" s="80"/>
    </row>
    <row r="351" spans="1:146" s="79" customFormat="1" x14ac:dyDescent="0.3">
      <c r="A351" s="57">
        <v>10</v>
      </c>
      <c r="B351" s="57" t="s">
        <v>19</v>
      </c>
      <c r="C351" s="57">
        <v>3</v>
      </c>
      <c r="D351" s="58" t="s">
        <v>375</v>
      </c>
      <c r="E351" s="58" t="s">
        <v>994</v>
      </c>
      <c r="F351" s="57" t="s">
        <v>51</v>
      </c>
      <c r="G351" s="59">
        <v>6</v>
      </c>
      <c r="H351" s="58"/>
      <c r="I351" s="50"/>
      <c r="EP351" s="80"/>
    </row>
    <row r="352" spans="1:146" s="79" customFormat="1" ht="46.8" x14ac:dyDescent="0.3">
      <c r="A352" s="39">
        <v>10</v>
      </c>
      <c r="B352" s="39" t="s">
        <v>19</v>
      </c>
      <c r="C352" s="39">
        <v>4</v>
      </c>
      <c r="D352" s="44" t="s">
        <v>375</v>
      </c>
      <c r="E352" s="44" t="s">
        <v>1581</v>
      </c>
      <c r="F352" s="39" t="s">
        <v>63</v>
      </c>
      <c r="G352" s="48">
        <v>6</v>
      </c>
      <c r="H352" s="44" t="s">
        <v>1582</v>
      </c>
      <c r="I352" s="63"/>
      <c r="EP352" s="80"/>
    </row>
    <row r="353" spans="1:146" s="79" customFormat="1" ht="93.6" x14ac:dyDescent="0.3">
      <c r="A353" s="39">
        <v>10</v>
      </c>
      <c r="B353" s="39" t="s">
        <v>19</v>
      </c>
      <c r="C353" s="39">
        <v>4</v>
      </c>
      <c r="D353" s="44" t="s">
        <v>1</v>
      </c>
      <c r="E353" s="44" t="s">
        <v>1583</v>
      </c>
      <c r="F353" s="39" t="s">
        <v>63</v>
      </c>
      <c r="G353" s="48">
        <v>21</v>
      </c>
      <c r="H353" s="44" t="s">
        <v>988</v>
      </c>
      <c r="I353" s="63"/>
      <c r="EP353" s="80"/>
    </row>
    <row r="354" spans="1:146" s="79" customFormat="1" ht="46.8" x14ac:dyDescent="0.3">
      <c r="A354" s="39">
        <v>10</v>
      </c>
      <c r="B354" s="39" t="s">
        <v>19</v>
      </c>
      <c r="C354" s="39">
        <v>4</v>
      </c>
      <c r="D354" s="44" t="s">
        <v>124</v>
      </c>
      <c r="E354" s="44" t="s">
        <v>1584</v>
      </c>
      <c r="F354" s="39" t="s">
        <v>63</v>
      </c>
      <c r="G354" s="48">
        <v>1</v>
      </c>
      <c r="H354" s="44" t="s">
        <v>1585</v>
      </c>
      <c r="I354" s="63"/>
      <c r="EP354" s="80"/>
    </row>
    <row r="355" spans="1:146" s="79" customFormat="1" ht="31.2" x14ac:dyDescent="0.3">
      <c r="A355" s="39">
        <v>10</v>
      </c>
      <c r="B355" s="39" t="s">
        <v>19</v>
      </c>
      <c r="C355" s="39">
        <v>4</v>
      </c>
      <c r="D355" s="44" t="s">
        <v>1</v>
      </c>
      <c r="E355" s="44" t="s">
        <v>1586</v>
      </c>
      <c r="F355" s="39" t="s">
        <v>63</v>
      </c>
      <c r="G355" s="48">
        <v>5</v>
      </c>
      <c r="H355" s="44" t="s">
        <v>1587</v>
      </c>
      <c r="I355" s="63"/>
      <c r="EP355" s="80"/>
    </row>
    <row r="356" spans="1:146" s="79" customFormat="1" ht="62.4" x14ac:dyDescent="0.3">
      <c r="A356" s="39">
        <v>10</v>
      </c>
      <c r="B356" s="39" t="s">
        <v>19</v>
      </c>
      <c r="C356" s="39">
        <v>4</v>
      </c>
      <c r="D356" s="44" t="s">
        <v>1</v>
      </c>
      <c r="E356" s="44" t="s">
        <v>1588</v>
      </c>
      <c r="F356" s="39" t="s">
        <v>63</v>
      </c>
      <c r="G356" s="48">
        <v>325</v>
      </c>
      <c r="H356" s="44" t="s">
        <v>1589</v>
      </c>
      <c r="I356" s="63"/>
      <c r="EP356" s="80"/>
    </row>
    <row r="357" spans="1:146" s="79" customFormat="1" ht="31.2" x14ac:dyDescent="0.3">
      <c r="A357" s="39">
        <v>10</v>
      </c>
      <c r="B357" s="39" t="s">
        <v>19</v>
      </c>
      <c r="C357" s="39">
        <v>4</v>
      </c>
      <c r="D357" s="44" t="s">
        <v>1</v>
      </c>
      <c r="E357" s="44" t="s">
        <v>1590</v>
      </c>
      <c r="F357" s="39" t="s">
        <v>63</v>
      </c>
      <c r="G357" s="48">
        <v>188</v>
      </c>
      <c r="H357" s="44" t="s">
        <v>1591</v>
      </c>
      <c r="I357" s="63"/>
      <c r="EP357" s="80"/>
    </row>
    <row r="358" spans="1:146" s="79" customFormat="1" ht="46.8" x14ac:dyDescent="0.3">
      <c r="A358" s="39">
        <v>10</v>
      </c>
      <c r="B358" s="39" t="s">
        <v>19</v>
      </c>
      <c r="C358" s="39">
        <v>4</v>
      </c>
      <c r="D358" s="44" t="s">
        <v>375</v>
      </c>
      <c r="E358" s="44" t="s">
        <v>1592</v>
      </c>
      <c r="F358" s="39" t="s">
        <v>63</v>
      </c>
      <c r="G358" s="48">
        <v>3</v>
      </c>
      <c r="H358" s="44" t="s">
        <v>1593</v>
      </c>
      <c r="I358" s="63"/>
      <c r="EP358" s="80"/>
    </row>
    <row r="359" spans="1:146" s="79" customFormat="1" ht="46.8" x14ac:dyDescent="0.3">
      <c r="A359" s="39">
        <v>10</v>
      </c>
      <c r="B359" s="39" t="s">
        <v>19</v>
      </c>
      <c r="C359" s="39">
        <v>4</v>
      </c>
      <c r="D359" s="44" t="s">
        <v>375</v>
      </c>
      <c r="E359" s="44" t="s">
        <v>1594</v>
      </c>
      <c r="F359" s="39" t="s">
        <v>63</v>
      </c>
      <c r="G359" s="48">
        <v>3</v>
      </c>
      <c r="H359" s="44" t="s">
        <v>1595</v>
      </c>
      <c r="I359" s="63"/>
      <c r="EP359" s="80"/>
    </row>
    <row r="360" spans="1:146" s="79" customFormat="1" ht="31.2" x14ac:dyDescent="0.3">
      <c r="A360" s="39">
        <v>10</v>
      </c>
      <c r="B360" s="39" t="s">
        <v>19</v>
      </c>
      <c r="C360" s="39">
        <v>4</v>
      </c>
      <c r="D360" s="44" t="s">
        <v>375</v>
      </c>
      <c r="E360" s="44" t="s">
        <v>1596</v>
      </c>
      <c r="F360" s="39" t="s">
        <v>63</v>
      </c>
      <c r="G360" s="48">
        <v>3</v>
      </c>
      <c r="H360" s="44" t="s">
        <v>1597</v>
      </c>
      <c r="I360" s="63"/>
      <c r="EP360" s="80"/>
    </row>
    <row r="361" spans="1:146" s="79" customFormat="1" ht="31.2" x14ac:dyDescent="0.3">
      <c r="A361" s="9">
        <v>11</v>
      </c>
      <c r="B361" s="9" t="s">
        <v>20</v>
      </c>
      <c r="C361" s="9">
        <v>1</v>
      </c>
      <c r="D361" s="14" t="s">
        <v>124</v>
      </c>
      <c r="E361" s="14" t="s">
        <v>183</v>
      </c>
      <c r="F361" s="9" t="s">
        <v>63</v>
      </c>
      <c r="G361" s="15">
        <v>1</v>
      </c>
      <c r="H361" s="14" t="s">
        <v>184</v>
      </c>
      <c r="I361" s="63"/>
      <c r="EP361" s="80"/>
    </row>
    <row r="362" spans="1:146" s="79" customFormat="1" ht="31.2" x14ac:dyDescent="0.3">
      <c r="A362" s="9">
        <v>11</v>
      </c>
      <c r="B362" s="9" t="s">
        <v>20</v>
      </c>
      <c r="C362" s="9">
        <v>1</v>
      </c>
      <c r="D362" s="14" t="s">
        <v>1</v>
      </c>
      <c r="E362" s="14" t="s">
        <v>179</v>
      </c>
      <c r="F362" s="9" t="s">
        <v>63</v>
      </c>
      <c r="G362" s="15">
        <v>462</v>
      </c>
      <c r="H362" s="14" t="s">
        <v>180</v>
      </c>
      <c r="I362" s="63"/>
      <c r="EP362" s="80"/>
    </row>
    <row r="363" spans="1:146" s="79" customFormat="1" x14ac:dyDescent="0.3">
      <c r="A363" s="9">
        <v>11</v>
      </c>
      <c r="B363" s="9" t="s">
        <v>20</v>
      </c>
      <c r="C363" s="9">
        <v>1</v>
      </c>
      <c r="D363" s="14" t="s">
        <v>1</v>
      </c>
      <c r="E363" s="14" t="s">
        <v>181</v>
      </c>
      <c r="F363" s="9" t="s">
        <v>63</v>
      </c>
      <c r="G363" s="15">
        <v>1</v>
      </c>
      <c r="H363" s="14" t="s">
        <v>182</v>
      </c>
      <c r="I363" s="63"/>
      <c r="EP363" s="80"/>
    </row>
    <row r="364" spans="1:146" s="79" customFormat="1" ht="31.2" x14ac:dyDescent="0.3">
      <c r="A364" s="9">
        <v>11</v>
      </c>
      <c r="B364" s="9" t="s">
        <v>20</v>
      </c>
      <c r="C364" s="9">
        <v>1</v>
      </c>
      <c r="D364" s="14" t="s">
        <v>65</v>
      </c>
      <c r="E364" s="14" t="s">
        <v>175</v>
      </c>
      <c r="F364" s="9" t="s">
        <v>51</v>
      </c>
      <c r="G364" s="15">
        <v>2.5</v>
      </c>
      <c r="H364" s="14" t="s">
        <v>176</v>
      </c>
      <c r="I364" s="63"/>
      <c r="EP364" s="80"/>
    </row>
    <row r="365" spans="1:146" s="79" customFormat="1" ht="31.2" x14ac:dyDescent="0.3">
      <c r="A365" s="9">
        <v>11</v>
      </c>
      <c r="B365" s="9" t="s">
        <v>20</v>
      </c>
      <c r="C365" s="9">
        <v>1</v>
      </c>
      <c r="D365" s="14" t="s">
        <v>65</v>
      </c>
      <c r="E365" s="14" t="s">
        <v>177</v>
      </c>
      <c r="F365" s="9" t="s">
        <v>51</v>
      </c>
      <c r="G365" s="15">
        <v>6</v>
      </c>
      <c r="H365" s="14" t="s">
        <v>178</v>
      </c>
      <c r="I365" s="63"/>
      <c r="EP365" s="80"/>
    </row>
    <row r="366" spans="1:146" s="79" customFormat="1" ht="104.25" customHeight="1" x14ac:dyDescent="0.3">
      <c r="A366" s="26">
        <v>11</v>
      </c>
      <c r="B366" s="26" t="s">
        <v>20</v>
      </c>
      <c r="C366" s="26">
        <v>2</v>
      </c>
      <c r="D366" s="32" t="s">
        <v>124</v>
      </c>
      <c r="E366" s="32" t="s">
        <v>427</v>
      </c>
      <c r="F366" s="26" t="s">
        <v>63</v>
      </c>
      <c r="G366" s="36">
        <v>1</v>
      </c>
      <c r="H366" s="32" t="s">
        <v>184</v>
      </c>
      <c r="I366" s="63"/>
      <c r="EP366" s="80"/>
    </row>
    <row r="367" spans="1:146" s="79" customFormat="1" ht="87.75" customHeight="1" x14ac:dyDescent="0.3">
      <c r="A367" s="26">
        <v>11</v>
      </c>
      <c r="B367" s="26" t="s">
        <v>20</v>
      </c>
      <c r="C367" s="26">
        <v>2</v>
      </c>
      <c r="D367" s="32" t="s">
        <v>1</v>
      </c>
      <c r="E367" s="32" t="s">
        <v>181</v>
      </c>
      <c r="F367" s="26" t="s">
        <v>63</v>
      </c>
      <c r="G367" s="36">
        <v>1</v>
      </c>
      <c r="H367" s="32" t="s">
        <v>182</v>
      </c>
      <c r="I367" s="63"/>
      <c r="EP367" s="80"/>
    </row>
    <row r="368" spans="1:146" s="79" customFormat="1" x14ac:dyDescent="0.3">
      <c r="A368" s="26">
        <v>11</v>
      </c>
      <c r="B368" s="26" t="s">
        <v>20</v>
      </c>
      <c r="C368" s="26">
        <v>2</v>
      </c>
      <c r="D368" s="32" t="s">
        <v>375</v>
      </c>
      <c r="E368" s="32" t="s">
        <v>428</v>
      </c>
      <c r="F368" s="26" t="s">
        <v>51</v>
      </c>
      <c r="G368" s="36">
        <v>2.5</v>
      </c>
      <c r="H368" s="32" t="s">
        <v>429</v>
      </c>
      <c r="I368" s="63"/>
      <c r="EP368" s="80"/>
    </row>
    <row r="369" spans="1:146" s="79" customFormat="1" x14ac:dyDescent="0.3">
      <c r="A369" s="26">
        <v>11</v>
      </c>
      <c r="B369" s="26" t="s">
        <v>20</v>
      </c>
      <c r="C369" s="26">
        <v>2</v>
      </c>
      <c r="D369" s="32" t="s">
        <v>375</v>
      </c>
      <c r="E369" s="32" t="s">
        <v>633</v>
      </c>
      <c r="F369" s="26" t="s">
        <v>51</v>
      </c>
      <c r="G369" s="36">
        <v>3</v>
      </c>
      <c r="H369" s="32" t="s">
        <v>430</v>
      </c>
      <c r="I369" s="63"/>
      <c r="EP369" s="80"/>
    </row>
    <row r="370" spans="1:146" s="79" customFormat="1" x14ac:dyDescent="0.3">
      <c r="A370" s="57">
        <v>11</v>
      </c>
      <c r="B370" s="57" t="s">
        <v>20</v>
      </c>
      <c r="C370" s="57">
        <v>3</v>
      </c>
      <c r="D370" s="58" t="s">
        <v>119</v>
      </c>
      <c r="E370" s="58" t="s">
        <v>752</v>
      </c>
      <c r="F370" s="57" t="s">
        <v>51</v>
      </c>
      <c r="G370" s="59">
        <v>135</v>
      </c>
      <c r="H370" s="58" t="s">
        <v>753</v>
      </c>
      <c r="I370" s="63"/>
      <c r="EP370" s="80"/>
    </row>
    <row r="371" spans="1:146" s="79" customFormat="1" ht="31.2" x14ac:dyDescent="0.3">
      <c r="A371" s="57">
        <v>11</v>
      </c>
      <c r="B371" s="57" t="s">
        <v>20</v>
      </c>
      <c r="C371" s="57">
        <v>3</v>
      </c>
      <c r="D371" s="58" t="s">
        <v>124</v>
      </c>
      <c r="E371" s="58" t="s">
        <v>1056</v>
      </c>
      <c r="F371" s="57" t="s">
        <v>63</v>
      </c>
      <c r="G371" s="59">
        <v>2</v>
      </c>
      <c r="H371" s="58" t="s">
        <v>184</v>
      </c>
      <c r="I371" s="50"/>
      <c r="EP371" s="80"/>
    </row>
    <row r="372" spans="1:146" s="79" customFormat="1" ht="31.2" x14ac:dyDescent="0.3">
      <c r="A372" s="57">
        <v>11</v>
      </c>
      <c r="B372" s="57" t="s">
        <v>20</v>
      </c>
      <c r="C372" s="57">
        <v>3</v>
      </c>
      <c r="D372" s="58" t="s">
        <v>1</v>
      </c>
      <c r="E372" s="58" t="s">
        <v>746</v>
      </c>
      <c r="F372" s="57" t="s">
        <v>63</v>
      </c>
      <c r="G372" s="59">
        <v>265</v>
      </c>
      <c r="H372" s="58" t="s">
        <v>747</v>
      </c>
      <c r="I372" s="63"/>
      <c r="EP372" s="80"/>
    </row>
    <row r="373" spans="1:146" s="79" customFormat="1" x14ac:dyDescent="0.3">
      <c r="A373" s="57">
        <v>11</v>
      </c>
      <c r="B373" s="57" t="s">
        <v>20</v>
      </c>
      <c r="C373" s="57">
        <v>3</v>
      </c>
      <c r="D373" s="58" t="s">
        <v>375</v>
      </c>
      <c r="E373" s="58" t="s">
        <v>748</v>
      </c>
      <c r="F373" s="57" t="s">
        <v>51</v>
      </c>
      <c r="G373" s="59">
        <v>2.5</v>
      </c>
      <c r="H373" s="58" t="s">
        <v>429</v>
      </c>
      <c r="I373" s="63"/>
      <c r="EP373" s="80"/>
    </row>
    <row r="374" spans="1:146" s="79" customFormat="1" x14ac:dyDescent="0.3">
      <c r="A374" s="57">
        <v>11</v>
      </c>
      <c r="B374" s="57" t="s">
        <v>20</v>
      </c>
      <c r="C374" s="57">
        <v>3</v>
      </c>
      <c r="D374" s="58" t="s">
        <v>375</v>
      </c>
      <c r="E374" s="58" t="s">
        <v>633</v>
      </c>
      <c r="F374" s="57" t="s">
        <v>51</v>
      </c>
      <c r="G374" s="59">
        <v>3</v>
      </c>
      <c r="H374" s="58" t="s">
        <v>749</v>
      </c>
      <c r="I374" s="63"/>
      <c r="EP374" s="80"/>
    </row>
    <row r="375" spans="1:146" s="79" customFormat="1" x14ac:dyDescent="0.3">
      <c r="A375" s="57">
        <v>11</v>
      </c>
      <c r="B375" s="57" t="s">
        <v>20</v>
      </c>
      <c r="C375" s="57">
        <v>3</v>
      </c>
      <c r="D375" s="58" t="s">
        <v>375</v>
      </c>
      <c r="E375" s="58" t="s">
        <v>750</v>
      </c>
      <c r="F375" s="57" t="s">
        <v>51</v>
      </c>
      <c r="G375" s="59">
        <v>63</v>
      </c>
      <c r="H375" s="58" t="s">
        <v>751</v>
      </c>
      <c r="I375" s="63"/>
      <c r="EP375" s="80"/>
    </row>
    <row r="376" spans="1:146" s="79" customFormat="1" ht="31.2" x14ac:dyDescent="0.3">
      <c r="A376" s="39">
        <v>11</v>
      </c>
      <c r="B376" s="39" t="s">
        <v>20</v>
      </c>
      <c r="C376" s="39">
        <v>4</v>
      </c>
      <c r="D376" s="44" t="s">
        <v>1</v>
      </c>
      <c r="E376" s="44" t="s">
        <v>1120</v>
      </c>
      <c r="F376" s="39" t="s">
        <v>63</v>
      </c>
      <c r="G376" s="48">
        <v>668</v>
      </c>
      <c r="H376" s="44" t="s">
        <v>1121</v>
      </c>
      <c r="I376" s="63"/>
      <c r="EP376" s="80"/>
    </row>
    <row r="377" spans="1:146" s="79" customFormat="1" x14ac:dyDescent="0.3">
      <c r="A377" s="39">
        <v>11</v>
      </c>
      <c r="B377" s="39" t="s">
        <v>20</v>
      </c>
      <c r="C377" s="39">
        <v>4</v>
      </c>
      <c r="D377" s="44" t="s">
        <v>375</v>
      </c>
      <c r="E377" s="44" t="s">
        <v>1474</v>
      </c>
      <c r="F377" s="39" t="s">
        <v>63</v>
      </c>
      <c r="G377" s="48" t="s">
        <v>1122</v>
      </c>
      <c r="H377" s="44" t="s">
        <v>1123</v>
      </c>
      <c r="I377" s="63"/>
      <c r="EP377" s="80"/>
    </row>
    <row r="378" spans="1:146" s="79" customFormat="1" ht="31.2" x14ac:dyDescent="0.3">
      <c r="A378" s="39">
        <v>11</v>
      </c>
      <c r="B378" s="39" t="s">
        <v>20</v>
      </c>
      <c r="C378" s="39">
        <v>4</v>
      </c>
      <c r="D378" s="44" t="s">
        <v>119</v>
      </c>
      <c r="E378" s="44" t="s">
        <v>1124</v>
      </c>
      <c r="F378" s="39" t="s">
        <v>63</v>
      </c>
      <c r="G378" s="48">
        <v>51</v>
      </c>
      <c r="H378" s="44" t="s">
        <v>1125</v>
      </c>
      <c r="I378" s="63"/>
      <c r="EP378" s="80"/>
    </row>
    <row r="379" spans="1:146" s="79" customFormat="1" ht="31.2" x14ac:dyDescent="0.3">
      <c r="A379" s="9">
        <v>12</v>
      </c>
      <c r="B379" s="9" t="s">
        <v>21</v>
      </c>
      <c r="C379" s="9">
        <v>1</v>
      </c>
      <c r="D379" s="14" t="s">
        <v>1</v>
      </c>
      <c r="E379" s="14" t="s">
        <v>185</v>
      </c>
      <c r="F379" s="9" t="s">
        <v>63</v>
      </c>
      <c r="G379" s="15">
        <v>34</v>
      </c>
      <c r="H379" s="14" t="s">
        <v>186</v>
      </c>
      <c r="I379" s="63"/>
      <c r="EP379" s="80"/>
    </row>
    <row r="380" spans="1:146" s="79" customFormat="1" ht="31.2" x14ac:dyDescent="0.3">
      <c r="A380" s="26">
        <v>12</v>
      </c>
      <c r="B380" s="26" t="s">
        <v>21</v>
      </c>
      <c r="C380" s="26">
        <v>2</v>
      </c>
      <c r="D380" s="32" t="s">
        <v>1</v>
      </c>
      <c r="E380" s="32" t="s">
        <v>561</v>
      </c>
      <c r="F380" s="26" t="s">
        <v>63</v>
      </c>
      <c r="G380" s="36">
        <v>58</v>
      </c>
      <c r="H380" s="32" t="s">
        <v>186</v>
      </c>
      <c r="I380" s="63"/>
      <c r="EP380" s="80"/>
    </row>
    <row r="381" spans="1:146" s="79" customFormat="1" ht="62.4" x14ac:dyDescent="0.3">
      <c r="A381" s="26">
        <v>12</v>
      </c>
      <c r="B381" s="26" t="s">
        <v>21</v>
      </c>
      <c r="C381" s="26">
        <v>2</v>
      </c>
      <c r="D381" s="32" t="s">
        <v>1</v>
      </c>
      <c r="E381" s="32" t="s">
        <v>562</v>
      </c>
      <c r="F381" s="26" t="s">
        <v>63</v>
      </c>
      <c r="G381" s="36">
        <v>130</v>
      </c>
      <c r="H381" s="32" t="s">
        <v>186</v>
      </c>
      <c r="I381" s="63"/>
      <c r="EP381" s="80"/>
    </row>
    <row r="382" spans="1:146" s="79" customFormat="1" ht="31.2" x14ac:dyDescent="0.3">
      <c r="A382" s="57">
        <v>12</v>
      </c>
      <c r="B382" s="57" t="s">
        <v>21</v>
      </c>
      <c r="C382" s="57">
        <v>3</v>
      </c>
      <c r="D382" s="58" t="s">
        <v>1</v>
      </c>
      <c r="E382" s="58" t="s">
        <v>754</v>
      </c>
      <c r="F382" s="57" t="s">
        <v>63</v>
      </c>
      <c r="G382" s="59">
        <v>26</v>
      </c>
      <c r="H382" s="58" t="s">
        <v>186</v>
      </c>
      <c r="I382" s="63"/>
      <c r="EP382" s="80"/>
    </row>
    <row r="383" spans="1:146" s="79" customFormat="1" ht="31.2" x14ac:dyDescent="0.3">
      <c r="A383" s="57">
        <v>12</v>
      </c>
      <c r="B383" s="57" t="s">
        <v>21</v>
      </c>
      <c r="C383" s="57">
        <v>3</v>
      </c>
      <c r="D383" s="78" t="s">
        <v>1</v>
      </c>
      <c r="E383" s="60" t="s">
        <v>1018</v>
      </c>
      <c r="F383" s="61" t="s">
        <v>63</v>
      </c>
      <c r="G383" s="61">
        <v>61</v>
      </c>
      <c r="H383" s="78" t="s">
        <v>186</v>
      </c>
      <c r="I383" s="63"/>
      <c r="EP383" s="80"/>
    </row>
    <row r="384" spans="1:146" s="79" customFormat="1" x14ac:dyDescent="0.3">
      <c r="A384" s="57">
        <v>12</v>
      </c>
      <c r="B384" s="57" t="s">
        <v>21</v>
      </c>
      <c r="C384" s="57">
        <v>3</v>
      </c>
      <c r="D384" s="58" t="s">
        <v>375</v>
      </c>
      <c r="E384" s="58" t="s">
        <v>755</v>
      </c>
      <c r="F384" s="57" t="s">
        <v>63</v>
      </c>
      <c r="G384" s="59">
        <v>1</v>
      </c>
      <c r="H384" s="58" t="s">
        <v>756</v>
      </c>
      <c r="I384" s="50"/>
      <c r="EP384" s="80"/>
    </row>
    <row r="385" spans="1:146" s="79" customFormat="1" ht="93.6" x14ac:dyDescent="0.3">
      <c r="A385" s="39">
        <v>12</v>
      </c>
      <c r="B385" s="39" t="s">
        <v>21</v>
      </c>
      <c r="C385" s="39">
        <v>4</v>
      </c>
      <c r="D385" s="44" t="s">
        <v>0</v>
      </c>
      <c r="E385" s="44" t="s">
        <v>1126</v>
      </c>
      <c r="F385" s="39" t="s">
        <v>51</v>
      </c>
      <c r="G385" s="48" t="s">
        <v>1127</v>
      </c>
      <c r="H385" s="44" t="s">
        <v>1128</v>
      </c>
      <c r="I385" s="63"/>
      <c r="EP385" s="80"/>
    </row>
    <row r="386" spans="1:146" s="79" customFormat="1" ht="124.8" x14ac:dyDescent="0.3">
      <c r="A386" s="39">
        <v>12</v>
      </c>
      <c r="B386" s="39" t="s">
        <v>21</v>
      </c>
      <c r="C386" s="39">
        <v>4</v>
      </c>
      <c r="D386" s="44" t="s">
        <v>0</v>
      </c>
      <c r="E386" s="44" t="s">
        <v>1475</v>
      </c>
      <c r="F386" s="39" t="s">
        <v>51</v>
      </c>
      <c r="G386" s="48" t="s">
        <v>1129</v>
      </c>
      <c r="H386" s="44" t="s">
        <v>1130</v>
      </c>
      <c r="I386" s="63"/>
      <c r="EP386" s="80"/>
    </row>
    <row r="387" spans="1:146" s="79" customFormat="1" ht="109.2" x14ac:dyDescent="0.3">
      <c r="A387" s="39">
        <v>12</v>
      </c>
      <c r="B387" s="39" t="s">
        <v>21</v>
      </c>
      <c r="C387" s="39">
        <v>4</v>
      </c>
      <c r="D387" s="44" t="s">
        <v>375</v>
      </c>
      <c r="E387" s="44" t="s">
        <v>1131</v>
      </c>
      <c r="F387" s="39" t="s">
        <v>51</v>
      </c>
      <c r="G387" s="48" t="s">
        <v>1132</v>
      </c>
      <c r="H387" s="44" t="s">
        <v>1133</v>
      </c>
      <c r="I387" s="63"/>
      <c r="EP387" s="80"/>
    </row>
    <row r="388" spans="1:146" s="79" customFormat="1" ht="93.6" x14ac:dyDescent="0.3">
      <c r="A388" s="39">
        <v>12</v>
      </c>
      <c r="B388" s="39" t="s">
        <v>21</v>
      </c>
      <c r="C388" s="39">
        <v>4</v>
      </c>
      <c r="D388" s="44" t="s">
        <v>375</v>
      </c>
      <c r="E388" s="44" t="s">
        <v>1134</v>
      </c>
      <c r="F388" s="39" t="s">
        <v>51</v>
      </c>
      <c r="G388" s="48" t="s">
        <v>1135</v>
      </c>
      <c r="H388" s="44" t="s">
        <v>1136</v>
      </c>
      <c r="I388" s="63"/>
      <c r="EP388" s="80"/>
    </row>
    <row r="389" spans="1:146" s="79" customFormat="1" ht="31.2" x14ac:dyDescent="0.3">
      <c r="A389" s="39">
        <v>12</v>
      </c>
      <c r="B389" s="39" t="s">
        <v>21</v>
      </c>
      <c r="C389" s="39">
        <v>4</v>
      </c>
      <c r="D389" s="44" t="s">
        <v>0</v>
      </c>
      <c r="E389" s="44" t="s">
        <v>1137</v>
      </c>
      <c r="F389" s="39" t="s">
        <v>230</v>
      </c>
      <c r="G389" s="48" t="s">
        <v>88</v>
      </c>
      <c r="H389" s="44" t="s">
        <v>1138</v>
      </c>
      <c r="I389" s="63"/>
      <c r="EP389" s="80"/>
    </row>
    <row r="390" spans="1:146" s="79" customFormat="1" ht="46.8" x14ac:dyDescent="0.3">
      <c r="A390" s="39">
        <v>12</v>
      </c>
      <c r="B390" s="39" t="s">
        <v>21</v>
      </c>
      <c r="C390" s="39">
        <v>4</v>
      </c>
      <c r="D390" s="44" t="s">
        <v>0</v>
      </c>
      <c r="E390" s="44" t="s">
        <v>1139</v>
      </c>
      <c r="F390" s="39" t="s">
        <v>63</v>
      </c>
      <c r="G390" s="48" t="s">
        <v>1140</v>
      </c>
      <c r="H390" s="44" t="s">
        <v>1141</v>
      </c>
      <c r="I390" s="63"/>
      <c r="EP390" s="80"/>
    </row>
    <row r="391" spans="1:146" s="79" customFormat="1" ht="31.2" x14ac:dyDescent="0.3">
      <c r="A391" s="39">
        <v>12</v>
      </c>
      <c r="B391" s="39" t="s">
        <v>21</v>
      </c>
      <c r="C391" s="39">
        <v>4</v>
      </c>
      <c r="D391" s="44" t="s">
        <v>1</v>
      </c>
      <c r="E391" s="44" t="s">
        <v>1142</v>
      </c>
      <c r="F391" s="39" t="s">
        <v>230</v>
      </c>
      <c r="G391" s="48" t="s">
        <v>88</v>
      </c>
      <c r="H391" s="44" t="s">
        <v>1143</v>
      </c>
      <c r="I391" s="63"/>
      <c r="EP391" s="80"/>
    </row>
    <row r="392" spans="1:146" s="79" customFormat="1" ht="280.8" x14ac:dyDescent="0.3">
      <c r="A392" s="39">
        <v>12</v>
      </c>
      <c r="B392" s="39" t="s">
        <v>21</v>
      </c>
      <c r="C392" s="39">
        <v>4</v>
      </c>
      <c r="D392" s="44" t="s">
        <v>4</v>
      </c>
      <c r="E392" s="44" t="s">
        <v>1476</v>
      </c>
      <c r="F392" s="39" t="s">
        <v>63</v>
      </c>
      <c r="G392" s="48" t="s">
        <v>1144</v>
      </c>
      <c r="H392" s="44" t="s">
        <v>1145</v>
      </c>
      <c r="I392" s="63"/>
      <c r="EP392" s="80"/>
    </row>
    <row r="393" spans="1:146" s="79" customFormat="1" x14ac:dyDescent="0.3">
      <c r="A393" s="39">
        <v>12</v>
      </c>
      <c r="B393" s="39" t="s">
        <v>21</v>
      </c>
      <c r="C393" s="39">
        <v>4</v>
      </c>
      <c r="D393" s="44" t="s">
        <v>375</v>
      </c>
      <c r="E393" s="44" t="s">
        <v>755</v>
      </c>
      <c r="F393" s="39" t="s">
        <v>63</v>
      </c>
      <c r="G393" s="48" t="s">
        <v>1146</v>
      </c>
      <c r="H393" s="44" t="s">
        <v>756</v>
      </c>
      <c r="I393" s="63"/>
      <c r="EP393" s="80"/>
    </row>
    <row r="394" spans="1:146" s="79" customFormat="1" x14ac:dyDescent="0.3">
      <c r="A394" s="9">
        <v>13</v>
      </c>
      <c r="B394" s="9" t="s">
        <v>22</v>
      </c>
      <c r="C394" s="9">
        <v>1</v>
      </c>
      <c r="D394" s="14" t="s">
        <v>119</v>
      </c>
      <c r="E394" s="10" t="s">
        <v>187</v>
      </c>
      <c r="F394" s="9" t="s">
        <v>63</v>
      </c>
      <c r="G394" s="15">
        <v>18</v>
      </c>
      <c r="H394" s="14" t="s">
        <v>188</v>
      </c>
      <c r="I394" s="63"/>
      <c r="EP394" s="80"/>
    </row>
    <row r="395" spans="1:146" s="79" customFormat="1" ht="62.4" x14ac:dyDescent="0.3">
      <c r="A395" s="9">
        <v>13</v>
      </c>
      <c r="B395" s="9" t="s">
        <v>22</v>
      </c>
      <c r="C395" s="9">
        <v>1</v>
      </c>
      <c r="D395" s="14" t="s">
        <v>119</v>
      </c>
      <c r="E395" s="10" t="s">
        <v>191</v>
      </c>
      <c r="F395" s="9" t="s">
        <v>63</v>
      </c>
      <c r="G395" s="15">
        <v>22</v>
      </c>
      <c r="H395" s="14" t="s">
        <v>190</v>
      </c>
      <c r="I395" s="63"/>
      <c r="EP395" s="80"/>
    </row>
    <row r="396" spans="1:146" s="79" customFormat="1" x14ac:dyDescent="0.3">
      <c r="A396" s="9">
        <v>13</v>
      </c>
      <c r="B396" s="9" t="s">
        <v>22</v>
      </c>
      <c r="C396" s="9">
        <v>1</v>
      </c>
      <c r="D396" s="14" t="s">
        <v>119</v>
      </c>
      <c r="E396" s="10" t="s">
        <v>203</v>
      </c>
      <c r="F396" s="9" t="s">
        <v>63</v>
      </c>
      <c r="G396" s="15">
        <v>9</v>
      </c>
      <c r="H396" s="14" t="s">
        <v>202</v>
      </c>
      <c r="I396" s="63"/>
      <c r="EP396" s="80"/>
    </row>
    <row r="397" spans="1:146" s="79" customFormat="1" ht="93.6" x14ac:dyDescent="0.3">
      <c r="A397" s="9">
        <v>13</v>
      </c>
      <c r="B397" s="9" t="s">
        <v>22</v>
      </c>
      <c r="C397" s="9">
        <v>1</v>
      </c>
      <c r="D397" s="14" t="s">
        <v>0</v>
      </c>
      <c r="E397" s="14" t="s">
        <v>198</v>
      </c>
      <c r="F397" s="9" t="s">
        <v>63</v>
      </c>
      <c r="G397" s="15">
        <v>5</v>
      </c>
      <c r="H397" s="14" t="s">
        <v>199</v>
      </c>
      <c r="I397" s="63"/>
      <c r="EP397" s="80"/>
    </row>
    <row r="398" spans="1:146" s="79" customFormat="1" ht="31.2" x14ac:dyDescent="0.3">
      <c r="A398" s="9">
        <v>13</v>
      </c>
      <c r="B398" s="9" t="s">
        <v>22</v>
      </c>
      <c r="C398" s="9">
        <v>1</v>
      </c>
      <c r="D398" s="14" t="s">
        <v>0</v>
      </c>
      <c r="E398" s="14" t="s">
        <v>201</v>
      </c>
      <c r="F398" s="9" t="s">
        <v>63</v>
      </c>
      <c r="G398" s="15">
        <v>70</v>
      </c>
      <c r="H398" s="14" t="s">
        <v>202</v>
      </c>
      <c r="I398" s="63"/>
      <c r="EP398" s="80"/>
    </row>
    <row r="399" spans="1:146" s="79" customFormat="1" ht="62.4" x14ac:dyDescent="0.3">
      <c r="A399" s="9">
        <v>13</v>
      </c>
      <c r="B399" s="9" t="s">
        <v>22</v>
      </c>
      <c r="C399" s="9">
        <v>1</v>
      </c>
      <c r="D399" s="14" t="s">
        <v>1</v>
      </c>
      <c r="E399" s="10" t="s">
        <v>189</v>
      </c>
      <c r="F399" s="9" t="s">
        <v>63</v>
      </c>
      <c r="G399" s="15">
        <v>20</v>
      </c>
      <c r="H399" s="14" t="s">
        <v>190</v>
      </c>
      <c r="I399" s="63"/>
      <c r="EP399" s="80"/>
    </row>
    <row r="400" spans="1:146" s="79" customFormat="1" ht="62.4" x14ac:dyDescent="0.3">
      <c r="A400" s="9">
        <v>13</v>
      </c>
      <c r="B400" s="9" t="s">
        <v>22</v>
      </c>
      <c r="C400" s="9">
        <v>1</v>
      </c>
      <c r="D400" s="14" t="s">
        <v>1</v>
      </c>
      <c r="E400" s="10" t="s">
        <v>192</v>
      </c>
      <c r="F400" s="9" t="s">
        <v>63</v>
      </c>
      <c r="G400" s="15">
        <v>23</v>
      </c>
      <c r="H400" s="14" t="s">
        <v>190</v>
      </c>
      <c r="I400" s="63"/>
      <c r="EP400" s="80"/>
    </row>
    <row r="401" spans="1:146" s="79" customFormat="1" ht="62.4" x14ac:dyDescent="0.3">
      <c r="A401" s="9">
        <v>13</v>
      </c>
      <c r="B401" s="9" t="s">
        <v>22</v>
      </c>
      <c r="C401" s="9">
        <v>1</v>
      </c>
      <c r="D401" s="14" t="s">
        <v>1</v>
      </c>
      <c r="E401" s="10" t="s">
        <v>193</v>
      </c>
      <c r="F401" s="9" t="s">
        <v>63</v>
      </c>
      <c r="G401" s="15">
        <v>30</v>
      </c>
      <c r="H401" s="14" t="s">
        <v>190</v>
      </c>
      <c r="I401" s="63"/>
      <c r="EP401" s="80"/>
    </row>
    <row r="402" spans="1:146" s="79" customFormat="1" x14ac:dyDescent="0.3">
      <c r="A402" s="9">
        <v>13</v>
      </c>
      <c r="B402" s="9" t="s">
        <v>22</v>
      </c>
      <c r="C402" s="9">
        <v>1</v>
      </c>
      <c r="D402" s="14" t="s">
        <v>1</v>
      </c>
      <c r="E402" s="10" t="s">
        <v>194</v>
      </c>
      <c r="F402" s="9" t="s">
        <v>63</v>
      </c>
      <c r="G402" s="15">
        <v>33</v>
      </c>
      <c r="H402" s="14" t="s">
        <v>195</v>
      </c>
      <c r="I402" s="63"/>
      <c r="EP402" s="80"/>
    </row>
    <row r="403" spans="1:146" s="79" customFormat="1" ht="46.8" x14ac:dyDescent="0.3">
      <c r="A403" s="9">
        <v>13</v>
      </c>
      <c r="B403" s="9" t="s">
        <v>22</v>
      </c>
      <c r="C403" s="9">
        <v>1</v>
      </c>
      <c r="D403" s="14" t="s">
        <v>1</v>
      </c>
      <c r="E403" s="10" t="s">
        <v>196</v>
      </c>
      <c r="F403" s="9" t="s">
        <v>63</v>
      </c>
      <c r="G403" s="15">
        <v>36</v>
      </c>
      <c r="H403" s="14" t="s">
        <v>197</v>
      </c>
      <c r="I403" s="63"/>
      <c r="EP403" s="80"/>
    </row>
    <row r="404" spans="1:146" s="79" customFormat="1" x14ac:dyDescent="0.3">
      <c r="A404" s="9">
        <v>13</v>
      </c>
      <c r="B404" s="9" t="s">
        <v>22</v>
      </c>
      <c r="C404" s="9">
        <v>1</v>
      </c>
      <c r="D404" s="14" t="s">
        <v>1</v>
      </c>
      <c r="E404" s="10" t="s">
        <v>200</v>
      </c>
      <c r="F404" s="9" t="s">
        <v>63</v>
      </c>
      <c r="G404" s="15">
        <v>56</v>
      </c>
      <c r="H404" s="14" t="s">
        <v>199</v>
      </c>
      <c r="I404" s="63"/>
      <c r="EP404" s="80"/>
    </row>
    <row r="405" spans="1:146" s="79" customFormat="1" ht="46.8" x14ac:dyDescent="0.3">
      <c r="A405" s="26">
        <v>13</v>
      </c>
      <c r="B405" s="26" t="s">
        <v>22</v>
      </c>
      <c r="C405" s="26">
        <v>2</v>
      </c>
      <c r="D405" s="32" t="s">
        <v>119</v>
      </c>
      <c r="E405" s="32" t="s">
        <v>604</v>
      </c>
      <c r="F405" s="26" t="s">
        <v>63</v>
      </c>
      <c r="G405" s="36">
        <v>20</v>
      </c>
      <c r="H405" s="32" t="s">
        <v>610</v>
      </c>
      <c r="I405" s="63"/>
      <c r="EP405" s="80"/>
    </row>
    <row r="406" spans="1:146" s="79" customFormat="1" ht="46.8" x14ac:dyDescent="0.3">
      <c r="A406" s="26">
        <v>13</v>
      </c>
      <c r="B406" s="26" t="s">
        <v>22</v>
      </c>
      <c r="C406" s="26">
        <v>2</v>
      </c>
      <c r="D406" s="32" t="s">
        <v>119</v>
      </c>
      <c r="E406" s="32" t="s">
        <v>605</v>
      </c>
      <c r="F406" s="26" t="s">
        <v>63</v>
      </c>
      <c r="G406" s="36">
        <v>22</v>
      </c>
      <c r="H406" s="32" t="s">
        <v>611</v>
      </c>
      <c r="I406" s="63"/>
      <c r="EP406" s="80"/>
    </row>
    <row r="407" spans="1:146" s="79" customFormat="1" ht="62.4" x14ac:dyDescent="0.3">
      <c r="A407" s="26">
        <v>13</v>
      </c>
      <c r="B407" s="26" t="s">
        <v>22</v>
      </c>
      <c r="C407" s="26">
        <v>2</v>
      </c>
      <c r="D407" s="32" t="s">
        <v>119</v>
      </c>
      <c r="E407" s="32" t="s">
        <v>605</v>
      </c>
      <c r="F407" s="26" t="s">
        <v>63</v>
      </c>
      <c r="G407" s="36">
        <v>22</v>
      </c>
      <c r="H407" s="32" t="s">
        <v>612</v>
      </c>
      <c r="I407" s="63"/>
      <c r="EP407" s="80"/>
    </row>
    <row r="408" spans="1:146" s="79" customFormat="1" ht="124.8" x14ac:dyDescent="0.3">
      <c r="A408" s="26">
        <v>13</v>
      </c>
      <c r="B408" s="26" t="s">
        <v>22</v>
      </c>
      <c r="C408" s="26">
        <v>2</v>
      </c>
      <c r="D408" s="32" t="s">
        <v>0</v>
      </c>
      <c r="E408" s="32" t="s">
        <v>634</v>
      </c>
      <c r="F408" s="26" t="s">
        <v>63</v>
      </c>
      <c r="G408" s="36">
        <v>4</v>
      </c>
      <c r="H408" s="32" t="s">
        <v>609</v>
      </c>
      <c r="I408" s="63"/>
      <c r="EP408" s="80"/>
    </row>
    <row r="409" spans="1:146" s="79" customFormat="1" ht="46.8" x14ac:dyDescent="0.3">
      <c r="A409" s="26">
        <v>13</v>
      </c>
      <c r="B409" s="26" t="s">
        <v>22</v>
      </c>
      <c r="C409" s="26">
        <v>2</v>
      </c>
      <c r="D409" s="32" t="s">
        <v>1</v>
      </c>
      <c r="E409" s="32" t="s">
        <v>635</v>
      </c>
      <c r="F409" s="26" t="s">
        <v>63</v>
      </c>
      <c r="G409" s="36">
        <v>30</v>
      </c>
      <c r="H409" s="32" t="s">
        <v>197</v>
      </c>
      <c r="I409" s="63"/>
      <c r="EP409" s="80"/>
    </row>
    <row r="410" spans="1:146" s="79" customFormat="1" ht="46.8" x14ac:dyDescent="0.3">
      <c r="A410" s="26">
        <v>13</v>
      </c>
      <c r="B410" s="26" t="s">
        <v>22</v>
      </c>
      <c r="C410" s="26">
        <v>2</v>
      </c>
      <c r="D410" s="32" t="s">
        <v>1</v>
      </c>
      <c r="E410" s="32" t="s">
        <v>635</v>
      </c>
      <c r="F410" s="26" t="s">
        <v>63</v>
      </c>
      <c r="G410" s="36">
        <v>30</v>
      </c>
      <c r="H410" s="32" t="s">
        <v>606</v>
      </c>
      <c r="I410" s="63"/>
      <c r="EP410" s="80"/>
    </row>
    <row r="411" spans="1:146" s="79" customFormat="1" ht="46.8" x14ac:dyDescent="0.3">
      <c r="A411" s="26">
        <v>13</v>
      </c>
      <c r="B411" s="26" t="s">
        <v>22</v>
      </c>
      <c r="C411" s="26">
        <v>2</v>
      </c>
      <c r="D411" s="32" t="s">
        <v>1</v>
      </c>
      <c r="E411" s="32" t="s">
        <v>636</v>
      </c>
      <c r="F411" s="26" t="s">
        <v>63</v>
      </c>
      <c r="G411" s="36">
        <v>28</v>
      </c>
      <c r="H411" s="32" t="s">
        <v>197</v>
      </c>
      <c r="I411" s="63"/>
      <c r="EP411" s="80"/>
    </row>
    <row r="412" spans="1:146" s="79" customFormat="1" ht="31.2" x14ac:dyDescent="0.3">
      <c r="A412" s="26">
        <v>13</v>
      </c>
      <c r="B412" s="26" t="s">
        <v>22</v>
      </c>
      <c r="C412" s="26">
        <v>2</v>
      </c>
      <c r="D412" s="32" t="s">
        <v>1</v>
      </c>
      <c r="E412" s="32" t="s">
        <v>637</v>
      </c>
      <c r="F412" s="26" t="s">
        <v>63</v>
      </c>
      <c r="G412" s="36">
        <v>22</v>
      </c>
      <c r="H412" s="32" t="s">
        <v>607</v>
      </c>
      <c r="I412" s="63"/>
      <c r="EP412" s="80"/>
    </row>
    <row r="413" spans="1:146" s="79" customFormat="1" ht="31.2" x14ac:dyDescent="0.3">
      <c r="A413" s="26">
        <v>13</v>
      </c>
      <c r="B413" s="26" t="s">
        <v>22</v>
      </c>
      <c r="C413" s="26">
        <v>2</v>
      </c>
      <c r="D413" s="32" t="s">
        <v>1</v>
      </c>
      <c r="E413" s="32" t="s">
        <v>638</v>
      </c>
      <c r="F413" s="26" t="s">
        <v>63</v>
      </c>
      <c r="G413" s="36">
        <v>15</v>
      </c>
      <c r="H413" s="32" t="s">
        <v>607</v>
      </c>
      <c r="I413" s="63"/>
      <c r="EP413" s="80"/>
    </row>
    <row r="414" spans="1:146" s="79" customFormat="1" ht="31.2" x14ac:dyDescent="0.3">
      <c r="A414" s="26">
        <v>13</v>
      </c>
      <c r="B414" s="26" t="s">
        <v>22</v>
      </c>
      <c r="C414" s="26">
        <v>2</v>
      </c>
      <c r="D414" s="32" t="s">
        <v>1</v>
      </c>
      <c r="E414" s="32" t="s">
        <v>639</v>
      </c>
      <c r="F414" s="26" t="s">
        <v>63</v>
      </c>
      <c r="G414" s="36">
        <v>45</v>
      </c>
      <c r="H414" s="32" t="s">
        <v>607</v>
      </c>
      <c r="I414" s="63"/>
      <c r="EP414" s="80"/>
    </row>
    <row r="415" spans="1:146" s="79" customFormat="1" ht="46.8" x14ac:dyDescent="0.3">
      <c r="A415" s="26">
        <v>13</v>
      </c>
      <c r="B415" s="26" t="s">
        <v>22</v>
      </c>
      <c r="C415" s="26">
        <v>2</v>
      </c>
      <c r="D415" s="32" t="s">
        <v>1</v>
      </c>
      <c r="E415" s="32" t="s">
        <v>640</v>
      </c>
      <c r="F415" s="26" t="s">
        <v>63</v>
      </c>
      <c r="G415" s="36">
        <v>40</v>
      </c>
      <c r="H415" s="32" t="s">
        <v>607</v>
      </c>
      <c r="I415" s="63"/>
      <c r="EP415" s="80"/>
    </row>
    <row r="416" spans="1:146" s="79" customFormat="1" ht="31.2" x14ac:dyDescent="0.3">
      <c r="A416" s="26">
        <v>13</v>
      </c>
      <c r="B416" s="26" t="s">
        <v>22</v>
      </c>
      <c r="C416" s="26">
        <v>2</v>
      </c>
      <c r="D416" s="32" t="s">
        <v>375</v>
      </c>
      <c r="E416" s="32" t="s">
        <v>641</v>
      </c>
      <c r="F416" s="26" t="s">
        <v>63</v>
      </c>
      <c r="G416" s="36">
        <v>2</v>
      </c>
      <c r="H416" s="32" t="s">
        <v>608</v>
      </c>
      <c r="I416" s="63"/>
      <c r="EP416" s="80"/>
    </row>
    <row r="417" spans="1:146" s="79" customFormat="1" x14ac:dyDescent="0.3">
      <c r="A417" s="57">
        <v>13</v>
      </c>
      <c r="B417" s="57" t="s">
        <v>22</v>
      </c>
      <c r="C417" s="57">
        <v>3</v>
      </c>
      <c r="D417" s="58" t="s">
        <v>119</v>
      </c>
      <c r="E417" s="58" t="s">
        <v>1019</v>
      </c>
      <c r="F417" s="57" t="s">
        <v>63</v>
      </c>
      <c r="G417" s="59">
        <v>21</v>
      </c>
      <c r="H417" s="58" t="s">
        <v>760</v>
      </c>
      <c r="I417" s="63"/>
      <c r="EP417" s="80"/>
    </row>
    <row r="418" spans="1:146" s="79" customFormat="1" x14ac:dyDescent="0.3">
      <c r="A418" s="57">
        <v>13</v>
      </c>
      <c r="B418" s="57" t="s">
        <v>22</v>
      </c>
      <c r="C418" s="57">
        <v>3</v>
      </c>
      <c r="D418" s="58" t="s">
        <v>119</v>
      </c>
      <c r="E418" s="58" t="s">
        <v>1019</v>
      </c>
      <c r="F418" s="57" t="s">
        <v>63</v>
      </c>
      <c r="G418" s="59">
        <v>23</v>
      </c>
      <c r="H418" s="58" t="s">
        <v>760</v>
      </c>
      <c r="I418" s="63"/>
      <c r="EP418" s="80"/>
    </row>
    <row r="419" spans="1:146" s="79" customFormat="1" x14ac:dyDescent="0.3">
      <c r="A419" s="57">
        <v>13</v>
      </c>
      <c r="B419" s="57" t="s">
        <v>22</v>
      </c>
      <c r="C419" s="57">
        <v>3</v>
      </c>
      <c r="D419" s="58" t="s">
        <v>119</v>
      </c>
      <c r="E419" s="58" t="s">
        <v>1019</v>
      </c>
      <c r="F419" s="57" t="s">
        <v>63</v>
      </c>
      <c r="G419" s="59">
        <v>27</v>
      </c>
      <c r="H419" s="58" t="s">
        <v>760</v>
      </c>
      <c r="I419" s="63"/>
      <c r="EP419" s="80"/>
    </row>
    <row r="420" spans="1:146" s="79" customFormat="1" ht="62.4" x14ac:dyDescent="0.3">
      <c r="A420" s="57">
        <v>13</v>
      </c>
      <c r="B420" s="57" t="s">
        <v>22</v>
      </c>
      <c r="C420" s="57">
        <v>3</v>
      </c>
      <c r="D420" s="58" t="s">
        <v>0</v>
      </c>
      <c r="E420" s="58" t="s">
        <v>757</v>
      </c>
      <c r="F420" s="57" t="s">
        <v>63</v>
      </c>
      <c r="G420" s="59">
        <v>76</v>
      </c>
      <c r="H420" s="58" t="s">
        <v>758</v>
      </c>
      <c r="I420" s="63"/>
      <c r="EP420" s="80"/>
    </row>
    <row r="421" spans="1:146" s="79" customFormat="1" ht="62.4" x14ac:dyDescent="0.3">
      <c r="A421" s="57">
        <v>13</v>
      </c>
      <c r="B421" s="57" t="s">
        <v>22</v>
      </c>
      <c r="C421" s="57">
        <v>3</v>
      </c>
      <c r="D421" s="58" t="s">
        <v>0</v>
      </c>
      <c r="E421" s="58" t="s">
        <v>759</v>
      </c>
      <c r="F421" s="57" t="s">
        <v>63</v>
      </c>
      <c r="G421" s="59">
        <v>69</v>
      </c>
      <c r="H421" s="58" t="s">
        <v>758</v>
      </c>
      <c r="I421" s="63"/>
      <c r="EP421" s="80"/>
    </row>
    <row r="422" spans="1:146" s="79" customFormat="1" x14ac:dyDescent="0.3">
      <c r="A422" s="57">
        <v>13</v>
      </c>
      <c r="B422" s="57" t="s">
        <v>22</v>
      </c>
      <c r="C422" s="57">
        <v>3</v>
      </c>
      <c r="D422" s="58" t="s">
        <v>1</v>
      </c>
      <c r="E422" s="58" t="s">
        <v>1028</v>
      </c>
      <c r="F422" s="57" t="s">
        <v>63</v>
      </c>
      <c r="G422" s="59">
        <v>9</v>
      </c>
      <c r="H422" s="58" t="s">
        <v>761</v>
      </c>
      <c r="I422" s="63"/>
      <c r="EP422" s="80"/>
    </row>
    <row r="423" spans="1:146" s="79" customFormat="1" ht="31.2" x14ac:dyDescent="0.3">
      <c r="A423" s="57">
        <v>13</v>
      </c>
      <c r="B423" s="57" t="s">
        <v>22</v>
      </c>
      <c r="C423" s="57">
        <v>3</v>
      </c>
      <c r="D423" s="58" t="s">
        <v>1</v>
      </c>
      <c r="E423" s="58" t="s">
        <v>1029</v>
      </c>
      <c r="F423" s="57" t="s">
        <v>63</v>
      </c>
      <c r="G423" s="59">
        <v>183</v>
      </c>
      <c r="H423" s="58" t="s">
        <v>762</v>
      </c>
      <c r="I423" s="63"/>
      <c r="EP423" s="80"/>
    </row>
    <row r="424" spans="1:146" s="79" customFormat="1" ht="46.8" x14ac:dyDescent="0.3">
      <c r="A424" s="57">
        <v>13</v>
      </c>
      <c r="B424" s="57" t="s">
        <v>22</v>
      </c>
      <c r="C424" s="57">
        <v>3</v>
      </c>
      <c r="D424" s="58" t="s">
        <v>1</v>
      </c>
      <c r="E424" s="58" t="s">
        <v>1030</v>
      </c>
      <c r="F424" s="57" t="s">
        <v>63</v>
      </c>
      <c r="G424" s="59">
        <v>24</v>
      </c>
      <c r="H424" s="58" t="s">
        <v>197</v>
      </c>
      <c r="I424" s="63"/>
      <c r="EP424" s="80"/>
    </row>
    <row r="425" spans="1:146" s="79" customFormat="1" ht="46.8" x14ac:dyDescent="0.3">
      <c r="A425" s="57">
        <v>13</v>
      </c>
      <c r="B425" s="57" t="s">
        <v>22</v>
      </c>
      <c r="C425" s="57">
        <v>3</v>
      </c>
      <c r="D425" s="58" t="s">
        <v>1</v>
      </c>
      <c r="E425" s="58" t="s">
        <v>1031</v>
      </c>
      <c r="F425" s="57" t="s">
        <v>63</v>
      </c>
      <c r="G425" s="59">
        <v>23</v>
      </c>
      <c r="H425" s="58" t="s">
        <v>197</v>
      </c>
      <c r="I425" s="63"/>
      <c r="EP425" s="80"/>
    </row>
    <row r="426" spans="1:146" s="79" customFormat="1" ht="46.8" x14ac:dyDescent="0.3">
      <c r="A426" s="57">
        <v>13</v>
      </c>
      <c r="B426" s="57" t="s">
        <v>22</v>
      </c>
      <c r="C426" s="57">
        <v>3</v>
      </c>
      <c r="D426" s="58" t="s">
        <v>1</v>
      </c>
      <c r="E426" s="58" t="s">
        <v>1030</v>
      </c>
      <c r="F426" s="57" t="s">
        <v>63</v>
      </c>
      <c r="G426" s="59">
        <v>24</v>
      </c>
      <c r="H426" s="58" t="s">
        <v>197</v>
      </c>
      <c r="I426" s="63"/>
      <c r="EP426" s="80"/>
    </row>
    <row r="427" spans="1:146" s="79" customFormat="1" x14ac:dyDescent="0.3">
      <c r="A427" s="57">
        <v>13</v>
      </c>
      <c r="B427" s="57" t="s">
        <v>22</v>
      </c>
      <c r="C427" s="57">
        <v>3</v>
      </c>
      <c r="D427" s="58" t="s">
        <v>1</v>
      </c>
      <c r="E427" s="58" t="s">
        <v>1032</v>
      </c>
      <c r="F427" s="57" t="s">
        <v>63</v>
      </c>
      <c r="G427" s="59">
        <v>15</v>
      </c>
      <c r="H427" s="58" t="s">
        <v>763</v>
      </c>
      <c r="I427" s="63"/>
      <c r="EP427" s="80"/>
    </row>
    <row r="428" spans="1:146" s="79" customFormat="1" x14ac:dyDescent="0.3">
      <c r="A428" s="57">
        <v>13</v>
      </c>
      <c r="B428" s="57" t="s">
        <v>22</v>
      </c>
      <c r="C428" s="57">
        <v>3</v>
      </c>
      <c r="D428" s="58" t="s">
        <v>1</v>
      </c>
      <c r="E428" s="58" t="s">
        <v>1033</v>
      </c>
      <c r="F428" s="57" t="s">
        <v>63</v>
      </c>
      <c r="G428" s="59">
        <v>10</v>
      </c>
      <c r="H428" s="58" t="s">
        <v>763</v>
      </c>
      <c r="I428" s="63"/>
      <c r="EP428" s="80"/>
    </row>
    <row r="429" spans="1:146" s="79" customFormat="1" x14ac:dyDescent="0.3">
      <c r="A429" s="57">
        <v>13</v>
      </c>
      <c r="B429" s="57" t="s">
        <v>22</v>
      </c>
      <c r="C429" s="57">
        <v>3</v>
      </c>
      <c r="D429" s="58" t="s">
        <v>1</v>
      </c>
      <c r="E429" s="58" t="s">
        <v>1034</v>
      </c>
      <c r="F429" s="57" t="s">
        <v>63</v>
      </c>
      <c r="G429" s="59">
        <v>15</v>
      </c>
      <c r="H429" s="58" t="s">
        <v>764</v>
      </c>
      <c r="I429" s="63"/>
      <c r="EP429" s="80"/>
    </row>
    <row r="430" spans="1:146" s="79" customFormat="1" ht="31.2" x14ac:dyDescent="0.3">
      <c r="A430" s="57">
        <v>13</v>
      </c>
      <c r="B430" s="57" t="s">
        <v>22</v>
      </c>
      <c r="C430" s="57">
        <v>3</v>
      </c>
      <c r="D430" s="58" t="s">
        <v>375</v>
      </c>
      <c r="E430" s="58" t="s">
        <v>1035</v>
      </c>
      <c r="F430" s="57" t="s">
        <v>63</v>
      </c>
      <c r="G430" s="59">
        <v>14</v>
      </c>
      <c r="H430" s="58" t="s">
        <v>765</v>
      </c>
      <c r="I430" s="63"/>
      <c r="EP430" s="80"/>
    </row>
    <row r="431" spans="1:146" s="79" customFormat="1" ht="31.2" x14ac:dyDescent="0.3">
      <c r="A431" s="57">
        <v>13</v>
      </c>
      <c r="B431" s="57" t="s">
        <v>22</v>
      </c>
      <c r="C431" s="57">
        <v>3</v>
      </c>
      <c r="D431" s="58" t="s">
        <v>375</v>
      </c>
      <c r="E431" s="58" t="s">
        <v>1036</v>
      </c>
      <c r="F431" s="57" t="s">
        <v>63</v>
      </c>
      <c r="G431" s="59">
        <v>6</v>
      </c>
      <c r="H431" s="58" t="s">
        <v>764</v>
      </c>
      <c r="I431" s="50"/>
      <c r="EP431" s="80"/>
    </row>
    <row r="432" spans="1:146" s="79" customFormat="1" ht="46.8" x14ac:dyDescent="0.3">
      <c r="A432" s="39">
        <v>13</v>
      </c>
      <c r="B432" s="39" t="s">
        <v>22</v>
      </c>
      <c r="C432" s="39">
        <v>4</v>
      </c>
      <c r="D432" s="44" t="s">
        <v>0</v>
      </c>
      <c r="E432" s="44" t="s">
        <v>1561</v>
      </c>
      <c r="F432" s="39" t="s">
        <v>63</v>
      </c>
      <c r="G432" s="48" t="s">
        <v>1562</v>
      </c>
      <c r="H432" s="44" t="s">
        <v>188</v>
      </c>
      <c r="I432" s="63"/>
      <c r="EP432" s="80"/>
    </row>
    <row r="433" spans="1:146" s="79" customFormat="1" ht="93.6" x14ac:dyDescent="0.3">
      <c r="A433" s="39">
        <v>13</v>
      </c>
      <c r="B433" s="39" t="s">
        <v>22</v>
      </c>
      <c r="C433" s="39">
        <v>4</v>
      </c>
      <c r="D433" s="44" t="s">
        <v>0</v>
      </c>
      <c r="E433" s="44" t="s">
        <v>1563</v>
      </c>
      <c r="F433" s="39" t="s">
        <v>63</v>
      </c>
      <c r="G433" s="48" t="s">
        <v>1564</v>
      </c>
      <c r="H433" s="44" t="s">
        <v>1565</v>
      </c>
      <c r="I433" s="63"/>
      <c r="EP433" s="80"/>
    </row>
    <row r="434" spans="1:146" s="79" customFormat="1" ht="62.4" x14ac:dyDescent="0.3">
      <c r="A434" s="39">
        <v>13</v>
      </c>
      <c r="B434" s="39" t="s">
        <v>22</v>
      </c>
      <c r="C434" s="39">
        <v>4</v>
      </c>
      <c r="D434" s="44" t="s">
        <v>119</v>
      </c>
      <c r="E434" s="44" t="s">
        <v>1566</v>
      </c>
      <c r="F434" s="39" t="s">
        <v>63</v>
      </c>
      <c r="G434" s="48" t="s">
        <v>1567</v>
      </c>
      <c r="H434" s="44" t="s">
        <v>190</v>
      </c>
      <c r="I434" s="63"/>
      <c r="EP434" s="80"/>
    </row>
    <row r="435" spans="1:146" s="79" customFormat="1" ht="62.4" x14ac:dyDescent="0.3">
      <c r="A435" s="39">
        <v>13</v>
      </c>
      <c r="B435" s="39" t="s">
        <v>22</v>
      </c>
      <c r="C435" s="39">
        <v>4</v>
      </c>
      <c r="D435" s="44" t="s">
        <v>119</v>
      </c>
      <c r="E435" s="44" t="s">
        <v>1566</v>
      </c>
      <c r="F435" s="39" t="s">
        <v>63</v>
      </c>
      <c r="G435" s="48" t="s">
        <v>1568</v>
      </c>
      <c r="H435" s="44" t="s">
        <v>190</v>
      </c>
      <c r="I435" s="63"/>
      <c r="EP435" s="80"/>
    </row>
    <row r="436" spans="1:146" s="79" customFormat="1" ht="62.4" x14ac:dyDescent="0.3">
      <c r="A436" s="39">
        <v>13</v>
      </c>
      <c r="B436" s="39" t="s">
        <v>22</v>
      </c>
      <c r="C436" s="39">
        <v>4</v>
      </c>
      <c r="D436" s="44" t="s">
        <v>119</v>
      </c>
      <c r="E436" s="44" t="s">
        <v>1566</v>
      </c>
      <c r="F436" s="39" t="s">
        <v>63</v>
      </c>
      <c r="G436" s="48" t="s">
        <v>1569</v>
      </c>
      <c r="H436" s="44" t="s">
        <v>190</v>
      </c>
      <c r="I436" s="63"/>
      <c r="EP436" s="80"/>
    </row>
    <row r="437" spans="1:146" s="79" customFormat="1" x14ac:dyDescent="0.3">
      <c r="A437" s="39">
        <v>13</v>
      </c>
      <c r="B437" s="39" t="s">
        <v>22</v>
      </c>
      <c r="C437" s="39">
        <v>4</v>
      </c>
      <c r="D437" s="44" t="s">
        <v>1</v>
      </c>
      <c r="E437" s="44" t="s">
        <v>1570</v>
      </c>
      <c r="F437" s="39" t="s">
        <v>63</v>
      </c>
      <c r="G437" s="48" t="s">
        <v>1571</v>
      </c>
      <c r="H437" s="44" t="s">
        <v>195</v>
      </c>
      <c r="I437" s="63"/>
      <c r="EP437" s="80"/>
    </row>
    <row r="438" spans="1:146" s="79" customFormat="1" ht="46.8" x14ac:dyDescent="0.3">
      <c r="A438" s="39">
        <v>13</v>
      </c>
      <c r="B438" s="39" t="s">
        <v>22</v>
      </c>
      <c r="C438" s="39">
        <v>4</v>
      </c>
      <c r="D438" s="44" t="s">
        <v>1</v>
      </c>
      <c r="E438" s="44" t="s">
        <v>1572</v>
      </c>
      <c r="F438" s="39" t="s">
        <v>63</v>
      </c>
      <c r="G438" s="48" t="s">
        <v>1573</v>
      </c>
      <c r="H438" s="44" t="s">
        <v>197</v>
      </c>
      <c r="I438" s="63"/>
      <c r="EP438" s="80"/>
    </row>
    <row r="439" spans="1:146" s="79" customFormat="1" ht="46.8" x14ac:dyDescent="0.3">
      <c r="A439" s="39">
        <v>13</v>
      </c>
      <c r="B439" s="39" t="s">
        <v>22</v>
      </c>
      <c r="C439" s="39">
        <v>4</v>
      </c>
      <c r="D439" s="44" t="s">
        <v>1</v>
      </c>
      <c r="E439" s="44" t="s">
        <v>1574</v>
      </c>
      <c r="F439" s="39" t="s">
        <v>63</v>
      </c>
      <c r="G439" s="48" t="s">
        <v>1575</v>
      </c>
      <c r="H439" s="44" t="s">
        <v>199</v>
      </c>
      <c r="I439" s="63"/>
      <c r="EP439" s="80"/>
    </row>
    <row r="440" spans="1:146" s="79" customFormat="1" ht="31.2" x14ac:dyDescent="0.3">
      <c r="A440" s="39">
        <v>13</v>
      </c>
      <c r="B440" s="39" t="s">
        <v>22</v>
      </c>
      <c r="C440" s="39">
        <v>4</v>
      </c>
      <c r="D440" s="44" t="s">
        <v>1</v>
      </c>
      <c r="E440" s="44" t="s">
        <v>1574</v>
      </c>
      <c r="F440" s="39" t="s">
        <v>63</v>
      </c>
      <c r="G440" s="48" t="s">
        <v>1576</v>
      </c>
      <c r="H440" s="44" t="s">
        <v>199</v>
      </c>
      <c r="I440" s="63"/>
      <c r="EP440" s="80"/>
    </row>
    <row r="441" spans="1:146" s="79" customFormat="1" x14ac:dyDescent="0.3">
      <c r="A441" s="39">
        <v>13</v>
      </c>
      <c r="B441" s="39" t="s">
        <v>22</v>
      </c>
      <c r="C441" s="39">
        <v>4</v>
      </c>
      <c r="D441" s="44" t="s">
        <v>1</v>
      </c>
      <c r="E441" s="44" t="s">
        <v>1577</v>
      </c>
      <c r="F441" s="39" t="s">
        <v>63</v>
      </c>
      <c r="G441" s="48" t="s">
        <v>1578</v>
      </c>
      <c r="H441" s="44" t="s">
        <v>202</v>
      </c>
      <c r="I441" s="63"/>
      <c r="EP441" s="80"/>
    </row>
    <row r="442" spans="1:146" s="79" customFormat="1" x14ac:dyDescent="0.3">
      <c r="A442" s="39">
        <v>13</v>
      </c>
      <c r="B442" s="39" t="s">
        <v>22</v>
      </c>
      <c r="C442" s="39">
        <v>4</v>
      </c>
      <c r="D442" s="44" t="s">
        <v>1</v>
      </c>
      <c r="E442" s="44" t="s">
        <v>1579</v>
      </c>
      <c r="F442" s="39" t="s">
        <v>63</v>
      </c>
      <c r="G442" s="48" t="s">
        <v>1580</v>
      </c>
      <c r="H442" s="44" t="s">
        <v>202</v>
      </c>
      <c r="I442" s="63"/>
      <c r="EP442" s="80"/>
    </row>
    <row r="443" spans="1:146" s="79" customFormat="1" ht="62.4" x14ac:dyDescent="0.3">
      <c r="A443" s="9">
        <v>14</v>
      </c>
      <c r="B443" s="9" t="s">
        <v>23</v>
      </c>
      <c r="C443" s="9">
        <v>1</v>
      </c>
      <c r="D443" s="16" t="s">
        <v>119</v>
      </c>
      <c r="E443" s="17" t="s">
        <v>204</v>
      </c>
      <c r="F443" s="18" t="s">
        <v>63</v>
      </c>
      <c r="G443" s="19">
        <v>120</v>
      </c>
      <c r="H443" s="17" t="s">
        <v>205</v>
      </c>
      <c r="I443" s="63"/>
      <c r="EP443" s="80"/>
    </row>
    <row r="444" spans="1:146" s="79" customFormat="1" ht="46.8" x14ac:dyDescent="0.3">
      <c r="A444" s="9">
        <v>14</v>
      </c>
      <c r="B444" s="9" t="s">
        <v>23</v>
      </c>
      <c r="C444" s="9">
        <v>1</v>
      </c>
      <c r="D444" s="16" t="s">
        <v>1</v>
      </c>
      <c r="E444" s="17" t="s">
        <v>216</v>
      </c>
      <c r="F444" s="18" t="s">
        <v>51</v>
      </c>
      <c r="G444" s="19">
        <v>448</v>
      </c>
      <c r="H444" s="17" t="s">
        <v>217</v>
      </c>
      <c r="I444" s="63"/>
      <c r="EP444" s="80"/>
    </row>
    <row r="445" spans="1:146" s="79" customFormat="1" ht="62.4" x14ac:dyDescent="0.3">
      <c r="A445" s="9">
        <v>14</v>
      </c>
      <c r="B445" s="9" t="s">
        <v>23</v>
      </c>
      <c r="C445" s="9">
        <v>1</v>
      </c>
      <c r="D445" s="11" t="s">
        <v>65</v>
      </c>
      <c r="E445" s="11" t="s">
        <v>206</v>
      </c>
      <c r="F445" s="13" t="s">
        <v>51</v>
      </c>
      <c r="G445" s="12">
        <v>2</v>
      </c>
      <c r="H445" s="11" t="s">
        <v>207</v>
      </c>
      <c r="I445" s="63"/>
      <c r="EP445" s="80"/>
    </row>
    <row r="446" spans="1:146" s="79" customFormat="1" ht="62.4" x14ac:dyDescent="0.3">
      <c r="A446" s="9">
        <v>14</v>
      </c>
      <c r="B446" s="9" t="s">
        <v>23</v>
      </c>
      <c r="C446" s="9">
        <v>1</v>
      </c>
      <c r="D446" s="11" t="s">
        <v>65</v>
      </c>
      <c r="E446" s="11" t="s">
        <v>208</v>
      </c>
      <c r="F446" s="13" t="s">
        <v>51</v>
      </c>
      <c r="G446" s="12">
        <v>20</v>
      </c>
      <c r="H446" s="11" t="s">
        <v>209</v>
      </c>
      <c r="I446" s="63"/>
      <c r="EP446" s="80"/>
    </row>
    <row r="447" spans="1:146" s="79" customFormat="1" ht="78" x14ac:dyDescent="0.3">
      <c r="A447" s="9">
        <v>14</v>
      </c>
      <c r="B447" s="9" t="s">
        <v>23</v>
      </c>
      <c r="C447" s="9">
        <v>1</v>
      </c>
      <c r="D447" s="11" t="s">
        <v>65</v>
      </c>
      <c r="E447" s="11" t="s">
        <v>210</v>
      </c>
      <c r="F447" s="13" t="s">
        <v>51</v>
      </c>
      <c r="G447" s="12">
        <v>21</v>
      </c>
      <c r="H447" s="11" t="s">
        <v>211</v>
      </c>
      <c r="I447" s="63"/>
      <c r="EP447" s="80"/>
    </row>
    <row r="448" spans="1:146" s="79" customFormat="1" ht="75.75" customHeight="1" x14ac:dyDescent="0.3">
      <c r="A448" s="9">
        <v>14</v>
      </c>
      <c r="B448" s="9" t="s">
        <v>23</v>
      </c>
      <c r="C448" s="9">
        <v>1</v>
      </c>
      <c r="D448" s="16" t="s">
        <v>65</v>
      </c>
      <c r="E448" s="17" t="s">
        <v>212</v>
      </c>
      <c r="F448" s="18" t="s">
        <v>51</v>
      </c>
      <c r="G448" s="19">
        <v>138</v>
      </c>
      <c r="H448" s="17" t="s">
        <v>213</v>
      </c>
      <c r="I448" s="63"/>
      <c r="EP448" s="80"/>
    </row>
    <row r="449" spans="1:146" s="79" customFormat="1" ht="62.4" x14ac:dyDescent="0.3">
      <c r="A449" s="9">
        <v>14</v>
      </c>
      <c r="B449" s="9" t="s">
        <v>23</v>
      </c>
      <c r="C449" s="9">
        <v>1</v>
      </c>
      <c r="D449" s="16" t="s">
        <v>65</v>
      </c>
      <c r="E449" s="17" t="s">
        <v>214</v>
      </c>
      <c r="F449" s="18" t="s">
        <v>51</v>
      </c>
      <c r="G449" s="19">
        <v>1</v>
      </c>
      <c r="H449" s="17" t="s">
        <v>215</v>
      </c>
      <c r="I449" s="63"/>
      <c r="EP449" s="80"/>
    </row>
    <row r="450" spans="1:146" s="79" customFormat="1" ht="78" x14ac:dyDescent="0.3">
      <c r="A450" s="26">
        <v>14</v>
      </c>
      <c r="B450" s="26" t="s">
        <v>23</v>
      </c>
      <c r="C450" s="26">
        <v>2</v>
      </c>
      <c r="D450" s="31" t="s">
        <v>4</v>
      </c>
      <c r="E450" s="29" t="s">
        <v>434</v>
      </c>
      <c r="F450" s="30" t="s">
        <v>51</v>
      </c>
      <c r="G450" s="30">
        <v>5</v>
      </c>
      <c r="H450" s="31" t="s">
        <v>207</v>
      </c>
      <c r="I450" s="63"/>
      <c r="EP450" s="80"/>
    </row>
    <row r="451" spans="1:146" s="79" customFormat="1" ht="62.4" x14ac:dyDescent="0.3">
      <c r="A451" s="26">
        <v>14</v>
      </c>
      <c r="B451" s="26" t="s">
        <v>23</v>
      </c>
      <c r="C451" s="26">
        <v>2</v>
      </c>
      <c r="D451" s="35" t="s">
        <v>119</v>
      </c>
      <c r="E451" s="35" t="s">
        <v>431</v>
      </c>
      <c r="F451" s="34" t="s">
        <v>51</v>
      </c>
      <c r="G451" s="34">
        <v>83</v>
      </c>
      <c r="H451" s="35" t="s">
        <v>432</v>
      </c>
      <c r="I451" s="63"/>
      <c r="EP451" s="80"/>
    </row>
    <row r="452" spans="1:146" s="79" customFormat="1" ht="78" x14ac:dyDescent="0.3">
      <c r="A452" s="26">
        <v>14</v>
      </c>
      <c r="B452" s="26" t="s">
        <v>23</v>
      </c>
      <c r="C452" s="26">
        <v>2</v>
      </c>
      <c r="D452" s="31" t="s">
        <v>119</v>
      </c>
      <c r="E452" s="29" t="s">
        <v>563</v>
      </c>
      <c r="F452" s="30" t="s">
        <v>51</v>
      </c>
      <c r="G452" s="30">
        <v>50</v>
      </c>
      <c r="H452" s="31" t="s">
        <v>433</v>
      </c>
      <c r="I452" s="63"/>
      <c r="EP452" s="80"/>
    </row>
    <row r="453" spans="1:146" s="79" customFormat="1" ht="46.8" x14ac:dyDescent="0.3">
      <c r="A453" s="26">
        <v>14</v>
      </c>
      <c r="B453" s="26" t="s">
        <v>23</v>
      </c>
      <c r="C453" s="26">
        <v>2</v>
      </c>
      <c r="D453" s="31" t="s">
        <v>1</v>
      </c>
      <c r="E453" s="29" t="s">
        <v>566</v>
      </c>
      <c r="F453" s="30" t="s">
        <v>51</v>
      </c>
      <c r="G453" s="30">
        <v>836</v>
      </c>
      <c r="H453" s="31" t="s">
        <v>217</v>
      </c>
      <c r="I453" s="63"/>
      <c r="EP453" s="80"/>
    </row>
    <row r="454" spans="1:146" s="79" customFormat="1" ht="46.8" x14ac:dyDescent="0.3">
      <c r="A454" s="26">
        <v>14</v>
      </c>
      <c r="B454" s="26" t="s">
        <v>23</v>
      </c>
      <c r="C454" s="26">
        <v>2</v>
      </c>
      <c r="D454" s="31" t="s">
        <v>1</v>
      </c>
      <c r="E454" s="29" t="s">
        <v>437</v>
      </c>
      <c r="F454" s="30" t="s">
        <v>51</v>
      </c>
      <c r="G454" s="30">
        <v>321</v>
      </c>
      <c r="H454" s="31" t="s">
        <v>438</v>
      </c>
      <c r="I454" s="63"/>
      <c r="EP454" s="80"/>
    </row>
    <row r="455" spans="1:146" s="79" customFormat="1" ht="78" x14ac:dyDescent="0.3">
      <c r="A455" s="26">
        <v>14</v>
      </c>
      <c r="B455" s="26" t="s">
        <v>23</v>
      </c>
      <c r="C455" s="26">
        <v>2</v>
      </c>
      <c r="D455" s="31" t="s">
        <v>1</v>
      </c>
      <c r="E455" s="29" t="s">
        <v>439</v>
      </c>
      <c r="F455" s="30" t="s">
        <v>51</v>
      </c>
      <c r="G455" s="30">
        <v>225</v>
      </c>
      <c r="H455" s="31" t="s">
        <v>440</v>
      </c>
      <c r="I455" s="63"/>
      <c r="EP455" s="80"/>
    </row>
    <row r="456" spans="1:146" s="79" customFormat="1" ht="93.6" x14ac:dyDescent="0.3">
      <c r="A456" s="26">
        <v>14</v>
      </c>
      <c r="B456" s="26" t="s">
        <v>23</v>
      </c>
      <c r="C456" s="26">
        <v>2</v>
      </c>
      <c r="D456" s="31" t="s">
        <v>1</v>
      </c>
      <c r="E456" s="29" t="s">
        <v>441</v>
      </c>
      <c r="F456" s="30" t="s">
        <v>51</v>
      </c>
      <c r="G456" s="30">
        <v>33</v>
      </c>
      <c r="H456" s="31" t="s">
        <v>438</v>
      </c>
      <c r="I456" s="63"/>
      <c r="EP456" s="80"/>
    </row>
    <row r="457" spans="1:146" s="79" customFormat="1" ht="62.4" x14ac:dyDescent="0.3">
      <c r="A457" s="26">
        <v>14</v>
      </c>
      <c r="B457" s="26" t="s">
        <v>23</v>
      </c>
      <c r="C457" s="26">
        <v>2</v>
      </c>
      <c r="D457" s="31" t="s">
        <v>375</v>
      </c>
      <c r="E457" s="29" t="s">
        <v>435</v>
      </c>
      <c r="F457" s="30" t="s">
        <v>51</v>
      </c>
      <c r="G457" s="30">
        <v>29</v>
      </c>
      <c r="H457" s="31" t="s">
        <v>209</v>
      </c>
      <c r="I457" s="63"/>
      <c r="EP457" s="80"/>
    </row>
    <row r="458" spans="1:146" s="79" customFormat="1" ht="78" x14ac:dyDescent="0.3">
      <c r="A458" s="26">
        <v>14</v>
      </c>
      <c r="B458" s="26" t="s">
        <v>23</v>
      </c>
      <c r="C458" s="26">
        <v>2</v>
      </c>
      <c r="D458" s="31" t="s">
        <v>375</v>
      </c>
      <c r="E458" s="29" t="s">
        <v>564</v>
      </c>
      <c r="F458" s="30" t="s">
        <v>51</v>
      </c>
      <c r="G458" s="30">
        <v>80</v>
      </c>
      <c r="H458" s="31" t="s">
        <v>211</v>
      </c>
      <c r="I458" s="63"/>
      <c r="EP458" s="80"/>
    </row>
    <row r="459" spans="1:146" s="79" customFormat="1" ht="78" x14ac:dyDescent="0.3">
      <c r="A459" s="26">
        <v>14</v>
      </c>
      <c r="B459" s="26" t="s">
        <v>23</v>
      </c>
      <c r="C459" s="26">
        <v>2</v>
      </c>
      <c r="D459" s="31" t="s">
        <v>375</v>
      </c>
      <c r="E459" s="29" t="s">
        <v>565</v>
      </c>
      <c r="F459" s="30" t="s">
        <v>63</v>
      </c>
      <c r="G459" s="30" t="s">
        <v>75</v>
      </c>
      <c r="H459" s="31" t="s">
        <v>436</v>
      </c>
      <c r="I459" s="63"/>
      <c r="EP459" s="80"/>
    </row>
    <row r="460" spans="1:146" s="79" customFormat="1" ht="78" x14ac:dyDescent="0.3">
      <c r="A460" s="26">
        <v>14</v>
      </c>
      <c r="B460" s="26" t="s">
        <v>23</v>
      </c>
      <c r="C460" s="26">
        <v>2</v>
      </c>
      <c r="D460" s="31" t="s">
        <v>375</v>
      </c>
      <c r="E460" s="29" t="s">
        <v>642</v>
      </c>
      <c r="F460" s="30" t="s">
        <v>51</v>
      </c>
      <c r="G460" s="30">
        <v>43</v>
      </c>
      <c r="H460" s="31" t="s">
        <v>442</v>
      </c>
      <c r="I460" s="63"/>
      <c r="EP460" s="80"/>
    </row>
    <row r="461" spans="1:146" s="79" customFormat="1" ht="46.8" x14ac:dyDescent="0.3">
      <c r="A461" s="57">
        <v>14</v>
      </c>
      <c r="B461" s="57" t="s">
        <v>23</v>
      </c>
      <c r="C461" s="57">
        <v>3</v>
      </c>
      <c r="D461" s="78" t="s">
        <v>4</v>
      </c>
      <c r="E461" s="60" t="s">
        <v>1009</v>
      </c>
      <c r="F461" s="61" t="s">
        <v>51</v>
      </c>
      <c r="G461" s="61">
        <v>7</v>
      </c>
      <c r="H461" s="78" t="s">
        <v>207</v>
      </c>
      <c r="I461" s="63"/>
      <c r="EP461" s="80"/>
    </row>
    <row r="462" spans="1:146" s="79" customFormat="1" ht="62.4" x14ac:dyDescent="0.3">
      <c r="A462" s="57">
        <v>14</v>
      </c>
      <c r="B462" s="57" t="s">
        <v>23</v>
      </c>
      <c r="C462" s="57">
        <v>3</v>
      </c>
      <c r="D462" s="78" t="s">
        <v>119</v>
      </c>
      <c r="E462" s="60" t="s">
        <v>766</v>
      </c>
      <c r="F462" s="61" t="s">
        <v>51</v>
      </c>
      <c r="G462" s="61">
        <v>112</v>
      </c>
      <c r="H462" s="78" t="s">
        <v>432</v>
      </c>
      <c r="I462" s="63"/>
      <c r="EP462" s="80"/>
    </row>
    <row r="463" spans="1:146" s="79" customFormat="1" ht="46.8" x14ac:dyDescent="0.3">
      <c r="A463" s="57">
        <v>14</v>
      </c>
      <c r="B463" s="57" t="s">
        <v>23</v>
      </c>
      <c r="C463" s="57">
        <v>3</v>
      </c>
      <c r="D463" s="78" t="s">
        <v>1</v>
      </c>
      <c r="E463" s="60" t="s">
        <v>1477</v>
      </c>
      <c r="F463" s="61" t="s">
        <v>51</v>
      </c>
      <c r="G463" s="61">
        <v>641</v>
      </c>
      <c r="H463" s="78" t="s">
        <v>217</v>
      </c>
      <c r="I463" s="63"/>
      <c r="EP463" s="80"/>
    </row>
    <row r="464" spans="1:146" s="79" customFormat="1" ht="46.8" x14ac:dyDescent="0.3">
      <c r="A464" s="57">
        <v>14</v>
      </c>
      <c r="B464" s="57" t="s">
        <v>23</v>
      </c>
      <c r="C464" s="57">
        <v>3</v>
      </c>
      <c r="D464" s="78" t="s">
        <v>1</v>
      </c>
      <c r="E464" s="60" t="s">
        <v>1010</v>
      </c>
      <c r="F464" s="61" t="s">
        <v>51</v>
      </c>
      <c r="G464" s="61">
        <v>505</v>
      </c>
      <c r="H464" s="78" t="s">
        <v>438</v>
      </c>
      <c r="I464" s="63"/>
      <c r="EP464" s="80"/>
    </row>
    <row r="465" spans="1:146" s="79" customFormat="1" ht="78" x14ac:dyDescent="0.3">
      <c r="A465" s="57">
        <v>14</v>
      </c>
      <c r="B465" s="57" t="s">
        <v>23</v>
      </c>
      <c r="C465" s="57">
        <v>3</v>
      </c>
      <c r="D465" s="78" t="s">
        <v>1</v>
      </c>
      <c r="E465" s="60" t="s">
        <v>771</v>
      </c>
      <c r="F465" s="61" t="s">
        <v>51</v>
      </c>
      <c r="G465" s="61">
        <v>21</v>
      </c>
      <c r="H465" s="78" t="s">
        <v>772</v>
      </c>
      <c r="I465" s="63"/>
      <c r="EP465" s="80"/>
    </row>
    <row r="466" spans="1:146" s="79" customFormat="1" ht="62.4" x14ac:dyDescent="0.3">
      <c r="A466" s="57">
        <v>14</v>
      </c>
      <c r="B466" s="57" t="s">
        <v>23</v>
      </c>
      <c r="C466" s="57">
        <v>3</v>
      </c>
      <c r="D466" s="78" t="s">
        <v>375</v>
      </c>
      <c r="E466" s="60" t="s">
        <v>767</v>
      </c>
      <c r="F466" s="61"/>
      <c r="G466" s="61">
        <v>5</v>
      </c>
      <c r="H466" s="78"/>
      <c r="I466" s="63"/>
      <c r="EP466" s="80"/>
    </row>
    <row r="467" spans="1:146" s="79" customFormat="1" ht="109.2" x14ac:dyDescent="0.3">
      <c r="A467" s="57">
        <v>14</v>
      </c>
      <c r="B467" s="57" t="s">
        <v>23</v>
      </c>
      <c r="C467" s="57">
        <v>3</v>
      </c>
      <c r="D467" s="78" t="s">
        <v>375</v>
      </c>
      <c r="E467" s="60" t="s">
        <v>768</v>
      </c>
      <c r="F467" s="61" t="s">
        <v>51</v>
      </c>
      <c r="G467" s="61">
        <v>83</v>
      </c>
      <c r="H467" s="78" t="s">
        <v>211</v>
      </c>
      <c r="I467" s="63"/>
      <c r="EP467" s="80"/>
    </row>
    <row r="468" spans="1:146" s="79" customFormat="1" ht="78" x14ac:dyDescent="0.3">
      <c r="A468" s="57">
        <v>14</v>
      </c>
      <c r="B468" s="57" t="s">
        <v>23</v>
      </c>
      <c r="C468" s="57">
        <v>3</v>
      </c>
      <c r="D468" s="78" t="s">
        <v>375</v>
      </c>
      <c r="E468" s="60" t="s">
        <v>769</v>
      </c>
      <c r="F468" s="61" t="s">
        <v>51</v>
      </c>
      <c r="G468" s="61">
        <v>48</v>
      </c>
      <c r="H468" s="78" t="s">
        <v>770</v>
      </c>
      <c r="I468" s="63"/>
      <c r="EP468" s="80"/>
    </row>
    <row r="469" spans="1:146" s="79" customFormat="1" ht="78" x14ac:dyDescent="0.3">
      <c r="A469" s="57">
        <v>14</v>
      </c>
      <c r="B469" s="57" t="s">
        <v>23</v>
      </c>
      <c r="C469" s="57">
        <v>3</v>
      </c>
      <c r="D469" s="78" t="s">
        <v>375</v>
      </c>
      <c r="E469" s="60" t="s">
        <v>1011</v>
      </c>
      <c r="F469" s="61" t="s">
        <v>51</v>
      </c>
      <c r="G469" s="61">
        <v>9</v>
      </c>
      <c r="H469" s="78" t="s">
        <v>442</v>
      </c>
      <c r="I469" s="63"/>
      <c r="EP469" s="80"/>
    </row>
    <row r="470" spans="1:146" s="79" customFormat="1" ht="124.8" x14ac:dyDescent="0.3">
      <c r="A470" s="57">
        <v>14</v>
      </c>
      <c r="B470" s="57" t="s">
        <v>23</v>
      </c>
      <c r="C470" s="57">
        <v>3</v>
      </c>
      <c r="D470" s="78" t="s">
        <v>375</v>
      </c>
      <c r="E470" s="60" t="s">
        <v>773</v>
      </c>
      <c r="F470" s="61" t="s">
        <v>51</v>
      </c>
      <c r="G470" s="61">
        <v>189</v>
      </c>
      <c r="H470" s="78" t="s">
        <v>774</v>
      </c>
      <c r="I470" s="63"/>
      <c r="EP470" s="80"/>
    </row>
    <row r="471" spans="1:146" s="79" customFormat="1" ht="62.4" x14ac:dyDescent="0.3">
      <c r="A471" s="57">
        <v>14</v>
      </c>
      <c r="B471" s="57" t="s">
        <v>23</v>
      </c>
      <c r="C471" s="57">
        <v>3</v>
      </c>
      <c r="D471" s="78" t="s">
        <v>375</v>
      </c>
      <c r="E471" s="60" t="s">
        <v>775</v>
      </c>
      <c r="F471" s="61" t="s">
        <v>51</v>
      </c>
      <c r="G471" s="61" t="s">
        <v>776</v>
      </c>
      <c r="H471" s="78" t="s">
        <v>215</v>
      </c>
      <c r="I471" s="50"/>
      <c r="EP471" s="80"/>
    </row>
    <row r="472" spans="1:146" s="79" customFormat="1" ht="156" x14ac:dyDescent="0.3">
      <c r="A472" s="39">
        <v>14</v>
      </c>
      <c r="B472" s="39" t="s">
        <v>23</v>
      </c>
      <c r="C472" s="39">
        <v>4</v>
      </c>
      <c r="D472" s="46" t="s">
        <v>119</v>
      </c>
      <c r="E472" s="46" t="s">
        <v>1147</v>
      </c>
      <c r="F472" s="45" t="s">
        <v>51</v>
      </c>
      <c r="G472" s="45">
        <v>187</v>
      </c>
      <c r="H472" s="46" t="s">
        <v>1478</v>
      </c>
      <c r="I472" s="63"/>
      <c r="EP472" s="80"/>
    </row>
    <row r="473" spans="1:146" s="79" customFormat="1" ht="156" x14ac:dyDescent="0.3">
      <c r="A473" s="39">
        <v>14</v>
      </c>
      <c r="B473" s="39" t="s">
        <v>23</v>
      </c>
      <c r="C473" s="39">
        <v>4</v>
      </c>
      <c r="D473" s="42" t="s">
        <v>4</v>
      </c>
      <c r="E473" s="40" t="s">
        <v>1479</v>
      </c>
      <c r="F473" s="41" t="s">
        <v>63</v>
      </c>
      <c r="G473" s="41" t="s">
        <v>1148</v>
      </c>
      <c r="H473" s="42" t="s">
        <v>1480</v>
      </c>
      <c r="I473" s="63"/>
      <c r="EP473" s="80"/>
    </row>
    <row r="474" spans="1:146" s="79" customFormat="1" ht="93.6" x14ac:dyDescent="0.3">
      <c r="A474" s="39">
        <v>14</v>
      </c>
      <c r="B474" s="39" t="s">
        <v>23</v>
      </c>
      <c r="C474" s="39">
        <v>4</v>
      </c>
      <c r="D474" s="42" t="s">
        <v>375</v>
      </c>
      <c r="E474" s="40" t="s">
        <v>1481</v>
      </c>
      <c r="F474" s="41" t="s">
        <v>63</v>
      </c>
      <c r="G474" s="41" t="s">
        <v>1149</v>
      </c>
      <c r="H474" s="42" t="s">
        <v>1150</v>
      </c>
      <c r="I474" s="63"/>
      <c r="EP474" s="80"/>
    </row>
    <row r="475" spans="1:146" s="79" customFormat="1" ht="124.8" x14ac:dyDescent="0.3">
      <c r="A475" s="39">
        <v>14</v>
      </c>
      <c r="B475" s="39" t="s">
        <v>23</v>
      </c>
      <c r="C475" s="39">
        <v>4</v>
      </c>
      <c r="D475" s="42" t="s">
        <v>375</v>
      </c>
      <c r="E475" s="40" t="s">
        <v>1482</v>
      </c>
      <c r="F475" s="41" t="s">
        <v>63</v>
      </c>
      <c r="G475" s="41" t="s">
        <v>1151</v>
      </c>
      <c r="H475" s="42" t="s">
        <v>1483</v>
      </c>
      <c r="I475" s="63"/>
      <c r="EP475" s="80"/>
    </row>
    <row r="476" spans="1:146" s="79" customFormat="1" ht="156" x14ac:dyDescent="0.3">
      <c r="A476" s="39">
        <v>14</v>
      </c>
      <c r="B476" s="39" t="s">
        <v>23</v>
      </c>
      <c r="C476" s="39">
        <v>4</v>
      </c>
      <c r="D476" s="42" t="s">
        <v>1</v>
      </c>
      <c r="E476" s="40" t="s">
        <v>566</v>
      </c>
      <c r="F476" s="41" t="s">
        <v>63</v>
      </c>
      <c r="G476" s="41" t="s">
        <v>1152</v>
      </c>
      <c r="H476" s="42" t="s">
        <v>1484</v>
      </c>
      <c r="I476" s="63"/>
      <c r="EP476" s="80"/>
    </row>
    <row r="477" spans="1:146" s="79" customFormat="1" ht="140.4" x14ac:dyDescent="0.3">
      <c r="A477" s="39">
        <v>14</v>
      </c>
      <c r="B477" s="39" t="s">
        <v>23</v>
      </c>
      <c r="C477" s="39">
        <v>4</v>
      </c>
      <c r="D477" s="42" t="s">
        <v>1</v>
      </c>
      <c r="E477" s="40" t="s">
        <v>1153</v>
      </c>
      <c r="F477" s="41" t="s">
        <v>63</v>
      </c>
      <c r="G477" s="41" t="s">
        <v>1154</v>
      </c>
      <c r="H477" s="42" t="s">
        <v>1485</v>
      </c>
      <c r="I477" s="63"/>
      <c r="EP477" s="80"/>
    </row>
    <row r="478" spans="1:146" s="79" customFormat="1" ht="78" x14ac:dyDescent="0.3">
      <c r="A478" s="39">
        <v>14</v>
      </c>
      <c r="B478" s="39" t="s">
        <v>23</v>
      </c>
      <c r="C478" s="39">
        <v>4</v>
      </c>
      <c r="D478" s="42" t="s">
        <v>1</v>
      </c>
      <c r="E478" s="40" t="s">
        <v>1155</v>
      </c>
      <c r="F478" s="41" t="s">
        <v>63</v>
      </c>
      <c r="G478" s="41" t="s">
        <v>1156</v>
      </c>
      <c r="H478" s="42" t="s">
        <v>1157</v>
      </c>
      <c r="I478" s="63"/>
      <c r="EP478" s="80"/>
    </row>
    <row r="479" spans="1:146" s="79" customFormat="1" ht="78" x14ac:dyDescent="0.3">
      <c r="A479" s="39">
        <v>14</v>
      </c>
      <c r="B479" s="39" t="s">
        <v>23</v>
      </c>
      <c r="C479" s="39">
        <v>4</v>
      </c>
      <c r="D479" s="42" t="s">
        <v>375</v>
      </c>
      <c r="E479" s="40" t="s">
        <v>1158</v>
      </c>
      <c r="F479" s="41" t="s">
        <v>63</v>
      </c>
      <c r="G479" s="41" t="s">
        <v>1159</v>
      </c>
      <c r="H479" s="42" t="s">
        <v>1160</v>
      </c>
      <c r="I479" s="63"/>
      <c r="EP479" s="80"/>
    </row>
    <row r="480" spans="1:146" s="79" customFormat="1" ht="140.4" x14ac:dyDescent="0.3">
      <c r="A480" s="39">
        <v>14</v>
      </c>
      <c r="B480" s="39" t="s">
        <v>23</v>
      </c>
      <c r="C480" s="39">
        <v>4</v>
      </c>
      <c r="D480" s="42" t="s">
        <v>1</v>
      </c>
      <c r="E480" s="40" t="s">
        <v>1161</v>
      </c>
      <c r="F480" s="41" t="s">
        <v>63</v>
      </c>
      <c r="G480" s="41" t="s">
        <v>1162</v>
      </c>
      <c r="H480" s="42" t="s">
        <v>1486</v>
      </c>
      <c r="I480" s="63"/>
      <c r="EP480" s="80"/>
    </row>
    <row r="481" spans="1:146" s="79" customFormat="1" ht="93.6" x14ac:dyDescent="0.3">
      <c r="A481" s="39">
        <v>14</v>
      </c>
      <c r="B481" s="39" t="s">
        <v>23</v>
      </c>
      <c r="C481" s="39">
        <v>4</v>
      </c>
      <c r="D481" s="42" t="s">
        <v>1</v>
      </c>
      <c r="E481" s="40" t="s">
        <v>1487</v>
      </c>
      <c r="F481" s="41" t="s">
        <v>63</v>
      </c>
      <c r="G481" s="41" t="s">
        <v>1163</v>
      </c>
      <c r="H481" s="42" t="s">
        <v>1488</v>
      </c>
      <c r="I481" s="63"/>
      <c r="EP481" s="80"/>
    </row>
    <row r="482" spans="1:146" s="79" customFormat="1" ht="62.4" x14ac:dyDescent="0.3">
      <c r="A482" s="39">
        <v>14</v>
      </c>
      <c r="B482" s="39" t="s">
        <v>23</v>
      </c>
      <c r="C482" s="39">
        <v>4</v>
      </c>
      <c r="D482" s="42" t="s">
        <v>375</v>
      </c>
      <c r="E482" s="40" t="s">
        <v>1489</v>
      </c>
      <c r="F482" s="41" t="s">
        <v>51</v>
      </c>
      <c r="G482" s="41" t="s">
        <v>1164</v>
      </c>
      <c r="H482" s="42" t="s">
        <v>1165</v>
      </c>
      <c r="I482" s="63"/>
      <c r="EP482" s="80"/>
    </row>
    <row r="483" spans="1:146" s="79" customFormat="1" ht="109.2" x14ac:dyDescent="0.3">
      <c r="A483" s="39">
        <v>14</v>
      </c>
      <c r="B483" s="39" t="s">
        <v>23</v>
      </c>
      <c r="C483" s="39">
        <v>4</v>
      </c>
      <c r="D483" s="42" t="s">
        <v>375</v>
      </c>
      <c r="E483" s="40" t="s">
        <v>1490</v>
      </c>
      <c r="F483" s="41" t="s">
        <v>63</v>
      </c>
      <c r="G483" s="41" t="s">
        <v>1166</v>
      </c>
      <c r="H483" s="42" t="s">
        <v>1167</v>
      </c>
      <c r="I483" s="63"/>
      <c r="EP483" s="80"/>
    </row>
    <row r="484" spans="1:146" s="79" customFormat="1" ht="124.8" x14ac:dyDescent="0.3">
      <c r="A484" s="39">
        <v>14</v>
      </c>
      <c r="B484" s="39" t="s">
        <v>23</v>
      </c>
      <c r="C484" s="39">
        <v>4</v>
      </c>
      <c r="D484" s="42" t="s">
        <v>1</v>
      </c>
      <c r="E484" s="40" t="s">
        <v>1491</v>
      </c>
      <c r="F484" s="41" t="s">
        <v>63</v>
      </c>
      <c r="G484" s="41" t="s">
        <v>1168</v>
      </c>
      <c r="H484" s="42" t="s">
        <v>1169</v>
      </c>
      <c r="I484" s="63"/>
      <c r="EP484" s="80"/>
    </row>
    <row r="485" spans="1:146" s="79" customFormat="1" ht="124.8" x14ac:dyDescent="0.3">
      <c r="A485" s="39">
        <v>14</v>
      </c>
      <c r="B485" s="39" t="s">
        <v>23</v>
      </c>
      <c r="C485" s="39">
        <v>4</v>
      </c>
      <c r="D485" s="42" t="s">
        <v>124</v>
      </c>
      <c r="E485" s="40" t="s">
        <v>1492</v>
      </c>
      <c r="F485" s="41" t="s">
        <v>63</v>
      </c>
      <c r="G485" s="41" t="s">
        <v>1170</v>
      </c>
      <c r="H485" s="42" t="s">
        <v>1171</v>
      </c>
      <c r="I485" s="63"/>
      <c r="EP485" s="80"/>
    </row>
    <row r="486" spans="1:146" s="79" customFormat="1" ht="156" x14ac:dyDescent="0.3">
      <c r="A486" s="39">
        <v>14</v>
      </c>
      <c r="B486" s="39" t="s">
        <v>23</v>
      </c>
      <c r="C486" s="39">
        <v>4</v>
      </c>
      <c r="D486" s="42" t="s">
        <v>375</v>
      </c>
      <c r="E486" s="40" t="s">
        <v>1172</v>
      </c>
      <c r="F486" s="41" t="s">
        <v>63</v>
      </c>
      <c r="G486" s="41">
        <v>13</v>
      </c>
      <c r="H486" s="42" t="s">
        <v>1173</v>
      </c>
      <c r="I486" s="63"/>
      <c r="EP486" s="80"/>
    </row>
    <row r="487" spans="1:146" s="79" customFormat="1" ht="140.4" x14ac:dyDescent="0.3">
      <c r="A487" s="39">
        <v>14</v>
      </c>
      <c r="B487" s="39" t="s">
        <v>23</v>
      </c>
      <c r="C487" s="39">
        <v>4</v>
      </c>
      <c r="D487" s="42" t="s">
        <v>119</v>
      </c>
      <c r="E487" s="40" t="s">
        <v>1493</v>
      </c>
      <c r="F487" s="41" t="s">
        <v>51</v>
      </c>
      <c r="G487" s="41" t="s">
        <v>1174</v>
      </c>
      <c r="H487" s="42" t="s">
        <v>1175</v>
      </c>
      <c r="I487" s="63"/>
      <c r="EP487" s="80"/>
    </row>
    <row r="488" spans="1:146" s="79" customFormat="1" ht="140.4" x14ac:dyDescent="0.3">
      <c r="A488" s="39">
        <v>14</v>
      </c>
      <c r="B488" s="39" t="s">
        <v>23</v>
      </c>
      <c r="C488" s="39">
        <v>4</v>
      </c>
      <c r="D488" s="42" t="s">
        <v>1</v>
      </c>
      <c r="E488" s="40" t="s">
        <v>1494</v>
      </c>
      <c r="F488" s="41" t="s">
        <v>63</v>
      </c>
      <c r="G488" s="41" t="s">
        <v>1176</v>
      </c>
      <c r="H488" s="42" t="s">
        <v>1495</v>
      </c>
      <c r="I488" s="63"/>
      <c r="EP488" s="80"/>
    </row>
    <row r="489" spans="1:146" s="79" customFormat="1" x14ac:dyDescent="0.3">
      <c r="A489" s="9">
        <v>15</v>
      </c>
      <c r="B489" s="9" t="s">
        <v>24</v>
      </c>
      <c r="C489" s="9">
        <v>1</v>
      </c>
      <c r="D489" s="14" t="s">
        <v>1</v>
      </c>
      <c r="E489" s="14" t="s">
        <v>222</v>
      </c>
      <c r="F489" s="9" t="s">
        <v>51</v>
      </c>
      <c r="G489" s="15">
        <v>44</v>
      </c>
      <c r="H489" s="14" t="s">
        <v>88</v>
      </c>
      <c r="I489" s="63"/>
      <c r="EP489" s="80"/>
    </row>
    <row r="490" spans="1:146" s="79" customFormat="1" ht="31.2" x14ac:dyDescent="0.3">
      <c r="A490" s="9">
        <v>15</v>
      </c>
      <c r="B490" s="9" t="s">
        <v>24</v>
      </c>
      <c r="C490" s="9">
        <v>1</v>
      </c>
      <c r="D490" s="14" t="s">
        <v>65</v>
      </c>
      <c r="E490" s="14" t="s">
        <v>218</v>
      </c>
      <c r="F490" s="9" t="s">
        <v>51</v>
      </c>
      <c r="G490" s="15">
        <v>14</v>
      </c>
      <c r="H490" s="14" t="s">
        <v>219</v>
      </c>
      <c r="I490" s="63"/>
      <c r="EP490" s="80"/>
    </row>
    <row r="491" spans="1:146" s="79" customFormat="1" ht="46.8" x14ac:dyDescent="0.3">
      <c r="A491" s="9">
        <v>15</v>
      </c>
      <c r="B491" s="9" t="s">
        <v>24</v>
      </c>
      <c r="C491" s="9">
        <v>1</v>
      </c>
      <c r="D491" s="14" t="s">
        <v>65</v>
      </c>
      <c r="E491" s="14" t="s">
        <v>220</v>
      </c>
      <c r="F491" s="9" t="s">
        <v>51</v>
      </c>
      <c r="G491" s="15">
        <v>105</v>
      </c>
      <c r="H491" s="14" t="s">
        <v>221</v>
      </c>
      <c r="I491" s="63"/>
      <c r="EP491" s="80"/>
    </row>
    <row r="492" spans="1:146" s="79" customFormat="1" ht="31.2" x14ac:dyDescent="0.3">
      <c r="A492" s="26">
        <v>15</v>
      </c>
      <c r="B492" s="26" t="s">
        <v>24</v>
      </c>
      <c r="C492" s="26">
        <v>2</v>
      </c>
      <c r="D492" s="32" t="s">
        <v>119</v>
      </c>
      <c r="E492" s="32" t="s">
        <v>444</v>
      </c>
      <c r="F492" s="26" t="s">
        <v>63</v>
      </c>
      <c r="G492" s="36">
        <v>128</v>
      </c>
      <c r="H492" s="32" t="s">
        <v>567</v>
      </c>
      <c r="I492" s="63"/>
      <c r="EP492" s="80"/>
    </row>
    <row r="493" spans="1:146" s="79" customFormat="1" x14ac:dyDescent="0.3">
      <c r="A493" s="26">
        <v>15</v>
      </c>
      <c r="B493" s="26" t="s">
        <v>24</v>
      </c>
      <c r="C493" s="26">
        <v>2</v>
      </c>
      <c r="D493" s="32" t="s">
        <v>1</v>
      </c>
      <c r="E493" s="32" t="s">
        <v>222</v>
      </c>
      <c r="F493" s="26" t="s">
        <v>51</v>
      </c>
      <c r="G493" s="36">
        <v>44</v>
      </c>
      <c r="H493" s="32" t="s">
        <v>443</v>
      </c>
      <c r="I493" s="63"/>
      <c r="EP493" s="80"/>
    </row>
    <row r="494" spans="1:146" s="79" customFormat="1" ht="46.8" x14ac:dyDescent="0.3">
      <c r="A494" s="26">
        <v>15</v>
      </c>
      <c r="B494" s="26" t="s">
        <v>24</v>
      </c>
      <c r="C494" s="26">
        <v>2</v>
      </c>
      <c r="D494" s="32" t="s">
        <v>375</v>
      </c>
      <c r="E494" s="32" t="s">
        <v>445</v>
      </c>
      <c r="F494" s="26" t="s">
        <v>51</v>
      </c>
      <c r="G494" s="36">
        <v>177</v>
      </c>
      <c r="H494" s="32" t="s">
        <v>446</v>
      </c>
      <c r="I494" s="63"/>
      <c r="EP494" s="80"/>
    </row>
    <row r="495" spans="1:146" s="79" customFormat="1" ht="62.4" x14ac:dyDescent="0.3">
      <c r="A495" s="26">
        <v>15</v>
      </c>
      <c r="B495" s="26" t="s">
        <v>24</v>
      </c>
      <c r="C495" s="26">
        <v>2</v>
      </c>
      <c r="D495" s="32" t="s">
        <v>375</v>
      </c>
      <c r="E495" s="32" t="s">
        <v>447</v>
      </c>
      <c r="F495" s="26" t="s">
        <v>51</v>
      </c>
      <c r="G495" s="36">
        <v>10</v>
      </c>
      <c r="H495" s="32" t="s">
        <v>448</v>
      </c>
      <c r="I495" s="63"/>
      <c r="EP495" s="80"/>
    </row>
    <row r="496" spans="1:146" s="79" customFormat="1" x14ac:dyDescent="0.3">
      <c r="A496" s="57">
        <v>15</v>
      </c>
      <c r="B496" s="57" t="s">
        <v>24</v>
      </c>
      <c r="C496" s="57">
        <v>3</v>
      </c>
      <c r="D496" s="58" t="s">
        <v>1</v>
      </c>
      <c r="E496" s="58" t="s">
        <v>222</v>
      </c>
      <c r="F496" s="57" t="s">
        <v>51</v>
      </c>
      <c r="G496" s="59">
        <v>44</v>
      </c>
      <c r="H496" s="58" t="s">
        <v>777</v>
      </c>
      <c r="I496" s="63"/>
      <c r="EP496" s="80"/>
    </row>
    <row r="497" spans="1:146" s="79" customFormat="1" ht="31.2" x14ac:dyDescent="0.3">
      <c r="A497" s="57">
        <v>15</v>
      </c>
      <c r="B497" s="57" t="s">
        <v>24</v>
      </c>
      <c r="C497" s="57">
        <v>3</v>
      </c>
      <c r="D497" s="58" t="s">
        <v>1</v>
      </c>
      <c r="E497" s="58" t="s">
        <v>780</v>
      </c>
      <c r="F497" s="57" t="s">
        <v>63</v>
      </c>
      <c r="G497" s="59">
        <v>72</v>
      </c>
      <c r="H497" s="58" t="s">
        <v>781</v>
      </c>
      <c r="I497" s="63"/>
      <c r="EP497" s="80"/>
    </row>
    <row r="498" spans="1:146" s="79" customFormat="1" ht="46.8" x14ac:dyDescent="0.3">
      <c r="A498" s="57">
        <v>15</v>
      </c>
      <c r="B498" s="57" t="s">
        <v>24</v>
      </c>
      <c r="C498" s="57">
        <v>3</v>
      </c>
      <c r="D498" s="58" t="s">
        <v>375</v>
      </c>
      <c r="E498" s="58" t="s">
        <v>445</v>
      </c>
      <c r="F498" s="57" t="s">
        <v>51</v>
      </c>
      <c r="G498" s="59">
        <v>198</v>
      </c>
      <c r="H498" s="58" t="s">
        <v>778</v>
      </c>
      <c r="I498" s="63"/>
      <c r="EP498" s="80"/>
    </row>
    <row r="499" spans="1:146" s="79" customFormat="1" ht="62.4" x14ac:dyDescent="0.3">
      <c r="A499" s="57">
        <v>15</v>
      </c>
      <c r="B499" s="57" t="s">
        <v>24</v>
      </c>
      <c r="C499" s="57">
        <v>3</v>
      </c>
      <c r="D499" s="58" t="s">
        <v>375</v>
      </c>
      <c r="E499" s="58" t="s">
        <v>447</v>
      </c>
      <c r="F499" s="57" t="s">
        <v>51</v>
      </c>
      <c r="G499" s="59">
        <v>11</v>
      </c>
      <c r="H499" s="58" t="s">
        <v>779</v>
      </c>
      <c r="I499" s="63"/>
      <c r="EP499" s="80"/>
    </row>
    <row r="500" spans="1:146" s="79" customFormat="1" ht="46.8" x14ac:dyDescent="0.3">
      <c r="A500" s="57">
        <v>15</v>
      </c>
      <c r="B500" s="57" t="s">
        <v>24</v>
      </c>
      <c r="C500" s="57">
        <v>3</v>
      </c>
      <c r="D500" s="58" t="s">
        <v>375</v>
      </c>
      <c r="E500" s="58" t="s">
        <v>782</v>
      </c>
      <c r="F500" s="57" t="s">
        <v>51</v>
      </c>
      <c r="G500" s="59">
        <v>0</v>
      </c>
      <c r="H500" s="58" t="s">
        <v>783</v>
      </c>
      <c r="I500" s="50"/>
      <c r="EP500" s="80"/>
    </row>
    <row r="501" spans="1:146" s="79" customFormat="1" ht="109.2" x14ac:dyDescent="0.3">
      <c r="A501" s="39">
        <v>15</v>
      </c>
      <c r="B501" s="39" t="s">
        <v>24</v>
      </c>
      <c r="C501" s="39">
        <v>4</v>
      </c>
      <c r="D501" s="44" t="s">
        <v>1</v>
      </c>
      <c r="E501" s="44" t="s">
        <v>1177</v>
      </c>
      <c r="F501" s="39" t="s">
        <v>63</v>
      </c>
      <c r="G501" s="48">
        <v>33</v>
      </c>
      <c r="H501" s="44" t="s">
        <v>1178</v>
      </c>
      <c r="I501" s="63"/>
      <c r="EP501" s="80"/>
    </row>
    <row r="502" spans="1:146" s="79" customFormat="1" ht="46.8" x14ac:dyDescent="0.3">
      <c r="A502" s="39">
        <v>15</v>
      </c>
      <c r="B502" s="39" t="s">
        <v>24</v>
      </c>
      <c r="C502" s="39">
        <v>4</v>
      </c>
      <c r="D502" s="44" t="s">
        <v>375</v>
      </c>
      <c r="E502" s="44" t="s">
        <v>1179</v>
      </c>
      <c r="F502" s="39" t="s">
        <v>51</v>
      </c>
      <c r="G502" s="48">
        <v>200</v>
      </c>
      <c r="H502" s="44" t="s">
        <v>1180</v>
      </c>
      <c r="I502" s="63"/>
      <c r="EP502" s="80"/>
    </row>
    <row r="503" spans="1:146" s="79" customFormat="1" ht="46.8" x14ac:dyDescent="0.3">
      <c r="A503" s="39">
        <v>15</v>
      </c>
      <c r="B503" s="39" t="s">
        <v>24</v>
      </c>
      <c r="C503" s="39">
        <v>4</v>
      </c>
      <c r="D503" s="44" t="s">
        <v>1</v>
      </c>
      <c r="E503" s="44" t="s">
        <v>1181</v>
      </c>
      <c r="F503" s="39" t="s">
        <v>63</v>
      </c>
      <c r="G503" s="48">
        <v>28</v>
      </c>
      <c r="H503" s="44" t="s">
        <v>1182</v>
      </c>
      <c r="I503" s="63"/>
      <c r="EP503" s="80"/>
    </row>
    <row r="504" spans="1:146" s="79" customFormat="1" ht="62.4" x14ac:dyDescent="0.3">
      <c r="A504" s="39">
        <v>15</v>
      </c>
      <c r="B504" s="39" t="s">
        <v>24</v>
      </c>
      <c r="C504" s="39">
        <v>4</v>
      </c>
      <c r="D504" s="44" t="s">
        <v>375</v>
      </c>
      <c r="E504" s="44" t="s">
        <v>447</v>
      </c>
      <c r="F504" s="39" t="s">
        <v>51</v>
      </c>
      <c r="G504" s="48">
        <v>11</v>
      </c>
      <c r="H504" s="44" t="s">
        <v>1183</v>
      </c>
      <c r="I504" s="63"/>
      <c r="EP504" s="80"/>
    </row>
    <row r="505" spans="1:146" s="79" customFormat="1" ht="31.2" x14ac:dyDescent="0.3">
      <c r="A505" s="39">
        <v>15</v>
      </c>
      <c r="B505" s="39" t="s">
        <v>24</v>
      </c>
      <c r="C505" s="39">
        <v>4</v>
      </c>
      <c r="D505" s="44" t="s">
        <v>1</v>
      </c>
      <c r="E505" s="44" t="s">
        <v>1184</v>
      </c>
      <c r="F505" s="39" t="s">
        <v>63</v>
      </c>
      <c r="G505" s="48">
        <v>14</v>
      </c>
      <c r="H505" s="44" t="s">
        <v>1185</v>
      </c>
      <c r="I505" s="63"/>
      <c r="EP505" s="80"/>
    </row>
    <row r="506" spans="1:146" s="79" customFormat="1" ht="46.8" x14ac:dyDescent="0.3">
      <c r="A506" s="39">
        <v>15</v>
      </c>
      <c r="B506" s="39" t="s">
        <v>24</v>
      </c>
      <c r="C506" s="39">
        <v>4</v>
      </c>
      <c r="D506" s="44" t="s">
        <v>1</v>
      </c>
      <c r="E506" s="44" t="s">
        <v>1186</v>
      </c>
      <c r="F506" s="39" t="s">
        <v>63</v>
      </c>
      <c r="G506" s="48">
        <v>70</v>
      </c>
      <c r="H506" s="44" t="s">
        <v>1187</v>
      </c>
      <c r="I506" s="63"/>
      <c r="EP506" s="80"/>
    </row>
    <row r="507" spans="1:146" s="79" customFormat="1" ht="46.8" x14ac:dyDescent="0.3">
      <c r="A507" s="39">
        <v>15</v>
      </c>
      <c r="B507" s="39" t="s">
        <v>24</v>
      </c>
      <c r="C507" s="39">
        <v>4</v>
      </c>
      <c r="D507" s="44" t="s">
        <v>124</v>
      </c>
      <c r="E507" s="44" t="s">
        <v>1188</v>
      </c>
      <c r="F507" s="39" t="s">
        <v>51</v>
      </c>
      <c r="G507" s="48">
        <v>30</v>
      </c>
      <c r="H507" s="44" t="s">
        <v>1189</v>
      </c>
      <c r="I507" s="63"/>
      <c r="EP507" s="80"/>
    </row>
    <row r="508" spans="1:146" s="79" customFormat="1" ht="31.2" x14ac:dyDescent="0.3">
      <c r="A508" s="39">
        <v>15</v>
      </c>
      <c r="B508" s="39" t="s">
        <v>24</v>
      </c>
      <c r="C508" s="39">
        <v>4</v>
      </c>
      <c r="D508" s="44" t="s">
        <v>1</v>
      </c>
      <c r="E508" s="44" t="s">
        <v>1190</v>
      </c>
      <c r="F508" s="39" t="s">
        <v>63</v>
      </c>
      <c r="G508" s="48">
        <v>85</v>
      </c>
      <c r="H508" s="44" t="s">
        <v>1191</v>
      </c>
      <c r="I508" s="63"/>
      <c r="EP508" s="80"/>
    </row>
    <row r="509" spans="1:146" s="79" customFormat="1" ht="46.8" x14ac:dyDescent="0.3">
      <c r="A509" s="39">
        <v>15</v>
      </c>
      <c r="B509" s="39" t="s">
        <v>24</v>
      </c>
      <c r="C509" s="39">
        <v>4</v>
      </c>
      <c r="D509" s="44" t="s">
        <v>375</v>
      </c>
      <c r="E509" s="44" t="s">
        <v>1192</v>
      </c>
      <c r="F509" s="39" t="s">
        <v>63</v>
      </c>
      <c r="G509" s="48">
        <v>93</v>
      </c>
      <c r="H509" s="44" t="s">
        <v>1496</v>
      </c>
      <c r="I509" s="63"/>
      <c r="EP509" s="80"/>
    </row>
    <row r="510" spans="1:146" s="79" customFormat="1" x14ac:dyDescent="0.3">
      <c r="A510" s="9">
        <v>16</v>
      </c>
      <c r="B510" s="9" t="s">
        <v>25</v>
      </c>
      <c r="C510" s="9">
        <v>1</v>
      </c>
      <c r="D510" s="14" t="s">
        <v>4</v>
      </c>
      <c r="E510" s="14" t="s">
        <v>231</v>
      </c>
      <c r="F510" s="9" t="s">
        <v>51</v>
      </c>
      <c r="G510" s="15">
        <v>3</v>
      </c>
      <c r="H510" s="14" t="s">
        <v>88</v>
      </c>
      <c r="I510" s="63"/>
      <c r="EP510" s="80"/>
    </row>
    <row r="511" spans="1:146" s="79" customFormat="1" ht="46.8" x14ac:dyDescent="0.3">
      <c r="A511" s="9">
        <v>16</v>
      </c>
      <c r="B511" s="9" t="s">
        <v>25</v>
      </c>
      <c r="C511" s="9">
        <v>1</v>
      </c>
      <c r="D511" s="14" t="s">
        <v>1</v>
      </c>
      <c r="E511" s="14" t="s">
        <v>223</v>
      </c>
      <c r="F511" s="9" t="s">
        <v>63</v>
      </c>
      <c r="G511" s="15">
        <v>19</v>
      </c>
      <c r="H511" s="14" t="s">
        <v>224</v>
      </c>
      <c r="I511" s="63"/>
      <c r="EP511" s="80"/>
    </row>
    <row r="512" spans="1:146" s="79" customFormat="1" ht="46.8" x14ac:dyDescent="0.3">
      <c r="A512" s="9">
        <v>16</v>
      </c>
      <c r="B512" s="9" t="s">
        <v>25</v>
      </c>
      <c r="C512" s="9">
        <v>1</v>
      </c>
      <c r="D512" s="14" t="s">
        <v>1</v>
      </c>
      <c r="E512" s="14" t="s">
        <v>225</v>
      </c>
      <c r="F512" s="9" t="s">
        <v>63</v>
      </c>
      <c r="G512" s="15">
        <v>29</v>
      </c>
      <c r="H512" s="14" t="s">
        <v>226</v>
      </c>
      <c r="I512" s="63"/>
      <c r="EP512" s="80"/>
    </row>
    <row r="513" spans="1:146" s="79" customFormat="1" ht="31.2" x14ac:dyDescent="0.3">
      <c r="A513" s="9">
        <v>16</v>
      </c>
      <c r="B513" s="9" t="s">
        <v>25</v>
      </c>
      <c r="C513" s="9">
        <v>1</v>
      </c>
      <c r="D513" s="14" t="s">
        <v>65</v>
      </c>
      <c r="E513" s="14" t="s">
        <v>227</v>
      </c>
      <c r="F513" s="9" t="s">
        <v>51</v>
      </c>
      <c r="G513" s="15">
        <v>28</v>
      </c>
      <c r="H513" s="14" t="s">
        <v>228</v>
      </c>
      <c r="I513" s="63"/>
      <c r="EP513" s="80"/>
    </row>
    <row r="514" spans="1:146" s="79" customFormat="1" x14ac:dyDescent="0.3">
      <c r="A514" s="9">
        <v>16</v>
      </c>
      <c r="B514" s="9" t="s">
        <v>25</v>
      </c>
      <c r="C514" s="9">
        <v>1</v>
      </c>
      <c r="D514" s="14" t="s">
        <v>65</v>
      </c>
      <c r="E514" s="14" t="s">
        <v>229</v>
      </c>
      <c r="F514" s="9" t="s">
        <v>230</v>
      </c>
      <c r="G514" s="15">
        <v>16</v>
      </c>
      <c r="H514" s="14" t="s">
        <v>88</v>
      </c>
      <c r="I514" s="63"/>
      <c r="EP514" s="80"/>
    </row>
    <row r="515" spans="1:146" s="79" customFormat="1" x14ac:dyDescent="0.3">
      <c r="A515" s="26">
        <v>16</v>
      </c>
      <c r="B515" s="26" t="s">
        <v>25</v>
      </c>
      <c r="C515" s="26">
        <v>2</v>
      </c>
      <c r="D515" s="32" t="s">
        <v>0</v>
      </c>
      <c r="E515" s="32" t="s">
        <v>450</v>
      </c>
      <c r="F515" s="26" t="s">
        <v>63</v>
      </c>
      <c r="G515" s="36">
        <v>1</v>
      </c>
      <c r="H515" s="32" t="s">
        <v>451</v>
      </c>
      <c r="I515" s="63"/>
      <c r="EP515" s="80"/>
    </row>
    <row r="516" spans="1:146" s="79" customFormat="1" ht="31.2" x14ac:dyDescent="0.3">
      <c r="A516" s="26">
        <v>16</v>
      </c>
      <c r="B516" s="26" t="s">
        <v>25</v>
      </c>
      <c r="C516" s="26">
        <v>2</v>
      </c>
      <c r="D516" s="32" t="s">
        <v>124</v>
      </c>
      <c r="E516" s="32" t="s">
        <v>675</v>
      </c>
      <c r="F516" s="26" t="s">
        <v>63</v>
      </c>
      <c r="G516" s="36">
        <v>29</v>
      </c>
      <c r="H516" s="32" t="s">
        <v>453</v>
      </c>
      <c r="I516" s="63"/>
      <c r="EP516" s="80"/>
    </row>
    <row r="517" spans="1:146" s="79" customFormat="1" x14ac:dyDescent="0.3">
      <c r="A517" s="26">
        <v>16</v>
      </c>
      <c r="B517" s="26" t="s">
        <v>25</v>
      </c>
      <c r="C517" s="26">
        <v>2</v>
      </c>
      <c r="D517" s="32" t="s">
        <v>1</v>
      </c>
      <c r="E517" s="32" t="s">
        <v>643</v>
      </c>
      <c r="F517" s="26" t="s">
        <v>63</v>
      </c>
      <c r="G517" s="36">
        <v>14</v>
      </c>
      <c r="H517" s="32" t="s">
        <v>449</v>
      </c>
      <c r="I517" s="63"/>
      <c r="EP517" s="80"/>
    </row>
    <row r="518" spans="1:146" s="79" customFormat="1" x14ac:dyDescent="0.3">
      <c r="A518" s="26">
        <v>16</v>
      </c>
      <c r="B518" s="26" t="s">
        <v>25</v>
      </c>
      <c r="C518" s="26">
        <v>2</v>
      </c>
      <c r="D518" s="32" t="s">
        <v>1</v>
      </c>
      <c r="E518" s="32" t="s">
        <v>454</v>
      </c>
      <c r="F518" s="26" t="s">
        <v>63</v>
      </c>
      <c r="G518" s="36">
        <v>1</v>
      </c>
      <c r="H518" s="32" t="s">
        <v>455</v>
      </c>
      <c r="I518" s="63"/>
      <c r="EP518" s="80"/>
    </row>
    <row r="519" spans="1:146" s="79" customFormat="1" x14ac:dyDescent="0.3">
      <c r="A519" s="26">
        <v>16</v>
      </c>
      <c r="B519" s="26" t="s">
        <v>25</v>
      </c>
      <c r="C519" s="26">
        <v>2</v>
      </c>
      <c r="D519" s="32" t="s">
        <v>1</v>
      </c>
      <c r="E519" s="32" t="s">
        <v>456</v>
      </c>
      <c r="F519" s="26" t="s">
        <v>63</v>
      </c>
      <c r="G519" s="36">
        <v>1</v>
      </c>
      <c r="H519" s="32" t="s">
        <v>457</v>
      </c>
      <c r="I519" s="63"/>
      <c r="EP519" s="80"/>
    </row>
    <row r="520" spans="1:146" s="79" customFormat="1" ht="31.2" x14ac:dyDescent="0.3">
      <c r="A520" s="26">
        <v>16</v>
      </c>
      <c r="B520" s="26" t="s">
        <v>25</v>
      </c>
      <c r="C520" s="26">
        <v>2</v>
      </c>
      <c r="D520" s="32" t="s">
        <v>375</v>
      </c>
      <c r="E520" s="32" t="s">
        <v>644</v>
      </c>
      <c r="F520" s="26" t="s">
        <v>51</v>
      </c>
      <c r="G520" s="36">
        <v>13</v>
      </c>
      <c r="H520" s="32" t="s">
        <v>452</v>
      </c>
      <c r="I520" s="63"/>
      <c r="EP520" s="80"/>
    </row>
    <row r="521" spans="1:146" s="79" customFormat="1" x14ac:dyDescent="0.3">
      <c r="A521" s="57">
        <v>16</v>
      </c>
      <c r="B521" s="57" t="s">
        <v>25</v>
      </c>
      <c r="C521" s="57">
        <v>3</v>
      </c>
      <c r="D521" s="58" t="s">
        <v>119</v>
      </c>
      <c r="E521" s="58" t="s">
        <v>999</v>
      </c>
      <c r="F521" s="57" t="s">
        <v>63</v>
      </c>
      <c r="G521" s="59">
        <v>5</v>
      </c>
      <c r="H521" s="58" t="s">
        <v>790</v>
      </c>
      <c r="I521" s="63"/>
      <c r="EP521" s="80"/>
    </row>
    <row r="522" spans="1:146" s="79" customFormat="1" ht="31.2" x14ac:dyDescent="0.3">
      <c r="A522" s="57">
        <v>16</v>
      </c>
      <c r="B522" s="57" t="s">
        <v>25</v>
      </c>
      <c r="C522" s="57">
        <v>3</v>
      </c>
      <c r="D522" s="58" t="s">
        <v>119</v>
      </c>
      <c r="E522" s="58" t="s">
        <v>1000</v>
      </c>
      <c r="F522" s="57" t="s">
        <v>63</v>
      </c>
      <c r="G522" s="59">
        <v>5</v>
      </c>
      <c r="H522" s="58" t="s">
        <v>793</v>
      </c>
      <c r="I522" s="50"/>
      <c r="EP522" s="80"/>
    </row>
    <row r="523" spans="1:146" s="79" customFormat="1" ht="31.2" x14ac:dyDescent="0.3">
      <c r="A523" s="57">
        <v>16</v>
      </c>
      <c r="B523" s="57" t="s">
        <v>25</v>
      </c>
      <c r="C523" s="57">
        <v>3</v>
      </c>
      <c r="D523" s="58" t="s">
        <v>0</v>
      </c>
      <c r="E523" s="58" t="s">
        <v>1001</v>
      </c>
      <c r="F523" s="57" t="s">
        <v>63</v>
      </c>
      <c r="G523" s="59">
        <v>5</v>
      </c>
      <c r="H523" s="58" t="s">
        <v>784</v>
      </c>
      <c r="I523" s="63"/>
      <c r="EP523" s="80"/>
    </row>
    <row r="524" spans="1:146" s="79" customFormat="1" ht="31.2" x14ac:dyDescent="0.3">
      <c r="A524" s="57">
        <v>16</v>
      </c>
      <c r="B524" s="57" t="s">
        <v>25</v>
      </c>
      <c r="C524" s="57">
        <v>3</v>
      </c>
      <c r="D524" s="58" t="s">
        <v>1</v>
      </c>
      <c r="E524" s="58" t="s">
        <v>785</v>
      </c>
      <c r="F524" s="57" t="s">
        <v>63</v>
      </c>
      <c r="G524" s="59">
        <v>1</v>
      </c>
      <c r="H524" s="58" t="s">
        <v>786</v>
      </c>
      <c r="I524" s="63"/>
      <c r="EP524" s="80"/>
    </row>
    <row r="525" spans="1:146" s="79" customFormat="1" ht="31.2" x14ac:dyDescent="0.3">
      <c r="A525" s="57">
        <v>16</v>
      </c>
      <c r="B525" s="57" t="s">
        <v>25</v>
      </c>
      <c r="C525" s="57">
        <v>3</v>
      </c>
      <c r="D525" s="58" t="s">
        <v>1</v>
      </c>
      <c r="E525" s="58" t="s">
        <v>1002</v>
      </c>
      <c r="F525" s="57" t="s">
        <v>63</v>
      </c>
      <c r="G525" s="59">
        <v>75</v>
      </c>
      <c r="H525" s="58" t="s">
        <v>787</v>
      </c>
      <c r="I525" s="63"/>
      <c r="EP525" s="80"/>
    </row>
    <row r="526" spans="1:146" s="80" customFormat="1" ht="31.2" x14ac:dyDescent="0.3">
      <c r="A526" s="57">
        <v>16</v>
      </c>
      <c r="B526" s="57" t="s">
        <v>25</v>
      </c>
      <c r="C526" s="57">
        <v>3</v>
      </c>
      <c r="D526" s="58" t="s">
        <v>1</v>
      </c>
      <c r="E526" s="58" t="s">
        <v>1003</v>
      </c>
      <c r="F526" s="57" t="s">
        <v>63</v>
      </c>
      <c r="G526" s="59">
        <v>43</v>
      </c>
      <c r="H526" s="58" t="s">
        <v>788</v>
      </c>
      <c r="I526" s="63"/>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79"/>
      <c r="EO526" s="79"/>
    </row>
    <row r="527" spans="1:146" s="80" customFormat="1" ht="31.2" x14ac:dyDescent="0.3">
      <c r="A527" s="57">
        <v>16</v>
      </c>
      <c r="B527" s="57" t="s">
        <v>25</v>
      </c>
      <c r="C527" s="57">
        <v>3</v>
      </c>
      <c r="D527" s="58" t="s">
        <v>1</v>
      </c>
      <c r="E527" s="58" t="s">
        <v>1004</v>
      </c>
      <c r="F527" s="57" t="s">
        <v>63</v>
      </c>
      <c r="G527" s="59">
        <v>40</v>
      </c>
      <c r="H527" s="58" t="s">
        <v>789</v>
      </c>
      <c r="I527" s="63"/>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79"/>
      <c r="EO527" s="79"/>
    </row>
    <row r="528" spans="1:146" s="80" customFormat="1" ht="31.2" x14ac:dyDescent="0.3">
      <c r="A528" s="57">
        <v>16</v>
      </c>
      <c r="B528" s="57" t="s">
        <v>25</v>
      </c>
      <c r="C528" s="57">
        <v>3</v>
      </c>
      <c r="D528" s="58" t="s">
        <v>1</v>
      </c>
      <c r="E528" s="58" t="s">
        <v>1005</v>
      </c>
      <c r="F528" s="57" t="s">
        <v>51</v>
      </c>
      <c r="G528" s="59">
        <v>31</v>
      </c>
      <c r="H528" s="58" t="s">
        <v>791</v>
      </c>
      <c r="I528" s="63"/>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79"/>
      <c r="EO528" s="79"/>
    </row>
    <row r="529" spans="1:145" s="80" customFormat="1" x14ac:dyDescent="0.3">
      <c r="A529" s="57">
        <v>16</v>
      </c>
      <c r="B529" s="57" t="s">
        <v>25</v>
      </c>
      <c r="C529" s="57">
        <v>3</v>
      </c>
      <c r="D529" s="58" t="s">
        <v>375</v>
      </c>
      <c r="E529" s="58" t="s">
        <v>1006</v>
      </c>
      <c r="F529" s="57" t="s">
        <v>51</v>
      </c>
      <c r="G529" s="59">
        <v>1</v>
      </c>
      <c r="H529" s="58" t="s">
        <v>792</v>
      </c>
      <c r="I529" s="63"/>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79"/>
      <c r="EO529" s="79"/>
    </row>
    <row r="530" spans="1:145" s="80" customFormat="1" ht="31.2" x14ac:dyDescent="0.3">
      <c r="A530" s="39">
        <v>16</v>
      </c>
      <c r="B530" s="39" t="s">
        <v>25</v>
      </c>
      <c r="C530" s="39">
        <v>4</v>
      </c>
      <c r="D530" s="44" t="s">
        <v>1</v>
      </c>
      <c r="E530" s="44" t="s">
        <v>1193</v>
      </c>
      <c r="F530" s="39" t="s">
        <v>63</v>
      </c>
      <c r="G530" s="48" t="s">
        <v>1194</v>
      </c>
      <c r="H530" s="44" t="s">
        <v>791</v>
      </c>
      <c r="I530" s="63"/>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79"/>
      <c r="EO530" s="79"/>
    </row>
    <row r="531" spans="1:145" s="80" customFormat="1" ht="31.2" x14ac:dyDescent="0.3">
      <c r="A531" s="39">
        <v>16</v>
      </c>
      <c r="B531" s="39" t="s">
        <v>25</v>
      </c>
      <c r="C531" s="39">
        <v>4</v>
      </c>
      <c r="D531" s="44" t="s">
        <v>375</v>
      </c>
      <c r="E531" s="44" t="s">
        <v>1195</v>
      </c>
      <c r="F531" s="39" t="s">
        <v>63</v>
      </c>
      <c r="G531" s="48" t="s">
        <v>1196</v>
      </c>
      <c r="H531" s="44"/>
      <c r="I531" s="63"/>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79"/>
      <c r="EO531" s="79"/>
    </row>
    <row r="532" spans="1:145" s="80" customFormat="1" ht="31.2" x14ac:dyDescent="0.3">
      <c r="A532" s="39">
        <v>16</v>
      </c>
      <c r="B532" s="39" t="s">
        <v>25</v>
      </c>
      <c r="C532" s="39">
        <v>4</v>
      </c>
      <c r="D532" s="44" t="s">
        <v>375</v>
      </c>
      <c r="E532" s="44" t="s">
        <v>1197</v>
      </c>
      <c r="F532" s="39" t="s">
        <v>63</v>
      </c>
      <c r="G532" s="48" t="s">
        <v>1198</v>
      </c>
      <c r="H532" s="44"/>
      <c r="I532" s="63"/>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79"/>
      <c r="EO532" s="79"/>
    </row>
    <row r="533" spans="1:145" s="80" customFormat="1" ht="46.8" x14ac:dyDescent="0.3">
      <c r="A533" s="39">
        <v>16</v>
      </c>
      <c r="B533" s="39" t="s">
        <v>25</v>
      </c>
      <c r="C533" s="39">
        <v>4</v>
      </c>
      <c r="D533" s="44" t="s">
        <v>1</v>
      </c>
      <c r="E533" s="44" t="s">
        <v>1199</v>
      </c>
      <c r="F533" s="39" t="s">
        <v>63</v>
      </c>
      <c r="G533" s="48" t="s">
        <v>1200</v>
      </c>
      <c r="H533" s="44" t="s">
        <v>1201</v>
      </c>
      <c r="I533" s="63"/>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79"/>
      <c r="EO533" s="79"/>
    </row>
    <row r="534" spans="1:145" s="80" customFormat="1" ht="31.2" x14ac:dyDescent="0.3">
      <c r="A534" s="39">
        <v>16</v>
      </c>
      <c r="B534" s="39" t="s">
        <v>25</v>
      </c>
      <c r="C534" s="39">
        <v>4</v>
      </c>
      <c r="D534" s="44" t="s">
        <v>1</v>
      </c>
      <c r="E534" s="44" t="s">
        <v>1202</v>
      </c>
      <c r="F534" s="39" t="s">
        <v>63</v>
      </c>
      <c r="G534" s="48" t="s">
        <v>1203</v>
      </c>
      <c r="H534" s="44" t="s">
        <v>1204</v>
      </c>
      <c r="I534" s="63"/>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79"/>
      <c r="EO534" s="79"/>
    </row>
    <row r="535" spans="1:145" s="80" customFormat="1" ht="46.8" x14ac:dyDescent="0.3">
      <c r="A535" s="39">
        <v>16</v>
      </c>
      <c r="B535" s="39" t="s">
        <v>25</v>
      </c>
      <c r="C535" s="39">
        <v>4</v>
      </c>
      <c r="D535" s="44" t="s">
        <v>1</v>
      </c>
      <c r="E535" s="44" t="s">
        <v>1205</v>
      </c>
      <c r="F535" s="39" t="s">
        <v>63</v>
      </c>
      <c r="G535" s="48" t="s">
        <v>1206</v>
      </c>
      <c r="H535" s="44" t="s">
        <v>1207</v>
      </c>
      <c r="I535" s="63"/>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79"/>
      <c r="EO535" s="79"/>
    </row>
    <row r="536" spans="1:145" s="80" customFormat="1" ht="31.2" x14ac:dyDescent="0.3">
      <c r="A536" s="39">
        <v>16</v>
      </c>
      <c r="B536" s="39" t="s">
        <v>25</v>
      </c>
      <c r="C536" s="39">
        <v>4</v>
      </c>
      <c r="D536" s="44" t="s">
        <v>1</v>
      </c>
      <c r="E536" s="44" t="s">
        <v>1208</v>
      </c>
      <c r="F536" s="39" t="s">
        <v>63</v>
      </c>
      <c r="G536" s="48" t="s">
        <v>1209</v>
      </c>
      <c r="H536" s="44" t="s">
        <v>1210</v>
      </c>
      <c r="I536" s="63"/>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79"/>
      <c r="EO536" s="79"/>
    </row>
    <row r="537" spans="1:145" s="80" customFormat="1" ht="31.2" x14ac:dyDescent="0.3">
      <c r="A537" s="39">
        <v>16</v>
      </c>
      <c r="B537" s="39" t="s">
        <v>25</v>
      </c>
      <c r="C537" s="39">
        <v>4</v>
      </c>
      <c r="D537" s="44" t="s">
        <v>1</v>
      </c>
      <c r="E537" s="44" t="s">
        <v>1211</v>
      </c>
      <c r="F537" s="39" t="s">
        <v>63</v>
      </c>
      <c r="G537" s="48" t="s">
        <v>1212</v>
      </c>
      <c r="H537" s="44" t="s">
        <v>786</v>
      </c>
      <c r="I537" s="63"/>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79"/>
      <c r="EO537" s="79"/>
    </row>
    <row r="538" spans="1:145" s="80" customFormat="1" ht="31.2" x14ac:dyDescent="0.3">
      <c r="A538" s="39">
        <v>16</v>
      </c>
      <c r="B538" s="39" t="s">
        <v>25</v>
      </c>
      <c r="C538" s="39">
        <v>4</v>
      </c>
      <c r="D538" s="44" t="s">
        <v>375</v>
      </c>
      <c r="E538" s="44" t="s">
        <v>1213</v>
      </c>
      <c r="F538" s="39" t="s">
        <v>51</v>
      </c>
      <c r="G538" s="48" t="s">
        <v>1214</v>
      </c>
      <c r="H538" s="44" t="s">
        <v>792</v>
      </c>
      <c r="I538" s="63"/>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79"/>
      <c r="EO538" s="79"/>
    </row>
    <row r="539" spans="1:145" s="80" customFormat="1" ht="31.2" x14ac:dyDescent="0.3">
      <c r="A539" s="39">
        <v>16</v>
      </c>
      <c r="B539" s="39" t="s">
        <v>25</v>
      </c>
      <c r="C539" s="39">
        <v>4</v>
      </c>
      <c r="D539" s="44" t="s">
        <v>0</v>
      </c>
      <c r="E539" s="44" t="s">
        <v>1215</v>
      </c>
      <c r="F539" s="39" t="s">
        <v>51</v>
      </c>
      <c r="G539" s="48" t="s">
        <v>1216</v>
      </c>
      <c r="H539" s="44" t="s">
        <v>1217</v>
      </c>
      <c r="I539" s="63"/>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79"/>
      <c r="EO539" s="79"/>
    </row>
    <row r="540" spans="1:145" s="80" customFormat="1" ht="46.8" x14ac:dyDescent="0.3">
      <c r="A540" s="39">
        <v>16</v>
      </c>
      <c r="B540" s="39" t="s">
        <v>25</v>
      </c>
      <c r="C540" s="39">
        <v>4</v>
      </c>
      <c r="D540" s="44" t="s">
        <v>119</v>
      </c>
      <c r="E540" s="44" t="s">
        <v>1218</v>
      </c>
      <c r="F540" s="39" t="s">
        <v>51</v>
      </c>
      <c r="G540" s="48" t="s">
        <v>1219</v>
      </c>
      <c r="H540" s="44" t="s">
        <v>1220</v>
      </c>
      <c r="I540" s="63"/>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79"/>
      <c r="EO540" s="79"/>
    </row>
    <row r="541" spans="1:145" s="80" customFormat="1" ht="46.8" x14ac:dyDescent="0.3">
      <c r="A541" s="39">
        <v>16</v>
      </c>
      <c r="B541" s="39" t="s">
        <v>25</v>
      </c>
      <c r="C541" s="39">
        <v>4</v>
      </c>
      <c r="D541" s="44" t="s">
        <v>119</v>
      </c>
      <c r="E541" s="44" t="s">
        <v>1221</v>
      </c>
      <c r="F541" s="39" t="s">
        <v>51</v>
      </c>
      <c r="G541" s="48" t="s">
        <v>1219</v>
      </c>
      <c r="H541" s="44" t="s">
        <v>1220</v>
      </c>
      <c r="I541" s="63"/>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79"/>
      <c r="EO541" s="79"/>
    </row>
    <row r="542" spans="1:145" s="80" customFormat="1" ht="46.8" x14ac:dyDescent="0.3">
      <c r="A542" s="39">
        <v>16</v>
      </c>
      <c r="B542" s="39" t="s">
        <v>25</v>
      </c>
      <c r="C542" s="39">
        <v>4</v>
      </c>
      <c r="D542" s="44" t="s">
        <v>119</v>
      </c>
      <c r="E542" s="44" t="s">
        <v>1222</v>
      </c>
      <c r="F542" s="39" t="s">
        <v>51</v>
      </c>
      <c r="G542" s="48" t="s">
        <v>1219</v>
      </c>
      <c r="H542" s="44" t="s">
        <v>1220</v>
      </c>
      <c r="I542" s="63"/>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79"/>
      <c r="EO542" s="79"/>
    </row>
    <row r="543" spans="1:145" s="80" customFormat="1" ht="46.8" x14ac:dyDescent="0.3">
      <c r="A543" s="39">
        <v>16</v>
      </c>
      <c r="B543" s="39" t="s">
        <v>25</v>
      </c>
      <c r="C543" s="39">
        <v>4</v>
      </c>
      <c r="D543" s="44" t="s">
        <v>119</v>
      </c>
      <c r="E543" s="44" t="s">
        <v>1223</v>
      </c>
      <c r="F543" s="39" t="s">
        <v>51</v>
      </c>
      <c r="G543" s="48" t="s">
        <v>1224</v>
      </c>
      <c r="H543" s="44" t="s">
        <v>1220</v>
      </c>
      <c r="I543" s="63"/>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79"/>
      <c r="EO543" s="79"/>
    </row>
    <row r="544" spans="1:145" s="80" customFormat="1" x14ac:dyDescent="0.3">
      <c r="A544" s="9">
        <v>17</v>
      </c>
      <c r="B544" s="9" t="s">
        <v>26</v>
      </c>
      <c r="C544" s="9">
        <v>1</v>
      </c>
      <c r="D544" s="20" t="s">
        <v>119</v>
      </c>
      <c r="E544" s="20" t="s">
        <v>234</v>
      </c>
      <c r="F544" s="21" t="s">
        <v>63</v>
      </c>
      <c r="G544" s="21">
        <v>27</v>
      </c>
      <c r="H544" s="20" t="s">
        <v>235</v>
      </c>
      <c r="I544" s="63"/>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79"/>
      <c r="EO544" s="79"/>
    </row>
    <row r="545" spans="1:146" s="80" customFormat="1" ht="78" x14ac:dyDescent="0.3">
      <c r="A545" s="9">
        <v>17</v>
      </c>
      <c r="B545" s="9" t="s">
        <v>26</v>
      </c>
      <c r="C545" s="9">
        <v>1</v>
      </c>
      <c r="D545" s="14" t="s">
        <v>0</v>
      </c>
      <c r="E545" s="14" t="s">
        <v>242</v>
      </c>
      <c r="F545" s="15" t="s">
        <v>63</v>
      </c>
      <c r="G545" s="15" t="s">
        <v>161</v>
      </c>
      <c r="H545" s="14" t="s">
        <v>241</v>
      </c>
      <c r="I545" s="63"/>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79"/>
      <c r="EO545" s="79"/>
    </row>
    <row r="546" spans="1:146" s="80" customFormat="1" ht="31.2" x14ac:dyDescent="0.3">
      <c r="A546" s="9">
        <v>17</v>
      </c>
      <c r="B546" s="9" t="s">
        <v>26</v>
      </c>
      <c r="C546" s="9">
        <v>1</v>
      </c>
      <c r="D546" s="20" t="s">
        <v>1</v>
      </c>
      <c r="E546" s="20" t="s">
        <v>232</v>
      </c>
      <c r="F546" s="21" t="s">
        <v>63</v>
      </c>
      <c r="G546" s="21">
        <v>18</v>
      </c>
      <c r="H546" s="20" t="s">
        <v>233</v>
      </c>
      <c r="I546" s="63"/>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79"/>
      <c r="EO546" s="79"/>
    </row>
    <row r="547" spans="1:146" s="80" customFormat="1" ht="31.2" x14ac:dyDescent="0.3">
      <c r="A547" s="9">
        <v>17</v>
      </c>
      <c r="B547" s="9" t="s">
        <v>26</v>
      </c>
      <c r="C547" s="9">
        <v>1</v>
      </c>
      <c r="D547" s="14" t="s">
        <v>1</v>
      </c>
      <c r="E547" s="14" t="s">
        <v>236</v>
      </c>
      <c r="F547" s="15" t="s">
        <v>63</v>
      </c>
      <c r="G547" s="15">
        <v>4</v>
      </c>
      <c r="H547" s="14" t="s">
        <v>237</v>
      </c>
      <c r="I547" s="63"/>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79"/>
      <c r="EO547" s="79"/>
    </row>
    <row r="548" spans="1:146" s="80" customFormat="1" ht="46.8" x14ac:dyDescent="0.3">
      <c r="A548" s="9">
        <v>17</v>
      </c>
      <c r="B548" s="9" t="s">
        <v>26</v>
      </c>
      <c r="C548" s="9">
        <v>1</v>
      </c>
      <c r="D548" s="14" t="s">
        <v>65</v>
      </c>
      <c r="E548" s="14" t="s">
        <v>238</v>
      </c>
      <c r="F548" s="15" t="s">
        <v>51</v>
      </c>
      <c r="G548" s="15">
        <v>70</v>
      </c>
      <c r="H548" s="14" t="s">
        <v>239</v>
      </c>
      <c r="I548" s="63"/>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79"/>
      <c r="EO548" s="79"/>
    </row>
    <row r="549" spans="1:146" s="80" customFormat="1" ht="62.4" x14ac:dyDescent="0.3">
      <c r="A549" s="9">
        <v>17</v>
      </c>
      <c r="B549" s="9" t="s">
        <v>26</v>
      </c>
      <c r="C549" s="9">
        <v>1</v>
      </c>
      <c r="D549" s="20" t="s">
        <v>65</v>
      </c>
      <c r="E549" s="20" t="s">
        <v>240</v>
      </c>
      <c r="F549" s="21" t="s">
        <v>63</v>
      </c>
      <c r="G549" s="21">
        <v>11</v>
      </c>
      <c r="H549" s="20" t="s">
        <v>241</v>
      </c>
      <c r="I549" s="63"/>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79"/>
      <c r="EO549" s="79"/>
    </row>
    <row r="550" spans="1:146" s="80" customFormat="1" x14ac:dyDescent="0.3">
      <c r="A550" s="26">
        <v>17</v>
      </c>
      <c r="B550" s="26" t="s">
        <v>26</v>
      </c>
      <c r="C550" s="26">
        <v>2</v>
      </c>
      <c r="D550" s="37" t="s">
        <v>119</v>
      </c>
      <c r="E550" s="37" t="s">
        <v>458</v>
      </c>
      <c r="F550" s="38" t="s">
        <v>63</v>
      </c>
      <c r="G550" s="38">
        <v>32</v>
      </c>
      <c r="H550" s="37" t="s">
        <v>459</v>
      </c>
      <c r="I550" s="63"/>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79"/>
      <c r="EO550" s="79"/>
    </row>
    <row r="551" spans="1:146" s="80" customFormat="1" ht="62.4" x14ac:dyDescent="0.3">
      <c r="A551" s="26">
        <v>17</v>
      </c>
      <c r="B551" s="26" t="s">
        <v>26</v>
      </c>
      <c r="C551" s="26">
        <v>2</v>
      </c>
      <c r="D551" s="32" t="s">
        <v>0</v>
      </c>
      <c r="E551" s="32" t="s">
        <v>666</v>
      </c>
      <c r="F551" s="36" t="s">
        <v>63</v>
      </c>
      <c r="G551" s="36">
        <v>3</v>
      </c>
      <c r="H551" s="32" t="s">
        <v>461</v>
      </c>
      <c r="I551" s="63"/>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79"/>
      <c r="EO551" s="79"/>
    </row>
    <row r="552" spans="1:146" s="80" customFormat="1" ht="31.2" x14ac:dyDescent="0.3">
      <c r="A552" s="26">
        <v>17</v>
      </c>
      <c r="B552" s="26" t="s">
        <v>26</v>
      </c>
      <c r="C552" s="26">
        <v>2</v>
      </c>
      <c r="D552" s="37" t="s">
        <v>1</v>
      </c>
      <c r="E552" s="37" t="s">
        <v>462</v>
      </c>
      <c r="F552" s="38" t="s">
        <v>63</v>
      </c>
      <c r="G552" s="38">
        <v>57</v>
      </c>
      <c r="H552" s="37" t="s">
        <v>463</v>
      </c>
      <c r="I552" s="63"/>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79"/>
      <c r="EO552" s="79"/>
    </row>
    <row r="553" spans="1:146" s="80" customFormat="1" ht="31.2" x14ac:dyDescent="0.3">
      <c r="A553" s="26">
        <v>17</v>
      </c>
      <c r="B553" s="26" t="s">
        <v>26</v>
      </c>
      <c r="C553" s="26">
        <v>2</v>
      </c>
      <c r="D553" s="37" t="s">
        <v>1</v>
      </c>
      <c r="E553" s="37" t="s">
        <v>668</v>
      </c>
      <c r="F553" s="38" t="s">
        <v>63</v>
      </c>
      <c r="G553" s="38">
        <v>15</v>
      </c>
      <c r="H553" s="37" t="s">
        <v>464</v>
      </c>
      <c r="I553" s="63"/>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79"/>
      <c r="EO553" s="79"/>
    </row>
    <row r="554" spans="1:146" s="80" customFormat="1" ht="31.2" x14ac:dyDescent="0.3">
      <c r="A554" s="26">
        <v>17</v>
      </c>
      <c r="B554" s="26" t="s">
        <v>26</v>
      </c>
      <c r="C554" s="26">
        <v>2</v>
      </c>
      <c r="D554" s="32" t="s">
        <v>375</v>
      </c>
      <c r="E554" s="32" t="s">
        <v>665</v>
      </c>
      <c r="F554" s="36" t="s">
        <v>51</v>
      </c>
      <c r="G554" s="36">
        <v>75</v>
      </c>
      <c r="H554" s="32" t="s">
        <v>460</v>
      </c>
      <c r="I554" s="63"/>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79"/>
      <c r="EO554" s="79"/>
    </row>
    <row r="555" spans="1:146" s="79" customFormat="1" ht="46.8" x14ac:dyDescent="0.3">
      <c r="A555" s="26">
        <v>17</v>
      </c>
      <c r="B555" s="26" t="s">
        <v>26</v>
      </c>
      <c r="C555" s="26">
        <v>2</v>
      </c>
      <c r="D555" s="37" t="s">
        <v>375</v>
      </c>
      <c r="E555" s="37" t="s">
        <v>667</v>
      </c>
      <c r="F555" s="38" t="s">
        <v>63</v>
      </c>
      <c r="G555" s="38">
        <v>6</v>
      </c>
      <c r="H555" s="37" t="s">
        <v>461</v>
      </c>
      <c r="I555" s="63"/>
      <c r="EP555" s="80"/>
    </row>
    <row r="556" spans="1:146" s="79" customFormat="1" x14ac:dyDescent="0.3">
      <c r="A556" s="57">
        <v>17</v>
      </c>
      <c r="B556" s="57" t="s">
        <v>26</v>
      </c>
      <c r="C556" s="57">
        <v>3</v>
      </c>
      <c r="D556" s="58" t="s">
        <v>119</v>
      </c>
      <c r="E556" s="58" t="s">
        <v>458</v>
      </c>
      <c r="F556" s="59" t="s">
        <v>63</v>
      </c>
      <c r="G556" s="59">
        <v>61</v>
      </c>
      <c r="H556" s="58" t="s">
        <v>797</v>
      </c>
      <c r="I556" s="63"/>
      <c r="EP556" s="80"/>
    </row>
    <row r="557" spans="1:146" s="79" customFormat="1" ht="46.8" x14ac:dyDescent="0.3">
      <c r="A557" s="57">
        <v>17</v>
      </c>
      <c r="B557" s="57" t="s">
        <v>26</v>
      </c>
      <c r="C557" s="57">
        <v>3</v>
      </c>
      <c r="D557" s="58" t="s">
        <v>0</v>
      </c>
      <c r="E557" s="58" t="s">
        <v>794</v>
      </c>
      <c r="F557" s="59" t="s">
        <v>63</v>
      </c>
      <c r="G557" s="59">
        <v>15</v>
      </c>
      <c r="H557" s="58" t="s">
        <v>461</v>
      </c>
      <c r="I557" s="63"/>
      <c r="EP557" s="80"/>
    </row>
    <row r="558" spans="1:146" s="79" customFormat="1" ht="31.2" x14ac:dyDescent="0.3">
      <c r="A558" s="57">
        <v>17</v>
      </c>
      <c r="B558" s="57" t="s">
        <v>26</v>
      </c>
      <c r="C558" s="57">
        <v>3</v>
      </c>
      <c r="D558" s="58" t="s">
        <v>1</v>
      </c>
      <c r="E558" s="58" t="s">
        <v>462</v>
      </c>
      <c r="F558" s="59" t="s">
        <v>63</v>
      </c>
      <c r="G558" s="59">
        <v>74</v>
      </c>
      <c r="H558" s="58" t="s">
        <v>800</v>
      </c>
      <c r="I558" s="50"/>
      <c r="EP558" s="80"/>
    </row>
    <row r="559" spans="1:146" s="79" customFormat="1" ht="46.8" x14ac:dyDescent="0.3">
      <c r="A559" s="57">
        <v>17</v>
      </c>
      <c r="B559" s="57" t="s">
        <v>26</v>
      </c>
      <c r="C559" s="57">
        <v>3</v>
      </c>
      <c r="D559" s="58" t="s">
        <v>375</v>
      </c>
      <c r="E559" s="58" t="s">
        <v>795</v>
      </c>
      <c r="F559" s="59" t="s">
        <v>63</v>
      </c>
      <c r="G559" s="59">
        <v>85</v>
      </c>
      <c r="H559" s="58" t="s">
        <v>796</v>
      </c>
      <c r="I559" s="63"/>
      <c r="EP559" s="80"/>
    </row>
    <row r="560" spans="1:146" s="79" customFormat="1" ht="46.8" x14ac:dyDescent="0.3">
      <c r="A560" s="57">
        <v>17</v>
      </c>
      <c r="B560" s="57" t="s">
        <v>26</v>
      </c>
      <c r="C560" s="57">
        <v>3</v>
      </c>
      <c r="D560" s="58" t="s">
        <v>375</v>
      </c>
      <c r="E560" s="58" t="s">
        <v>798</v>
      </c>
      <c r="F560" s="59" t="s">
        <v>51</v>
      </c>
      <c r="G560" s="59">
        <v>80</v>
      </c>
      <c r="H560" s="58" t="s">
        <v>799</v>
      </c>
      <c r="I560" s="63"/>
      <c r="EP560" s="80"/>
    </row>
    <row r="561" spans="1:146" s="79" customFormat="1" ht="46.8" x14ac:dyDescent="0.3">
      <c r="A561" s="39">
        <v>17</v>
      </c>
      <c r="B561" s="39" t="s">
        <v>26</v>
      </c>
      <c r="C561" s="39">
        <v>4</v>
      </c>
      <c r="D561" s="44" t="s">
        <v>0</v>
      </c>
      <c r="E561" s="44" t="s">
        <v>794</v>
      </c>
      <c r="F561" s="48" t="s">
        <v>63</v>
      </c>
      <c r="G561" s="48" t="s">
        <v>1225</v>
      </c>
      <c r="H561" s="44" t="s">
        <v>461</v>
      </c>
      <c r="I561" s="63"/>
      <c r="EP561" s="80"/>
    </row>
    <row r="562" spans="1:146" s="79" customFormat="1" ht="46.8" x14ac:dyDescent="0.3">
      <c r="A562" s="39">
        <v>17</v>
      </c>
      <c r="B562" s="39" t="s">
        <v>26</v>
      </c>
      <c r="C562" s="39">
        <v>4</v>
      </c>
      <c r="D562" s="44" t="s">
        <v>375</v>
      </c>
      <c r="E562" s="44" t="s">
        <v>795</v>
      </c>
      <c r="F562" s="48" t="s">
        <v>63</v>
      </c>
      <c r="G562" s="48" t="s">
        <v>1225</v>
      </c>
      <c r="H562" s="44" t="s">
        <v>796</v>
      </c>
      <c r="I562" s="63"/>
      <c r="EP562" s="80"/>
    </row>
    <row r="563" spans="1:146" s="79" customFormat="1" ht="31.2" x14ac:dyDescent="0.3">
      <c r="A563" s="39">
        <v>17</v>
      </c>
      <c r="B563" s="39" t="s">
        <v>26</v>
      </c>
      <c r="C563" s="39">
        <v>4</v>
      </c>
      <c r="D563" s="44" t="s">
        <v>1</v>
      </c>
      <c r="E563" s="44" t="s">
        <v>1226</v>
      </c>
      <c r="F563" s="48" t="s">
        <v>63</v>
      </c>
      <c r="G563" s="48" t="s">
        <v>1227</v>
      </c>
      <c r="H563" s="44" t="s">
        <v>1228</v>
      </c>
      <c r="I563" s="63"/>
      <c r="EP563" s="80"/>
    </row>
    <row r="564" spans="1:146" s="79" customFormat="1" ht="46.8" x14ac:dyDescent="0.3">
      <c r="A564" s="39">
        <v>17</v>
      </c>
      <c r="B564" s="39" t="s">
        <v>26</v>
      </c>
      <c r="C564" s="39">
        <v>4</v>
      </c>
      <c r="D564" s="44" t="s">
        <v>375</v>
      </c>
      <c r="E564" s="44" t="s">
        <v>798</v>
      </c>
      <c r="F564" s="48" t="s">
        <v>51</v>
      </c>
      <c r="G564" s="48" t="s">
        <v>1225</v>
      </c>
      <c r="H564" s="44" t="s">
        <v>1229</v>
      </c>
      <c r="I564" s="63"/>
      <c r="EP564" s="80"/>
    </row>
    <row r="565" spans="1:146" s="79" customFormat="1" ht="31.2" x14ac:dyDescent="0.3">
      <c r="A565" s="39">
        <v>17</v>
      </c>
      <c r="B565" s="39" t="s">
        <v>26</v>
      </c>
      <c r="C565" s="39">
        <v>4</v>
      </c>
      <c r="D565" s="44" t="s">
        <v>119</v>
      </c>
      <c r="E565" s="44" t="s">
        <v>458</v>
      </c>
      <c r="F565" s="48" t="s">
        <v>63</v>
      </c>
      <c r="G565" s="48" t="s">
        <v>1230</v>
      </c>
      <c r="H565" s="44" t="s">
        <v>1231</v>
      </c>
      <c r="I565" s="63"/>
      <c r="EP565" s="80"/>
    </row>
    <row r="566" spans="1:146" s="79" customFormat="1" ht="31.2" x14ac:dyDescent="0.3">
      <c r="A566" s="39">
        <v>17</v>
      </c>
      <c r="B566" s="39" t="s">
        <v>26</v>
      </c>
      <c r="C566" s="39">
        <v>4</v>
      </c>
      <c r="D566" s="44" t="s">
        <v>1</v>
      </c>
      <c r="E566" s="44" t="s">
        <v>1232</v>
      </c>
      <c r="F566" s="48" t="s">
        <v>51</v>
      </c>
      <c r="G566" s="48" t="s">
        <v>1233</v>
      </c>
      <c r="H566" s="44" t="s">
        <v>1234</v>
      </c>
      <c r="I566" s="63"/>
      <c r="EP566" s="80"/>
    </row>
    <row r="567" spans="1:146" s="79" customFormat="1" ht="46.8" x14ac:dyDescent="0.3">
      <c r="A567" s="39">
        <v>17</v>
      </c>
      <c r="B567" s="39" t="s">
        <v>26</v>
      </c>
      <c r="C567" s="39">
        <v>4</v>
      </c>
      <c r="D567" s="44" t="s">
        <v>4</v>
      </c>
      <c r="E567" s="44" t="s">
        <v>1235</v>
      </c>
      <c r="F567" s="48" t="s">
        <v>51</v>
      </c>
      <c r="G567" s="48" t="s">
        <v>1225</v>
      </c>
      <c r="H567" s="44" t="s">
        <v>1236</v>
      </c>
      <c r="I567" s="63"/>
      <c r="EP567" s="80"/>
    </row>
    <row r="568" spans="1:146" s="79" customFormat="1" ht="31.2" x14ac:dyDescent="0.3">
      <c r="A568" s="39">
        <v>17</v>
      </c>
      <c r="B568" s="39" t="s">
        <v>26</v>
      </c>
      <c r="C568" s="39">
        <v>4</v>
      </c>
      <c r="D568" s="44" t="s">
        <v>1</v>
      </c>
      <c r="E568" s="44" t="s">
        <v>462</v>
      </c>
      <c r="F568" s="48" t="s">
        <v>63</v>
      </c>
      <c r="G568" s="48" t="s">
        <v>1237</v>
      </c>
      <c r="H568" s="44" t="s">
        <v>1238</v>
      </c>
      <c r="I568" s="63"/>
      <c r="EP568" s="80"/>
    </row>
    <row r="569" spans="1:146" s="79" customFormat="1" ht="31.2" x14ac:dyDescent="0.3">
      <c r="A569" s="9">
        <v>18</v>
      </c>
      <c r="B569" s="9" t="s">
        <v>243</v>
      </c>
      <c r="C569" s="9">
        <v>1</v>
      </c>
      <c r="D569" s="17" t="s">
        <v>4</v>
      </c>
      <c r="E569" s="16" t="s">
        <v>244</v>
      </c>
      <c r="F569" s="19" t="s">
        <v>63</v>
      </c>
      <c r="G569" s="19">
        <v>10</v>
      </c>
      <c r="H569" s="17" t="s">
        <v>245</v>
      </c>
      <c r="I569" s="63"/>
      <c r="EP569" s="80"/>
    </row>
    <row r="570" spans="1:146" s="79" customFormat="1" x14ac:dyDescent="0.3">
      <c r="A570" s="9">
        <v>18</v>
      </c>
      <c r="B570" s="9" t="s">
        <v>243</v>
      </c>
      <c r="C570" s="9">
        <v>1</v>
      </c>
      <c r="D570" s="17" t="s">
        <v>1</v>
      </c>
      <c r="E570" s="16" t="s">
        <v>246</v>
      </c>
      <c r="F570" s="19" t="s">
        <v>63</v>
      </c>
      <c r="G570" s="19">
        <v>11</v>
      </c>
      <c r="H570" s="17" t="s">
        <v>247</v>
      </c>
      <c r="I570" s="63"/>
      <c r="EP570" s="80"/>
    </row>
    <row r="571" spans="1:146" s="79" customFormat="1" x14ac:dyDescent="0.3">
      <c r="A571" s="9">
        <v>18</v>
      </c>
      <c r="B571" s="9" t="s">
        <v>243</v>
      </c>
      <c r="C571" s="9">
        <v>1</v>
      </c>
      <c r="D571" s="17" t="s">
        <v>1</v>
      </c>
      <c r="E571" s="16" t="s">
        <v>246</v>
      </c>
      <c r="F571" s="19" t="s">
        <v>63</v>
      </c>
      <c r="G571" s="19">
        <v>17</v>
      </c>
      <c r="H571" s="17" t="s">
        <v>248</v>
      </c>
      <c r="I571" s="63"/>
      <c r="EP571" s="80"/>
    </row>
    <row r="572" spans="1:146" s="79" customFormat="1" ht="177" customHeight="1" x14ac:dyDescent="0.3">
      <c r="A572" s="9">
        <v>18</v>
      </c>
      <c r="B572" s="9" t="s">
        <v>243</v>
      </c>
      <c r="C572" s="9">
        <v>1</v>
      </c>
      <c r="D572" s="17" t="s">
        <v>1</v>
      </c>
      <c r="E572" s="16" t="s">
        <v>246</v>
      </c>
      <c r="F572" s="19" t="s">
        <v>63</v>
      </c>
      <c r="G572" s="19">
        <v>16</v>
      </c>
      <c r="H572" s="17" t="s">
        <v>249</v>
      </c>
      <c r="I572" s="63"/>
      <c r="EP572" s="80"/>
    </row>
    <row r="573" spans="1:146" s="79" customFormat="1" ht="31.2" x14ac:dyDescent="0.3">
      <c r="A573" s="9">
        <v>18</v>
      </c>
      <c r="B573" s="9" t="s">
        <v>243</v>
      </c>
      <c r="C573" s="9">
        <v>1</v>
      </c>
      <c r="D573" s="17" t="s">
        <v>1</v>
      </c>
      <c r="E573" s="16" t="s">
        <v>246</v>
      </c>
      <c r="F573" s="19" t="s">
        <v>63</v>
      </c>
      <c r="G573" s="19">
        <v>23</v>
      </c>
      <c r="H573" s="17" t="s">
        <v>250</v>
      </c>
      <c r="I573" s="63"/>
      <c r="EP573" s="80"/>
    </row>
    <row r="574" spans="1:146" s="79" customFormat="1" ht="31.2" x14ac:dyDescent="0.3">
      <c r="A574" s="9">
        <v>18</v>
      </c>
      <c r="B574" s="9" t="s">
        <v>243</v>
      </c>
      <c r="C574" s="9">
        <v>1</v>
      </c>
      <c r="D574" s="17" t="s">
        <v>1</v>
      </c>
      <c r="E574" s="16" t="s">
        <v>246</v>
      </c>
      <c r="F574" s="19" t="s">
        <v>63</v>
      </c>
      <c r="G574" s="19">
        <v>17</v>
      </c>
      <c r="H574" s="17" t="s">
        <v>251</v>
      </c>
      <c r="I574" s="63"/>
      <c r="EP574" s="80"/>
    </row>
    <row r="575" spans="1:146" s="79" customFormat="1" ht="31.2" x14ac:dyDescent="0.3">
      <c r="A575" s="9">
        <v>18</v>
      </c>
      <c r="B575" s="9" t="s">
        <v>243</v>
      </c>
      <c r="C575" s="9">
        <v>1</v>
      </c>
      <c r="D575" s="17" t="s">
        <v>1</v>
      </c>
      <c r="E575" s="16" t="s">
        <v>246</v>
      </c>
      <c r="F575" s="19" t="s">
        <v>63</v>
      </c>
      <c r="G575" s="19">
        <v>20</v>
      </c>
      <c r="H575" s="17" t="s">
        <v>252</v>
      </c>
      <c r="I575" s="63"/>
      <c r="EP575" s="80"/>
    </row>
    <row r="576" spans="1:146" s="79" customFormat="1" x14ac:dyDescent="0.3">
      <c r="A576" s="26">
        <v>18</v>
      </c>
      <c r="B576" s="26" t="s">
        <v>243</v>
      </c>
      <c r="C576" s="26">
        <v>2</v>
      </c>
      <c r="D576" s="31" t="s">
        <v>0</v>
      </c>
      <c r="E576" s="29" t="s">
        <v>466</v>
      </c>
      <c r="F576" s="30" t="s">
        <v>63</v>
      </c>
      <c r="G576" s="30">
        <v>40</v>
      </c>
      <c r="H576" s="31" t="s">
        <v>467</v>
      </c>
      <c r="I576" s="63"/>
      <c r="EP576" s="80"/>
    </row>
    <row r="577" spans="1:146" s="79" customFormat="1" x14ac:dyDescent="0.3">
      <c r="A577" s="26">
        <v>18</v>
      </c>
      <c r="B577" s="26" t="s">
        <v>243</v>
      </c>
      <c r="C577" s="26">
        <v>2</v>
      </c>
      <c r="D577" s="31" t="s">
        <v>0</v>
      </c>
      <c r="E577" s="29" t="s">
        <v>468</v>
      </c>
      <c r="F577" s="30" t="s">
        <v>63</v>
      </c>
      <c r="G577" s="30">
        <v>40</v>
      </c>
      <c r="H577" s="31" t="s">
        <v>469</v>
      </c>
      <c r="I577" s="63"/>
      <c r="EP577" s="80"/>
    </row>
    <row r="578" spans="1:146" s="79" customFormat="1" x14ac:dyDescent="0.3">
      <c r="A578" s="26">
        <v>18</v>
      </c>
      <c r="B578" s="26" t="s">
        <v>243</v>
      </c>
      <c r="C578" s="26">
        <v>2</v>
      </c>
      <c r="D578" s="31" t="s">
        <v>0</v>
      </c>
      <c r="E578" s="29" t="s">
        <v>568</v>
      </c>
      <c r="F578" s="30" t="s">
        <v>63</v>
      </c>
      <c r="G578" s="30">
        <v>40</v>
      </c>
      <c r="H578" s="31" t="s">
        <v>470</v>
      </c>
      <c r="I578" s="63"/>
      <c r="EP578" s="80"/>
    </row>
    <row r="579" spans="1:146" s="79" customFormat="1" x14ac:dyDescent="0.3">
      <c r="A579" s="26">
        <v>18</v>
      </c>
      <c r="B579" s="26" t="s">
        <v>243</v>
      </c>
      <c r="C579" s="26">
        <v>2</v>
      </c>
      <c r="D579" s="31" t="s">
        <v>1</v>
      </c>
      <c r="E579" s="29" t="s">
        <v>246</v>
      </c>
      <c r="F579" s="30" t="s">
        <v>63</v>
      </c>
      <c r="G579" s="30">
        <v>11</v>
      </c>
      <c r="H579" s="31" t="s">
        <v>465</v>
      </c>
      <c r="I579" s="63"/>
      <c r="EP579" s="80"/>
    </row>
    <row r="580" spans="1:146" s="79" customFormat="1" x14ac:dyDescent="0.3">
      <c r="A580" s="26">
        <v>18</v>
      </c>
      <c r="B580" s="26" t="s">
        <v>243</v>
      </c>
      <c r="C580" s="26">
        <v>2</v>
      </c>
      <c r="D580" s="31" t="s">
        <v>1</v>
      </c>
      <c r="E580" s="29" t="s">
        <v>466</v>
      </c>
      <c r="F580" s="30" t="s">
        <v>63</v>
      </c>
      <c r="G580" s="30">
        <v>40</v>
      </c>
      <c r="H580" s="31" t="s">
        <v>471</v>
      </c>
      <c r="I580" s="63"/>
      <c r="EP580" s="80"/>
    </row>
    <row r="581" spans="1:146" s="79" customFormat="1" x14ac:dyDescent="0.3">
      <c r="A581" s="26">
        <v>18</v>
      </c>
      <c r="B581" s="26" t="s">
        <v>243</v>
      </c>
      <c r="C581" s="26">
        <v>2</v>
      </c>
      <c r="D581" s="31" t="s">
        <v>1</v>
      </c>
      <c r="E581" s="29" t="s">
        <v>569</v>
      </c>
      <c r="F581" s="30" t="s">
        <v>63</v>
      </c>
      <c r="G581" s="30">
        <v>40</v>
      </c>
      <c r="H581" s="31" t="s">
        <v>472</v>
      </c>
      <c r="I581" s="63"/>
      <c r="EP581" s="80"/>
    </row>
    <row r="582" spans="1:146" s="79" customFormat="1" x14ac:dyDescent="0.3">
      <c r="A582" s="26">
        <v>18</v>
      </c>
      <c r="B582" s="26" t="s">
        <v>243</v>
      </c>
      <c r="C582" s="26">
        <v>2</v>
      </c>
      <c r="D582" s="31" t="s">
        <v>1</v>
      </c>
      <c r="E582" s="29" t="s">
        <v>473</v>
      </c>
      <c r="F582" s="30" t="s">
        <v>63</v>
      </c>
      <c r="G582" s="30">
        <v>40</v>
      </c>
      <c r="H582" s="31" t="s">
        <v>474</v>
      </c>
      <c r="I582" s="63"/>
      <c r="EP582" s="80"/>
    </row>
    <row r="583" spans="1:146" s="79" customFormat="1" x14ac:dyDescent="0.3">
      <c r="A583" s="57">
        <v>18</v>
      </c>
      <c r="B583" s="57" t="s">
        <v>243</v>
      </c>
      <c r="C583" s="57">
        <v>3</v>
      </c>
      <c r="D583" s="78" t="s">
        <v>0</v>
      </c>
      <c r="E583" s="60" t="s">
        <v>801</v>
      </c>
      <c r="F583" s="61" t="s">
        <v>63</v>
      </c>
      <c r="G583" s="61">
        <v>40</v>
      </c>
      <c r="H583" s="78" t="s">
        <v>802</v>
      </c>
      <c r="I583" s="63"/>
      <c r="EP583" s="80"/>
    </row>
    <row r="584" spans="1:146" s="79" customFormat="1" x14ac:dyDescent="0.3">
      <c r="A584" s="57">
        <v>18</v>
      </c>
      <c r="B584" s="57" t="s">
        <v>243</v>
      </c>
      <c r="C584" s="57">
        <v>3</v>
      </c>
      <c r="D584" s="78" t="s">
        <v>1</v>
      </c>
      <c r="E584" s="60" t="s">
        <v>803</v>
      </c>
      <c r="F584" s="61" t="s">
        <v>63</v>
      </c>
      <c r="G584" s="61">
        <v>40</v>
      </c>
      <c r="H584" s="78" t="s">
        <v>804</v>
      </c>
      <c r="I584" s="63"/>
      <c r="EP584" s="80"/>
    </row>
    <row r="585" spans="1:146" s="79" customFormat="1" x14ac:dyDescent="0.3">
      <c r="A585" s="57">
        <v>18</v>
      </c>
      <c r="B585" s="57" t="s">
        <v>243</v>
      </c>
      <c r="C585" s="57">
        <v>3</v>
      </c>
      <c r="D585" s="78" t="s">
        <v>1</v>
      </c>
      <c r="E585" s="60" t="s">
        <v>568</v>
      </c>
      <c r="F585" s="61" t="s">
        <v>63</v>
      </c>
      <c r="G585" s="61">
        <v>40</v>
      </c>
      <c r="H585" s="78" t="s">
        <v>802</v>
      </c>
      <c r="I585" s="63"/>
      <c r="EP585" s="80"/>
    </row>
    <row r="586" spans="1:146" s="79" customFormat="1" x14ac:dyDescent="0.3">
      <c r="A586" s="57">
        <v>18</v>
      </c>
      <c r="B586" s="57" t="s">
        <v>243</v>
      </c>
      <c r="C586" s="57">
        <v>3</v>
      </c>
      <c r="D586" s="78" t="s">
        <v>1</v>
      </c>
      <c r="E586" s="60" t="s">
        <v>805</v>
      </c>
      <c r="F586" s="61" t="s">
        <v>63</v>
      </c>
      <c r="G586" s="61">
        <v>40</v>
      </c>
      <c r="H586" s="78" t="s">
        <v>802</v>
      </c>
      <c r="I586" s="63"/>
      <c r="EP586" s="80"/>
    </row>
    <row r="587" spans="1:146" s="79" customFormat="1" x14ac:dyDescent="0.3">
      <c r="A587" s="57">
        <v>18</v>
      </c>
      <c r="B587" s="57" t="s">
        <v>243</v>
      </c>
      <c r="C587" s="57">
        <v>3</v>
      </c>
      <c r="D587" s="78" t="s">
        <v>1</v>
      </c>
      <c r="E587" s="60" t="s">
        <v>806</v>
      </c>
      <c r="F587" s="61" t="s">
        <v>63</v>
      </c>
      <c r="G587" s="61">
        <v>40</v>
      </c>
      <c r="H587" s="78" t="s">
        <v>807</v>
      </c>
      <c r="I587" s="63"/>
      <c r="EP587" s="80"/>
    </row>
    <row r="588" spans="1:146" s="79" customFormat="1" x14ac:dyDescent="0.3">
      <c r="A588" s="57">
        <v>18</v>
      </c>
      <c r="B588" s="57" t="s">
        <v>243</v>
      </c>
      <c r="C588" s="57">
        <v>3</v>
      </c>
      <c r="D588" s="78" t="s">
        <v>1</v>
      </c>
      <c r="E588" s="60" t="s">
        <v>808</v>
      </c>
      <c r="F588" s="61" t="s">
        <v>63</v>
      </c>
      <c r="G588" s="61">
        <v>40</v>
      </c>
      <c r="H588" s="78" t="s">
        <v>809</v>
      </c>
      <c r="I588" s="63"/>
      <c r="EP588" s="80"/>
    </row>
    <row r="589" spans="1:146" s="79" customFormat="1" x14ac:dyDescent="0.3">
      <c r="A589" s="57">
        <v>18</v>
      </c>
      <c r="B589" s="57" t="s">
        <v>243</v>
      </c>
      <c r="C589" s="57">
        <v>3</v>
      </c>
      <c r="D589" s="78" t="s">
        <v>375</v>
      </c>
      <c r="E589" s="60" t="s">
        <v>810</v>
      </c>
      <c r="F589" s="61" t="s">
        <v>63</v>
      </c>
      <c r="G589" s="61">
        <v>2</v>
      </c>
      <c r="H589" s="78" t="s">
        <v>811</v>
      </c>
      <c r="I589" s="50"/>
      <c r="EP589" s="80"/>
    </row>
    <row r="590" spans="1:146" s="79" customFormat="1" x14ac:dyDescent="0.3">
      <c r="A590" s="39">
        <v>18</v>
      </c>
      <c r="B590" s="39" t="s">
        <v>243</v>
      </c>
      <c r="C590" s="39">
        <v>4</v>
      </c>
      <c r="D590" s="42" t="s">
        <v>1</v>
      </c>
      <c r="E590" s="40" t="s">
        <v>1239</v>
      </c>
      <c r="F590" s="41" t="s">
        <v>63</v>
      </c>
      <c r="G590" s="41">
        <v>101</v>
      </c>
      <c r="H590" s="42" t="s">
        <v>1240</v>
      </c>
      <c r="I590" s="63"/>
      <c r="EP590" s="80"/>
    </row>
    <row r="591" spans="1:146" s="79" customFormat="1" x14ac:dyDescent="0.3">
      <c r="A591" s="39">
        <v>18</v>
      </c>
      <c r="B591" s="39" t="s">
        <v>243</v>
      </c>
      <c r="C591" s="39">
        <v>4</v>
      </c>
      <c r="D591" s="42" t="s">
        <v>375</v>
      </c>
      <c r="E591" s="40" t="s">
        <v>1497</v>
      </c>
      <c r="F591" s="41" t="s">
        <v>63</v>
      </c>
      <c r="G591" s="41">
        <v>10</v>
      </c>
      <c r="H591" s="42" t="s">
        <v>1241</v>
      </c>
      <c r="I591" s="63"/>
      <c r="EP591" s="80"/>
    </row>
    <row r="592" spans="1:146" s="79" customFormat="1" x14ac:dyDescent="0.3">
      <c r="A592" s="39">
        <v>18</v>
      </c>
      <c r="B592" s="39" t="s">
        <v>243</v>
      </c>
      <c r="C592" s="39">
        <v>4</v>
      </c>
      <c r="D592" s="42" t="s">
        <v>375</v>
      </c>
      <c r="E592" s="40" t="s">
        <v>1242</v>
      </c>
      <c r="F592" s="41" t="s">
        <v>63</v>
      </c>
      <c r="G592" s="41">
        <v>75</v>
      </c>
      <c r="H592" s="42" t="s">
        <v>1241</v>
      </c>
      <c r="I592" s="63"/>
      <c r="EP592" s="80"/>
    </row>
    <row r="593" spans="1:146" s="79" customFormat="1" x14ac:dyDescent="0.3">
      <c r="A593" s="39">
        <v>18</v>
      </c>
      <c r="B593" s="39" t="s">
        <v>243</v>
      </c>
      <c r="C593" s="39">
        <v>4</v>
      </c>
      <c r="D593" s="42" t="s">
        <v>375</v>
      </c>
      <c r="E593" s="40" t="s">
        <v>1243</v>
      </c>
      <c r="F593" s="41" t="s">
        <v>63</v>
      </c>
      <c r="G593" s="41">
        <v>7</v>
      </c>
      <c r="H593" s="42" t="s">
        <v>1244</v>
      </c>
      <c r="I593" s="63"/>
      <c r="EP593" s="80"/>
    </row>
    <row r="594" spans="1:146" s="79" customFormat="1" x14ac:dyDescent="0.3">
      <c r="A594" s="39">
        <v>18</v>
      </c>
      <c r="B594" s="39" t="s">
        <v>243</v>
      </c>
      <c r="C594" s="39">
        <v>4</v>
      </c>
      <c r="D594" s="42" t="s">
        <v>1</v>
      </c>
      <c r="E594" s="40" t="s">
        <v>1245</v>
      </c>
      <c r="F594" s="41" t="s">
        <v>51</v>
      </c>
      <c r="G594" s="41">
        <v>13</v>
      </c>
      <c r="H594" s="42" t="s">
        <v>1246</v>
      </c>
      <c r="I594" s="63"/>
      <c r="EP594" s="80"/>
    </row>
    <row r="595" spans="1:146" s="79" customFormat="1" ht="31.2" x14ac:dyDescent="0.3">
      <c r="A595" s="9">
        <v>19</v>
      </c>
      <c r="B595" s="9" t="s">
        <v>28</v>
      </c>
      <c r="C595" s="9">
        <v>1</v>
      </c>
      <c r="D595" s="14" t="s">
        <v>1</v>
      </c>
      <c r="E595" s="14" t="s">
        <v>253</v>
      </c>
      <c r="F595" s="9" t="s">
        <v>51</v>
      </c>
      <c r="G595" s="15">
        <v>31</v>
      </c>
      <c r="H595" s="14" t="s">
        <v>254</v>
      </c>
      <c r="I595" s="63"/>
      <c r="EP595" s="80"/>
    </row>
    <row r="596" spans="1:146" s="79" customFormat="1" x14ac:dyDescent="0.3">
      <c r="A596" s="26">
        <v>19</v>
      </c>
      <c r="B596" s="26" t="s">
        <v>28</v>
      </c>
      <c r="C596" s="26">
        <v>2</v>
      </c>
      <c r="D596" s="32" t="s">
        <v>614</v>
      </c>
      <c r="E596" s="27" t="s">
        <v>614</v>
      </c>
      <c r="F596" s="26" t="s">
        <v>614</v>
      </c>
      <c r="G596" s="36" t="s">
        <v>614</v>
      </c>
      <c r="H596" s="27" t="s">
        <v>614</v>
      </c>
      <c r="I596" s="63"/>
      <c r="EP596" s="80"/>
    </row>
    <row r="597" spans="1:146" s="79" customFormat="1" ht="78" x14ac:dyDescent="0.3">
      <c r="A597" s="57">
        <v>19</v>
      </c>
      <c r="B597" s="57" t="s">
        <v>28</v>
      </c>
      <c r="C597" s="57">
        <v>3</v>
      </c>
      <c r="D597" s="58" t="s">
        <v>0</v>
      </c>
      <c r="E597" s="58" t="s">
        <v>1020</v>
      </c>
      <c r="F597" s="57" t="s">
        <v>63</v>
      </c>
      <c r="G597" s="59">
        <v>68</v>
      </c>
      <c r="H597" s="58" t="s">
        <v>813</v>
      </c>
      <c r="I597" s="63"/>
      <c r="EP597" s="80"/>
    </row>
    <row r="598" spans="1:146" s="79" customFormat="1" ht="78" x14ac:dyDescent="0.3">
      <c r="A598" s="57">
        <v>19</v>
      </c>
      <c r="B598" s="57" t="s">
        <v>28</v>
      </c>
      <c r="C598" s="57">
        <v>3</v>
      </c>
      <c r="D598" s="58" t="s">
        <v>1</v>
      </c>
      <c r="E598" s="58" t="s">
        <v>1021</v>
      </c>
      <c r="F598" s="57" t="s">
        <v>51</v>
      </c>
      <c r="G598" s="59">
        <v>16</v>
      </c>
      <c r="H598" s="58" t="s">
        <v>812</v>
      </c>
      <c r="I598" s="63"/>
      <c r="EP598" s="80"/>
    </row>
    <row r="599" spans="1:146" s="79" customFormat="1" ht="78" x14ac:dyDescent="0.3">
      <c r="A599" s="57">
        <v>19</v>
      </c>
      <c r="B599" s="57" t="s">
        <v>28</v>
      </c>
      <c r="C599" s="57">
        <v>3</v>
      </c>
      <c r="D599" s="58" t="s">
        <v>1</v>
      </c>
      <c r="E599" s="58" t="s">
        <v>1022</v>
      </c>
      <c r="F599" s="57" t="s">
        <v>63</v>
      </c>
      <c r="G599" s="59">
        <v>39</v>
      </c>
      <c r="H599" s="58" t="s">
        <v>812</v>
      </c>
      <c r="I599" s="63"/>
      <c r="EP599" s="80"/>
    </row>
    <row r="600" spans="1:146" s="79" customFormat="1" ht="156" x14ac:dyDescent="0.3">
      <c r="A600" s="57">
        <v>19</v>
      </c>
      <c r="B600" s="57" t="s">
        <v>28</v>
      </c>
      <c r="C600" s="57">
        <v>3</v>
      </c>
      <c r="D600" s="58" t="s">
        <v>1</v>
      </c>
      <c r="E600" s="58" t="s">
        <v>814</v>
      </c>
      <c r="F600" s="57" t="s">
        <v>63</v>
      </c>
      <c r="G600" s="59">
        <v>43</v>
      </c>
      <c r="H600" s="58" t="s">
        <v>813</v>
      </c>
      <c r="I600" s="63"/>
      <c r="EP600" s="80"/>
    </row>
    <row r="601" spans="1:146" s="79" customFormat="1" ht="31.2" x14ac:dyDescent="0.3">
      <c r="A601" s="57">
        <v>19</v>
      </c>
      <c r="B601" s="57" t="s">
        <v>28</v>
      </c>
      <c r="C601" s="57">
        <v>3</v>
      </c>
      <c r="D601" s="58" t="s">
        <v>1</v>
      </c>
      <c r="E601" s="58" t="s">
        <v>1023</v>
      </c>
      <c r="F601" s="57" t="s">
        <v>63</v>
      </c>
      <c r="G601" s="59">
        <v>11</v>
      </c>
      <c r="H601" s="58" t="s">
        <v>816</v>
      </c>
      <c r="I601" s="63"/>
      <c r="EP601" s="80"/>
    </row>
    <row r="602" spans="1:146" s="79" customFormat="1" ht="31.2" x14ac:dyDescent="0.3">
      <c r="A602" s="57">
        <v>19</v>
      </c>
      <c r="B602" s="57" t="s">
        <v>28</v>
      </c>
      <c r="C602" s="57">
        <v>3</v>
      </c>
      <c r="D602" s="58" t="s">
        <v>1</v>
      </c>
      <c r="E602" s="58" t="s">
        <v>1024</v>
      </c>
      <c r="F602" s="57" t="s">
        <v>63</v>
      </c>
      <c r="G602" s="59">
        <v>46</v>
      </c>
      <c r="H602" s="58" t="s">
        <v>817</v>
      </c>
      <c r="I602" s="63"/>
      <c r="EP602" s="80"/>
    </row>
    <row r="603" spans="1:146" s="79" customFormat="1" x14ac:dyDescent="0.3">
      <c r="A603" s="57">
        <v>19</v>
      </c>
      <c r="B603" s="57" t="s">
        <v>28</v>
      </c>
      <c r="C603" s="57">
        <v>3</v>
      </c>
      <c r="D603" s="58" t="s">
        <v>1</v>
      </c>
      <c r="E603" s="58" t="s">
        <v>1025</v>
      </c>
      <c r="F603" s="57" t="s">
        <v>63</v>
      </c>
      <c r="G603" s="59">
        <v>12</v>
      </c>
      <c r="H603" s="58" t="s">
        <v>818</v>
      </c>
      <c r="I603" s="63"/>
      <c r="EP603" s="80"/>
    </row>
    <row r="604" spans="1:146" s="79" customFormat="1" ht="46.8" x14ac:dyDescent="0.3">
      <c r="A604" s="57">
        <v>19</v>
      </c>
      <c r="B604" s="57" t="s">
        <v>28</v>
      </c>
      <c r="C604" s="57">
        <v>3</v>
      </c>
      <c r="D604" s="58" t="s">
        <v>375</v>
      </c>
      <c r="E604" s="58" t="s">
        <v>1026</v>
      </c>
      <c r="F604" s="57" t="s">
        <v>63</v>
      </c>
      <c r="G604" s="59">
        <v>111</v>
      </c>
      <c r="H604" s="58" t="s">
        <v>815</v>
      </c>
      <c r="I604" s="63"/>
      <c r="EP604" s="80"/>
    </row>
    <row r="605" spans="1:146" s="79" customFormat="1" ht="46.8" x14ac:dyDescent="0.3">
      <c r="A605" s="57">
        <v>19</v>
      </c>
      <c r="B605" s="57" t="s">
        <v>28</v>
      </c>
      <c r="C605" s="57">
        <v>3</v>
      </c>
      <c r="D605" s="58" t="s">
        <v>375</v>
      </c>
      <c r="E605" s="58" t="s">
        <v>1027</v>
      </c>
      <c r="F605" s="57" t="s">
        <v>51</v>
      </c>
      <c r="G605" s="59">
        <v>6</v>
      </c>
      <c r="H605" s="58" t="s">
        <v>819</v>
      </c>
      <c r="I605" s="50"/>
      <c r="EP605" s="80"/>
    </row>
    <row r="606" spans="1:146" s="79" customFormat="1" ht="46.8" x14ac:dyDescent="0.3">
      <c r="A606" s="39">
        <v>19</v>
      </c>
      <c r="B606" s="39" t="s">
        <v>28</v>
      </c>
      <c r="C606" s="39">
        <v>4</v>
      </c>
      <c r="D606" s="44" t="s">
        <v>375</v>
      </c>
      <c r="E606" s="44" t="s">
        <v>1247</v>
      </c>
      <c r="F606" s="39" t="s">
        <v>63</v>
      </c>
      <c r="G606" s="48">
        <v>3</v>
      </c>
      <c r="H606" s="44" t="s">
        <v>815</v>
      </c>
      <c r="I606" s="63"/>
      <c r="EP606" s="80"/>
    </row>
    <row r="607" spans="1:146" s="79" customFormat="1" ht="46.8" x14ac:dyDescent="0.3">
      <c r="A607" s="39">
        <v>19</v>
      </c>
      <c r="B607" s="39" t="s">
        <v>28</v>
      </c>
      <c r="C607" s="39">
        <v>4</v>
      </c>
      <c r="D607" s="44" t="s">
        <v>375</v>
      </c>
      <c r="E607" s="44" t="s">
        <v>1248</v>
      </c>
      <c r="F607" s="39" t="s">
        <v>63</v>
      </c>
      <c r="G607" s="48" t="s">
        <v>1060</v>
      </c>
      <c r="H607" s="44" t="s">
        <v>819</v>
      </c>
      <c r="I607" s="63"/>
      <c r="EP607" s="80"/>
    </row>
    <row r="608" spans="1:146" s="79" customFormat="1" ht="46.8" x14ac:dyDescent="0.3">
      <c r="A608" s="39">
        <v>19</v>
      </c>
      <c r="B608" s="39" t="s">
        <v>28</v>
      </c>
      <c r="C608" s="39">
        <v>4</v>
      </c>
      <c r="D608" s="44" t="s">
        <v>119</v>
      </c>
      <c r="E608" s="44" t="s">
        <v>1249</v>
      </c>
      <c r="F608" s="39" t="s">
        <v>63</v>
      </c>
      <c r="G608" s="48">
        <v>57</v>
      </c>
      <c r="H608" s="44" t="s">
        <v>1250</v>
      </c>
      <c r="I608" s="63"/>
      <c r="EP608" s="80"/>
    </row>
    <row r="609" spans="1:146" s="79" customFormat="1" ht="62.4" x14ac:dyDescent="0.3">
      <c r="A609" s="39">
        <v>19</v>
      </c>
      <c r="B609" s="39" t="s">
        <v>28</v>
      </c>
      <c r="C609" s="39">
        <v>4</v>
      </c>
      <c r="D609" s="44" t="s">
        <v>1</v>
      </c>
      <c r="E609" s="44" t="s">
        <v>1251</v>
      </c>
      <c r="F609" s="39" t="s">
        <v>63</v>
      </c>
      <c r="G609" s="48">
        <v>25</v>
      </c>
      <c r="H609" s="44" t="s">
        <v>1252</v>
      </c>
      <c r="I609" s="63"/>
      <c r="EP609" s="80"/>
    </row>
    <row r="610" spans="1:146" s="79" customFormat="1" ht="62.4" x14ac:dyDescent="0.3">
      <c r="A610" s="39">
        <v>19</v>
      </c>
      <c r="B610" s="39" t="s">
        <v>28</v>
      </c>
      <c r="C610" s="39">
        <v>4</v>
      </c>
      <c r="D610" s="44" t="s">
        <v>375</v>
      </c>
      <c r="E610" s="44" t="s">
        <v>1253</v>
      </c>
      <c r="F610" s="39" t="s">
        <v>63</v>
      </c>
      <c r="G610" s="48">
        <v>43</v>
      </c>
      <c r="H610" s="44" t="s">
        <v>1254</v>
      </c>
      <c r="I610" s="63"/>
      <c r="EP610" s="80"/>
    </row>
    <row r="611" spans="1:146" s="79" customFormat="1" ht="78" x14ac:dyDescent="0.3">
      <c r="A611" s="39">
        <v>19</v>
      </c>
      <c r="B611" s="39" t="s">
        <v>28</v>
      </c>
      <c r="C611" s="39">
        <v>4</v>
      </c>
      <c r="D611" s="44" t="s">
        <v>375</v>
      </c>
      <c r="E611" s="44" t="s">
        <v>1255</v>
      </c>
      <c r="F611" s="39" t="s">
        <v>63</v>
      </c>
      <c r="G611" s="48" t="s">
        <v>1256</v>
      </c>
      <c r="H611" s="44" t="s">
        <v>1257</v>
      </c>
      <c r="I611" s="63"/>
      <c r="EP611" s="80"/>
    </row>
    <row r="612" spans="1:146" s="79" customFormat="1" ht="46.8" x14ac:dyDescent="0.3">
      <c r="A612" s="39">
        <v>19</v>
      </c>
      <c r="B612" s="39" t="s">
        <v>28</v>
      </c>
      <c r="C612" s="39">
        <v>4</v>
      </c>
      <c r="D612" s="44" t="s">
        <v>1</v>
      </c>
      <c r="E612" s="44" t="s">
        <v>1258</v>
      </c>
      <c r="F612" s="39" t="s">
        <v>63</v>
      </c>
      <c r="G612" s="48">
        <v>8</v>
      </c>
      <c r="H612" s="44" t="s">
        <v>1259</v>
      </c>
      <c r="I612" s="63"/>
      <c r="EP612" s="80"/>
    </row>
    <row r="613" spans="1:146" s="79" customFormat="1" ht="93.6" x14ac:dyDescent="0.3">
      <c r="A613" s="39">
        <v>19</v>
      </c>
      <c r="B613" s="39" t="s">
        <v>28</v>
      </c>
      <c r="C613" s="39">
        <v>4</v>
      </c>
      <c r="D613" s="44" t="s">
        <v>1</v>
      </c>
      <c r="E613" s="44" t="s">
        <v>1498</v>
      </c>
      <c r="F613" s="39" t="s">
        <v>63</v>
      </c>
      <c r="G613" s="48">
        <v>45</v>
      </c>
      <c r="H613" s="44" t="s">
        <v>1260</v>
      </c>
      <c r="I613" s="63"/>
      <c r="EP613" s="80"/>
    </row>
    <row r="614" spans="1:146" s="79" customFormat="1" ht="46.8" x14ac:dyDescent="0.3">
      <c r="A614" s="39">
        <v>19</v>
      </c>
      <c r="B614" s="39" t="s">
        <v>28</v>
      </c>
      <c r="C614" s="39">
        <v>4</v>
      </c>
      <c r="D614" s="44" t="s">
        <v>0</v>
      </c>
      <c r="E614" s="44" t="s">
        <v>1261</v>
      </c>
      <c r="F614" s="39" t="s">
        <v>63</v>
      </c>
      <c r="G614" s="48" t="s">
        <v>1262</v>
      </c>
      <c r="H614" s="44" t="s">
        <v>1263</v>
      </c>
      <c r="I614" s="63"/>
      <c r="EP614" s="80"/>
    </row>
    <row r="615" spans="1:146" s="79" customFormat="1" x14ac:dyDescent="0.3">
      <c r="A615" s="9">
        <v>20</v>
      </c>
      <c r="B615" s="9" t="s">
        <v>29</v>
      </c>
      <c r="C615" s="9">
        <v>1</v>
      </c>
      <c r="D615" s="14" t="s">
        <v>255</v>
      </c>
      <c r="E615" s="14" t="s">
        <v>256</v>
      </c>
      <c r="F615" s="9"/>
      <c r="G615" s="15"/>
      <c r="H615" s="14"/>
      <c r="I615" s="63"/>
      <c r="EP615" s="80"/>
    </row>
    <row r="616" spans="1:146" s="79" customFormat="1" ht="31.2" x14ac:dyDescent="0.3">
      <c r="A616" s="26">
        <v>20</v>
      </c>
      <c r="B616" s="26" t="s">
        <v>29</v>
      </c>
      <c r="C616" s="26">
        <v>2</v>
      </c>
      <c r="D616" s="32" t="s">
        <v>1</v>
      </c>
      <c r="E616" s="32" t="s">
        <v>476</v>
      </c>
      <c r="F616" s="26" t="s">
        <v>63</v>
      </c>
      <c r="G616" s="36">
        <v>50</v>
      </c>
      <c r="H616" s="32" t="s">
        <v>477</v>
      </c>
      <c r="I616" s="63"/>
      <c r="EP616" s="80"/>
    </row>
    <row r="617" spans="1:146" s="79" customFormat="1" ht="31.2" x14ac:dyDescent="0.3">
      <c r="A617" s="26">
        <v>20</v>
      </c>
      <c r="B617" s="26" t="s">
        <v>29</v>
      </c>
      <c r="C617" s="26">
        <v>2</v>
      </c>
      <c r="D617" s="32" t="s">
        <v>1</v>
      </c>
      <c r="E617" s="32" t="s">
        <v>478</v>
      </c>
      <c r="F617" s="26" t="s">
        <v>63</v>
      </c>
      <c r="G617" s="36">
        <v>40</v>
      </c>
      <c r="H617" s="32" t="s">
        <v>477</v>
      </c>
      <c r="I617" s="63"/>
      <c r="EP617" s="80"/>
    </row>
    <row r="618" spans="1:146" s="79" customFormat="1" ht="62.4" x14ac:dyDescent="0.3">
      <c r="A618" s="26">
        <v>20</v>
      </c>
      <c r="B618" s="26" t="s">
        <v>29</v>
      </c>
      <c r="C618" s="26">
        <v>2</v>
      </c>
      <c r="D618" s="32" t="s">
        <v>375</v>
      </c>
      <c r="E618" s="32" t="s">
        <v>475</v>
      </c>
      <c r="F618" s="26" t="s">
        <v>63</v>
      </c>
      <c r="G618" s="36">
        <v>137</v>
      </c>
      <c r="H618" s="32" t="s">
        <v>570</v>
      </c>
      <c r="I618" s="63"/>
      <c r="EP618" s="80"/>
    </row>
    <row r="619" spans="1:146" s="79" customFormat="1" ht="31.2" x14ac:dyDescent="0.3">
      <c r="A619" s="57">
        <v>20</v>
      </c>
      <c r="B619" s="57" t="s">
        <v>29</v>
      </c>
      <c r="C619" s="57">
        <v>3</v>
      </c>
      <c r="D619" s="58" t="s">
        <v>4</v>
      </c>
      <c r="E619" s="58" t="s">
        <v>822</v>
      </c>
      <c r="F619" s="57" t="s">
        <v>63</v>
      </c>
      <c r="G619" s="59">
        <v>25</v>
      </c>
      <c r="H619" s="58" t="s">
        <v>823</v>
      </c>
      <c r="I619" s="63"/>
      <c r="EP619" s="80"/>
    </row>
    <row r="620" spans="1:146" s="79" customFormat="1" ht="31.2" x14ac:dyDescent="0.3">
      <c r="A620" s="57">
        <v>20</v>
      </c>
      <c r="B620" s="57" t="s">
        <v>29</v>
      </c>
      <c r="C620" s="57">
        <v>3</v>
      </c>
      <c r="D620" s="58" t="s">
        <v>0</v>
      </c>
      <c r="E620" s="58" t="s">
        <v>829</v>
      </c>
      <c r="F620" s="57" t="s">
        <v>63</v>
      </c>
      <c r="G620" s="59">
        <v>50</v>
      </c>
      <c r="H620" s="58" t="s">
        <v>477</v>
      </c>
      <c r="I620" s="63"/>
      <c r="EP620" s="80"/>
    </row>
    <row r="621" spans="1:146" s="79" customFormat="1" ht="31.2" x14ac:dyDescent="0.3">
      <c r="A621" s="57">
        <v>20</v>
      </c>
      <c r="B621" s="57" t="s">
        <v>29</v>
      </c>
      <c r="C621" s="57">
        <v>3</v>
      </c>
      <c r="D621" s="58" t="s">
        <v>124</v>
      </c>
      <c r="E621" s="58" t="s">
        <v>995</v>
      </c>
      <c r="F621" s="57" t="s">
        <v>51</v>
      </c>
      <c r="G621" s="59">
        <v>212</v>
      </c>
      <c r="H621" s="58" t="s">
        <v>824</v>
      </c>
      <c r="I621" s="63"/>
      <c r="EP621" s="80"/>
    </row>
    <row r="622" spans="1:146" s="79" customFormat="1" ht="31.2" x14ac:dyDescent="0.3">
      <c r="A622" s="57">
        <v>20</v>
      </c>
      <c r="B622" s="57" t="s">
        <v>29</v>
      </c>
      <c r="C622" s="57">
        <v>3</v>
      </c>
      <c r="D622" s="58" t="s">
        <v>1</v>
      </c>
      <c r="E622" s="58" t="s">
        <v>820</v>
      </c>
      <c r="F622" s="57" t="s">
        <v>63</v>
      </c>
      <c r="G622" s="59">
        <v>15</v>
      </c>
      <c r="H622" s="58" t="s">
        <v>821</v>
      </c>
      <c r="I622" s="63"/>
      <c r="EP622" s="80"/>
    </row>
    <row r="623" spans="1:146" s="79" customFormat="1" ht="31.2" x14ac:dyDescent="0.3">
      <c r="A623" s="57">
        <v>20</v>
      </c>
      <c r="B623" s="57" t="s">
        <v>29</v>
      </c>
      <c r="C623" s="57">
        <v>3</v>
      </c>
      <c r="D623" s="58" t="s">
        <v>1</v>
      </c>
      <c r="E623" s="58" t="s">
        <v>830</v>
      </c>
      <c r="F623" s="57" t="s">
        <v>63</v>
      </c>
      <c r="G623" s="59">
        <v>50</v>
      </c>
      <c r="H623" s="58" t="s">
        <v>477</v>
      </c>
      <c r="I623" s="63"/>
      <c r="EP623" s="80"/>
    </row>
    <row r="624" spans="1:146" s="79" customFormat="1" ht="31.2" x14ac:dyDescent="0.3">
      <c r="A624" s="57">
        <v>20</v>
      </c>
      <c r="B624" s="57" t="s">
        <v>29</v>
      </c>
      <c r="C624" s="57">
        <v>3</v>
      </c>
      <c r="D624" s="58" t="s">
        <v>1</v>
      </c>
      <c r="E624" s="58" t="s">
        <v>831</v>
      </c>
      <c r="F624" s="57" t="s">
        <v>63</v>
      </c>
      <c r="G624" s="59">
        <v>40</v>
      </c>
      <c r="H624" s="58" t="s">
        <v>477</v>
      </c>
      <c r="I624" s="63"/>
      <c r="EP624" s="80"/>
    </row>
    <row r="625" spans="1:146" s="79" customFormat="1" ht="31.2" x14ac:dyDescent="0.3">
      <c r="A625" s="57">
        <v>20</v>
      </c>
      <c r="B625" s="57" t="s">
        <v>29</v>
      </c>
      <c r="C625" s="57">
        <v>3</v>
      </c>
      <c r="D625" s="58" t="s">
        <v>1</v>
      </c>
      <c r="E625" s="58" t="s">
        <v>832</v>
      </c>
      <c r="F625" s="57" t="s">
        <v>63</v>
      </c>
      <c r="G625" s="59">
        <v>50</v>
      </c>
      <c r="H625" s="58" t="s">
        <v>477</v>
      </c>
      <c r="I625" s="63"/>
      <c r="EP625" s="80"/>
    </row>
    <row r="626" spans="1:146" s="79" customFormat="1" ht="31.2" x14ac:dyDescent="0.3">
      <c r="A626" s="57">
        <v>20</v>
      </c>
      <c r="B626" s="57" t="s">
        <v>29</v>
      </c>
      <c r="C626" s="57">
        <v>3</v>
      </c>
      <c r="D626" s="58" t="s">
        <v>1</v>
      </c>
      <c r="E626" s="58" t="s">
        <v>833</v>
      </c>
      <c r="F626" s="57" t="s">
        <v>63</v>
      </c>
      <c r="G626" s="59">
        <v>100</v>
      </c>
      <c r="H626" s="58" t="s">
        <v>477</v>
      </c>
      <c r="I626" s="63"/>
      <c r="EP626" s="80"/>
    </row>
    <row r="627" spans="1:146" s="79" customFormat="1" ht="31.2" x14ac:dyDescent="0.3">
      <c r="A627" s="57">
        <v>20</v>
      </c>
      <c r="B627" s="57" t="s">
        <v>29</v>
      </c>
      <c r="C627" s="57">
        <v>3</v>
      </c>
      <c r="D627" s="58" t="s">
        <v>1</v>
      </c>
      <c r="E627" s="58" t="s">
        <v>834</v>
      </c>
      <c r="F627" s="57" t="s">
        <v>63</v>
      </c>
      <c r="G627" s="59">
        <v>30</v>
      </c>
      <c r="H627" s="58" t="s">
        <v>477</v>
      </c>
      <c r="I627" s="63"/>
      <c r="EP627" s="80"/>
    </row>
    <row r="628" spans="1:146" s="79" customFormat="1" ht="31.2" x14ac:dyDescent="0.3">
      <c r="A628" s="57">
        <v>20</v>
      </c>
      <c r="B628" s="57" t="s">
        <v>29</v>
      </c>
      <c r="C628" s="57">
        <v>3</v>
      </c>
      <c r="D628" s="58" t="s">
        <v>1</v>
      </c>
      <c r="E628" s="58" t="s">
        <v>835</v>
      </c>
      <c r="F628" s="57" t="s">
        <v>63</v>
      </c>
      <c r="G628" s="59">
        <v>50</v>
      </c>
      <c r="H628" s="58" t="s">
        <v>477</v>
      </c>
      <c r="I628" s="63"/>
      <c r="EP628" s="80"/>
    </row>
    <row r="629" spans="1:146" s="79" customFormat="1" ht="31.2" x14ac:dyDescent="0.3">
      <c r="A629" s="57">
        <v>20</v>
      </c>
      <c r="B629" s="57" t="s">
        <v>29</v>
      </c>
      <c r="C629" s="57">
        <v>3</v>
      </c>
      <c r="D629" s="58" t="s">
        <v>1</v>
      </c>
      <c r="E629" s="58" t="s">
        <v>836</v>
      </c>
      <c r="F629" s="57" t="s">
        <v>63</v>
      </c>
      <c r="G629" s="59">
        <v>25</v>
      </c>
      <c r="H629" s="58" t="s">
        <v>477</v>
      </c>
      <c r="I629" s="63"/>
      <c r="EP629" s="80"/>
    </row>
    <row r="630" spans="1:146" s="79" customFormat="1" ht="31.2" x14ac:dyDescent="0.3">
      <c r="A630" s="57">
        <v>20</v>
      </c>
      <c r="B630" s="57" t="s">
        <v>29</v>
      </c>
      <c r="C630" s="57">
        <v>3</v>
      </c>
      <c r="D630" s="58" t="s">
        <v>1</v>
      </c>
      <c r="E630" s="58" t="s">
        <v>837</v>
      </c>
      <c r="F630" s="57" t="s">
        <v>63</v>
      </c>
      <c r="G630" s="59">
        <v>50</v>
      </c>
      <c r="H630" s="58" t="s">
        <v>477</v>
      </c>
      <c r="I630" s="63"/>
      <c r="EP630" s="80"/>
    </row>
    <row r="631" spans="1:146" s="79" customFormat="1" ht="31.2" x14ac:dyDescent="0.3">
      <c r="A631" s="57">
        <v>20</v>
      </c>
      <c r="B631" s="57" t="s">
        <v>29</v>
      </c>
      <c r="C631" s="57">
        <v>3</v>
      </c>
      <c r="D631" s="58" t="s">
        <v>1</v>
      </c>
      <c r="E631" s="58" t="s">
        <v>838</v>
      </c>
      <c r="F631" s="57" t="s">
        <v>63</v>
      </c>
      <c r="G631" s="59">
        <v>40</v>
      </c>
      <c r="H631" s="58" t="s">
        <v>477</v>
      </c>
      <c r="I631" s="63"/>
      <c r="EP631" s="80"/>
    </row>
    <row r="632" spans="1:146" s="79" customFormat="1" ht="31.2" x14ac:dyDescent="0.3">
      <c r="A632" s="57">
        <v>20</v>
      </c>
      <c r="B632" s="57" t="s">
        <v>29</v>
      </c>
      <c r="C632" s="57">
        <v>3</v>
      </c>
      <c r="D632" s="58" t="s">
        <v>1</v>
      </c>
      <c r="E632" s="58" t="s">
        <v>839</v>
      </c>
      <c r="F632" s="57" t="s">
        <v>63</v>
      </c>
      <c r="G632" s="59">
        <v>25</v>
      </c>
      <c r="H632" s="58" t="s">
        <v>477</v>
      </c>
      <c r="I632" s="63"/>
      <c r="EP632" s="80"/>
    </row>
    <row r="633" spans="1:146" s="79" customFormat="1" ht="31.2" x14ac:dyDescent="0.3">
      <c r="A633" s="57">
        <v>20</v>
      </c>
      <c r="B633" s="57" t="s">
        <v>29</v>
      </c>
      <c r="C633" s="57">
        <v>3</v>
      </c>
      <c r="D633" s="58" t="s">
        <v>1</v>
      </c>
      <c r="E633" s="58" t="s">
        <v>840</v>
      </c>
      <c r="F633" s="57" t="s">
        <v>63</v>
      </c>
      <c r="G633" s="59">
        <v>50</v>
      </c>
      <c r="H633" s="58" t="s">
        <v>477</v>
      </c>
      <c r="I633" s="63"/>
      <c r="EP633" s="80"/>
    </row>
    <row r="634" spans="1:146" s="79" customFormat="1" ht="31.2" x14ac:dyDescent="0.3">
      <c r="A634" s="57">
        <v>20</v>
      </c>
      <c r="B634" s="57" t="s">
        <v>29</v>
      </c>
      <c r="C634" s="57">
        <v>3</v>
      </c>
      <c r="D634" s="58" t="s">
        <v>1</v>
      </c>
      <c r="E634" s="58" t="s">
        <v>841</v>
      </c>
      <c r="F634" s="57" t="s">
        <v>63</v>
      </c>
      <c r="G634" s="59">
        <v>50</v>
      </c>
      <c r="H634" s="58" t="s">
        <v>477</v>
      </c>
      <c r="I634" s="63"/>
      <c r="EP634" s="80"/>
    </row>
    <row r="635" spans="1:146" s="79" customFormat="1" ht="31.2" x14ac:dyDescent="0.3">
      <c r="A635" s="57">
        <v>20</v>
      </c>
      <c r="B635" s="57" t="s">
        <v>29</v>
      </c>
      <c r="C635" s="57">
        <v>3</v>
      </c>
      <c r="D635" s="58" t="s">
        <v>1</v>
      </c>
      <c r="E635" s="58" t="s">
        <v>842</v>
      </c>
      <c r="F635" s="57" t="s">
        <v>63</v>
      </c>
      <c r="G635" s="59">
        <v>50</v>
      </c>
      <c r="H635" s="58" t="s">
        <v>477</v>
      </c>
      <c r="I635" s="63"/>
      <c r="EP635" s="80"/>
    </row>
    <row r="636" spans="1:146" s="79" customFormat="1" ht="31.2" x14ac:dyDescent="0.3">
      <c r="A636" s="57">
        <v>20</v>
      </c>
      <c r="B636" s="57" t="s">
        <v>29</v>
      </c>
      <c r="C636" s="57">
        <v>3</v>
      </c>
      <c r="D636" s="58" t="s">
        <v>1</v>
      </c>
      <c r="E636" s="58" t="s">
        <v>843</v>
      </c>
      <c r="F636" s="57" t="s">
        <v>63</v>
      </c>
      <c r="G636" s="59">
        <v>25</v>
      </c>
      <c r="H636" s="58" t="s">
        <v>477</v>
      </c>
      <c r="I636" s="63"/>
      <c r="EP636" s="80"/>
    </row>
    <row r="637" spans="1:146" s="79" customFormat="1" ht="31.2" x14ac:dyDescent="0.3">
      <c r="A637" s="57">
        <v>20</v>
      </c>
      <c r="B637" s="57" t="s">
        <v>29</v>
      </c>
      <c r="C637" s="57">
        <v>3</v>
      </c>
      <c r="D637" s="58" t="s">
        <v>1</v>
      </c>
      <c r="E637" s="58" t="s">
        <v>844</v>
      </c>
      <c r="F637" s="57" t="s">
        <v>63</v>
      </c>
      <c r="G637" s="59">
        <v>50</v>
      </c>
      <c r="H637" s="58" t="s">
        <v>477</v>
      </c>
      <c r="I637" s="63"/>
      <c r="EP637" s="80"/>
    </row>
    <row r="638" spans="1:146" s="79" customFormat="1" ht="31.2" x14ac:dyDescent="0.3">
      <c r="A638" s="57">
        <v>20</v>
      </c>
      <c r="B638" s="57" t="s">
        <v>29</v>
      </c>
      <c r="C638" s="57">
        <v>3</v>
      </c>
      <c r="D638" s="58" t="s">
        <v>1</v>
      </c>
      <c r="E638" s="58" t="s">
        <v>845</v>
      </c>
      <c r="F638" s="57" t="s">
        <v>63</v>
      </c>
      <c r="G638" s="59">
        <v>50</v>
      </c>
      <c r="H638" s="58" t="s">
        <v>477</v>
      </c>
      <c r="I638" s="63"/>
      <c r="EP638" s="80"/>
    </row>
    <row r="639" spans="1:146" s="79" customFormat="1" ht="31.2" x14ac:dyDescent="0.3">
      <c r="A639" s="57">
        <v>20</v>
      </c>
      <c r="B639" s="57" t="s">
        <v>29</v>
      </c>
      <c r="C639" s="57">
        <v>3</v>
      </c>
      <c r="D639" s="58" t="s">
        <v>1</v>
      </c>
      <c r="E639" s="58" t="s">
        <v>846</v>
      </c>
      <c r="F639" s="57" t="s">
        <v>63</v>
      </c>
      <c r="G639" s="59">
        <v>30</v>
      </c>
      <c r="H639" s="58" t="s">
        <v>477</v>
      </c>
      <c r="I639" s="63"/>
      <c r="EP639" s="80"/>
    </row>
    <row r="640" spans="1:146" s="79" customFormat="1" ht="31.2" x14ac:dyDescent="0.3">
      <c r="A640" s="57">
        <v>20</v>
      </c>
      <c r="B640" s="57" t="s">
        <v>29</v>
      </c>
      <c r="C640" s="57">
        <v>3</v>
      </c>
      <c r="D640" s="58" t="s">
        <v>1</v>
      </c>
      <c r="E640" s="58" t="s">
        <v>847</v>
      </c>
      <c r="F640" s="57" t="s">
        <v>63</v>
      </c>
      <c r="G640" s="59">
        <v>30</v>
      </c>
      <c r="H640" s="58" t="s">
        <v>477</v>
      </c>
      <c r="I640" s="63"/>
      <c r="EP640" s="80"/>
    </row>
    <row r="641" spans="1:146" s="79" customFormat="1" ht="31.2" x14ac:dyDescent="0.3">
      <c r="A641" s="57">
        <v>20</v>
      </c>
      <c r="B641" s="57" t="s">
        <v>29</v>
      </c>
      <c r="C641" s="57">
        <v>3</v>
      </c>
      <c r="D641" s="58" t="s">
        <v>1</v>
      </c>
      <c r="E641" s="58" t="s">
        <v>848</v>
      </c>
      <c r="F641" s="57" t="s">
        <v>63</v>
      </c>
      <c r="G641" s="59">
        <v>40</v>
      </c>
      <c r="H641" s="58" t="s">
        <v>477</v>
      </c>
      <c r="I641" s="63"/>
      <c r="EP641" s="80"/>
    </row>
    <row r="642" spans="1:146" s="79" customFormat="1" ht="31.2" x14ac:dyDescent="0.3">
      <c r="A642" s="57">
        <v>20</v>
      </c>
      <c r="B642" s="57" t="s">
        <v>29</v>
      </c>
      <c r="C642" s="57">
        <v>3</v>
      </c>
      <c r="D642" s="58" t="s">
        <v>1</v>
      </c>
      <c r="E642" s="58" t="s">
        <v>849</v>
      </c>
      <c r="F642" s="57" t="s">
        <v>63</v>
      </c>
      <c r="G642" s="59">
        <v>50</v>
      </c>
      <c r="H642" s="58" t="s">
        <v>477</v>
      </c>
      <c r="I642" s="63"/>
      <c r="EP642" s="80"/>
    </row>
    <row r="643" spans="1:146" s="79" customFormat="1" ht="31.2" x14ac:dyDescent="0.3">
      <c r="A643" s="57">
        <v>20</v>
      </c>
      <c r="B643" s="57" t="s">
        <v>29</v>
      </c>
      <c r="C643" s="57">
        <v>3</v>
      </c>
      <c r="D643" s="58" t="s">
        <v>1</v>
      </c>
      <c r="E643" s="58" t="s">
        <v>850</v>
      </c>
      <c r="F643" s="57" t="s">
        <v>63</v>
      </c>
      <c r="G643" s="59">
        <v>30</v>
      </c>
      <c r="H643" s="58" t="s">
        <v>477</v>
      </c>
      <c r="I643" s="63"/>
      <c r="EP643" s="80"/>
    </row>
    <row r="644" spans="1:146" s="79" customFormat="1" ht="31.2" x14ac:dyDescent="0.3">
      <c r="A644" s="57">
        <v>20</v>
      </c>
      <c r="B644" s="57" t="s">
        <v>29</v>
      </c>
      <c r="C644" s="57">
        <v>3</v>
      </c>
      <c r="D644" s="58" t="s">
        <v>1</v>
      </c>
      <c r="E644" s="58" t="s">
        <v>851</v>
      </c>
      <c r="F644" s="57" t="s">
        <v>63</v>
      </c>
      <c r="G644" s="59">
        <v>60</v>
      </c>
      <c r="H644" s="58" t="s">
        <v>477</v>
      </c>
      <c r="I644" s="63"/>
      <c r="EP644" s="80"/>
    </row>
    <row r="645" spans="1:146" s="79" customFormat="1" ht="31.2" x14ac:dyDescent="0.3">
      <c r="A645" s="57">
        <v>20</v>
      </c>
      <c r="B645" s="57" t="s">
        <v>29</v>
      </c>
      <c r="C645" s="57">
        <v>3</v>
      </c>
      <c r="D645" s="58" t="s">
        <v>1</v>
      </c>
      <c r="E645" s="58" t="s">
        <v>852</v>
      </c>
      <c r="F645" s="57" t="s">
        <v>63</v>
      </c>
      <c r="G645" s="59">
        <v>25</v>
      </c>
      <c r="H645" s="58" t="s">
        <v>477</v>
      </c>
      <c r="I645" s="63"/>
      <c r="EP645" s="80"/>
    </row>
    <row r="646" spans="1:146" s="79" customFormat="1" ht="31.2" x14ac:dyDescent="0.3">
      <c r="A646" s="57">
        <v>20</v>
      </c>
      <c r="B646" s="57" t="s">
        <v>29</v>
      </c>
      <c r="C646" s="57">
        <v>3</v>
      </c>
      <c r="D646" s="58" t="s">
        <v>1</v>
      </c>
      <c r="E646" s="58" t="s">
        <v>853</v>
      </c>
      <c r="F646" s="57" t="s">
        <v>63</v>
      </c>
      <c r="G646" s="59">
        <v>25</v>
      </c>
      <c r="H646" s="58" t="s">
        <v>477</v>
      </c>
      <c r="I646" s="50"/>
      <c r="EP646" s="80"/>
    </row>
    <row r="647" spans="1:146" s="79" customFormat="1" ht="31.2" x14ac:dyDescent="0.3">
      <c r="A647" s="57">
        <v>20</v>
      </c>
      <c r="B647" s="57" t="s">
        <v>29</v>
      </c>
      <c r="C647" s="57">
        <v>3</v>
      </c>
      <c r="D647" s="58" t="s">
        <v>375</v>
      </c>
      <c r="E647" s="58" t="s">
        <v>825</v>
      </c>
      <c r="F647" s="57" t="s">
        <v>63</v>
      </c>
      <c r="G647" s="59">
        <v>17</v>
      </c>
      <c r="H647" s="58" t="s">
        <v>826</v>
      </c>
      <c r="I647" s="63"/>
      <c r="EP647" s="80"/>
    </row>
    <row r="648" spans="1:146" s="79" customFormat="1" ht="31.2" x14ac:dyDescent="0.3">
      <c r="A648" s="57">
        <v>20</v>
      </c>
      <c r="B648" s="57" t="s">
        <v>29</v>
      </c>
      <c r="C648" s="57">
        <v>3</v>
      </c>
      <c r="D648" s="58" t="s">
        <v>375</v>
      </c>
      <c r="E648" s="58" t="s">
        <v>827</v>
      </c>
      <c r="F648" s="57" t="s">
        <v>51</v>
      </c>
      <c r="G648" s="59">
        <v>8</v>
      </c>
      <c r="H648" s="58" t="s">
        <v>828</v>
      </c>
      <c r="I648" s="63"/>
      <c r="EP648" s="80"/>
    </row>
    <row r="649" spans="1:146" s="79" customFormat="1" ht="31.2" x14ac:dyDescent="0.3">
      <c r="A649" s="39">
        <v>20</v>
      </c>
      <c r="B649" s="39" t="s">
        <v>29</v>
      </c>
      <c r="C649" s="39">
        <v>4</v>
      </c>
      <c r="D649" s="44" t="s">
        <v>1</v>
      </c>
      <c r="E649" s="44" t="s">
        <v>1264</v>
      </c>
      <c r="F649" s="39" t="s">
        <v>63</v>
      </c>
      <c r="G649" s="48" t="s">
        <v>1265</v>
      </c>
      <c r="H649" s="44" t="s">
        <v>477</v>
      </c>
      <c r="I649" s="63"/>
      <c r="EP649" s="80"/>
    </row>
    <row r="650" spans="1:146" s="79" customFormat="1" ht="31.2" x14ac:dyDescent="0.3">
      <c r="A650" s="39">
        <v>20</v>
      </c>
      <c r="B650" s="39" t="s">
        <v>29</v>
      </c>
      <c r="C650" s="39">
        <v>4</v>
      </c>
      <c r="D650" s="44" t="s">
        <v>1</v>
      </c>
      <c r="E650" s="44" t="s">
        <v>1266</v>
      </c>
      <c r="F650" s="39" t="s">
        <v>63</v>
      </c>
      <c r="G650" s="48" t="s">
        <v>1267</v>
      </c>
      <c r="H650" s="44" t="s">
        <v>477</v>
      </c>
      <c r="I650" s="63"/>
      <c r="EP650" s="80"/>
    </row>
    <row r="651" spans="1:146" s="79" customFormat="1" ht="31.2" x14ac:dyDescent="0.3">
      <c r="A651" s="39">
        <v>20</v>
      </c>
      <c r="B651" s="39" t="s">
        <v>29</v>
      </c>
      <c r="C651" s="39">
        <v>4</v>
      </c>
      <c r="D651" s="44" t="s">
        <v>1</v>
      </c>
      <c r="E651" s="44" t="s">
        <v>1499</v>
      </c>
      <c r="F651" s="39" t="s">
        <v>63</v>
      </c>
      <c r="G651" s="48" t="s">
        <v>1268</v>
      </c>
      <c r="H651" s="44" t="s">
        <v>477</v>
      </c>
      <c r="I651" s="63"/>
      <c r="EP651" s="80"/>
    </row>
    <row r="652" spans="1:146" s="79" customFormat="1" ht="31.2" x14ac:dyDescent="0.3">
      <c r="A652" s="39">
        <v>20</v>
      </c>
      <c r="B652" s="39" t="s">
        <v>29</v>
      </c>
      <c r="C652" s="39">
        <v>4</v>
      </c>
      <c r="D652" s="44" t="s">
        <v>1</v>
      </c>
      <c r="E652" s="44" t="s">
        <v>1269</v>
      </c>
      <c r="F652" s="39" t="s">
        <v>63</v>
      </c>
      <c r="G652" s="48" t="s">
        <v>1270</v>
      </c>
      <c r="H652" s="44" t="s">
        <v>477</v>
      </c>
      <c r="I652" s="63"/>
      <c r="EP652" s="80"/>
    </row>
    <row r="653" spans="1:146" s="79" customFormat="1" ht="31.2" x14ac:dyDescent="0.3">
      <c r="A653" s="39">
        <v>20</v>
      </c>
      <c r="B653" s="39" t="s">
        <v>29</v>
      </c>
      <c r="C653" s="39">
        <v>4</v>
      </c>
      <c r="D653" s="44" t="s">
        <v>0</v>
      </c>
      <c r="E653" s="44" t="s">
        <v>1271</v>
      </c>
      <c r="F653" s="39" t="s">
        <v>63</v>
      </c>
      <c r="G653" s="48" t="s">
        <v>1267</v>
      </c>
      <c r="H653" s="44" t="s">
        <v>477</v>
      </c>
      <c r="I653" s="63"/>
      <c r="EP653" s="80"/>
    </row>
    <row r="654" spans="1:146" s="79" customFormat="1" ht="31.2" x14ac:dyDescent="0.3">
      <c r="A654" s="39">
        <v>20</v>
      </c>
      <c r="B654" s="39" t="s">
        <v>29</v>
      </c>
      <c r="C654" s="39">
        <v>4</v>
      </c>
      <c r="D654" s="44" t="s">
        <v>1</v>
      </c>
      <c r="E654" s="44" t="s">
        <v>1272</v>
      </c>
      <c r="F654" s="39" t="s">
        <v>63</v>
      </c>
      <c r="G654" s="48" t="s">
        <v>1267</v>
      </c>
      <c r="H654" s="44" t="s">
        <v>477</v>
      </c>
      <c r="I654" s="63"/>
      <c r="EP654" s="80"/>
    </row>
    <row r="655" spans="1:146" s="79" customFormat="1" ht="31.2" x14ac:dyDescent="0.3">
      <c r="A655" s="39">
        <v>20</v>
      </c>
      <c r="B655" s="39" t="s">
        <v>29</v>
      </c>
      <c r="C655" s="39">
        <v>4</v>
      </c>
      <c r="D655" s="44" t="s">
        <v>1</v>
      </c>
      <c r="E655" s="44" t="s">
        <v>1273</v>
      </c>
      <c r="F655" s="39" t="s">
        <v>63</v>
      </c>
      <c r="G655" s="48" t="s">
        <v>1267</v>
      </c>
      <c r="H655" s="44" t="s">
        <v>477</v>
      </c>
      <c r="I655" s="63"/>
      <c r="EP655" s="80"/>
    </row>
    <row r="656" spans="1:146" s="79" customFormat="1" ht="31.2" x14ac:dyDescent="0.3">
      <c r="A656" s="39">
        <v>20</v>
      </c>
      <c r="B656" s="39" t="s">
        <v>29</v>
      </c>
      <c r="C656" s="39">
        <v>4</v>
      </c>
      <c r="D656" s="44" t="s">
        <v>1</v>
      </c>
      <c r="E656" s="44" t="s">
        <v>1274</v>
      </c>
      <c r="F656" s="39" t="s">
        <v>63</v>
      </c>
      <c r="G656" s="48" t="s">
        <v>1267</v>
      </c>
      <c r="H656" s="44" t="s">
        <v>477</v>
      </c>
      <c r="I656" s="63"/>
      <c r="EP656" s="80"/>
    </row>
    <row r="657" spans="1:146" s="79" customFormat="1" ht="31.2" x14ac:dyDescent="0.3">
      <c r="A657" s="39">
        <v>20</v>
      </c>
      <c r="B657" s="39" t="s">
        <v>29</v>
      </c>
      <c r="C657" s="39">
        <v>4</v>
      </c>
      <c r="D657" s="44" t="s">
        <v>1</v>
      </c>
      <c r="E657" s="44" t="s">
        <v>1275</v>
      </c>
      <c r="F657" s="39" t="s">
        <v>63</v>
      </c>
      <c r="G657" s="48" t="s">
        <v>1267</v>
      </c>
      <c r="H657" s="44" t="s">
        <v>477</v>
      </c>
      <c r="I657" s="63"/>
      <c r="EP657" s="80"/>
    </row>
    <row r="658" spans="1:146" s="79" customFormat="1" ht="31.2" x14ac:dyDescent="0.3">
      <c r="A658" s="39">
        <v>20</v>
      </c>
      <c r="B658" s="39" t="s">
        <v>29</v>
      </c>
      <c r="C658" s="39">
        <v>4</v>
      </c>
      <c r="D658" s="44" t="s">
        <v>1</v>
      </c>
      <c r="E658" s="44" t="s">
        <v>1276</v>
      </c>
      <c r="F658" s="39" t="s">
        <v>63</v>
      </c>
      <c r="G658" s="48" t="s">
        <v>1267</v>
      </c>
      <c r="H658" s="44" t="s">
        <v>477</v>
      </c>
      <c r="I658" s="63"/>
      <c r="EP658" s="80"/>
    </row>
    <row r="659" spans="1:146" s="79" customFormat="1" ht="31.2" x14ac:dyDescent="0.3">
      <c r="A659" s="39">
        <v>20</v>
      </c>
      <c r="B659" s="39" t="s">
        <v>29</v>
      </c>
      <c r="C659" s="39">
        <v>4</v>
      </c>
      <c r="D659" s="44" t="s">
        <v>1</v>
      </c>
      <c r="E659" s="44" t="s">
        <v>1277</v>
      </c>
      <c r="F659" s="39" t="s">
        <v>63</v>
      </c>
      <c r="G659" s="48" t="s">
        <v>1267</v>
      </c>
      <c r="H659" s="44" t="s">
        <v>477</v>
      </c>
      <c r="I659" s="63"/>
      <c r="EP659" s="80"/>
    </row>
    <row r="660" spans="1:146" s="79" customFormat="1" ht="31.2" x14ac:dyDescent="0.3">
      <c r="A660" s="39">
        <v>20</v>
      </c>
      <c r="B660" s="39" t="s">
        <v>29</v>
      </c>
      <c r="C660" s="39">
        <v>4</v>
      </c>
      <c r="D660" s="44" t="s">
        <v>124</v>
      </c>
      <c r="E660" s="44" t="s">
        <v>1278</v>
      </c>
      <c r="F660" s="39" t="s">
        <v>63</v>
      </c>
      <c r="G660" s="48" t="s">
        <v>1279</v>
      </c>
      <c r="H660" s="44" t="s">
        <v>1280</v>
      </c>
      <c r="I660" s="63"/>
      <c r="EP660" s="80"/>
    </row>
    <row r="661" spans="1:146" s="79" customFormat="1" ht="31.2" x14ac:dyDescent="0.3">
      <c r="A661" s="39">
        <v>20</v>
      </c>
      <c r="B661" s="39" t="s">
        <v>29</v>
      </c>
      <c r="C661" s="39">
        <v>4</v>
      </c>
      <c r="D661" s="44" t="s">
        <v>124</v>
      </c>
      <c r="E661" s="44" t="s">
        <v>1281</v>
      </c>
      <c r="F661" s="39" t="s">
        <v>63</v>
      </c>
      <c r="G661" s="48" t="s">
        <v>1282</v>
      </c>
      <c r="H661" s="44" t="s">
        <v>1283</v>
      </c>
      <c r="I661" s="63"/>
      <c r="EP661" s="80"/>
    </row>
    <row r="662" spans="1:146" s="79" customFormat="1" ht="31.2" x14ac:dyDescent="0.3">
      <c r="A662" s="39">
        <v>20</v>
      </c>
      <c r="B662" s="39" t="s">
        <v>29</v>
      </c>
      <c r="C662" s="39">
        <v>4</v>
      </c>
      <c r="D662" s="44" t="s">
        <v>0</v>
      </c>
      <c r="E662" s="44" t="s">
        <v>1284</v>
      </c>
      <c r="F662" s="39" t="s">
        <v>63</v>
      </c>
      <c r="G662" s="48" t="s">
        <v>1285</v>
      </c>
      <c r="H662" s="44" t="s">
        <v>1286</v>
      </c>
      <c r="I662" s="63"/>
      <c r="EP662" s="80"/>
    </row>
    <row r="663" spans="1:146" s="79" customFormat="1" ht="31.2" x14ac:dyDescent="0.3">
      <c r="A663" s="39">
        <v>20</v>
      </c>
      <c r="B663" s="39" t="s">
        <v>29</v>
      </c>
      <c r="C663" s="39">
        <v>4</v>
      </c>
      <c r="D663" s="44" t="s">
        <v>0</v>
      </c>
      <c r="E663" s="44" t="s">
        <v>1287</v>
      </c>
      <c r="F663" s="39" t="s">
        <v>63</v>
      </c>
      <c r="G663" s="48" t="s">
        <v>1288</v>
      </c>
      <c r="H663" s="44" t="s">
        <v>1286</v>
      </c>
      <c r="I663" s="63"/>
      <c r="EP663" s="80"/>
    </row>
    <row r="664" spans="1:146" s="79" customFormat="1" ht="31.2" x14ac:dyDescent="0.3">
      <c r="A664" s="39">
        <v>20</v>
      </c>
      <c r="B664" s="39" t="s">
        <v>29</v>
      </c>
      <c r="C664" s="39">
        <v>4</v>
      </c>
      <c r="D664" s="44" t="s">
        <v>375</v>
      </c>
      <c r="E664" s="44" t="s">
        <v>1289</v>
      </c>
      <c r="F664" s="39" t="s">
        <v>63</v>
      </c>
      <c r="G664" s="48" t="s">
        <v>1290</v>
      </c>
      <c r="H664" s="44" t="s">
        <v>1286</v>
      </c>
      <c r="I664" s="63"/>
      <c r="EP664" s="80"/>
    </row>
    <row r="665" spans="1:146" s="79" customFormat="1" ht="31.2" x14ac:dyDescent="0.3">
      <c r="A665" s="39">
        <v>20</v>
      </c>
      <c r="B665" s="39" t="s">
        <v>29</v>
      </c>
      <c r="C665" s="39">
        <v>4</v>
      </c>
      <c r="D665" s="44" t="s">
        <v>375</v>
      </c>
      <c r="E665" s="44" t="s">
        <v>1500</v>
      </c>
      <c r="F665" s="39" t="s">
        <v>63</v>
      </c>
      <c r="G665" s="48" t="s">
        <v>1291</v>
      </c>
      <c r="H665" s="44" t="s">
        <v>1286</v>
      </c>
      <c r="I665" s="63"/>
      <c r="EP665" s="80"/>
    </row>
    <row r="666" spans="1:146" s="79" customFormat="1" x14ac:dyDescent="0.3">
      <c r="A666" s="39">
        <v>20</v>
      </c>
      <c r="B666" s="39" t="s">
        <v>29</v>
      </c>
      <c r="C666" s="39">
        <v>4</v>
      </c>
      <c r="D666" s="44" t="s">
        <v>375</v>
      </c>
      <c r="E666" s="44" t="s">
        <v>1292</v>
      </c>
      <c r="F666" s="39" t="s">
        <v>63</v>
      </c>
      <c r="G666" s="48" t="s">
        <v>1293</v>
      </c>
      <c r="H666" s="44" t="s">
        <v>1292</v>
      </c>
      <c r="I666" s="63"/>
      <c r="EP666" s="80"/>
    </row>
    <row r="667" spans="1:146" s="79" customFormat="1" ht="31.2" x14ac:dyDescent="0.3">
      <c r="A667" s="39">
        <v>20</v>
      </c>
      <c r="B667" s="39" t="s">
        <v>29</v>
      </c>
      <c r="C667" s="39">
        <v>4</v>
      </c>
      <c r="D667" s="44" t="s">
        <v>1</v>
      </c>
      <c r="E667" s="44" t="s">
        <v>1294</v>
      </c>
      <c r="F667" s="39" t="s">
        <v>63</v>
      </c>
      <c r="G667" s="48" t="s">
        <v>1295</v>
      </c>
      <c r="H667" s="44" t="s">
        <v>1296</v>
      </c>
      <c r="I667" s="63"/>
      <c r="EP667" s="80"/>
    </row>
    <row r="668" spans="1:146" s="79" customFormat="1" x14ac:dyDescent="0.3">
      <c r="A668" s="39">
        <v>20</v>
      </c>
      <c r="B668" s="39" t="s">
        <v>29</v>
      </c>
      <c r="C668" s="39">
        <v>4</v>
      </c>
      <c r="D668" s="44" t="s">
        <v>375</v>
      </c>
      <c r="E668" s="44" t="s">
        <v>1297</v>
      </c>
      <c r="F668" s="39" t="s">
        <v>63</v>
      </c>
      <c r="G668" s="48" t="s">
        <v>1298</v>
      </c>
      <c r="H668" s="44" t="s">
        <v>1501</v>
      </c>
      <c r="I668" s="63"/>
      <c r="EP668" s="80"/>
    </row>
    <row r="669" spans="1:146" s="79" customFormat="1" ht="31.2" x14ac:dyDescent="0.3">
      <c r="A669" s="9">
        <v>21</v>
      </c>
      <c r="B669" s="9" t="s">
        <v>30</v>
      </c>
      <c r="C669" s="9">
        <v>1</v>
      </c>
      <c r="D669" s="14" t="s">
        <v>0</v>
      </c>
      <c r="E669" s="14" t="s">
        <v>261</v>
      </c>
      <c r="F669" s="9" t="s">
        <v>63</v>
      </c>
      <c r="G669" s="15">
        <v>1</v>
      </c>
      <c r="H669" s="14" t="s">
        <v>262</v>
      </c>
      <c r="I669" s="63"/>
      <c r="EP669" s="80"/>
    </row>
    <row r="670" spans="1:146" s="79" customFormat="1" ht="46.8" x14ac:dyDescent="0.3">
      <c r="A670" s="9">
        <v>21</v>
      </c>
      <c r="B670" s="9" t="s">
        <v>30</v>
      </c>
      <c r="C670" s="9">
        <v>1</v>
      </c>
      <c r="D670" s="14" t="s">
        <v>1</v>
      </c>
      <c r="E670" s="14" t="s">
        <v>257</v>
      </c>
      <c r="F670" s="9" t="s">
        <v>63</v>
      </c>
      <c r="G670" s="15">
        <v>240</v>
      </c>
      <c r="H670" s="14" t="s">
        <v>258</v>
      </c>
      <c r="I670" s="63"/>
      <c r="EP670" s="80"/>
    </row>
    <row r="671" spans="1:146" s="79" customFormat="1" ht="31.2" x14ac:dyDescent="0.3">
      <c r="A671" s="9">
        <v>21</v>
      </c>
      <c r="B671" s="9" t="s">
        <v>30</v>
      </c>
      <c r="C671" s="9">
        <v>1</v>
      </c>
      <c r="D671" s="14" t="s">
        <v>65</v>
      </c>
      <c r="E671" s="14" t="s">
        <v>259</v>
      </c>
      <c r="F671" s="9" t="s">
        <v>63</v>
      </c>
      <c r="G671" s="15" t="s">
        <v>75</v>
      </c>
      <c r="H671" s="14" t="s">
        <v>260</v>
      </c>
      <c r="I671" s="63"/>
      <c r="EP671" s="80"/>
    </row>
    <row r="672" spans="1:146" s="79" customFormat="1" x14ac:dyDescent="0.3">
      <c r="A672" s="9">
        <v>21</v>
      </c>
      <c r="B672" s="9" t="s">
        <v>30</v>
      </c>
      <c r="C672" s="9">
        <v>1</v>
      </c>
      <c r="D672" s="14" t="s">
        <v>65</v>
      </c>
      <c r="E672" s="14" t="s">
        <v>263</v>
      </c>
      <c r="F672" s="9" t="s">
        <v>63</v>
      </c>
      <c r="G672" s="15">
        <v>1</v>
      </c>
      <c r="H672" s="14" t="s">
        <v>264</v>
      </c>
      <c r="I672" s="63"/>
      <c r="EP672" s="80"/>
    </row>
    <row r="673" spans="1:146" s="79" customFormat="1" ht="31.2" x14ac:dyDescent="0.3">
      <c r="A673" s="9">
        <v>21</v>
      </c>
      <c r="B673" s="9" t="s">
        <v>30</v>
      </c>
      <c r="C673" s="9">
        <v>1</v>
      </c>
      <c r="D673" s="14" t="s">
        <v>65</v>
      </c>
      <c r="E673" s="14" t="s">
        <v>265</v>
      </c>
      <c r="F673" s="9" t="s">
        <v>63</v>
      </c>
      <c r="G673" s="15">
        <v>1</v>
      </c>
      <c r="H673" s="14" t="s">
        <v>264</v>
      </c>
      <c r="I673" s="63"/>
      <c r="EP673" s="80"/>
    </row>
    <row r="674" spans="1:146" s="79" customFormat="1" ht="31.2" x14ac:dyDescent="0.3">
      <c r="A674" s="9">
        <v>21</v>
      </c>
      <c r="B674" s="9" t="s">
        <v>30</v>
      </c>
      <c r="C674" s="9">
        <v>1</v>
      </c>
      <c r="D674" s="14" t="s">
        <v>65</v>
      </c>
      <c r="E674" s="14" t="s">
        <v>266</v>
      </c>
      <c r="F674" s="9" t="s">
        <v>51</v>
      </c>
      <c r="G674" s="15">
        <v>50</v>
      </c>
      <c r="H674" s="14" t="s">
        <v>267</v>
      </c>
      <c r="I674" s="63"/>
      <c r="EP674" s="80"/>
    </row>
    <row r="675" spans="1:146" s="79" customFormat="1" x14ac:dyDescent="0.3">
      <c r="A675" s="9">
        <v>21</v>
      </c>
      <c r="B675" s="9" t="s">
        <v>30</v>
      </c>
      <c r="C675" s="9">
        <v>1</v>
      </c>
      <c r="D675" s="14" t="s">
        <v>65</v>
      </c>
      <c r="E675" s="14" t="s">
        <v>268</v>
      </c>
      <c r="F675" s="9" t="s">
        <v>51</v>
      </c>
      <c r="G675" s="15">
        <v>119</v>
      </c>
      <c r="H675" s="14" t="s">
        <v>269</v>
      </c>
      <c r="I675" s="63"/>
      <c r="EP675" s="80"/>
    </row>
    <row r="676" spans="1:146" s="79" customFormat="1" ht="31.2" x14ac:dyDescent="0.3">
      <c r="A676" s="26">
        <v>21</v>
      </c>
      <c r="B676" s="26" t="s">
        <v>30</v>
      </c>
      <c r="C676" s="26">
        <v>2</v>
      </c>
      <c r="D676" s="32" t="s">
        <v>119</v>
      </c>
      <c r="E676" s="32" t="s">
        <v>487</v>
      </c>
      <c r="F676" s="26" t="s">
        <v>63</v>
      </c>
      <c r="G676" s="36">
        <v>119</v>
      </c>
      <c r="H676" s="32" t="s">
        <v>488</v>
      </c>
      <c r="I676" s="63"/>
      <c r="EP676" s="80"/>
    </row>
    <row r="677" spans="1:146" s="79" customFormat="1" ht="46.8" x14ac:dyDescent="0.3">
      <c r="A677" s="26">
        <v>21</v>
      </c>
      <c r="B677" s="26" t="s">
        <v>30</v>
      </c>
      <c r="C677" s="26">
        <v>2</v>
      </c>
      <c r="D677" s="32" t="s">
        <v>0</v>
      </c>
      <c r="E677" s="32" t="s">
        <v>676</v>
      </c>
      <c r="F677" s="26" t="s">
        <v>63</v>
      </c>
      <c r="G677" s="36">
        <v>1</v>
      </c>
      <c r="H677" s="32" t="s">
        <v>479</v>
      </c>
      <c r="I677" s="63"/>
      <c r="EP677" s="80"/>
    </row>
    <row r="678" spans="1:146" s="79" customFormat="1" ht="62.4" x14ac:dyDescent="0.3">
      <c r="A678" s="26">
        <v>21</v>
      </c>
      <c r="B678" s="26" t="s">
        <v>30</v>
      </c>
      <c r="C678" s="26">
        <v>2</v>
      </c>
      <c r="D678" s="32" t="s">
        <v>375</v>
      </c>
      <c r="E678" s="32" t="s">
        <v>480</v>
      </c>
      <c r="F678" s="26" t="s">
        <v>63</v>
      </c>
      <c r="G678" s="36">
        <v>1</v>
      </c>
      <c r="H678" s="32" t="s">
        <v>481</v>
      </c>
      <c r="I678" s="63"/>
      <c r="EP678" s="80"/>
    </row>
    <row r="679" spans="1:146" s="79" customFormat="1" ht="93.6" x14ac:dyDescent="0.3">
      <c r="A679" s="26">
        <v>21</v>
      </c>
      <c r="B679" s="26" t="s">
        <v>30</v>
      </c>
      <c r="C679" s="26">
        <v>2</v>
      </c>
      <c r="D679" s="32" t="s">
        <v>375</v>
      </c>
      <c r="E679" s="32" t="s">
        <v>677</v>
      </c>
      <c r="F679" s="26" t="s">
        <v>63</v>
      </c>
      <c r="G679" s="36">
        <v>1</v>
      </c>
      <c r="H679" s="32" t="s">
        <v>678</v>
      </c>
      <c r="I679" s="63"/>
      <c r="EP679" s="80"/>
    </row>
    <row r="680" spans="1:146" s="79" customFormat="1" ht="31.2" x14ac:dyDescent="0.3">
      <c r="A680" s="26">
        <v>21</v>
      </c>
      <c r="B680" s="26" t="s">
        <v>30</v>
      </c>
      <c r="C680" s="26">
        <v>2</v>
      </c>
      <c r="D680" s="32" t="s">
        <v>375</v>
      </c>
      <c r="E680" s="32" t="s">
        <v>482</v>
      </c>
      <c r="F680" s="26" t="s">
        <v>63</v>
      </c>
      <c r="G680" s="36">
        <v>1</v>
      </c>
      <c r="H680" s="32" t="s">
        <v>571</v>
      </c>
      <c r="I680" s="63"/>
      <c r="EP680" s="80"/>
    </row>
    <row r="681" spans="1:146" s="79" customFormat="1" ht="31.2" x14ac:dyDescent="0.3">
      <c r="A681" s="26">
        <v>21</v>
      </c>
      <c r="B681" s="26" t="s">
        <v>30</v>
      </c>
      <c r="C681" s="26">
        <v>2</v>
      </c>
      <c r="D681" s="32" t="s">
        <v>375</v>
      </c>
      <c r="E681" s="32" t="s">
        <v>483</v>
      </c>
      <c r="F681" s="26" t="s">
        <v>63</v>
      </c>
      <c r="G681" s="36">
        <v>1</v>
      </c>
      <c r="H681" s="32" t="s">
        <v>571</v>
      </c>
      <c r="I681" s="63"/>
      <c r="EP681" s="80"/>
    </row>
    <row r="682" spans="1:146" s="79" customFormat="1" ht="31.2" x14ac:dyDescent="0.3">
      <c r="A682" s="26">
        <v>21</v>
      </c>
      <c r="B682" s="26" t="s">
        <v>30</v>
      </c>
      <c r="C682" s="26">
        <v>2</v>
      </c>
      <c r="D682" s="32" t="s">
        <v>375</v>
      </c>
      <c r="E682" s="32" t="s">
        <v>484</v>
      </c>
      <c r="F682" s="26" t="s">
        <v>63</v>
      </c>
      <c r="G682" s="36">
        <v>1</v>
      </c>
      <c r="H682" s="32" t="s">
        <v>485</v>
      </c>
      <c r="I682" s="63"/>
      <c r="EP682" s="80"/>
    </row>
    <row r="683" spans="1:146" s="79" customFormat="1" ht="31.2" x14ac:dyDescent="0.3">
      <c r="A683" s="26">
        <v>21</v>
      </c>
      <c r="B683" s="26" t="s">
        <v>30</v>
      </c>
      <c r="C683" s="26">
        <v>2</v>
      </c>
      <c r="D683" s="32" t="s">
        <v>375</v>
      </c>
      <c r="E683" s="32" t="s">
        <v>486</v>
      </c>
      <c r="F683" s="26" t="s">
        <v>63</v>
      </c>
      <c r="G683" s="36">
        <v>1</v>
      </c>
      <c r="H683" s="32" t="s">
        <v>571</v>
      </c>
      <c r="I683" s="63"/>
      <c r="EP683" s="80"/>
    </row>
    <row r="684" spans="1:146" s="79" customFormat="1" x14ac:dyDescent="0.3">
      <c r="A684" s="26">
        <v>21</v>
      </c>
      <c r="B684" s="26" t="s">
        <v>30</v>
      </c>
      <c r="C684" s="26">
        <v>2</v>
      </c>
      <c r="D684" s="32" t="s">
        <v>375</v>
      </c>
      <c r="E684" s="32" t="s">
        <v>1057</v>
      </c>
      <c r="F684" s="26" t="s">
        <v>63</v>
      </c>
      <c r="G684" s="36" t="s">
        <v>75</v>
      </c>
      <c r="H684" s="32" t="s">
        <v>489</v>
      </c>
      <c r="I684" s="63"/>
      <c r="EP684" s="80"/>
    </row>
    <row r="685" spans="1:146" s="79" customFormat="1" ht="46.8" x14ac:dyDescent="0.3">
      <c r="A685" s="26">
        <v>21</v>
      </c>
      <c r="B685" s="26" t="s">
        <v>30</v>
      </c>
      <c r="C685" s="26">
        <v>2</v>
      </c>
      <c r="D685" s="32" t="s">
        <v>375</v>
      </c>
      <c r="E685" s="32" t="s">
        <v>670</v>
      </c>
      <c r="F685" s="26" t="s">
        <v>63</v>
      </c>
      <c r="G685" s="36">
        <v>1</v>
      </c>
      <c r="H685" s="32" t="s">
        <v>572</v>
      </c>
      <c r="I685" s="63"/>
      <c r="EP685" s="80"/>
    </row>
    <row r="686" spans="1:146" s="79" customFormat="1" ht="31.2" x14ac:dyDescent="0.3">
      <c r="A686" s="57">
        <v>21</v>
      </c>
      <c r="B686" s="57" t="s">
        <v>30</v>
      </c>
      <c r="C686" s="57">
        <v>3</v>
      </c>
      <c r="D686" s="58" t="s">
        <v>0</v>
      </c>
      <c r="E686" s="58" t="s">
        <v>859</v>
      </c>
      <c r="F686" s="57" t="s">
        <v>63</v>
      </c>
      <c r="G686" s="59">
        <v>9</v>
      </c>
      <c r="H686" s="58" t="s">
        <v>571</v>
      </c>
      <c r="I686" s="63"/>
      <c r="EP686" s="80"/>
    </row>
    <row r="687" spans="1:146" s="79" customFormat="1" ht="31.2" x14ac:dyDescent="0.3">
      <c r="A687" s="57">
        <v>21</v>
      </c>
      <c r="B687" s="57" t="s">
        <v>30</v>
      </c>
      <c r="C687" s="57">
        <v>3</v>
      </c>
      <c r="D687" s="58" t="s">
        <v>0</v>
      </c>
      <c r="E687" s="58" t="s">
        <v>860</v>
      </c>
      <c r="F687" s="57" t="s">
        <v>63</v>
      </c>
      <c r="G687" s="59">
        <v>33</v>
      </c>
      <c r="H687" s="58" t="s">
        <v>861</v>
      </c>
      <c r="I687" s="63"/>
      <c r="EP687" s="80"/>
    </row>
    <row r="688" spans="1:146" s="79" customFormat="1" ht="31.2" x14ac:dyDescent="0.3">
      <c r="A688" s="57">
        <v>21</v>
      </c>
      <c r="B688" s="57" t="s">
        <v>30</v>
      </c>
      <c r="C688" s="57">
        <v>3</v>
      </c>
      <c r="D688" s="58" t="s">
        <v>124</v>
      </c>
      <c r="E688" s="58" t="s">
        <v>864</v>
      </c>
      <c r="F688" s="57" t="s">
        <v>63</v>
      </c>
      <c r="G688" s="59">
        <v>8</v>
      </c>
      <c r="H688" s="58" t="s">
        <v>865</v>
      </c>
      <c r="I688" s="63"/>
      <c r="EP688" s="80"/>
    </row>
    <row r="689" spans="1:146" s="79" customFormat="1" ht="46.8" x14ac:dyDescent="0.3">
      <c r="A689" s="57">
        <v>21</v>
      </c>
      <c r="B689" s="57" t="s">
        <v>30</v>
      </c>
      <c r="C689" s="57">
        <v>3</v>
      </c>
      <c r="D689" s="58" t="s">
        <v>375</v>
      </c>
      <c r="E689" s="58" t="s">
        <v>854</v>
      </c>
      <c r="F689" s="57" t="s">
        <v>63</v>
      </c>
      <c r="G689" s="59">
        <v>19</v>
      </c>
      <c r="H689" s="58" t="s">
        <v>855</v>
      </c>
      <c r="I689" s="63"/>
      <c r="EP689" s="80"/>
    </row>
    <row r="690" spans="1:146" s="79" customFormat="1" ht="46.8" x14ac:dyDescent="0.3">
      <c r="A690" s="57">
        <v>21</v>
      </c>
      <c r="B690" s="57" t="s">
        <v>30</v>
      </c>
      <c r="C690" s="57">
        <v>3</v>
      </c>
      <c r="D690" s="58" t="s">
        <v>375</v>
      </c>
      <c r="E690" s="58" t="s">
        <v>856</v>
      </c>
      <c r="F690" s="57" t="s">
        <v>63</v>
      </c>
      <c r="G690" s="59">
        <v>12</v>
      </c>
      <c r="H690" s="58" t="s">
        <v>857</v>
      </c>
      <c r="I690" s="63"/>
      <c r="EP690" s="80"/>
    </row>
    <row r="691" spans="1:146" s="79" customFormat="1" ht="31.2" x14ac:dyDescent="0.3">
      <c r="A691" s="57">
        <v>21</v>
      </c>
      <c r="B691" s="57" t="s">
        <v>30</v>
      </c>
      <c r="C691" s="57">
        <v>3</v>
      </c>
      <c r="D691" s="58" t="s">
        <v>375</v>
      </c>
      <c r="E691" s="58" t="s">
        <v>858</v>
      </c>
      <c r="F691" s="57" t="s">
        <v>63</v>
      </c>
      <c r="G691" s="59">
        <v>25</v>
      </c>
      <c r="H691" s="58" t="s">
        <v>571</v>
      </c>
      <c r="I691" s="63"/>
      <c r="EP691" s="80"/>
    </row>
    <row r="692" spans="1:146" s="79" customFormat="1" ht="31.2" x14ac:dyDescent="0.3">
      <c r="A692" s="57">
        <v>21</v>
      </c>
      <c r="B692" s="57" t="s">
        <v>30</v>
      </c>
      <c r="C692" s="57">
        <v>3</v>
      </c>
      <c r="D692" s="58" t="s">
        <v>375</v>
      </c>
      <c r="E692" s="58" t="s">
        <v>862</v>
      </c>
      <c r="F692" s="57" t="s">
        <v>63</v>
      </c>
      <c r="G692" s="59">
        <v>68</v>
      </c>
      <c r="H692" s="58" t="s">
        <v>571</v>
      </c>
      <c r="I692" s="63"/>
      <c r="EP692" s="80"/>
    </row>
    <row r="693" spans="1:146" s="79" customFormat="1" ht="31.2" x14ac:dyDescent="0.3">
      <c r="A693" s="57">
        <v>21</v>
      </c>
      <c r="B693" s="57" t="s">
        <v>30</v>
      </c>
      <c r="C693" s="57">
        <v>3</v>
      </c>
      <c r="D693" s="58" t="s">
        <v>375</v>
      </c>
      <c r="E693" s="58" t="s">
        <v>863</v>
      </c>
      <c r="F693" s="57" t="s">
        <v>63</v>
      </c>
      <c r="G693" s="59">
        <v>70</v>
      </c>
      <c r="H693" s="58" t="s">
        <v>571</v>
      </c>
      <c r="I693" s="63"/>
      <c r="EP693" s="80"/>
    </row>
    <row r="694" spans="1:146" s="79" customFormat="1" ht="62.4" x14ac:dyDescent="0.3">
      <c r="A694" s="57">
        <v>21</v>
      </c>
      <c r="B694" s="57" t="s">
        <v>30</v>
      </c>
      <c r="C694" s="57">
        <v>3</v>
      </c>
      <c r="D694" s="58" t="s">
        <v>375</v>
      </c>
      <c r="E694" s="58" t="s">
        <v>866</v>
      </c>
      <c r="F694" s="57" t="s">
        <v>63</v>
      </c>
      <c r="G694" s="59">
        <v>11</v>
      </c>
      <c r="H694" s="58" t="s">
        <v>481</v>
      </c>
      <c r="I694" s="63"/>
      <c r="EP694" s="80"/>
    </row>
    <row r="695" spans="1:146" s="79" customFormat="1" ht="62.4" x14ac:dyDescent="0.3">
      <c r="A695" s="57">
        <v>21</v>
      </c>
      <c r="B695" s="57" t="s">
        <v>30</v>
      </c>
      <c r="C695" s="57">
        <v>3</v>
      </c>
      <c r="D695" s="58" t="s">
        <v>375</v>
      </c>
      <c r="E695" s="58" t="s">
        <v>867</v>
      </c>
      <c r="F695" s="57" t="s">
        <v>63</v>
      </c>
      <c r="G695" s="59">
        <v>93</v>
      </c>
      <c r="H695" s="58" t="s">
        <v>481</v>
      </c>
      <c r="I695" s="63"/>
      <c r="EP695" s="80"/>
    </row>
    <row r="696" spans="1:146" s="79" customFormat="1" ht="31.2" x14ac:dyDescent="0.3">
      <c r="A696" s="57">
        <v>21</v>
      </c>
      <c r="B696" s="57" t="s">
        <v>30</v>
      </c>
      <c r="C696" s="57">
        <v>3</v>
      </c>
      <c r="D696" s="58" t="s">
        <v>375</v>
      </c>
      <c r="E696" s="58" t="s">
        <v>868</v>
      </c>
      <c r="F696" s="57" t="s">
        <v>63</v>
      </c>
      <c r="G696" s="59">
        <v>20</v>
      </c>
      <c r="H696" s="58" t="s">
        <v>571</v>
      </c>
      <c r="I696" s="63"/>
      <c r="EP696" s="80"/>
    </row>
    <row r="697" spans="1:146" s="79" customFormat="1" ht="46.8" x14ac:dyDescent="0.3">
      <c r="A697" s="57">
        <v>21</v>
      </c>
      <c r="B697" s="57" t="s">
        <v>30</v>
      </c>
      <c r="C697" s="57">
        <v>3</v>
      </c>
      <c r="D697" s="58" t="s">
        <v>375</v>
      </c>
      <c r="E697" s="58" t="s">
        <v>869</v>
      </c>
      <c r="F697" s="57" t="s">
        <v>63</v>
      </c>
      <c r="G697" s="59">
        <v>12</v>
      </c>
      <c r="H697" s="58" t="s">
        <v>870</v>
      </c>
      <c r="I697" s="63"/>
      <c r="EP697" s="80"/>
    </row>
    <row r="698" spans="1:146" s="79" customFormat="1" ht="31.2" x14ac:dyDescent="0.3">
      <c r="A698" s="57">
        <v>21</v>
      </c>
      <c r="B698" s="57" t="s">
        <v>30</v>
      </c>
      <c r="C698" s="57">
        <v>3</v>
      </c>
      <c r="D698" s="58" t="s">
        <v>375</v>
      </c>
      <c r="E698" s="58" t="s">
        <v>871</v>
      </c>
      <c r="F698" s="57" t="s">
        <v>63</v>
      </c>
      <c r="G698" s="59">
        <v>10</v>
      </c>
      <c r="H698" s="58" t="s">
        <v>571</v>
      </c>
      <c r="I698" s="63"/>
      <c r="EP698" s="80"/>
    </row>
    <row r="699" spans="1:146" s="79" customFormat="1" ht="46.8" x14ac:dyDescent="0.3">
      <c r="A699" s="57">
        <v>21</v>
      </c>
      <c r="B699" s="57" t="s">
        <v>30</v>
      </c>
      <c r="C699" s="57">
        <v>3</v>
      </c>
      <c r="D699" s="58" t="s">
        <v>375</v>
      </c>
      <c r="E699" s="58" t="s">
        <v>872</v>
      </c>
      <c r="F699" s="57" t="s">
        <v>63</v>
      </c>
      <c r="G699" s="59">
        <v>10</v>
      </c>
      <c r="H699" s="58" t="s">
        <v>873</v>
      </c>
      <c r="I699" s="63"/>
      <c r="EP699" s="80"/>
    </row>
    <row r="700" spans="1:146" s="79" customFormat="1" ht="62.4" x14ac:dyDescent="0.3">
      <c r="A700" s="57">
        <v>21</v>
      </c>
      <c r="B700" s="57" t="s">
        <v>30</v>
      </c>
      <c r="C700" s="57">
        <v>3</v>
      </c>
      <c r="D700" s="58" t="s">
        <v>375</v>
      </c>
      <c r="E700" s="58" t="s">
        <v>874</v>
      </c>
      <c r="F700" s="57" t="s">
        <v>63</v>
      </c>
      <c r="G700" s="59">
        <v>12</v>
      </c>
      <c r="H700" s="58" t="s">
        <v>875</v>
      </c>
      <c r="I700" s="50"/>
      <c r="EP700" s="80"/>
    </row>
    <row r="701" spans="1:146" s="79" customFormat="1" ht="78" x14ac:dyDescent="0.3">
      <c r="A701" s="39">
        <v>21</v>
      </c>
      <c r="B701" s="39" t="s">
        <v>30</v>
      </c>
      <c r="C701" s="39">
        <v>4</v>
      </c>
      <c r="D701" s="44" t="s">
        <v>1</v>
      </c>
      <c r="E701" s="44" t="s">
        <v>1299</v>
      </c>
      <c r="F701" s="39" t="s">
        <v>63</v>
      </c>
      <c r="G701" s="48">
        <v>237</v>
      </c>
      <c r="H701" s="44" t="s">
        <v>1300</v>
      </c>
      <c r="I701" s="63"/>
      <c r="EP701" s="80"/>
    </row>
    <row r="702" spans="1:146" s="79" customFormat="1" ht="46.8" x14ac:dyDescent="0.3">
      <c r="A702" s="39">
        <v>21</v>
      </c>
      <c r="B702" s="39" t="s">
        <v>30</v>
      </c>
      <c r="C702" s="39">
        <v>4</v>
      </c>
      <c r="D702" s="44" t="s">
        <v>375</v>
      </c>
      <c r="E702" s="44" t="s">
        <v>1301</v>
      </c>
      <c r="F702" s="39" t="s">
        <v>63</v>
      </c>
      <c r="G702" s="48">
        <v>10</v>
      </c>
      <c r="H702" s="44" t="s">
        <v>1502</v>
      </c>
      <c r="I702" s="63"/>
      <c r="EP702" s="80"/>
    </row>
    <row r="703" spans="1:146" s="79" customFormat="1" ht="62.4" x14ac:dyDescent="0.3">
      <c r="A703" s="39">
        <v>21</v>
      </c>
      <c r="B703" s="39" t="s">
        <v>30</v>
      </c>
      <c r="C703" s="39">
        <v>4</v>
      </c>
      <c r="D703" s="44" t="s">
        <v>375</v>
      </c>
      <c r="E703" s="44" t="s">
        <v>1302</v>
      </c>
      <c r="F703" s="39" t="s">
        <v>63</v>
      </c>
      <c r="G703" s="48">
        <v>12</v>
      </c>
      <c r="H703" s="44" t="s">
        <v>1303</v>
      </c>
      <c r="I703" s="63"/>
      <c r="EP703" s="80"/>
    </row>
    <row r="704" spans="1:146" s="79" customFormat="1" ht="46.8" x14ac:dyDescent="0.3">
      <c r="A704" s="39">
        <v>21</v>
      </c>
      <c r="B704" s="39" t="s">
        <v>30</v>
      </c>
      <c r="C704" s="39">
        <v>4</v>
      </c>
      <c r="D704" s="44" t="s">
        <v>1</v>
      </c>
      <c r="E704" s="44" t="s">
        <v>1304</v>
      </c>
      <c r="F704" s="39" t="s">
        <v>63</v>
      </c>
      <c r="G704" s="48">
        <v>237</v>
      </c>
      <c r="H704" s="44" t="s">
        <v>1503</v>
      </c>
      <c r="I704" s="63"/>
      <c r="EP704" s="80"/>
    </row>
    <row r="705" spans="1:146" s="79" customFormat="1" x14ac:dyDescent="0.3">
      <c r="A705" s="39">
        <v>21</v>
      </c>
      <c r="B705" s="39" t="s">
        <v>30</v>
      </c>
      <c r="C705" s="39">
        <v>4</v>
      </c>
      <c r="D705" s="44" t="s">
        <v>375</v>
      </c>
      <c r="E705" s="44" t="s">
        <v>1305</v>
      </c>
      <c r="F705" s="39" t="s">
        <v>63</v>
      </c>
      <c r="G705" s="48">
        <v>121</v>
      </c>
      <c r="H705" s="44" t="s">
        <v>1306</v>
      </c>
      <c r="I705" s="63"/>
      <c r="EP705" s="80"/>
    </row>
    <row r="706" spans="1:146" s="79" customFormat="1" ht="62.4" x14ac:dyDescent="0.3">
      <c r="A706" s="39">
        <v>21</v>
      </c>
      <c r="B706" s="39" t="s">
        <v>30</v>
      </c>
      <c r="C706" s="39">
        <v>4</v>
      </c>
      <c r="D706" s="44" t="s">
        <v>375</v>
      </c>
      <c r="E706" s="44" t="s">
        <v>1307</v>
      </c>
      <c r="F706" s="39" t="s">
        <v>63</v>
      </c>
      <c r="G706" s="48">
        <v>44</v>
      </c>
      <c r="H706" s="44" t="s">
        <v>571</v>
      </c>
      <c r="I706" s="63"/>
      <c r="EP706" s="80"/>
    </row>
    <row r="707" spans="1:146" s="79" customFormat="1" ht="46.8" x14ac:dyDescent="0.3">
      <c r="A707" s="39">
        <v>21</v>
      </c>
      <c r="B707" s="39" t="s">
        <v>30</v>
      </c>
      <c r="C707" s="39">
        <v>4</v>
      </c>
      <c r="D707" s="44" t="s">
        <v>375</v>
      </c>
      <c r="E707" s="44" t="s">
        <v>1504</v>
      </c>
      <c r="F707" s="39" t="s">
        <v>63</v>
      </c>
      <c r="G707" s="48" t="s">
        <v>1308</v>
      </c>
      <c r="H707" s="44" t="s">
        <v>1309</v>
      </c>
      <c r="I707" s="63"/>
      <c r="EP707" s="80"/>
    </row>
    <row r="708" spans="1:146" s="79" customFormat="1" ht="46.8" x14ac:dyDescent="0.3">
      <c r="A708" s="39">
        <v>21</v>
      </c>
      <c r="B708" s="39" t="s">
        <v>30</v>
      </c>
      <c r="C708" s="39">
        <v>4</v>
      </c>
      <c r="D708" s="44" t="s">
        <v>1</v>
      </c>
      <c r="E708" s="44" t="s">
        <v>1505</v>
      </c>
      <c r="F708" s="39" t="s">
        <v>63</v>
      </c>
      <c r="G708" s="48">
        <v>47</v>
      </c>
      <c r="H708" s="44" t="s">
        <v>1506</v>
      </c>
      <c r="I708" s="63"/>
      <c r="EP708" s="80"/>
    </row>
    <row r="709" spans="1:146" s="79" customFormat="1" ht="62.4" x14ac:dyDescent="0.3">
      <c r="A709" s="39">
        <v>21</v>
      </c>
      <c r="B709" s="39" t="s">
        <v>30</v>
      </c>
      <c r="C709" s="39">
        <v>4</v>
      </c>
      <c r="D709" s="44" t="s">
        <v>375</v>
      </c>
      <c r="E709" s="44" t="s">
        <v>1310</v>
      </c>
      <c r="F709" s="39" t="s">
        <v>63</v>
      </c>
      <c r="G709" s="48">
        <v>62</v>
      </c>
      <c r="H709" s="44" t="s">
        <v>571</v>
      </c>
      <c r="I709" s="63"/>
      <c r="EP709" s="80"/>
    </row>
    <row r="710" spans="1:146" s="79" customFormat="1" ht="46.8" x14ac:dyDescent="0.3">
      <c r="A710" s="39">
        <v>21</v>
      </c>
      <c r="B710" s="39" t="s">
        <v>30</v>
      </c>
      <c r="C710" s="39">
        <v>4</v>
      </c>
      <c r="D710" s="44" t="s">
        <v>375</v>
      </c>
      <c r="E710" s="44" t="s">
        <v>1507</v>
      </c>
      <c r="F710" s="39" t="s">
        <v>63</v>
      </c>
      <c r="G710" s="48">
        <v>52</v>
      </c>
      <c r="H710" s="44" t="s">
        <v>571</v>
      </c>
      <c r="I710" s="63"/>
      <c r="EP710" s="80"/>
    </row>
    <row r="711" spans="1:146" s="79" customFormat="1" ht="46.8" x14ac:dyDescent="0.3">
      <c r="A711" s="39">
        <v>21</v>
      </c>
      <c r="B711" s="39" t="s">
        <v>30</v>
      </c>
      <c r="C711" s="39">
        <v>4</v>
      </c>
      <c r="D711" s="44" t="s">
        <v>375</v>
      </c>
      <c r="E711" s="44" t="s">
        <v>1508</v>
      </c>
      <c r="F711" s="39" t="s">
        <v>63</v>
      </c>
      <c r="G711" s="48">
        <v>34</v>
      </c>
      <c r="H711" s="44" t="s">
        <v>571</v>
      </c>
      <c r="I711" s="63"/>
      <c r="EP711" s="80"/>
    </row>
    <row r="712" spans="1:146" s="79" customFormat="1" x14ac:dyDescent="0.3">
      <c r="A712" s="9">
        <v>22</v>
      </c>
      <c r="B712" s="9" t="s">
        <v>31</v>
      </c>
      <c r="C712" s="9">
        <v>1</v>
      </c>
      <c r="D712" s="14" t="s">
        <v>255</v>
      </c>
      <c r="E712" s="14" t="s">
        <v>256</v>
      </c>
      <c r="F712" s="9"/>
      <c r="G712" s="15"/>
      <c r="H712" s="14"/>
      <c r="I712" s="63"/>
      <c r="EP712" s="80"/>
    </row>
    <row r="713" spans="1:146" s="79" customFormat="1" ht="31.2" x14ac:dyDescent="0.3">
      <c r="A713" s="26">
        <v>22</v>
      </c>
      <c r="B713" s="26" t="s">
        <v>31</v>
      </c>
      <c r="C713" s="26">
        <v>2</v>
      </c>
      <c r="D713" s="32" t="s">
        <v>1</v>
      </c>
      <c r="E713" s="32" t="s">
        <v>490</v>
      </c>
      <c r="F713" s="26" t="s">
        <v>51</v>
      </c>
      <c r="G713" s="36">
        <v>10</v>
      </c>
      <c r="H713" s="32" t="s">
        <v>491</v>
      </c>
      <c r="I713" s="63"/>
      <c r="EP713" s="80"/>
    </row>
    <row r="714" spans="1:146" s="79" customFormat="1" ht="46.8" x14ac:dyDescent="0.3">
      <c r="A714" s="26">
        <v>22</v>
      </c>
      <c r="B714" s="26" t="s">
        <v>31</v>
      </c>
      <c r="C714" s="26">
        <v>2</v>
      </c>
      <c r="D714" s="32" t="s">
        <v>1</v>
      </c>
      <c r="E714" s="32" t="s">
        <v>492</v>
      </c>
      <c r="F714" s="26" t="s">
        <v>51</v>
      </c>
      <c r="G714" s="36">
        <v>31</v>
      </c>
      <c r="H714" s="32" t="s">
        <v>493</v>
      </c>
      <c r="I714" s="63"/>
      <c r="EP714" s="80"/>
    </row>
    <row r="715" spans="1:146" s="79" customFormat="1" ht="46.8" x14ac:dyDescent="0.3">
      <c r="A715" s="26">
        <v>22</v>
      </c>
      <c r="B715" s="26" t="s">
        <v>31</v>
      </c>
      <c r="C715" s="26">
        <v>2</v>
      </c>
      <c r="D715" s="32" t="s">
        <v>1</v>
      </c>
      <c r="E715" s="32" t="s">
        <v>494</v>
      </c>
      <c r="F715" s="26" t="s">
        <v>51</v>
      </c>
      <c r="G715" s="36">
        <v>23</v>
      </c>
      <c r="H715" s="32" t="s">
        <v>495</v>
      </c>
      <c r="I715" s="63"/>
      <c r="EP715" s="80"/>
    </row>
    <row r="716" spans="1:146" s="79" customFormat="1" ht="31.2" x14ac:dyDescent="0.3">
      <c r="A716" s="26">
        <v>22</v>
      </c>
      <c r="B716" s="26" t="s">
        <v>31</v>
      </c>
      <c r="C716" s="26">
        <v>2</v>
      </c>
      <c r="D716" s="32" t="s">
        <v>375</v>
      </c>
      <c r="E716" s="32" t="s">
        <v>674</v>
      </c>
      <c r="F716" s="26" t="s">
        <v>51</v>
      </c>
      <c r="G716" s="36">
        <v>5</v>
      </c>
      <c r="H716" s="32" t="s">
        <v>496</v>
      </c>
      <c r="I716" s="63"/>
      <c r="EP716" s="80"/>
    </row>
    <row r="717" spans="1:146" s="79" customFormat="1" ht="31.2" x14ac:dyDescent="0.3">
      <c r="A717" s="57">
        <v>22</v>
      </c>
      <c r="B717" s="57" t="s">
        <v>31</v>
      </c>
      <c r="C717" s="57">
        <v>3</v>
      </c>
      <c r="D717" s="58" t="s">
        <v>1</v>
      </c>
      <c r="E717" s="58" t="s">
        <v>1012</v>
      </c>
      <c r="F717" s="57" t="s">
        <v>63</v>
      </c>
      <c r="G717" s="59">
        <v>8</v>
      </c>
      <c r="H717" s="58" t="s">
        <v>876</v>
      </c>
      <c r="I717" s="63"/>
      <c r="EP717" s="80"/>
    </row>
    <row r="718" spans="1:146" s="79" customFormat="1" ht="31.2" x14ac:dyDescent="0.3">
      <c r="A718" s="57">
        <v>22</v>
      </c>
      <c r="B718" s="57" t="s">
        <v>31</v>
      </c>
      <c r="C718" s="57">
        <v>3</v>
      </c>
      <c r="D718" s="58" t="s">
        <v>1</v>
      </c>
      <c r="E718" s="58" t="s">
        <v>1013</v>
      </c>
      <c r="F718" s="57" t="s">
        <v>63</v>
      </c>
      <c r="G718" s="59">
        <v>34</v>
      </c>
      <c r="H718" s="58" t="s">
        <v>877</v>
      </c>
      <c r="I718" s="63"/>
      <c r="EP718" s="80"/>
    </row>
    <row r="719" spans="1:146" s="79" customFormat="1" ht="31.2" x14ac:dyDescent="0.3">
      <c r="A719" s="57">
        <v>22</v>
      </c>
      <c r="B719" s="57" t="s">
        <v>31</v>
      </c>
      <c r="C719" s="57">
        <v>3</v>
      </c>
      <c r="D719" s="58" t="s">
        <v>1</v>
      </c>
      <c r="E719" s="58" t="s">
        <v>1014</v>
      </c>
      <c r="F719" s="57" t="s">
        <v>63</v>
      </c>
      <c r="G719" s="59">
        <v>51</v>
      </c>
      <c r="H719" s="58" t="s">
        <v>877</v>
      </c>
      <c r="I719" s="63"/>
      <c r="EP719" s="80"/>
    </row>
    <row r="720" spans="1:146" s="79" customFormat="1" ht="31.2" x14ac:dyDescent="0.3">
      <c r="A720" s="57">
        <v>22</v>
      </c>
      <c r="B720" s="57" t="s">
        <v>31</v>
      </c>
      <c r="C720" s="57">
        <v>3</v>
      </c>
      <c r="D720" s="58" t="s">
        <v>1</v>
      </c>
      <c r="E720" s="58" t="s">
        <v>1015</v>
      </c>
      <c r="F720" s="57" t="s">
        <v>63</v>
      </c>
      <c r="G720" s="59">
        <v>24</v>
      </c>
      <c r="H720" s="58" t="s">
        <v>877</v>
      </c>
      <c r="I720" s="63"/>
      <c r="EP720" s="80"/>
    </row>
    <row r="721" spans="1:146" s="79" customFormat="1" ht="31.2" x14ac:dyDescent="0.3">
      <c r="A721" s="57">
        <v>22</v>
      </c>
      <c r="B721" s="57" t="s">
        <v>31</v>
      </c>
      <c r="C721" s="57">
        <v>3</v>
      </c>
      <c r="D721" s="58" t="s">
        <v>1</v>
      </c>
      <c r="E721" s="58" t="s">
        <v>1016</v>
      </c>
      <c r="F721" s="57" t="s">
        <v>63</v>
      </c>
      <c r="G721" s="59">
        <v>15</v>
      </c>
      <c r="H721" s="58" t="s">
        <v>877</v>
      </c>
      <c r="I721" s="63"/>
      <c r="EP721" s="80"/>
    </row>
    <row r="722" spans="1:146" s="79" customFormat="1" x14ac:dyDescent="0.3">
      <c r="A722" s="57">
        <v>22</v>
      </c>
      <c r="B722" s="57" t="s">
        <v>31</v>
      </c>
      <c r="C722" s="57">
        <v>3</v>
      </c>
      <c r="D722" s="58" t="s">
        <v>375</v>
      </c>
      <c r="E722" s="58" t="s">
        <v>1017</v>
      </c>
      <c r="F722" s="57" t="s">
        <v>51</v>
      </c>
      <c r="G722" s="59">
        <v>7</v>
      </c>
      <c r="H722" s="58" t="s">
        <v>496</v>
      </c>
      <c r="I722" s="50"/>
      <c r="EP722" s="80"/>
    </row>
    <row r="723" spans="1:146" s="79" customFormat="1" ht="31.2" x14ac:dyDescent="0.3">
      <c r="A723" s="39">
        <v>22</v>
      </c>
      <c r="B723" s="39" t="s">
        <v>31</v>
      </c>
      <c r="C723" s="39">
        <v>4</v>
      </c>
      <c r="D723" s="44" t="s">
        <v>1</v>
      </c>
      <c r="E723" s="44" t="s">
        <v>1311</v>
      </c>
      <c r="F723" s="39" t="s">
        <v>51</v>
      </c>
      <c r="G723" s="48" t="s">
        <v>1312</v>
      </c>
      <c r="H723" s="44"/>
      <c r="I723" s="50"/>
      <c r="EP723" s="80"/>
    </row>
    <row r="724" spans="1:146" s="79" customFormat="1" ht="31.2" x14ac:dyDescent="0.3">
      <c r="A724" s="39">
        <v>22</v>
      </c>
      <c r="B724" s="39" t="s">
        <v>31</v>
      </c>
      <c r="C724" s="39">
        <v>4</v>
      </c>
      <c r="D724" s="44" t="s">
        <v>1</v>
      </c>
      <c r="E724" s="44" t="s">
        <v>1313</v>
      </c>
      <c r="F724" s="39" t="s">
        <v>51</v>
      </c>
      <c r="G724" s="48" t="s">
        <v>1314</v>
      </c>
      <c r="H724" s="44" t="s">
        <v>1315</v>
      </c>
      <c r="I724" s="50"/>
      <c r="EP724" s="80"/>
    </row>
    <row r="725" spans="1:146" s="79" customFormat="1" ht="31.2" x14ac:dyDescent="0.3">
      <c r="A725" s="39">
        <v>22</v>
      </c>
      <c r="B725" s="39" t="s">
        <v>31</v>
      </c>
      <c r="C725" s="39">
        <v>4</v>
      </c>
      <c r="D725" s="44" t="s">
        <v>1</v>
      </c>
      <c r="E725" s="44" t="s">
        <v>1316</v>
      </c>
      <c r="F725" s="39" t="s">
        <v>63</v>
      </c>
      <c r="G725" s="48" t="s">
        <v>1317</v>
      </c>
      <c r="H725" s="44" t="s">
        <v>877</v>
      </c>
      <c r="I725" s="50"/>
      <c r="EP725" s="80"/>
    </row>
    <row r="726" spans="1:146" s="79" customFormat="1" ht="31.2" x14ac:dyDescent="0.3">
      <c r="A726" s="39">
        <v>22</v>
      </c>
      <c r="B726" s="39" t="s">
        <v>31</v>
      </c>
      <c r="C726" s="39">
        <v>4</v>
      </c>
      <c r="D726" s="44" t="s">
        <v>1</v>
      </c>
      <c r="E726" s="44" t="s">
        <v>1318</v>
      </c>
      <c r="F726" s="39" t="s">
        <v>63</v>
      </c>
      <c r="G726" s="48" t="s">
        <v>1319</v>
      </c>
      <c r="H726" s="44" t="s">
        <v>877</v>
      </c>
      <c r="I726" s="50"/>
      <c r="EP726" s="80"/>
    </row>
    <row r="727" spans="1:146" s="79" customFormat="1" ht="31.2" x14ac:dyDescent="0.3">
      <c r="A727" s="39">
        <v>22</v>
      </c>
      <c r="B727" s="39" t="s">
        <v>31</v>
      </c>
      <c r="C727" s="39">
        <v>4</v>
      </c>
      <c r="D727" s="44" t="s">
        <v>375</v>
      </c>
      <c r="E727" s="44" t="s">
        <v>1320</v>
      </c>
      <c r="F727" s="39" t="s">
        <v>63</v>
      </c>
      <c r="G727" s="48" t="s">
        <v>1321</v>
      </c>
      <c r="H727" s="44"/>
      <c r="I727" s="50"/>
      <c r="EP727" s="80"/>
    </row>
    <row r="728" spans="1:146" s="79" customFormat="1" ht="46.8" x14ac:dyDescent="0.3">
      <c r="A728" s="39">
        <v>22</v>
      </c>
      <c r="B728" s="39" t="s">
        <v>31</v>
      </c>
      <c r="C728" s="39">
        <v>4</v>
      </c>
      <c r="D728" s="44" t="s">
        <v>1</v>
      </c>
      <c r="E728" s="44" t="s">
        <v>1322</v>
      </c>
      <c r="F728" s="39" t="s">
        <v>63</v>
      </c>
      <c r="G728" s="48" t="s">
        <v>1323</v>
      </c>
      <c r="H728" s="44" t="s">
        <v>877</v>
      </c>
      <c r="I728" s="50"/>
      <c r="EP728" s="80"/>
    </row>
    <row r="729" spans="1:146" s="79" customFormat="1" ht="31.2" x14ac:dyDescent="0.3">
      <c r="A729" s="39">
        <v>22</v>
      </c>
      <c r="B729" s="39" t="s">
        <v>31</v>
      </c>
      <c r="C729" s="39">
        <v>4</v>
      </c>
      <c r="D729" s="44" t="s">
        <v>1</v>
      </c>
      <c r="E729" s="44" t="s">
        <v>1324</v>
      </c>
      <c r="F729" s="39" t="s">
        <v>63</v>
      </c>
      <c r="G729" s="48" t="s">
        <v>1325</v>
      </c>
      <c r="H729" s="44" t="s">
        <v>877</v>
      </c>
      <c r="I729" s="50"/>
      <c r="EP729" s="80"/>
    </row>
    <row r="730" spans="1:146" s="79" customFormat="1" ht="31.2" x14ac:dyDescent="0.3">
      <c r="A730" s="39">
        <v>22</v>
      </c>
      <c r="B730" s="39" t="s">
        <v>31</v>
      </c>
      <c r="C730" s="39">
        <v>4</v>
      </c>
      <c r="D730" s="44" t="s">
        <v>1</v>
      </c>
      <c r="E730" s="44" t="s">
        <v>1326</v>
      </c>
      <c r="F730" s="39" t="s">
        <v>63</v>
      </c>
      <c r="G730" s="48" t="s">
        <v>1327</v>
      </c>
      <c r="H730" s="44" t="s">
        <v>877</v>
      </c>
      <c r="I730" s="50"/>
      <c r="EP730" s="80"/>
    </row>
    <row r="731" spans="1:146" s="79" customFormat="1" ht="31.2" x14ac:dyDescent="0.3">
      <c r="A731" s="39">
        <v>22</v>
      </c>
      <c r="B731" s="39" t="s">
        <v>31</v>
      </c>
      <c r="C731" s="39">
        <v>4</v>
      </c>
      <c r="D731" s="44" t="s">
        <v>1</v>
      </c>
      <c r="E731" s="44" t="s">
        <v>1328</v>
      </c>
      <c r="F731" s="39" t="s">
        <v>51</v>
      </c>
      <c r="G731" s="48" t="s">
        <v>1329</v>
      </c>
      <c r="H731" s="44" t="s">
        <v>1330</v>
      </c>
      <c r="I731" s="50"/>
      <c r="EP731" s="80"/>
    </row>
    <row r="732" spans="1:146" s="79" customFormat="1" ht="31.2" x14ac:dyDescent="0.3">
      <c r="A732" s="39">
        <v>22</v>
      </c>
      <c r="B732" s="39" t="s">
        <v>31</v>
      </c>
      <c r="C732" s="39">
        <v>4</v>
      </c>
      <c r="D732" s="44" t="s">
        <v>1</v>
      </c>
      <c r="E732" s="44" t="s">
        <v>1331</v>
      </c>
      <c r="F732" s="39" t="s">
        <v>63</v>
      </c>
      <c r="G732" s="48" t="s">
        <v>1332</v>
      </c>
      <c r="H732" s="44" t="s">
        <v>877</v>
      </c>
      <c r="I732" s="50"/>
      <c r="EP732" s="80"/>
    </row>
    <row r="733" spans="1:146" s="79" customFormat="1" ht="31.2" x14ac:dyDescent="0.3">
      <c r="A733" s="39">
        <v>22</v>
      </c>
      <c r="B733" s="39" t="s">
        <v>31</v>
      </c>
      <c r="C733" s="39">
        <v>4</v>
      </c>
      <c r="D733" s="44" t="s">
        <v>0</v>
      </c>
      <c r="E733" s="44" t="s">
        <v>1333</v>
      </c>
      <c r="F733" s="39" t="s">
        <v>63</v>
      </c>
      <c r="G733" s="48" t="s">
        <v>1334</v>
      </c>
      <c r="H733" s="44" t="s">
        <v>1335</v>
      </c>
      <c r="I733" s="50"/>
      <c r="EP733" s="80"/>
    </row>
    <row r="734" spans="1:146" s="79" customFormat="1" ht="31.2" x14ac:dyDescent="0.3">
      <c r="A734" s="39">
        <v>22</v>
      </c>
      <c r="B734" s="39" t="s">
        <v>31</v>
      </c>
      <c r="C734" s="39">
        <v>4</v>
      </c>
      <c r="D734" s="44" t="s">
        <v>375</v>
      </c>
      <c r="E734" s="44" t="s">
        <v>1336</v>
      </c>
      <c r="F734" s="39" t="s">
        <v>51</v>
      </c>
      <c r="G734" s="48" t="s">
        <v>1337</v>
      </c>
      <c r="H734" s="44" t="s">
        <v>1338</v>
      </c>
      <c r="I734" s="50"/>
      <c r="EP734" s="80"/>
    </row>
    <row r="735" spans="1:146" s="79" customFormat="1" ht="31.2" x14ac:dyDescent="0.3">
      <c r="A735" s="39">
        <v>22</v>
      </c>
      <c r="B735" s="39" t="s">
        <v>31</v>
      </c>
      <c r="C735" s="39">
        <v>4</v>
      </c>
      <c r="D735" s="44" t="s">
        <v>375</v>
      </c>
      <c r="E735" s="44" t="s">
        <v>1339</v>
      </c>
      <c r="F735" s="39" t="s">
        <v>51</v>
      </c>
      <c r="G735" s="48" t="s">
        <v>1340</v>
      </c>
      <c r="H735" s="44" t="s">
        <v>1341</v>
      </c>
      <c r="I735" s="50"/>
      <c r="EP735" s="80"/>
    </row>
    <row r="736" spans="1:146" s="79" customFormat="1" ht="46.8" x14ac:dyDescent="0.3">
      <c r="A736" s="9">
        <v>23</v>
      </c>
      <c r="B736" s="9" t="s">
        <v>32</v>
      </c>
      <c r="C736" s="9">
        <v>1</v>
      </c>
      <c r="D736" s="14" t="s">
        <v>4</v>
      </c>
      <c r="E736" s="14" t="s">
        <v>282</v>
      </c>
      <c r="F736" s="9" t="s">
        <v>63</v>
      </c>
      <c r="G736" s="15">
        <v>5</v>
      </c>
      <c r="H736" s="14" t="s">
        <v>281</v>
      </c>
      <c r="I736" s="63"/>
      <c r="EP736" s="80"/>
    </row>
    <row r="737" spans="1:147" s="79" customFormat="1" ht="124.8" x14ac:dyDescent="0.3">
      <c r="A737" s="9">
        <v>23</v>
      </c>
      <c r="B737" s="9" t="s">
        <v>32</v>
      </c>
      <c r="C737" s="9">
        <v>1</v>
      </c>
      <c r="D737" s="14" t="s">
        <v>1</v>
      </c>
      <c r="E737" s="14" t="s">
        <v>270</v>
      </c>
      <c r="F737" s="9" t="s">
        <v>63</v>
      </c>
      <c r="G737" s="15">
        <v>102</v>
      </c>
      <c r="H737" s="14" t="s">
        <v>271</v>
      </c>
      <c r="I737" s="63"/>
      <c r="EP737" s="80"/>
    </row>
    <row r="738" spans="1:147" s="79" customFormat="1" ht="46.8" x14ac:dyDescent="0.3">
      <c r="A738" s="9">
        <v>23</v>
      </c>
      <c r="B738" s="9" t="s">
        <v>32</v>
      </c>
      <c r="C738" s="9">
        <v>1</v>
      </c>
      <c r="D738" s="14" t="s">
        <v>1</v>
      </c>
      <c r="E738" s="14" t="s">
        <v>272</v>
      </c>
      <c r="F738" s="9" t="s">
        <v>63</v>
      </c>
      <c r="G738" s="15">
        <v>1</v>
      </c>
      <c r="H738" s="14" t="s">
        <v>273</v>
      </c>
      <c r="I738" s="63"/>
      <c r="EP738" s="80"/>
    </row>
    <row r="739" spans="1:147" s="79" customFormat="1" ht="124.8" x14ac:dyDescent="0.3">
      <c r="A739" s="9">
        <v>23</v>
      </c>
      <c r="B739" s="9" t="s">
        <v>32</v>
      </c>
      <c r="C739" s="9">
        <v>1</v>
      </c>
      <c r="D739" s="14" t="s">
        <v>1</v>
      </c>
      <c r="E739" s="14" t="s">
        <v>274</v>
      </c>
      <c r="F739" s="9" t="s">
        <v>63</v>
      </c>
      <c r="G739" s="15">
        <v>96</v>
      </c>
      <c r="H739" s="14" t="s">
        <v>275</v>
      </c>
      <c r="I739" s="63"/>
      <c r="EP739" s="80"/>
    </row>
    <row r="740" spans="1:147" s="79" customFormat="1" ht="109.2" x14ac:dyDescent="0.3">
      <c r="A740" s="9">
        <v>23</v>
      </c>
      <c r="B740" s="9" t="s">
        <v>32</v>
      </c>
      <c r="C740" s="9">
        <v>1</v>
      </c>
      <c r="D740" s="14" t="s">
        <v>1</v>
      </c>
      <c r="E740" s="14" t="s">
        <v>276</v>
      </c>
      <c r="F740" s="9" t="s">
        <v>63</v>
      </c>
      <c r="G740" s="15">
        <v>107</v>
      </c>
      <c r="H740" s="14" t="s">
        <v>277</v>
      </c>
      <c r="I740" s="63"/>
      <c r="EP740" s="80"/>
    </row>
    <row r="741" spans="1:147" s="79" customFormat="1" ht="46.8" x14ac:dyDescent="0.3">
      <c r="A741" s="9">
        <v>23</v>
      </c>
      <c r="B741" s="9" t="s">
        <v>32</v>
      </c>
      <c r="C741" s="9">
        <v>1</v>
      </c>
      <c r="D741" s="14" t="s">
        <v>1</v>
      </c>
      <c r="E741" s="14" t="s">
        <v>283</v>
      </c>
      <c r="F741" s="9" t="s">
        <v>51</v>
      </c>
      <c r="G741" s="15">
        <v>19</v>
      </c>
      <c r="H741" s="14" t="s">
        <v>284</v>
      </c>
      <c r="I741" s="63"/>
      <c r="EP741" s="80"/>
    </row>
    <row r="742" spans="1:147" s="79" customFormat="1" ht="46.8" x14ac:dyDescent="0.3">
      <c r="A742" s="9">
        <v>23</v>
      </c>
      <c r="B742" s="9" t="s">
        <v>32</v>
      </c>
      <c r="C742" s="9">
        <v>1</v>
      </c>
      <c r="D742" s="14" t="s">
        <v>65</v>
      </c>
      <c r="E742" s="14" t="s">
        <v>278</v>
      </c>
      <c r="F742" s="9" t="s">
        <v>63</v>
      </c>
      <c r="G742" s="15">
        <v>75</v>
      </c>
      <c r="H742" s="14" t="s">
        <v>279</v>
      </c>
      <c r="I742" s="63"/>
      <c r="EP742" s="80"/>
    </row>
    <row r="743" spans="1:147" ht="46.8" x14ac:dyDescent="0.3">
      <c r="A743" s="9">
        <v>23</v>
      </c>
      <c r="B743" s="9" t="s">
        <v>32</v>
      </c>
      <c r="C743" s="9">
        <v>1</v>
      </c>
      <c r="D743" s="14" t="s">
        <v>65</v>
      </c>
      <c r="E743" s="14" t="s">
        <v>280</v>
      </c>
      <c r="F743" s="9" t="s">
        <v>63</v>
      </c>
      <c r="G743" s="15">
        <v>1</v>
      </c>
      <c r="H743" s="77" t="s">
        <v>281</v>
      </c>
      <c r="I743" s="63"/>
      <c r="EP743" s="80"/>
      <c r="EQ743" s="84"/>
    </row>
    <row r="744" spans="1:147" ht="46.8" x14ac:dyDescent="0.3">
      <c r="A744" s="26">
        <v>23</v>
      </c>
      <c r="B744" s="26" t="s">
        <v>32</v>
      </c>
      <c r="C744" s="26">
        <v>2</v>
      </c>
      <c r="D744" s="32" t="s">
        <v>4</v>
      </c>
      <c r="E744" s="32" t="s">
        <v>505</v>
      </c>
      <c r="F744" s="26" t="s">
        <v>63</v>
      </c>
      <c r="G744" s="36">
        <v>3</v>
      </c>
      <c r="H744" s="76" t="s">
        <v>281</v>
      </c>
      <c r="I744" s="63"/>
      <c r="EP744" s="80"/>
      <c r="EQ744" s="84"/>
    </row>
    <row r="745" spans="1:147" ht="140.4" x14ac:dyDescent="0.3">
      <c r="A745" s="26">
        <v>23</v>
      </c>
      <c r="B745" s="26" t="s">
        <v>32</v>
      </c>
      <c r="C745" s="26">
        <v>2</v>
      </c>
      <c r="D745" s="32" t="s">
        <v>1</v>
      </c>
      <c r="E745" s="32" t="s">
        <v>497</v>
      </c>
      <c r="F745" s="26" t="s">
        <v>63</v>
      </c>
      <c r="G745" s="36">
        <v>169</v>
      </c>
      <c r="H745" s="76" t="s">
        <v>498</v>
      </c>
      <c r="I745" s="63"/>
      <c r="EP745" s="80"/>
      <c r="EQ745" s="84"/>
    </row>
    <row r="746" spans="1:147" ht="202.8" x14ac:dyDescent="0.3">
      <c r="A746" s="26">
        <v>23</v>
      </c>
      <c r="B746" s="26" t="s">
        <v>32</v>
      </c>
      <c r="C746" s="26">
        <v>2</v>
      </c>
      <c r="D746" s="32" t="s">
        <v>1</v>
      </c>
      <c r="E746" s="32" t="s">
        <v>499</v>
      </c>
      <c r="F746" s="26" t="s">
        <v>63</v>
      </c>
      <c r="G746" s="36">
        <v>160</v>
      </c>
      <c r="H746" s="76" t="s">
        <v>500</v>
      </c>
      <c r="I746" s="63"/>
      <c r="EP746" s="80"/>
      <c r="EQ746" s="84"/>
    </row>
    <row r="747" spans="1:147" ht="109.2" x14ac:dyDescent="0.3">
      <c r="A747" s="101">
        <v>23</v>
      </c>
      <c r="B747" s="26" t="s">
        <v>32</v>
      </c>
      <c r="C747" s="26">
        <v>2</v>
      </c>
      <c r="D747" s="32" t="s">
        <v>1</v>
      </c>
      <c r="E747" s="32" t="s">
        <v>573</v>
      </c>
      <c r="F747" s="26" t="s">
        <v>63</v>
      </c>
      <c r="G747" s="36">
        <v>155</v>
      </c>
      <c r="H747" s="76" t="s">
        <v>501</v>
      </c>
      <c r="I747" s="63"/>
      <c r="EP747" s="80"/>
      <c r="EQ747" s="84"/>
    </row>
    <row r="748" spans="1:147" ht="46.8" x14ac:dyDescent="0.3">
      <c r="A748" s="101">
        <v>23</v>
      </c>
      <c r="B748" s="26" t="s">
        <v>32</v>
      </c>
      <c r="C748" s="26">
        <v>2</v>
      </c>
      <c r="D748" s="32" t="s">
        <v>1</v>
      </c>
      <c r="E748" s="32" t="s">
        <v>502</v>
      </c>
      <c r="F748" s="26" t="s">
        <v>63</v>
      </c>
      <c r="G748" s="36">
        <v>17</v>
      </c>
      <c r="H748" s="76" t="s">
        <v>503</v>
      </c>
      <c r="I748" s="63"/>
      <c r="EP748" s="80"/>
      <c r="EQ748" s="84"/>
    </row>
    <row r="749" spans="1:147" ht="46.8" x14ac:dyDescent="0.3">
      <c r="A749" s="101">
        <v>23</v>
      </c>
      <c r="B749" s="26" t="s">
        <v>32</v>
      </c>
      <c r="C749" s="26">
        <v>2</v>
      </c>
      <c r="D749" s="32" t="s">
        <v>375</v>
      </c>
      <c r="E749" s="32" t="s">
        <v>574</v>
      </c>
      <c r="F749" s="26" t="s">
        <v>51</v>
      </c>
      <c r="G749" s="36">
        <v>78</v>
      </c>
      <c r="H749" s="76" t="s">
        <v>504</v>
      </c>
      <c r="I749" s="63"/>
      <c r="EP749" s="80"/>
      <c r="EQ749" s="84"/>
    </row>
    <row r="750" spans="1:147" ht="31.2" x14ac:dyDescent="0.3">
      <c r="A750" s="87">
        <v>23</v>
      </c>
      <c r="B750" s="57" t="s">
        <v>32</v>
      </c>
      <c r="C750" s="57">
        <v>3</v>
      </c>
      <c r="D750" s="58" t="s">
        <v>0</v>
      </c>
      <c r="E750" s="58" t="s">
        <v>878</v>
      </c>
      <c r="F750" s="57" t="s">
        <v>63</v>
      </c>
      <c r="G750" s="59">
        <v>174</v>
      </c>
      <c r="H750" s="91" t="s">
        <v>879</v>
      </c>
      <c r="I750" s="63"/>
      <c r="EP750" s="80"/>
      <c r="EQ750" s="84"/>
    </row>
    <row r="751" spans="1:147" ht="46.8" x14ac:dyDescent="0.3">
      <c r="A751" s="87">
        <v>23</v>
      </c>
      <c r="B751" s="57" t="s">
        <v>32</v>
      </c>
      <c r="C751" s="57">
        <v>3</v>
      </c>
      <c r="D751" s="58" t="s">
        <v>0</v>
      </c>
      <c r="E751" s="58" t="s">
        <v>886</v>
      </c>
      <c r="F751" s="57" t="s">
        <v>51</v>
      </c>
      <c r="G751" s="59">
        <v>29</v>
      </c>
      <c r="H751" s="91" t="s">
        <v>887</v>
      </c>
      <c r="I751" s="63"/>
      <c r="EP751" s="80"/>
      <c r="EQ751" s="84"/>
    </row>
    <row r="752" spans="1:147" ht="156" x14ac:dyDescent="0.3">
      <c r="A752" s="87">
        <v>23</v>
      </c>
      <c r="B752" s="57" t="s">
        <v>32</v>
      </c>
      <c r="C752" s="57">
        <v>3</v>
      </c>
      <c r="D752" s="58" t="s">
        <v>1</v>
      </c>
      <c r="E752" s="58" t="s">
        <v>882</v>
      </c>
      <c r="F752" s="57" t="s">
        <v>63</v>
      </c>
      <c r="G752" s="59">
        <v>174</v>
      </c>
      <c r="H752" s="91" t="s">
        <v>883</v>
      </c>
      <c r="I752" s="63"/>
      <c r="EP752" s="80"/>
      <c r="EQ752" s="84"/>
    </row>
    <row r="753" spans="1:147" ht="46.8" x14ac:dyDescent="0.3">
      <c r="A753" s="87">
        <v>23</v>
      </c>
      <c r="B753" s="57" t="s">
        <v>32</v>
      </c>
      <c r="C753" s="57">
        <v>3</v>
      </c>
      <c r="D753" s="58" t="s">
        <v>1</v>
      </c>
      <c r="E753" s="58" t="s">
        <v>884</v>
      </c>
      <c r="F753" s="57" t="s">
        <v>63</v>
      </c>
      <c r="G753" s="59">
        <v>1</v>
      </c>
      <c r="H753" s="91" t="s">
        <v>885</v>
      </c>
      <c r="I753" s="63"/>
      <c r="EP753" s="80"/>
      <c r="EQ753" s="84"/>
    </row>
    <row r="754" spans="1:147" ht="46.8" x14ac:dyDescent="0.3">
      <c r="A754" s="87">
        <v>23</v>
      </c>
      <c r="B754" s="57" t="s">
        <v>32</v>
      </c>
      <c r="C754" s="57">
        <v>3</v>
      </c>
      <c r="D754" s="58" t="s">
        <v>1</v>
      </c>
      <c r="E754" s="58" t="s">
        <v>888</v>
      </c>
      <c r="F754" s="57" t="s">
        <v>63</v>
      </c>
      <c r="G754" s="59">
        <v>188</v>
      </c>
      <c r="H754" s="91" t="s">
        <v>889</v>
      </c>
      <c r="I754" s="63"/>
      <c r="EP754" s="80"/>
      <c r="EQ754" s="84"/>
    </row>
    <row r="755" spans="1:147" ht="46.8" x14ac:dyDescent="0.3">
      <c r="A755" s="87">
        <v>23</v>
      </c>
      <c r="B755" s="57" t="s">
        <v>32</v>
      </c>
      <c r="C755" s="57">
        <v>3</v>
      </c>
      <c r="D755" s="58" t="s">
        <v>1</v>
      </c>
      <c r="E755" s="58" t="s">
        <v>890</v>
      </c>
      <c r="F755" s="57" t="s">
        <v>63</v>
      </c>
      <c r="G755" s="59">
        <v>2</v>
      </c>
      <c r="H755" s="91" t="s">
        <v>891</v>
      </c>
      <c r="I755" s="63"/>
      <c r="EP755" s="80"/>
      <c r="EQ755" s="84"/>
    </row>
    <row r="756" spans="1:147" ht="78" x14ac:dyDescent="0.3">
      <c r="A756" s="87">
        <v>23</v>
      </c>
      <c r="B756" s="57" t="s">
        <v>32</v>
      </c>
      <c r="C756" s="57">
        <v>3</v>
      </c>
      <c r="D756" s="58" t="s">
        <v>375</v>
      </c>
      <c r="E756" s="58" t="s">
        <v>880</v>
      </c>
      <c r="F756" s="57" t="s">
        <v>51</v>
      </c>
      <c r="G756" s="59">
        <v>83</v>
      </c>
      <c r="H756" s="91" t="s">
        <v>881</v>
      </c>
      <c r="I756" s="63"/>
      <c r="EP756" s="80"/>
      <c r="EQ756" s="84"/>
    </row>
    <row r="757" spans="1:147" ht="46.8" x14ac:dyDescent="0.3">
      <c r="A757" s="87">
        <v>23</v>
      </c>
      <c r="B757" s="57" t="s">
        <v>32</v>
      </c>
      <c r="C757" s="57">
        <v>3</v>
      </c>
      <c r="D757" s="58" t="s">
        <v>375</v>
      </c>
      <c r="E757" s="58" t="s">
        <v>892</v>
      </c>
      <c r="F757" s="57" t="s">
        <v>51</v>
      </c>
      <c r="G757" s="59">
        <v>29</v>
      </c>
      <c r="H757" s="91" t="s">
        <v>893</v>
      </c>
      <c r="I757" s="50"/>
      <c r="EP757" s="80"/>
      <c r="EQ757" s="84"/>
    </row>
    <row r="758" spans="1:147" ht="93.6" x14ac:dyDescent="0.3">
      <c r="A758" s="99">
        <v>23</v>
      </c>
      <c r="B758" s="39" t="s">
        <v>32</v>
      </c>
      <c r="C758" s="39">
        <v>4</v>
      </c>
      <c r="D758" s="44" t="s">
        <v>1</v>
      </c>
      <c r="E758" s="44" t="s">
        <v>1342</v>
      </c>
      <c r="F758" s="39" t="s">
        <v>63</v>
      </c>
      <c r="G758" s="48">
        <v>54</v>
      </c>
      <c r="H758" s="92" t="s">
        <v>1343</v>
      </c>
      <c r="I758" s="63"/>
      <c r="EP758" s="80"/>
      <c r="EQ758" s="84"/>
    </row>
    <row r="759" spans="1:147" ht="93.6" x14ac:dyDescent="0.3">
      <c r="A759" s="99">
        <v>23</v>
      </c>
      <c r="B759" s="39" t="s">
        <v>32</v>
      </c>
      <c r="C759" s="39">
        <v>4</v>
      </c>
      <c r="D759" s="44" t="s">
        <v>1</v>
      </c>
      <c r="E759" s="44" t="s">
        <v>1344</v>
      </c>
      <c r="F759" s="39" t="s">
        <v>63</v>
      </c>
      <c r="G759" s="48">
        <v>49</v>
      </c>
      <c r="H759" s="92" t="s">
        <v>1343</v>
      </c>
      <c r="I759" s="63"/>
      <c r="EP759" s="80"/>
      <c r="EQ759" s="84"/>
    </row>
    <row r="760" spans="1:147" ht="46.8" x14ac:dyDescent="0.3">
      <c r="A760" s="99">
        <v>23</v>
      </c>
      <c r="B760" s="39" t="s">
        <v>32</v>
      </c>
      <c r="C760" s="39">
        <v>4</v>
      </c>
      <c r="D760" s="44" t="s">
        <v>1</v>
      </c>
      <c r="E760" s="44" t="s">
        <v>1345</v>
      </c>
      <c r="F760" s="39" t="s">
        <v>63</v>
      </c>
      <c r="G760" s="48">
        <v>505</v>
      </c>
      <c r="H760" s="92" t="s">
        <v>1346</v>
      </c>
      <c r="I760" s="63"/>
      <c r="EP760" s="80"/>
      <c r="EQ760" s="84"/>
    </row>
    <row r="761" spans="1:147" ht="78" x14ac:dyDescent="0.3">
      <c r="A761" s="99">
        <v>23</v>
      </c>
      <c r="B761" s="39" t="s">
        <v>32</v>
      </c>
      <c r="C761" s="39">
        <v>4</v>
      </c>
      <c r="D761" s="44" t="s">
        <v>1</v>
      </c>
      <c r="E761" s="44" t="s">
        <v>1509</v>
      </c>
      <c r="F761" s="39" t="s">
        <v>63</v>
      </c>
      <c r="G761" s="48">
        <v>62</v>
      </c>
      <c r="H761" s="92" t="s">
        <v>1347</v>
      </c>
      <c r="I761" s="63"/>
      <c r="EP761" s="80"/>
      <c r="EQ761" s="84"/>
    </row>
    <row r="762" spans="1:147" ht="46.8" x14ac:dyDescent="0.3">
      <c r="A762" s="99">
        <v>23</v>
      </c>
      <c r="B762" s="39" t="s">
        <v>32</v>
      </c>
      <c r="C762" s="39">
        <v>4</v>
      </c>
      <c r="D762" s="44" t="s">
        <v>1</v>
      </c>
      <c r="E762" s="44" t="s">
        <v>1348</v>
      </c>
      <c r="F762" s="39" t="s">
        <v>63</v>
      </c>
      <c r="G762" s="48">
        <v>1</v>
      </c>
      <c r="H762" s="92" t="s">
        <v>1349</v>
      </c>
      <c r="I762" s="63"/>
      <c r="EP762" s="80"/>
      <c r="EQ762" s="84"/>
    </row>
    <row r="763" spans="1:147" ht="46.8" x14ac:dyDescent="0.3">
      <c r="A763" s="99">
        <v>23</v>
      </c>
      <c r="B763" s="39" t="s">
        <v>32</v>
      </c>
      <c r="C763" s="39">
        <v>4</v>
      </c>
      <c r="D763" s="44" t="s">
        <v>375</v>
      </c>
      <c r="E763" s="44" t="s">
        <v>1350</v>
      </c>
      <c r="F763" s="39" t="s">
        <v>63</v>
      </c>
      <c r="G763" s="48">
        <v>32</v>
      </c>
      <c r="H763" s="92" t="s">
        <v>1351</v>
      </c>
      <c r="I763" s="63"/>
      <c r="EP763" s="80"/>
      <c r="EQ763" s="84"/>
    </row>
    <row r="764" spans="1:147" ht="62.4" x14ac:dyDescent="0.3">
      <c r="A764" s="99">
        <v>23</v>
      </c>
      <c r="B764" s="39" t="s">
        <v>32</v>
      </c>
      <c r="C764" s="39">
        <v>4</v>
      </c>
      <c r="D764" s="44" t="s">
        <v>375</v>
      </c>
      <c r="E764" s="44" t="s">
        <v>1352</v>
      </c>
      <c r="F764" s="39" t="s">
        <v>51</v>
      </c>
      <c r="G764" s="48">
        <v>30</v>
      </c>
      <c r="H764" s="92" t="s">
        <v>1353</v>
      </c>
      <c r="I764" s="63"/>
      <c r="EP764" s="80"/>
      <c r="EQ764" s="84"/>
    </row>
    <row r="765" spans="1:147" s="79" customFormat="1" ht="31.2" x14ac:dyDescent="0.3">
      <c r="A765" s="75">
        <v>24</v>
      </c>
      <c r="B765" s="9" t="s">
        <v>33</v>
      </c>
      <c r="C765" s="9">
        <v>1</v>
      </c>
      <c r="D765" s="14" t="s">
        <v>0</v>
      </c>
      <c r="E765" s="14" t="s">
        <v>295</v>
      </c>
      <c r="F765" s="9" t="s">
        <v>51</v>
      </c>
      <c r="G765" s="15">
        <v>1</v>
      </c>
      <c r="H765" s="77" t="s">
        <v>296</v>
      </c>
      <c r="I765" s="63"/>
      <c r="EP765" s="80"/>
    </row>
    <row r="766" spans="1:147" s="79" customFormat="1" x14ac:dyDescent="0.3">
      <c r="A766" s="75">
        <v>24</v>
      </c>
      <c r="B766" s="9" t="s">
        <v>33</v>
      </c>
      <c r="C766" s="9">
        <v>1</v>
      </c>
      <c r="D766" s="114" t="s">
        <v>375</v>
      </c>
      <c r="E766" s="14" t="s">
        <v>289</v>
      </c>
      <c r="F766" s="9" t="s">
        <v>63</v>
      </c>
      <c r="G766" s="15">
        <v>1</v>
      </c>
      <c r="H766" s="77" t="s">
        <v>290</v>
      </c>
      <c r="I766" s="63"/>
      <c r="EP766" s="80"/>
    </row>
    <row r="767" spans="1:147" s="79" customFormat="1" ht="46.8" x14ac:dyDescent="0.3">
      <c r="A767" s="75">
        <v>24</v>
      </c>
      <c r="B767" s="9" t="s">
        <v>33</v>
      </c>
      <c r="C767" s="9">
        <v>1</v>
      </c>
      <c r="D767" s="14" t="s">
        <v>1</v>
      </c>
      <c r="E767" s="14" t="s">
        <v>291</v>
      </c>
      <c r="F767" s="9" t="s">
        <v>63</v>
      </c>
      <c r="G767" s="15">
        <v>531</v>
      </c>
      <c r="H767" s="77" t="s">
        <v>292</v>
      </c>
      <c r="I767" s="63"/>
      <c r="EP767" s="80"/>
    </row>
    <row r="768" spans="1:147" s="79" customFormat="1" ht="31.2" x14ac:dyDescent="0.3">
      <c r="A768" s="75">
        <v>24</v>
      </c>
      <c r="B768" s="9" t="s">
        <v>33</v>
      </c>
      <c r="C768" s="9">
        <v>1</v>
      </c>
      <c r="D768" s="14" t="s">
        <v>1</v>
      </c>
      <c r="E768" s="14" t="s">
        <v>293</v>
      </c>
      <c r="F768" s="9" t="s">
        <v>51</v>
      </c>
      <c r="G768" s="15">
        <v>102</v>
      </c>
      <c r="H768" s="77" t="s">
        <v>294</v>
      </c>
      <c r="I768" s="63"/>
      <c r="EP768" s="80"/>
    </row>
    <row r="769" spans="1:146" s="79" customFormat="1" ht="31.2" x14ac:dyDescent="0.3">
      <c r="A769" s="75">
        <v>24</v>
      </c>
      <c r="B769" s="9" t="s">
        <v>33</v>
      </c>
      <c r="C769" s="9">
        <v>1</v>
      </c>
      <c r="D769" s="14" t="s">
        <v>65</v>
      </c>
      <c r="E769" s="14" t="s">
        <v>285</v>
      </c>
      <c r="F769" s="9" t="s">
        <v>51</v>
      </c>
      <c r="G769" s="15">
        <v>6</v>
      </c>
      <c r="H769" s="77" t="s">
        <v>286</v>
      </c>
      <c r="I769" s="63"/>
      <c r="EP769" s="80"/>
    </row>
    <row r="770" spans="1:146" s="79" customFormat="1" ht="31.2" x14ac:dyDescent="0.3">
      <c r="A770" s="75">
        <v>24</v>
      </c>
      <c r="B770" s="9" t="s">
        <v>33</v>
      </c>
      <c r="C770" s="9">
        <v>1</v>
      </c>
      <c r="D770" s="14" t="s">
        <v>65</v>
      </c>
      <c r="E770" s="14" t="s">
        <v>287</v>
      </c>
      <c r="F770" s="9" t="s">
        <v>51</v>
      </c>
      <c r="G770" s="15">
        <v>8</v>
      </c>
      <c r="H770" s="77" t="s">
        <v>288</v>
      </c>
      <c r="I770" s="63"/>
      <c r="EP770" s="80"/>
    </row>
    <row r="771" spans="1:146" s="79" customFormat="1" ht="31.2" x14ac:dyDescent="0.3">
      <c r="A771" s="26">
        <v>24</v>
      </c>
      <c r="B771" s="26" t="s">
        <v>33</v>
      </c>
      <c r="C771" s="26">
        <v>2</v>
      </c>
      <c r="D771" s="32" t="s">
        <v>0</v>
      </c>
      <c r="E771" s="32" t="s">
        <v>506</v>
      </c>
      <c r="F771" s="26" t="s">
        <v>51</v>
      </c>
      <c r="G771" s="36">
        <v>42</v>
      </c>
      <c r="H771" s="76" t="s">
        <v>507</v>
      </c>
      <c r="I771" s="63"/>
      <c r="EP771" s="80"/>
    </row>
    <row r="772" spans="1:146" s="79" customFormat="1" ht="31.2" x14ac:dyDescent="0.3">
      <c r="A772" s="26">
        <v>24</v>
      </c>
      <c r="B772" s="26" t="s">
        <v>33</v>
      </c>
      <c r="C772" s="26">
        <v>2</v>
      </c>
      <c r="D772" s="32" t="s">
        <v>1</v>
      </c>
      <c r="E772" s="32" t="s">
        <v>510</v>
      </c>
      <c r="F772" s="26" t="s">
        <v>63</v>
      </c>
      <c r="G772" s="36">
        <v>110</v>
      </c>
      <c r="H772" s="76" t="s">
        <v>511</v>
      </c>
      <c r="I772" s="63"/>
      <c r="EP772" s="80"/>
    </row>
    <row r="773" spans="1:146" s="79" customFormat="1" ht="31.2" x14ac:dyDescent="0.3">
      <c r="A773" s="26">
        <v>24</v>
      </c>
      <c r="B773" s="26" t="s">
        <v>33</v>
      </c>
      <c r="C773" s="26">
        <v>2</v>
      </c>
      <c r="D773" s="32" t="s">
        <v>375</v>
      </c>
      <c r="E773" s="32" t="s">
        <v>508</v>
      </c>
      <c r="F773" s="26" t="s">
        <v>63</v>
      </c>
      <c r="G773" s="36">
        <v>8</v>
      </c>
      <c r="H773" s="76" t="s">
        <v>509</v>
      </c>
      <c r="I773" s="63"/>
      <c r="EP773" s="80"/>
    </row>
    <row r="774" spans="1:146" s="79" customFormat="1" ht="31.2" x14ac:dyDescent="0.3">
      <c r="A774" s="26">
        <v>24</v>
      </c>
      <c r="B774" s="26" t="s">
        <v>33</v>
      </c>
      <c r="C774" s="26">
        <v>2</v>
      </c>
      <c r="D774" s="32" t="s">
        <v>375</v>
      </c>
      <c r="E774" s="32" t="s">
        <v>512</v>
      </c>
      <c r="F774" s="26" t="s">
        <v>63</v>
      </c>
      <c r="G774" s="36">
        <v>1</v>
      </c>
      <c r="H774" s="76" t="s">
        <v>513</v>
      </c>
      <c r="I774" s="63"/>
      <c r="EP774" s="80"/>
    </row>
    <row r="775" spans="1:146" s="79" customFormat="1" ht="46.8" x14ac:dyDescent="0.3">
      <c r="A775" s="26">
        <v>24</v>
      </c>
      <c r="B775" s="26" t="s">
        <v>33</v>
      </c>
      <c r="C775" s="26">
        <v>2</v>
      </c>
      <c r="D775" s="32" t="s">
        <v>375</v>
      </c>
      <c r="E775" s="32" t="s">
        <v>514</v>
      </c>
      <c r="F775" s="26" t="s">
        <v>63</v>
      </c>
      <c r="G775" s="36">
        <v>9</v>
      </c>
      <c r="H775" s="76" t="s">
        <v>515</v>
      </c>
      <c r="I775" s="63"/>
      <c r="EP775" s="80"/>
    </row>
    <row r="776" spans="1:146" s="79" customFormat="1" ht="46.8" x14ac:dyDescent="0.3">
      <c r="A776" s="57">
        <v>24</v>
      </c>
      <c r="B776" s="57" t="s">
        <v>33</v>
      </c>
      <c r="C776" s="57">
        <v>3</v>
      </c>
      <c r="D776" s="58" t="s">
        <v>1</v>
      </c>
      <c r="E776" s="58" t="s">
        <v>1007</v>
      </c>
      <c r="F776" s="57" t="s">
        <v>51</v>
      </c>
      <c r="G776" s="59">
        <v>156</v>
      </c>
      <c r="H776" s="91" t="s">
        <v>896</v>
      </c>
      <c r="I776" s="63"/>
      <c r="EP776" s="80"/>
    </row>
    <row r="777" spans="1:146" s="79" customFormat="1" x14ac:dyDescent="0.3">
      <c r="A777" s="57">
        <v>24</v>
      </c>
      <c r="B777" s="57" t="s">
        <v>33</v>
      </c>
      <c r="C777" s="57">
        <v>3</v>
      </c>
      <c r="D777" s="58" t="s">
        <v>375</v>
      </c>
      <c r="E777" s="58" t="s">
        <v>894</v>
      </c>
      <c r="F777" s="57" t="s">
        <v>51</v>
      </c>
      <c r="G777" s="59">
        <v>8</v>
      </c>
      <c r="H777" s="91" t="s">
        <v>895</v>
      </c>
      <c r="I777" s="63"/>
      <c r="EP777" s="80"/>
    </row>
    <row r="778" spans="1:146" s="79" customFormat="1" ht="31.2" x14ac:dyDescent="0.3">
      <c r="A778" s="57">
        <v>24</v>
      </c>
      <c r="B778" s="57" t="s">
        <v>33</v>
      </c>
      <c r="C778" s="57">
        <v>3</v>
      </c>
      <c r="D778" s="58" t="s">
        <v>375</v>
      </c>
      <c r="E778" s="58" t="s">
        <v>1008</v>
      </c>
      <c r="F778" s="57" t="s">
        <v>51</v>
      </c>
      <c r="G778" s="59">
        <v>2</v>
      </c>
      <c r="H778" s="91" t="s">
        <v>288</v>
      </c>
      <c r="I778" s="63"/>
      <c r="EP778" s="80"/>
    </row>
    <row r="779" spans="1:146" s="79" customFormat="1" x14ac:dyDescent="0.3">
      <c r="A779" s="118">
        <v>24</v>
      </c>
      <c r="B779" s="118" t="s">
        <v>33</v>
      </c>
      <c r="C779" s="118">
        <v>3</v>
      </c>
      <c r="D779" s="119" t="s">
        <v>375</v>
      </c>
      <c r="E779" s="119" t="s">
        <v>897</v>
      </c>
      <c r="F779" s="118" t="s">
        <v>63</v>
      </c>
      <c r="G779" s="120">
        <v>5</v>
      </c>
      <c r="H779" s="121" t="s">
        <v>290</v>
      </c>
      <c r="I779" s="50"/>
      <c r="EP779" s="80"/>
    </row>
    <row r="780" spans="1:146" s="79" customFormat="1" ht="31.2" x14ac:dyDescent="0.3">
      <c r="A780" s="39">
        <v>24</v>
      </c>
      <c r="B780" s="39" t="s">
        <v>33</v>
      </c>
      <c r="C780" s="39">
        <v>4</v>
      </c>
      <c r="D780" s="44" t="s">
        <v>375</v>
      </c>
      <c r="E780" s="44" t="s">
        <v>1354</v>
      </c>
      <c r="F780" s="39" t="s">
        <v>63</v>
      </c>
      <c r="G780" s="48" t="s">
        <v>1355</v>
      </c>
      <c r="H780" s="92" t="s">
        <v>1356</v>
      </c>
      <c r="I780" s="63"/>
      <c r="EP780" s="80"/>
    </row>
    <row r="781" spans="1:146" s="79" customFormat="1" x14ac:dyDescent="0.3">
      <c r="A781" s="39">
        <v>24</v>
      </c>
      <c r="B781" s="39" t="s">
        <v>33</v>
      </c>
      <c r="C781" s="39">
        <v>4</v>
      </c>
      <c r="D781" s="44" t="s">
        <v>375</v>
      </c>
      <c r="E781" s="44" t="s">
        <v>1357</v>
      </c>
      <c r="F781" s="39" t="s">
        <v>63</v>
      </c>
      <c r="G781" s="48" t="s">
        <v>1358</v>
      </c>
      <c r="H781" s="92" t="s">
        <v>507</v>
      </c>
      <c r="I781" s="63"/>
      <c r="EP781" s="80"/>
    </row>
    <row r="782" spans="1:146" s="79" customFormat="1" ht="31.2" x14ac:dyDescent="0.3">
      <c r="A782" s="39">
        <v>24</v>
      </c>
      <c r="B782" s="39" t="s">
        <v>33</v>
      </c>
      <c r="C782" s="39">
        <v>4</v>
      </c>
      <c r="D782" s="44" t="s">
        <v>375</v>
      </c>
      <c r="E782" s="44" t="s">
        <v>1359</v>
      </c>
      <c r="F782" s="39" t="s">
        <v>51</v>
      </c>
      <c r="G782" s="48" t="s">
        <v>1360</v>
      </c>
      <c r="H782" s="92" t="s">
        <v>1361</v>
      </c>
      <c r="I782" s="63"/>
      <c r="EP782" s="80"/>
    </row>
    <row r="783" spans="1:146" s="79" customFormat="1" x14ac:dyDescent="0.3">
      <c r="A783" s="39">
        <v>24</v>
      </c>
      <c r="B783" s="39" t="s">
        <v>33</v>
      </c>
      <c r="C783" s="39">
        <v>4</v>
      </c>
      <c r="D783" s="44" t="s">
        <v>375</v>
      </c>
      <c r="E783" s="44" t="s">
        <v>897</v>
      </c>
      <c r="F783" s="39" t="s">
        <v>63</v>
      </c>
      <c r="G783" s="48" t="s">
        <v>1362</v>
      </c>
      <c r="H783" s="92" t="s">
        <v>290</v>
      </c>
      <c r="I783" s="63"/>
      <c r="EP783" s="80"/>
    </row>
    <row r="784" spans="1:146" s="79" customFormat="1" x14ac:dyDescent="0.3">
      <c r="A784" s="39">
        <v>24</v>
      </c>
      <c r="B784" s="39" t="s">
        <v>33</v>
      </c>
      <c r="C784" s="39">
        <v>4</v>
      </c>
      <c r="D784" s="44" t="s">
        <v>375</v>
      </c>
      <c r="E784" s="44" t="s">
        <v>1363</v>
      </c>
      <c r="F784" s="39" t="s">
        <v>63</v>
      </c>
      <c r="G784" s="48" t="s">
        <v>1364</v>
      </c>
      <c r="H784" s="92" t="s">
        <v>290</v>
      </c>
      <c r="I784" s="63"/>
      <c r="EP784" s="80"/>
    </row>
    <row r="785" spans="1:146" s="79" customFormat="1" ht="46.8" x14ac:dyDescent="0.3">
      <c r="A785" s="39">
        <v>24</v>
      </c>
      <c r="B785" s="39" t="s">
        <v>33</v>
      </c>
      <c r="C785" s="39">
        <v>4</v>
      </c>
      <c r="D785" s="44" t="s">
        <v>1</v>
      </c>
      <c r="E785" s="44" t="s">
        <v>1365</v>
      </c>
      <c r="F785" s="39" t="s">
        <v>63</v>
      </c>
      <c r="G785" s="48">
        <v>860</v>
      </c>
      <c r="H785" s="92" t="s">
        <v>292</v>
      </c>
      <c r="I785" s="63"/>
      <c r="EP785" s="80"/>
    </row>
    <row r="786" spans="1:146" s="79" customFormat="1" ht="46.8" x14ac:dyDescent="0.3">
      <c r="A786" s="39">
        <v>24</v>
      </c>
      <c r="B786" s="39" t="s">
        <v>33</v>
      </c>
      <c r="C786" s="39">
        <v>4</v>
      </c>
      <c r="D786" s="44" t="s">
        <v>1</v>
      </c>
      <c r="E786" s="44" t="s">
        <v>1510</v>
      </c>
      <c r="F786" s="39" t="s">
        <v>63</v>
      </c>
      <c r="G786" s="48">
        <v>100</v>
      </c>
      <c r="H786" s="92" t="s">
        <v>1511</v>
      </c>
      <c r="I786" s="63"/>
      <c r="EP786" s="80"/>
    </row>
    <row r="787" spans="1:146" s="79" customFormat="1" ht="31.2" x14ac:dyDescent="0.3">
      <c r="A787" s="39">
        <v>24</v>
      </c>
      <c r="B787" s="39" t="s">
        <v>33</v>
      </c>
      <c r="C787" s="39">
        <v>4</v>
      </c>
      <c r="D787" s="44" t="s">
        <v>1</v>
      </c>
      <c r="E787" s="44" t="s">
        <v>1366</v>
      </c>
      <c r="F787" s="39" t="s">
        <v>51</v>
      </c>
      <c r="G787" s="48">
        <v>9</v>
      </c>
      <c r="H787" s="92" t="s">
        <v>1367</v>
      </c>
      <c r="I787" s="63"/>
      <c r="EP787" s="80"/>
    </row>
    <row r="788" spans="1:146" s="79" customFormat="1" x14ac:dyDescent="0.3">
      <c r="A788" s="9">
        <v>25</v>
      </c>
      <c r="B788" s="9" t="s">
        <v>34</v>
      </c>
      <c r="C788" s="9">
        <v>1</v>
      </c>
      <c r="D788" s="14" t="s">
        <v>119</v>
      </c>
      <c r="E788" s="10" t="s">
        <v>310</v>
      </c>
      <c r="F788" s="9" t="s">
        <v>63</v>
      </c>
      <c r="G788" s="15">
        <v>41</v>
      </c>
      <c r="H788" s="77" t="s">
        <v>311</v>
      </c>
      <c r="I788" s="63"/>
      <c r="EP788" s="80"/>
    </row>
    <row r="789" spans="1:146" s="79" customFormat="1" ht="31.2" x14ac:dyDescent="0.3">
      <c r="A789" s="9">
        <v>25</v>
      </c>
      <c r="B789" s="9" t="s">
        <v>34</v>
      </c>
      <c r="C789" s="9">
        <v>1</v>
      </c>
      <c r="D789" s="14" t="s">
        <v>0</v>
      </c>
      <c r="E789" s="10" t="s">
        <v>297</v>
      </c>
      <c r="F789" s="15" t="s">
        <v>63</v>
      </c>
      <c r="G789" s="15">
        <v>19</v>
      </c>
      <c r="H789" s="77" t="s">
        <v>298</v>
      </c>
      <c r="I789" s="63"/>
      <c r="EP789" s="80"/>
    </row>
    <row r="790" spans="1:146" s="79" customFormat="1" x14ac:dyDescent="0.3">
      <c r="A790" s="98">
        <v>25</v>
      </c>
      <c r="B790" s="9" t="s">
        <v>34</v>
      </c>
      <c r="C790" s="9">
        <v>1</v>
      </c>
      <c r="D790" s="14" t="s">
        <v>0</v>
      </c>
      <c r="E790" s="10" t="s">
        <v>299</v>
      </c>
      <c r="F790" s="15" t="s">
        <v>63</v>
      </c>
      <c r="G790" s="15">
        <v>2</v>
      </c>
      <c r="H790" s="77" t="s">
        <v>300</v>
      </c>
      <c r="I790" s="63"/>
      <c r="EP790" s="80"/>
    </row>
    <row r="791" spans="1:146" s="79" customFormat="1" ht="31.2" x14ac:dyDescent="0.3">
      <c r="A791" s="9">
        <v>25</v>
      </c>
      <c r="B791" s="9" t="s">
        <v>34</v>
      </c>
      <c r="C791" s="9">
        <v>1</v>
      </c>
      <c r="D791" s="14" t="s">
        <v>1</v>
      </c>
      <c r="E791" s="10" t="s">
        <v>301</v>
      </c>
      <c r="F791" s="9" t="s">
        <v>63</v>
      </c>
      <c r="G791" s="15">
        <v>16</v>
      </c>
      <c r="H791" s="77" t="s">
        <v>302</v>
      </c>
      <c r="I791" s="63"/>
      <c r="EP791" s="80"/>
    </row>
    <row r="792" spans="1:146" s="79" customFormat="1" ht="31.2" x14ac:dyDescent="0.3">
      <c r="A792" s="9">
        <v>25</v>
      </c>
      <c r="B792" s="9" t="s">
        <v>34</v>
      </c>
      <c r="C792" s="9">
        <v>1</v>
      </c>
      <c r="D792" s="14" t="s">
        <v>1</v>
      </c>
      <c r="E792" s="10" t="s">
        <v>303</v>
      </c>
      <c r="F792" s="9" t="s">
        <v>63</v>
      </c>
      <c r="G792" s="15">
        <v>20</v>
      </c>
      <c r="H792" s="77" t="s">
        <v>302</v>
      </c>
      <c r="I792" s="63"/>
      <c r="EP792" s="80"/>
    </row>
    <row r="793" spans="1:146" s="79" customFormat="1" ht="46.8" x14ac:dyDescent="0.3">
      <c r="A793" s="9">
        <v>25</v>
      </c>
      <c r="B793" s="9" t="s">
        <v>34</v>
      </c>
      <c r="C793" s="9">
        <v>1</v>
      </c>
      <c r="D793" s="14" t="s">
        <v>1</v>
      </c>
      <c r="E793" s="14" t="s">
        <v>304</v>
      </c>
      <c r="F793" s="9" t="s">
        <v>63</v>
      </c>
      <c r="G793" s="15">
        <v>25</v>
      </c>
      <c r="H793" s="77" t="s">
        <v>305</v>
      </c>
      <c r="I793" s="63"/>
      <c r="EP793" s="80"/>
    </row>
    <row r="794" spans="1:146" s="79" customFormat="1" ht="31.2" x14ac:dyDescent="0.3">
      <c r="A794" s="9">
        <v>25</v>
      </c>
      <c r="B794" s="9" t="s">
        <v>34</v>
      </c>
      <c r="C794" s="9">
        <v>1</v>
      </c>
      <c r="D794" s="14" t="s">
        <v>1</v>
      </c>
      <c r="E794" s="14" t="s">
        <v>306</v>
      </c>
      <c r="F794" s="9" t="s">
        <v>63</v>
      </c>
      <c r="G794" s="15">
        <v>6</v>
      </c>
      <c r="H794" s="77" t="s">
        <v>307</v>
      </c>
      <c r="I794" s="63"/>
      <c r="EP794" s="80"/>
    </row>
    <row r="795" spans="1:146" s="79" customFormat="1" x14ac:dyDescent="0.3">
      <c r="A795" s="9">
        <v>25</v>
      </c>
      <c r="B795" s="9" t="s">
        <v>34</v>
      </c>
      <c r="C795" s="9">
        <v>1</v>
      </c>
      <c r="D795" s="14" t="s">
        <v>1</v>
      </c>
      <c r="E795" s="10" t="s">
        <v>308</v>
      </c>
      <c r="F795" s="9" t="s">
        <v>63</v>
      </c>
      <c r="G795" s="15">
        <v>52</v>
      </c>
      <c r="H795" s="77" t="s">
        <v>309</v>
      </c>
      <c r="I795" s="63"/>
      <c r="EP795" s="80"/>
    </row>
    <row r="796" spans="1:146" s="79" customFormat="1" ht="31.2" x14ac:dyDescent="0.3">
      <c r="A796" s="9">
        <v>25</v>
      </c>
      <c r="B796" s="9" t="s">
        <v>34</v>
      </c>
      <c r="C796" s="9">
        <v>1</v>
      </c>
      <c r="D796" s="14" t="s">
        <v>1</v>
      </c>
      <c r="E796" s="10" t="s">
        <v>314</v>
      </c>
      <c r="F796" s="9" t="s">
        <v>63</v>
      </c>
      <c r="G796" s="15">
        <v>11</v>
      </c>
      <c r="H796" s="77" t="s">
        <v>315</v>
      </c>
      <c r="I796" s="63"/>
      <c r="EP796" s="80"/>
    </row>
    <row r="797" spans="1:146" s="79" customFormat="1" x14ac:dyDescent="0.3">
      <c r="A797" s="9">
        <v>25</v>
      </c>
      <c r="B797" s="9" t="s">
        <v>34</v>
      </c>
      <c r="C797" s="9">
        <v>1</v>
      </c>
      <c r="D797" s="14" t="s">
        <v>65</v>
      </c>
      <c r="E797" s="10" t="s">
        <v>312</v>
      </c>
      <c r="F797" s="9" t="s">
        <v>63</v>
      </c>
      <c r="G797" s="15">
        <v>1</v>
      </c>
      <c r="H797" s="77" t="s">
        <v>313</v>
      </c>
      <c r="I797" s="63"/>
      <c r="EP797" s="80"/>
    </row>
    <row r="798" spans="1:146" s="79" customFormat="1" x14ac:dyDescent="0.3">
      <c r="A798" s="9">
        <v>25</v>
      </c>
      <c r="B798" s="9" t="s">
        <v>34</v>
      </c>
      <c r="C798" s="9">
        <v>1</v>
      </c>
      <c r="D798" s="14" t="s">
        <v>65</v>
      </c>
      <c r="E798" s="10" t="s">
        <v>316</v>
      </c>
      <c r="F798" s="9" t="s">
        <v>63</v>
      </c>
      <c r="G798" s="15">
        <v>2</v>
      </c>
      <c r="H798" s="77" t="s">
        <v>317</v>
      </c>
      <c r="I798" s="63"/>
      <c r="EP798" s="80"/>
    </row>
    <row r="799" spans="1:146" s="79" customFormat="1" x14ac:dyDescent="0.3">
      <c r="A799" s="9">
        <v>25</v>
      </c>
      <c r="B799" s="9" t="s">
        <v>34</v>
      </c>
      <c r="C799" s="9">
        <v>1</v>
      </c>
      <c r="D799" s="14" t="s">
        <v>65</v>
      </c>
      <c r="E799" s="10" t="s">
        <v>318</v>
      </c>
      <c r="F799" s="9" t="s">
        <v>63</v>
      </c>
      <c r="G799" s="15">
        <v>15</v>
      </c>
      <c r="H799" s="77" t="s">
        <v>319</v>
      </c>
      <c r="I799" s="63"/>
      <c r="EP799" s="80"/>
    </row>
    <row r="800" spans="1:146" s="79" customFormat="1" x14ac:dyDescent="0.3">
      <c r="A800" s="26">
        <v>25</v>
      </c>
      <c r="B800" s="26" t="s">
        <v>34</v>
      </c>
      <c r="C800" s="26">
        <v>2</v>
      </c>
      <c r="D800" s="32" t="s">
        <v>119</v>
      </c>
      <c r="E800" s="32" t="s">
        <v>529</v>
      </c>
      <c r="F800" s="26" t="s">
        <v>63</v>
      </c>
      <c r="G800" s="36">
        <v>18</v>
      </c>
      <c r="H800" s="76" t="s">
        <v>530</v>
      </c>
      <c r="I800" s="63"/>
      <c r="EP800" s="80"/>
    </row>
    <row r="801" spans="1:146" s="79" customFormat="1" ht="62.4" x14ac:dyDescent="0.3">
      <c r="A801" s="26">
        <v>25</v>
      </c>
      <c r="B801" s="26" t="s">
        <v>34</v>
      </c>
      <c r="C801" s="26">
        <v>2</v>
      </c>
      <c r="D801" s="32" t="s">
        <v>1</v>
      </c>
      <c r="E801" s="32" t="s">
        <v>575</v>
      </c>
      <c r="F801" s="26" t="s">
        <v>63</v>
      </c>
      <c r="G801" s="36">
        <v>60</v>
      </c>
      <c r="H801" s="76" t="s">
        <v>516</v>
      </c>
      <c r="I801" s="63"/>
      <c r="EP801" s="80"/>
    </row>
    <row r="802" spans="1:146" s="79" customFormat="1" ht="31.2" x14ac:dyDescent="0.3">
      <c r="A802" s="26">
        <v>25</v>
      </c>
      <c r="B802" s="26" t="s">
        <v>34</v>
      </c>
      <c r="C802" s="26">
        <v>2</v>
      </c>
      <c r="D802" s="32" t="s">
        <v>1</v>
      </c>
      <c r="E802" s="32" t="s">
        <v>517</v>
      </c>
      <c r="F802" s="26" t="s">
        <v>63</v>
      </c>
      <c r="G802" s="36">
        <v>24</v>
      </c>
      <c r="H802" s="76" t="s">
        <v>518</v>
      </c>
      <c r="I802" s="63"/>
      <c r="EP802" s="80"/>
    </row>
    <row r="803" spans="1:146" s="79" customFormat="1" ht="31.2" x14ac:dyDescent="0.3">
      <c r="A803" s="26">
        <v>25</v>
      </c>
      <c r="B803" s="26" t="s">
        <v>34</v>
      </c>
      <c r="C803" s="26">
        <v>2</v>
      </c>
      <c r="D803" s="32" t="s">
        <v>1</v>
      </c>
      <c r="E803" s="32" t="s">
        <v>519</v>
      </c>
      <c r="F803" s="26" t="s">
        <v>63</v>
      </c>
      <c r="G803" s="36">
        <v>27</v>
      </c>
      <c r="H803" s="76" t="s">
        <v>520</v>
      </c>
      <c r="I803" s="63"/>
      <c r="EP803" s="80"/>
    </row>
    <row r="804" spans="1:146" s="79" customFormat="1" ht="31.2" x14ac:dyDescent="0.3">
      <c r="A804" s="26">
        <v>25</v>
      </c>
      <c r="B804" s="26" t="s">
        <v>34</v>
      </c>
      <c r="C804" s="26">
        <v>2</v>
      </c>
      <c r="D804" s="32" t="s">
        <v>1</v>
      </c>
      <c r="E804" s="32" t="s">
        <v>521</v>
      </c>
      <c r="F804" s="26" t="s">
        <v>63</v>
      </c>
      <c r="G804" s="36">
        <v>22</v>
      </c>
      <c r="H804" s="76" t="s">
        <v>522</v>
      </c>
      <c r="I804" s="63"/>
      <c r="EP804" s="80"/>
    </row>
    <row r="805" spans="1:146" s="79" customFormat="1" ht="31.2" x14ac:dyDescent="0.3">
      <c r="A805" s="26">
        <v>25</v>
      </c>
      <c r="B805" s="26" t="s">
        <v>34</v>
      </c>
      <c r="C805" s="26">
        <v>2</v>
      </c>
      <c r="D805" s="32" t="s">
        <v>1</v>
      </c>
      <c r="E805" s="32" t="s">
        <v>523</v>
      </c>
      <c r="F805" s="26" t="s">
        <v>63</v>
      </c>
      <c r="G805" s="36">
        <v>50</v>
      </c>
      <c r="H805" s="76" t="s">
        <v>524</v>
      </c>
      <c r="I805" s="63"/>
      <c r="EP805" s="80"/>
    </row>
    <row r="806" spans="1:146" s="79" customFormat="1" ht="31.2" x14ac:dyDescent="0.3">
      <c r="A806" s="26">
        <v>25</v>
      </c>
      <c r="B806" s="26" t="s">
        <v>34</v>
      </c>
      <c r="C806" s="26">
        <v>2</v>
      </c>
      <c r="D806" s="32" t="s">
        <v>1</v>
      </c>
      <c r="E806" s="32" t="s">
        <v>525</v>
      </c>
      <c r="F806" s="26" t="s">
        <v>63</v>
      </c>
      <c r="G806" s="36">
        <v>8</v>
      </c>
      <c r="H806" s="76" t="s">
        <v>526</v>
      </c>
      <c r="I806" s="63"/>
      <c r="EP806" s="80"/>
    </row>
    <row r="807" spans="1:146" s="79" customFormat="1" ht="31.2" x14ac:dyDescent="0.3">
      <c r="A807" s="26">
        <v>25</v>
      </c>
      <c r="B807" s="26" t="s">
        <v>34</v>
      </c>
      <c r="C807" s="26">
        <v>2</v>
      </c>
      <c r="D807" s="32" t="s">
        <v>1</v>
      </c>
      <c r="E807" s="32" t="s">
        <v>527</v>
      </c>
      <c r="F807" s="26" t="s">
        <v>63</v>
      </c>
      <c r="G807" s="36">
        <v>4</v>
      </c>
      <c r="H807" s="76" t="s">
        <v>528</v>
      </c>
      <c r="I807" s="63"/>
      <c r="EP807" s="80"/>
    </row>
    <row r="808" spans="1:146" s="79" customFormat="1" ht="46.8" x14ac:dyDescent="0.3">
      <c r="A808" s="26">
        <v>25</v>
      </c>
      <c r="B808" s="26" t="s">
        <v>34</v>
      </c>
      <c r="C808" s="26">
        <v>2</v>
      </c>
      <c r="D808" s="32" t="s">
        <v>375</v>
      </c>
      <c r="E808" s="32" t="s">
        <v>531</v>
      </c>
      <c r="F808" s="26" t="s">
        <v>51</v>
      </c>
      <c r="G808" s="36">
        <v>20</v>
      </c>
      <c r="H808" s="76" t="s">
        <v>532</v>
      </c>
      <c r="I808" s="63"/>
      <c r="EP808" s="80"/>
    </row>
    <row r="809" spans="1:146" s="79" customFormat="1" ht="93.6" x14ac:dyDescent="0.3">
      <c r="A809" s="26">
        <v>25</v>
      </c>
      <c r="B809" s="26" t="s">
        <v>34</v>
      </c>
      <c r="C809" s="26">
        <v>2</v>
      </c>
      <c r="D809" s="32" t="s">
        <v>375</v>
      </c>
      <c r="E809" s="32" t="s">
        <v>533</v>
      </c>
      <c r="F809" s="26" t="s">
        <v>51</v>
      </c>
      <c r="G809" s="36">
        <v>65</v>
      </c>
      <c r="H809" s="76" t="s">
        <v>534</v>
      </c>
      <c r="I809" s="63"/>
      <c r="EP809" s="80"/>
    </row>
    <row r="810" spans="1:146" s="79" customFormat="1" ht="46.8" x14ac:dyDescent="0.3">
      <c r="A810" s="26">
        <v>25</v>
      </c>
      <c r="B810" s="26" t="s">
        <v>34</v>
      </c>
      <c r="C810" s="26">
        <v>2</v>
      </c>
      <c r="D810" s="32" t="s">
        <v>375</v>
      </c>
      <c r="E810" s="32" t="s">
        <v>576</v>
      </c>
      <c r="F810" s="26" t="s">
        <v>51</v>
      </c>
      <c r="G810" s="36">
        <v>1</v>
      </c>
      <c r="H810" s="76" t="s">
        <v>535</v>
      </c>
      <c r="I810" s="63"/>
      <c r="EP810" s="80"/>
    </row>
    <row r="811" spans="1:146" s="79" customFormat="1" ht="78" x14ac:dyDescent="0.3">
      <c r="A811" s="26">
        <v>25</v>
      </c>
      <c r="B811" s="26" t="s">
        <v>34</v>
      </c>
      <c r="C811" s="26">
        <v>2</v>
      </c>
      <c r="D811" s="32" t="s">
        <v>375</v>
      </c>
      <c r="E811" s="32" t="s">
        <v>577</v>
      </c>
      <c r="F811" s="26" t="s">
        <v>63</v>
      </c>
      <c r="G811" s="36">
        <v>15</v>
      </c>
      <c r="H811" s="76" t="s">
        <v>578</v>
      </c>
      <c r="I811" s="63"/>
      <c r="EP811" s="80"/>
    </row>
    <row r="812" spans="1:146" x14ac:dyDescent="0.3">
      <c r="A812" s="57">
        <v>25</v>
      </c>
      <c r="B812" s="57" t="s">
        <v>34</v>
      </c>
      <c r="C812" s="57">
        <v>3</v>
      </c>
      <c r="D812" s="58" t="s">
        <v>119</v>
      </c>
      <c r="E812" s="58" t="s">
        <v>916</v>
      </c>
      <c r="F812" s="57" t="s">
        <v>63</v>
      </c>
      <c r="G812" s="59">
        <v>22</v>
      </c>
      <c r="H812" s="91" t="s">
        <v>917</v>
      </c>
      <c r="I812" s="63"/>
    </row>
    <row r="813" spans="1:146" ht="31.2" x14ac:dyDescent="0.3">
      <c r="A813" s="57">
        <v>25</v>
      </c>
      <c r="B813" s="57" t="s">
        <v>34</v>
      </c>
      <c r="C813" s="57">
        <v>3</v>
      </c>
      <c r="D813" s="58" t="s">
        <v>0</v>
      </c>
      <c r="E813" s="58" t="s">
        <v>914</v>
      </c>
      <c r="F813" s="57" t="s">
        <v>63</v>
      </c>
      <c r="G813" s="59">
        <v>44</v>
      </c>
      <c r="H813" s="91" t="s">
        <v>915</v>
      </c>
      <c r="I813" s="63"/>
    </row>
    <row r="814" spans="1:146" ht="46.8" x14ac:dyDescent="0.3">
      <c r="A814" s="57">
        <v>25</v>
      </c>
      <c r="B814" s="57" t="s">
        <v>34</v>
      </c>
      <c r="C814" s="57">
        <v>3</v>
      </c>
      <c r="D814" s="58" t="s">
        <v>1</v>
      </c>
      <c r="E814" s="58" t="s">
        <v>898</v>
      </c>
      <c r="F814" s="57" t="s">
        <v>63</v>
      </c>
      <c r="G814" s="59">
        <v>11</v>
      </c>
      <c r="H814" s="91" t="s">
        <v>899</v>
      </c>
      <c r="I814" s="63"/>
    </row>
    <row r="815" spans="1:146" ht="31.2" x14ac:dyDescent="0.3">
      <c r="A815" s="57">
        <v>25</v>
      </c>
      <c r="B815" s="57" t="s">
        <v>34</v>
      </c>
      <c r="C815" s="57">
        <v>3</v>
      </c>
      <c r="D815" s="58" t="s">
        <v>1</v>
      </c>
      <c r="E815" s="58" t="s">
        <v>900</v>
      </c>
      <c r="F815" s="57" t="s">
        <v>63</v>
      </c>
      <c r="G815" s="59">
        <v>17</v>
      </c>
      <c r="H815" s="91" t="s">
        <v>901</v>
      </c>
      <c r="I815" s="63"/>
    </row>
    <row r="816" spans="1:146" ht="31.2" x14ac:dyDescent="0.3">
      <c r="A816" s="57">
        <v>25</v>
      </c>
      <c r="B816" s="57" t="s">
        <v>34</v>
      </c>
      <c r="C816" s="57">
        <v>3</v>
      </c>
      <c r="D816" s="58" t="s">
        <v>1</v>
      </c>
      <c r="E816" s="58" t="s">
        <v>902</v>
      </c>
      <c r="F816" s="57" t="s">
        <v>63</v>
      </c>
      <c r="G816" s="59">
        <v>14</v>
      </c>
      <c r="H816" s="91" t="s">
        <v>903</v>
      </c>
      <c r="I816" s="63"/>
    </row>
    <row r="817" spans="1:9" ht="31.2" x14ac:dyDescent="0.3">
      <c r="A817" s="57">
        <v>25</v>
      </c>
      <c r="B817" s="57" t="s">
        <v>34</v>
      </c>
      <c r="C817" s="57">
        <v>3</v>
      </c>
      <c r="D817" s="58" t="s">
        <v>1</v>
      </c>
      <c r="E817" s="58" t="s">
        <v>904</v>
      </c>
      <c r="F817" s="57" t="s">
        <v>63</v>
      </c>
      <c r="G817" s="59">
        <v>18</v>
      </c>
      <c r="H817" s="91" t="s">
        <v>905</v>
      </c>
      <c r="I817" s="63"/>
    </row>
    <row r="818" spans="1:9" ht="31.2" x14ac:dyDescent="0.3">
      <c r="A818" s="57">
        <v>25</v>
      </c>
      <c r="B818" s="57" t="s">
        <v>34</v>
      </c>
      <c r="C818" s="57">
        <v>3</v>
      </c>
      <c r="D818" s="58" t="s">
        <v>1</v>
      </c>
      <c r="E818" s="58" t="s">
        <v>906</v>
      </c>
      <c r="F818" s="57" t="s">
        <v>63</v>
      </c>
      <c r="G818" s="59">
        <v>32</v>
      </c>
      <c r="H818" s="91" t="s">
        <v>907</v>
      </c>
      <c r="I818" s="63"/>
    </row>
    <row r="819" spans="1:9" ht="31.2" x14ac:dyDescent="0.3">
      <c r="A819" s="57">
        <v>25</v>
      </c>
      <c r="B819" s="57" t="s">
        <v>34</v>
      </c>
      <c r="C819" s="57">
        <v>3</v>
      </c>
      <c r="D819" s="58" t="s">
        <v>1</v>
      </c>
      <c r="E819" s="58" t="s">
        <v>908</v>
      </c>
      <c r="F819" s="57" t="s">
        <v>63</v>
      </c>
      <c r="G819" s="59">
        <v>28</v>
      </c>
      <c r="H819" s="91" t="s">
        <v>909</v>
      </c>
      <c r="I819" s="63"/>
    </row>
    <row r="820" spans="1:9" ht="46.8" x14ac:dyDescent="0.3">
      <c r="A820" s="57">
        <v>25</v>
      </c>
      <c r="B820" s="57" t="s">
        <v>34</v>
      </c>
      <c r="C820" s="57">
        <v>3</v>
      </c>
      <c r="D820" s="58" t="s">
        <v>1</v>
      </c>
      <c r="E820" s="58" t="s">
        <v>910</v>
      </c>
      <c r="F820" s="57" t="s">
        <v>63</v>
      </c>
      <c r="G820" s="59">
        <v>107</v>
      </c>
      <c r="H820" s="91" t="s">
        <v>911</v>
      </c>
      <c r="I820" s="63"/>
    </row>
    <row r="821" spans="1:9" ht="31.2" x14ac:dyDescent="0.3">
      <c r="A821" s="57">
        <v>25</v>
      </c>
      <c r="B821" s="57" t="s">
        <v>34</v>
      </c>
      <c r="C821" s="57">
        <v>3</v>
      </c>
      <c r="D821" s="58" t="s">
        <v>1</v>
      </c>
      <c r="E821" s="58" t="s">
        <v>912</v>
      </c>
      <c r="F821" s="57" t="s">
        <v>63</v>
      </c>
      <c r="G821" s="59">
        <v>2</v>
      </c>
      <c r="H821" s="91" t="s">
        <v>913</v>
      </c>
      <c r="I821" s="63"/>
    </row>
    <row r="822" spans="1:9" ht="46.8" x14ac:dyDescent="0.3">
      <c r="A822" s="57">
        <v>25</v>
      </c>
      <c r="B822" s="57" t="s">
        <v>34</v>
      </c>
      <c r="C822" s="57">
        <v>3</v>
      </c>
      <c r="D822" s="58" t="s">
        <v>1</v>
      </c>
      <c r="E822" s="58" t="s">
        <v>922</v>
      </c>
      <c r="F822" s="57" t="s">
        <v>51</v>
      </c>
      <c r="G822" s="59">
        <v>4</v>
      </c>
      <c r="H822" s="91" t="s">
        <v>923</v>
      </c>
      <c r="I822" s="63"/>
    </row>
    <row r="823" spans="1:9" ht="46.8" x14ac:dyDescent="0.3">
      <c r="A823" s="57">
        <v>25</v>
      </c>
      <c r="B823" s="57" t="s">
        <v>34</v>
      </c>
      <c r="C823" s="57">
        <v>3</v>
      </c>
      <c r="D823" s="58" t="s">
        <v>375</v>
      </c>
      <c r="E823" s="58" t="s">
        <v>918</v>
      </c>
      <c r="F823" s="57" t="s">
        <v>63</v>
      </c>
      <c r="G823" s="59">
        <v>12</v>
      </c>
      <c r="H823" s="91" t="s">
        <v>919</v>
      </c>
      <c r="I823" s="63"/>
    </row>
    <row r="824" spans="1:9" ht="93.6" x14ac:dyDescent="0.3">
      <c r="A824" s="57">
        <v>25</v>
      </c>
      <c r="B824" s="57" t="s">
        <v>34</v>
      </c>
      <c r="C824" s="57">
        <v>3</v>
      </c>
      <c r="D824" s="58" t="s">
        <v>375</v>
      </c>
      <c r="E824" s="58" t="s">
        <v>920</v>
      </c>
      <c r="F824" s="57" t="s">
        <v>51</v>
      </c>
      <c r="G824" s="59">
        <v>56</v>
      </c>
      <c r="H824" s="91" t="s">
        <v>921</v>
      </c>
      <c r="I824" s="63"/>
    </row>
    <row r="825" spans="1:9" ht="62.4" x14ac:dyDescent="0.3">
      <c r="A825" s="57">
        <v>25</v>
      </c>
      <c r="B825" s="57" t="s">
        <v>34</v>
      </c>
      <c r="C825" s="57">
        <v>3</v>
      </c>
      <c r="D825" s="58" t="s">
        <v>375</v>
      </c>
      <c r="E825" s="58" t="s">
        <v>924</v>
      </c>
      <c r="F825" s="57" t="s">
        <v>51</v>
      </c>
      <c r="G825" s="59">
        <v>2</v>
      </c>
      <c r="H825" s="91" t="s">
        <v>925</v>
      </c>
      <c r="I825" s="63"/>
    </row>
    <row r="826" spans="1:9" ht="46.8" x14ac:dyDescent="0.3">
      <c r="A826" s="57">
        <v>25</v>
      </c>
      <c r="B826" s="57" t="s">
        <v>34</v>
      </c>
      <c r="C826" s="57">
        <v>3</v>
      </c>
      <c r="D826" s="58" t="s">
        <v>375</v>
      </c>
      <c r="E826" s="58" t="s">
        <v>926</v>
      </c>
      <c r="F826" s="57" t="s">
        <v>51</v>
      </c>
      <c r="G826" s="59">
        <v>25</v>
      </c>
      <c r="H826" s="91" t="s">
        <v>927</v>
      </c>
      <c r="I826" s="50"/>
    </row>
    <row r="827" spans="1:9" ht="31.2" x14ac:dyDescent="0.3">
      <c r="A827" s="39">
        <v>25</v>
      </c>
      <c r="B827" s="39" t="s">
        <v>34</v>
      </c>
      <c r="C827" s="39">
        <v>4</v>
      </c>
      <c r="D827" s="44" t="s">
        <v>1</v>
      </c>
      <c r="E827" s="44" t="s">
        <v>1368</v>
      </c>
      <c r="F827" s="39" t="s">
        <v>63</v>
      </c>
      <c r="G827" s="48">
        <v>38</v>
      </c>
      <c r="H827" s="92" t="s">
        <v>1369</v>
      </c>
      <c r="I827" s="63"/>
    </row>
    <row r="828" spans="1:9" ht="31.2" x14ac:dyDescent="0.3">
      <c r="A828" s="39">
        <v>25</v>
      </c>
      <c r="B828" s="39" t="s">
        <v>34</v>
      </c>
      <c r="C828" s="39">
        <v>4</v>
      </c>
      <c r="D828" s="44" t="s">
        <v>1</v>
      </c>
      <c r="E828" s="44" t="s">
        <v>1370</v>
      </c>
      <c r="F828" s="39" t="s">
        <v>63</v>
      </c>
      <c r="G828" s="48">
        <v>27</v>
      </c>
      <c r="H828" s="92" t="s">
        <v>520</v>
      </c>
      <c r="I828" s="63"/>
    </row>
    <row r="829" spans="1:9" ht="31.2" x14ac:dyDescent="0.3">
      <c r="A829" s="39">
        <v>25</v>
      </c>
      <c r="B829" s="39" t="s">
        <v>34</v>
      </c>
      <c r="C829" s="39">
        <v>4</v>
      </c>
      <c r="D829" s="44" t="s">
        <v>1</v>
      </c>
      <c r="E829" s="44" t="s">
        <v>1371</v>
      </c>
      <c r="F829" s="39" t="s">
        <v>63</v>
      </c>
      <c r="G829" s="48">
        <v>6</v>
      </c>
      <c r="H829" s="92" t="s">
        <v>1372</v>
      </c>
      <c r="I829" s="63"/>
    </row>
    <row r="830" spans="1:9" ht="31.2" x14ac:dyDescent="0.3">
      <c r="A830" s="39">
        <v>25</v>
      </c>
      <c r="B830" s="39" t="s">
        <v>34</v>
      </c>
      <c r="C830" s="39">
        <v>4</v>
      </c>
      <c r="D830" s="44" t="s">
        <v>1</v>
      </c>
      <c r="E830" s="44" t="s">
        <v>1373</v>
      </c>
      <c r="F830" s="39" t="s">
        <v>63</v>
      </c>
      <c r="G830" s="48">
        <v>6</v>
      </c>
      <c r="H830" s="92" t="s">
        <v>1372</v>
      </c>
      <c r="I830" s="63"/>
    </row>
    <row r="831" spans="1:9" ht="31.2" x14ac:dyDescent="0.3">
      <c r="A831" s="39">
        <v>25</v>
      </c>
      <c r="B831" s="39" t="s">
        <v>34</v>
      </c>
      <c r="C831" s="39">
        <v>4</v>
      </c>
      <c r="D831" s="44" t="s">
        <v>1</v>
      </c>
      <c r="E831" s="44" t="s">
        <v>1374</v>
      </c>
      <c r="F831" s="39" t="s">
        <v>63</v>
      </c>
      <c r="G831" s="48">
        <v>35</v>
      </c>
      <c r="H831" s="92" t="s">
        <v>1375</v>
      </c>
      <c r="I831" s="63"/>
    </row>
    <row r="832" spans="1:9" ht="46.8" x14ac:dyDescent="0.3">
      <c r="A832" s="39">
        <v>25</v>
      </c>
      <c r="B832" s="39" t="s">
        <v>34</v>
      </c>
      <c r="C832" s="39">
        <v>4</v>
      </c>
      <c r="D832" s="44" t="s">
        <v>1</v>
      </c>
      <c r="E832" s="44" t="s">
        <v>1376</v>
      </c>
      <c r="F832" s="39" t="s">
        <v>63</v>
      </c>
      <c r="G832" s="48">
        <v>15</v>
      </c>
      <c r="H832" s="92" t="s">
        <v>1377</v>
      </c>
      <c r="I832" s="63"/>
    </row>
    <row r="833" spans="1:9" ht="31.2" x14ac:dyDescent="0.3">
      <c r="A833" s="39">
        <v>25</v>
      </c>
      <c r="B833" s="39" t="s">
        <v>34</v>
      </c>
      <c r="C833" s="39">
        <v>4</v>
      </c>
      <c r="D833" s="44" t="s">
        <v>1</v>
      </c>
      <c r="E833" s="44" t="s">
        <v>1512</v>
      </c>
      <c r="F833" s="39" t="s">
        <v>63</v>
      </c>
      <c r="G833" s="48">
        <v>48</v>
      </c>
      <c r="H833" s="92" t="s">
        <v>1378</v>
      </c>
      <c r="I833" s="63"/>
    </row>
    <row r="834" spans="1:9" ht="31.2" x14ac:dyDescent="0.3">
      <c r="A834" s="39">
        <v>25</v>
      </c>
      <c r="B834" s="39" t="s">
        <v>34</v>
      </c>
      <c r="C834" s="39">
        <v>4</v>
      </c>
      <c r="D834" s="44" t="s">
        <v>1</v>
      </c>
      <c r="E834" s="44" t="s">
        <v>1379</v>
      </c>
      <c r="F834" s="39" t="s">
        <v>63</v>
      </c>
      <c r="G834" s="48">
        <v>13</v>
      </c>
      <c r="H834" s="92" t="s">
        <v>1513</v>
      </c>
      <c r="I834" s="63"/>
    </row>
    <row r="835" spans="1:9" ht="31.2" x14ac:dyDescent="0.3">
      <c r="A835" s="39">
        <v>25</v>
      </c>
      <c r="B835" s="39" t="s">
        <v>34</v>
      </c>
      <c r="C835" s="39">
        <v>4</v>
      </c>
      <c r="D835" s="44" t="s">
        <v>1</v>
      </c>
      <c r="E835" s="44" t="s">
        <v>1380</v>
      </c>
      <c r="F835" s="39" t="s">
        <v>63</v>
      </c>
      <c r="G835" s="48">
        <v>4</v>
      </c>
      <c r="H835" s="92" t="s">
        <v>1381</v>
      </c>
      <c r="I835" s="63"/>
    </row>
    <row r="836" spans="1:9" ht="31.2" x14ac:dyDescent="0.3">
      <c r="A836" s="39">
        <v>25</v>
      </c>
      <c r="B836" s="39" t="s">
        <v>34</v>
      </c>
      <c r="C836" s="39">
        <v>4</v>
      </c>
      <c r="D836" s="44" t="s">
        <v>0</v>
      </c>
      <c r="E836" s="44" t="s">
        <v>1382</v>
      </c>
      <c r="F836" s="39" t="s">
        <v>63</v>
      </c>
      <c r="G836" s="48">
        <v>205</v>
      </c>
      <c r="H836" s="92" t="s">
        <v>1514</v>
      </c>
      <c r="I836" s="63"/>
    </row>
    <row r="837" spans="1:9" ht="31.2" x14ac:dyDescent="0.3">
      <c r="A837" s="39">
        <v>25</v>
      </c>
      <c r="B837" s="39" t="s">
        <v>34</v>
      </c>
      <c r="C837" s="39">
        <v>4</v>
      </c>
      <c r="D837" s="44" t="s">
        <v>119</v>
      </c>
      <c r="E837" s="44" t="s">
        <v>1383</v>
      </c>
      <c r="F837" s="39" t="s">
        <v>63</v>
      </c>
      <c r="G837" s="48">
        <v>22</v>
      </c>
      <c r="H837" s="92" t="s">
        <v>917</v>
      </c>
      <c r="I837" s="63"/>
    </row>
    <row r="838" spans="1:9" ht="62.4" x14ac:dyDescent="0.3">
      <c r="A838" s="39">
        <v>25</v>
      </c>
      <c r="B838" s="39" t="s">
        <v>34</v>
      </c>
      <c r="C838" s="39">
        <v>4</v>
      </c>
      <c r="D838" s="44" t="s">
        <v>375</v>
      </c>
      <c r="E838" s="44" t="s">
        <v>1384</v>
      </c>
      <c r="F838" s="39" t="s">
        <v>63</v>
      </c>
      <c r="G838" s="48">
        <v>35</v>
      </c>
      <c r="H838" s="92" t="s">
        <v>1385</v>
      </c>
      <c r="I838" s="63"/>
    </row>
    <row r="839" spans="1:9" ht="93.6" x14ac:dyDescent="0.3">
      <c r="A839" s="39">
        <v>25</v>
      </c>
      <c r="B839" s="39" t="s">
        <v>34</v>
      </c>
      <c r="C839" s="39">
        <v>4</v>
      </c>
      <c r="D839" s="44" t="s">
        <v>375</v>
      </c>
      <c r="E839" s="44" t="s">
        <v>1386</v>
      </c>
      <c r="F839" s="39" t="s">
        <v>51</v>
      </c>
      <c r="G839" s="48">
        <v>59</v>
      </c>
      <c r="H839" s="92" t="s">
        <v>1387</v>
      </c>
      <c r="I839" s="63"/>
    </row>
    <row r="840" spans="1:9" ht="46.8" x14ac:dyDescent="0.3">
      <c r="A840" s="39">
        <v>25</v>
      </c>
      <c r="B840" s="39" t="s">
        <v>34</v>
      </c>
      <c r="C840" s="39">
        <v>4</v>
      </c>
      <c r="D840" s="44" t="s">
        <v>375</v>
      </c>
      <c r="E840" s="44" t="s">
        <v>1515</v>
      </c>
      <c r="F840" s="39" t="s">
        <v>51</v>
      </c>
      <c r="G840" s="48">
        <v>5</v>
      </c>
      <c r="H840" s="92" t="s">
        <v>1388</v>
      </c>
      <c r="I840" s="63"/>
    </row>
    <row r="841" spans="1:9" ht="62.4" x14ac:dyDescent="0.3">
      <c r="A841" s="39">
        <v>25</v>
      </c>
      <c r="B841" s="39" t="s">
        <v>34</v>
      </c>
      <c r="C841" s="39">
        <v>4</v>
      </c>
      <c r="D841" s="44" t="s">
        <v>375</v>
      </c>
      <c r="E841" s="44" t="s">
        <v>1516</v>
      </c>
      <c r="F841" s="39" t="s">
        <v>51</v>
      </c>
      <c r="G841" s="48">
        <v>4</v>
      </c>
      <c r="H841" s="92" t="s">
        <v>1389</v>
      </c>
      <c r="I841" s="63"/>
    </row>
    <row r="842" spans="1:9" ht="31.2" x14ac:dyDescent="0.3">
      <c r="A842" s="39">
        <v>25</v>
      </c>
      <c r="B842" s="39" t="s">
        <v>34</v>
      </c>
      <c r="C842" s="39">
        <v>4</v>
      </c>
      <c r="D842" s="44" t="s">
        <v>541</v>
      </c>
      <c r="E842" s="44" t="s">
        <v>1390</v>
      </c>
      <c r="F842" s="39" t="s">
        <v>63</v>
      </c>
      <c r="G842" s="48">
        <v>2</v>
      </c>
      <c r="H842" s="92" t="s">
        <v>1391</v>
      </c>
      <c r="I842" s="63"/>
    </row>
    <row r="843" spans="1:9" ht="78" x14ac:dyDescent="0.3">
      <c r="A843" s="9">
        <v>26</v>
      </c>
      <c r="B843" s="9" t="s">
        <v>35</v>
      </c>
      <c r="C843" s="9">
        <v>1</v>
      </c>
      <c r="D843" s="14" t="s">
        <v>124</v>
      </c>
      <c r="E843" s="10" t="s">
        <v>327</v>
      </c>
      <c r="F843" s="9" t="s">
        <v>51</v>
      </c>
      <c r="G843" s="15">
        <v>5</v>
      </c>
      <c r="H843" s="77" t="s">
        <v>328</v>
      </c>
      <c r="I843" s="63"/>
    </row>
    <row r="844" spans="1:9" ht="140.4" x14ac:dyDescent="0.3">
      <c r="A844" s="9">
        <v>26</v>
      </c>
      <c r="B844" s="9" t="s">
        <v>35</v>
      </c>
      <c r="C844" s="9">
        <v>1</v>
      </c>
      <c r="D844" s="14" t="s">
        <v>1</v>
      </c>
      <c r="E844" s="10" t="s">
        <v>320</v>
      </c>
      <c r="F844" s="9" t="s">
        <v>63</v>
      </c>
      <c r="G844" s="15">
        <v>46</v>
      </c>
      <c r="H844" s="77" t="s">
        <v>321</v>
      </c>
      <c r="I844" s="63"/>
    </row>
    <row r="845" spans="1:9" ht="140.4" x14ac:dyDescent="0.3">
      <c r="A845" s="9">
        <v>26</v>
      </c>
      <c r="B845" s="9" t="s">
        <v>35</v>
      </c>
      <c r="C845" s="9">
        <v>1</v>
      </c>
      <c r="D845" s="14" t="s">
        <v>1</v>
      </c>
      <c r="E845" s="10" t="s">
        <v>322</v>
      </c>
      <c r="F845" s="9" t="s">
        <v>63</v>
      </c>
      <c r="G845" s="15">
        <v>47</v>
      </c>
      <c r="H845" s="77" t="s">
        <v>321</v>
      </c>
      <c r="I845" s="63"/>
    </row>
    <row r="846" spans="1:9" ht="140.4" x14ac:dyDescent="0.3">
      <c r="A846" s="9">
        <v>26</v>
      </c>
      <c r="B846" s="9" t="s">
        <v>35</v>
      </c>
      <c r="C846" s="9">
        <v>1</v>
      </c>
      <c r="D846" s="14" t="s">
        <v>1</v>
      </c>
      <c r="E846" s="10" t="s">
        <v>323</v>
      </c>
      <c r="F846" s="9" t="s">
        <v>63</v>
      </c>
      <c r="G846" s="15">
        <v>18</v>
      </c>
      <c r="H846" s="77" t="s">
        <v>321</v>
      </c>
      <c r="I846" s="63"/>
    </row>
    <row r="847" spans="1:9" ht="140.4" x14ac:dyDescent="0.3">
      <c r="A847" s="9">
        <v>26</v>
      </c>
      <c r="B847" s="9" t="s">
        <v>35</v>
      </c>
      <c r="C847" s="9">
        <v>1</v>
      </c>
      <c r="D847" s="14" t="s">
        <v>1</v>
      </c>
      <c r="E847" s="10" t="s">
        <v>324</v>
      </c>
      <c r="F847" s="9" t="s">
        <v>63</v>
      </c>
      <c r="G847" s="15">
        <v>33</v>
      </c>
      <c r="H847" s="77" t="s">
        <v>321</v>
      </c>
      <c r="I847" s="63"/>
    </row>
    <row r="848" spans="1:9" ht="140.4" x14ac:dyDescent="0.3">
      <c r="A848" s="9">
        <v>26</v>
      </c>
      <c r="B848" s="9" t="s">
        <v>35</v>
      </c>
      <c r="C848" s="9">
        <v>1</v>
      </c>
      <c r="D848" s="14" t="s">
        <v>1</v>
      </c>
      <c r="E848" s="10" t="s">
        <v>325</v>
      </c>
      <c r="F848" s="9" t="s">
        <v>63</v>
      </c>
      <c r="G848" s="15">
        <v>38</v>
      </c>
      <c r="H848" s="77" t="s">
        <v>321</v>
      </c>
      <c r="I848" s="63"/>
    </row>
    <row r="849" spans="1:9" ht="140.4" x14ac:dyDescent="0.3">
      <c r="A849" s="9">
        <v>26</v>
      </c>
      <c r="B849" s="9" t="s">
        <v>35</v>
      </c>
      <c r="C849" s="9">
        <v>1</v>
      </c>
      <c r="D849" s="14" t="s">
        <v>1</v>
      </c>
      <c r="E849" s="10" t="s">
        <v>326</v>
      </c>
      <c r="F849" s="9" t="s">
        <v>63</v>
      </c>
      <c r="G849" s="15">
        <v>22</v>
      </c>
      <c r="H849" s="77" t="s">
        <v>321</v>
      </c>
      <c r="I849" s="63"/>
    </row>
    <row r="850" spans="1:9" ht="140.4" x14ac:dyDescent="0.3">
      <c r="A850" s="9">
        <v>26</v>
      </c>
      <c r="B850" s="9" t="s">
        <v>35</v>
      </c>
      <c r="C850" s="9">
        <v>1</v>
      </c>
      <c r="D850" s="14" t="s">
        <v>1</v>
      </c>
      <c r="E850" s="10" t="s">
        <v>323</v>
      </c>
      <c r="F850" s="9" t="s">
        <v>63</v>
      </c>
      <c r="G850" s="15">
        <v>24</v>
      </c>
      <c r="H850" s="77" t="s">
        <v>321</v>
      </c>
      <c r="I850" s="63"/>
    </row>
    <row r="851" spans="1:9" ht="109.2" x14ac:dyDescent="0.3">
      <c r="A851" s="9">
        <v>26</v>
      </c>
      <c r="B851" s="9" t="s">
        <v>35</v>
      </c>
      <c r="C851" s="9">
        <v>1</v>
      </c>
      <c r="D851" s="14" t="s">
        <v>329</v>
      </c>
      <c r="E851" s="10" t="s">
        <v>330</v>
      </c>
      <c r="F851" s="9" t="s">
        <v>63</v>
      </c>
      <c r="G851" s="15">
        <v>1</v>
      </c>
      <c r="H851" s="77" t="s">
        <v>331</v>
      </c>
      <c r="I851" s="63"/>
    </row>
    <row r="852" spans="1:9" ht="124.8" x14ac:dyDescent="0.3">
      <c r="A852" s="9">
        <v>26</v>
      </c>
      <c r="B852" s="9" t="s">
        <v>35</v>
      </c>
      <c r="C852" s="9">
        <v>1</v>
      </c>
      <c r="D852" s="14" t="s">
        <v>329</v>
      </c>
      <c r="E852" s="14" t="s">
        <v>332</v>
      </c>
      <c r="F852" s="9" t="s">
        <v>63</v>
      </c>
      <c r="G852" s="15">
        <v>2</v>
      </c>
      <c r="H852" s="77" t="s">
        <v>333</v>
      </c>
      <c r="I852" s="63"/>
    </row>
    <row r="853" spans="1:9" ht="93.6" x14ac:dyDescent="0.3">
      <c r="A853" s="9">
        <v>26</v>
      </c>
      <c r="B853" s="9" t="s">
        <v>35</v>
      </c>
      <c r="C853" s="9">
        <v>1</v>
      </c>
      <c r="D853" s="14" t="s">
        <v>334</v>
      </c>
      <c r="E853" s="10" t="s">
        <v>335</v>
      </c>
      <c r="F853" s="9" t="s">
        <v>63</v>
      </c>
      <c r="G853" s="15">
        <v>9</v>
      </c>
      <c r="H853" s="77" t="s">
        <v>336</v>
      </c>
      <c r="I853" s="63"/>
    </row>
    <row r="854" spans="1:9" ht="78" x14ac:dyDescent="0.3">
      <c r="A854" s="9">
        <v>26</v>
      </c>
      <c r="B854" s="9" t="s">
        <v>35</v>
      </c>
      <c r="C854" s="9">
        <v>1</v>
      </c>
      <c r="D854" s="14" t="s">
        <v>334</v>
      </c>
      <c r="E854" s="10" t="s">
        <v>337</v>
      </c>
      <c r="F854" s="9" t="s">
        <v>51</v>
      </c>
      <c r="G854" s="15">
        <v>233</v>
      </c>
      <c r="H854" s="77" t="s">
        <v>338</v>
      </c>
      <c r="I854" s="63"/>
    </row>
    <row r="855" spans="1:9" ht="109.2" x14ac:dyDescent="0.3">
      <c r="A855" s="26">
        <v>26</v>
      </c>
      <c r="B855" s="26" t="s">
        <v>35</v>
      </c>
      <c r="C855" s="26">
        <v>2</v>
      </c>
      <c r="D855" s="32" t="s">
        <v>0</v>
      </c>
      <c r="E855" s="32" t="s">
        <v>538</v>
      </c>
      <c r="F855" s="26" t="s">
        <v>63</v>
      </c>
      <c r="G855" s="36">
        <v>206</v>
      </c>
      <c r="H855" s="76" t="s">
        <v>539</v>
      </c>
      <c r="I855" s="63" t="s">
        <v>539</v>
      </c>
    </row>
    <row r="856" spans="1:9" ht="78" x14ac:dyDescent="0.3">
      <c r="A856" s="26">
        <v>26</v>
      </c>
      <c r="B856" s="26" t="s">
        <v>35</v>
      </c>
      <c r="C856" s="26">
        <v>2</v>
      </c>
      <c r="D856" s="32" t="s">
        <v>0</v>
      </c>
      <c r="E856" s="32" t="s">
        <v>661</v>
      </c>
      <c r="F856" s="26" t="s">
        <v>63</v>
      </c>
      <c r="G856" s="36">
        <v>78</v>
      </c>
      <c r="H856" s="76" t="s">
        <v>540</v>
      </c>
      <c r="I856" s="63" t="s">
        <v>540</v>
      </c>
    </row>
    <row r="857" spans="1:9" ht="124.8" x14ac:dyDescent="0.3">
      <c r="A857" s="26">
        <v>26</v>
      </c>
      <c r="B857" s="26" t="s">
        <v>35</v>
      </c>
      <c r="C857" s="26">
        <v>2</v>
      </c>
      <c r="D857" s="32" t="s">
        <v>541</v>
      </c>
      <c r="E857" s="32" t="s">
        <v>542</v>
      </c>
      <c r="F857" s="26" t="s">
        <v>51</v>
      </c>
      <c r="G857" s="36">
        <v>6</v>
      </c>
      <c r="H857" s="76" t="s">
        <v>333</v>
      </c>
      <c r="I857" s="63" t="s">
        <v>333</v>
      </c>
    </row>
    <row r="858" spans="1:9" ht="78" x14ac:dyDescent="0.3">
      <c r="A858" s="102">
        <v>26</v>
      </c>
      <c r="B858" s="102" t="s">
        <v>35</v>
      </c>
      <c r="C858" s="102">
        <v>2</v>
      </c>
      <c r="D858" s="104" t="s">
        <v>124</v>
      </c>
      <c r="E858" s="104" t="s">
        <v>662</v>
      </c>
      <c r="F858" s="102" t="s">
        <v>51</v>
      </c>
      <c r="G858" s="107">
        <v>6</v>
      </c>
      <c r="H858" s="109" t="s">
        <v>328</v>
      </c>
      <c r="I858" s="63" t="s">
        <v>328</v>
      </c>
    </row>
    <row r="859" spans="1:9" ht="140.4" x14ac:dyDescent="0.3">
      <c r="A859" s="26">
        <v>26</v>
      </c>
      <c r="B859" s="26" t="s">
        <v>35</v>
      </c>
      <c r="C859" s="26">
        <v>2</v>
      </c>
      <c r="D859" s="32" t="s">
        <v>1</v>
      </c>
      <c r="E859" s="32" t="s">
        <v>543</v>
      </c>
      <c r="F859" s="26" t="s">
        <v>63</v>
      </c>
      <c r="G859" s="36">
        <v>213</v>
      </c>
      <c r="H859" s="76" t="s">
        <v>544</v>
      </c>
      <c r="I859" s="63" t="s">
        <v>544</v>
      </c>
    </row>
    <row r="860" spans="1:9" ht="140.4" x14ac:dyDescent="0.3">
      <c r="A860" s="26">
        <v>26</v>
      </c>
      <c r="B860" s="26" t="s">
        <v>35</v>
      </c>
      <c r="C860" s="26">
        <v>2</v>
      </c>
      <c r="D860" s="32" t="s">
        <v>1</v>
      </c>
      <c r="E860" s="32" t="s">
        <v>545</v>
      </c>
      <c r="F860" s="26" t="s">
        <v>63</v>
      </c>
      <c r="G860" s="36">
        <v>34</v>
      </c>
      <c r="H860" s="76" t="s">
        <v>321</v>
      </c>
      <c r="I860" s="63" t="s">
        <v>321</v>
      </c>
    </row>
    <row r="861" spans="1:9" ht="140.4" x14ac:dyDescent="0.3">
      <c r="A861" s="26">
        <v>26</v>
      </c>
      <c r="B861" s="26" t="s">
        <v>35</v>
      </c>
      <c r="C861" s="26">
        <v>2</v>
      </c>
      <c r="D861" s="32" t="s">
        <v>1</v>
      </c>
      <c r="E861" s="32" t="s">
        <v>546</v>
      </c>
      <c r="F861" s="26" t="s">
        <v>63</v>
      </c>
      <c r="G861" s="36">
        <v>67</v>
      </c>
      <c r="H861" s="76" t="s">
        <v>321</v>
      </c>
      <c r="I861" s="63" t="s">
        <v>321</v>
      </c>
    </row>
    <row r="862" spans="1:9" ht="140.4" x14ac:dyDescent="0.3">
      <c r="A862" s="26">
        <v>26</v>
      </c>
      <c r="B862" s="26" t="s">
        <v>35</v>
      </c>
      <c r="C862" s="26">
        <v>2</v>
      </c>
      <c r="D862" s="32" t="s">
        <v>1</v>
      </c>
      <c r="E862" s="32" t="s">
        <v>547</v>
      </c>
      <c r="F862" s="26" t="s">
        <v>63</v>
      </c>
      <c r="G862" s="36">
        <v>167</v>
      </c>
      <c r="H862" s="76" t="s">
        <v>321</v>
      </c>
      <c r="I862" s="63" t="s">
        <v>321</v>
      </c>
    </row>
    <row r="863" spans="1:9" ht="140.4" x14ac:dyDescent="0.3">
      <c r="A863" s="26">
        <v>26</v>
      </c>
      <c r="B863" s="26" t="s">
        <v>35</v>
      </c>
      <c r="C863" s="26">
        <v>2</v>
      </c>
      <c r="D863" s="32" t="s">
        <v>1</v>
      </c>
      <c r="E863" s="32" t="s">
        <v>548</v>
      </c>
      <c r="F863" s="26" t="s">
        <v>63</v>
      </c>
      <c r="G863" s="36">
        <v>25</v>
      </c>
      <c r="H863" s="76" t="s">
        <v>321</v>
      </c>
      <c r="I863" s="63" t="s">
        <v>321</v>
      </c>
    </row>
    <row r="864" spans="1:9" ht="93.6" x14ac:dyDescent="0.3">
      <c r="A864" s="26">
        <v>26</v>
      </c>
      <c r="B864" s="26" t="s">
        <v>35</v>
      </c>
      <c r="C864" s="26">
        <v>2</v>
      </c>
      <c r="D864" s="32" t="s">
        <v>375</v>
      </c>
      <c r="E864" s="32" t="s">
        <v>536</v>
      </c>
      <c r="F864" s="26" t="s">
        <v>51</v>
      </c>
      <c r="G864" s="36">
        <v>9</v>
      </c>
      <c r="H864" s="76" t="s">
        <v>336</v>
      </c>
      <c r="I864" s="63" t="s">
        <v>336</v>
      </c>
    </row>
    <row r="865" spans="1:9" ht="93.6" x14ac:dyDescent="0.3">
      <c r="A865" s="26">
        <v>26</v>
      </c>
      <c r="B865" s="26" t="s">
        <v>35</v>
      </c>
      <c r="C865" s="26">
        <v>2</v>
      </c>
      <c r="D865" s="32" t="s">
        <v>375</v>
      </c>
      <c r="E865" s="32" t="s">
        <v>660</v>
      </c>
      <c r="F865" s="26" t="s">
        <v>63</v>
      </c>
      <c r="G865" s="36">
        <v>9</v>
      </c>
      <c r="H865" s="76" t="s">
        <v>336</v>
      </c>
      <c r="I865" s="63" t="s">
        <v>336</v>
      </c>
    </row>
    <row r="866" spans="1:9" ht="78" x14ac:dyDescent="0.3">
      <c r="A866" s="26">
        <v>26</v>
      </c>
      <c r="B866" s="26" t="s">
        <v>35</v>
      </c>
      <c r="C866" s="26">
        <v>2</v>
      </c>
      <c r="D866" s="32" t="s">
        <v>375</v>
      </c>
      <c r="E866" s="32" t="s">
        <v>669</v>
      </c>
      <c r="F866" s="26" t="s">
        <v>63</v>
      </c>
      <c r="G866" s="36">
        <v>179</v>
      </c>
      <c r="H866" s="76" t="s">
        <v>338</v>
      </c>
      <c r="I866" s="63" t="s">
        <v>338</v>
      </c>
    </row>
    <row r="867" spans="1:9" ht="78" x14ac:dyDescent="0.3">
      <c r="A867" s="26">
        <v>26</v>
      </c>
      <c r="B867" s="26" t="s">
        <v>35</v>
      </c>
      <c r="C867" s="26">
        <v>2</v>
      </c>
      <c r="D867" s="32" t="s">
        <v>375</v>
      </c>
      <c r="E867" s="32" t="s">
        <v>537</v>
      </c>
      <c r="F867" s="26" t="s">
        <v>63</v>
      </c>
      <c r="G867" s="36">
        <v>2</v>
      </c>
      <c r="H867" s="76" t="s">
        <v>338</v>
      </c>
      <c r="I867" s="63" t="s">
        <v>338</v>
      </c>
    </row>
    <row r="868" spans="1:9" ht="78" x14ac:dyDescent="0.3">
      <c r="A868" s="57">
        <v>26</v>
      </c>
      <c r="B868" s="57" t="s">
        <v>35</v>
      </c>
      <c r="C868" s="57">
        <v>3</v>
      </c>
      <c r="D868" s="58" t="s">
        <v>0</v>
      </c>
      <c r="E868" s="58" t="s">
        <v>928</v>
      </c>
      <c r="F868" s="57" t="s">
        <v>63</v>
      </c>
      <c r="G868" s="59">
        <v>3</v>
      </c>
      <c r="H868" s="91" t="s">
        <v>540</v>
      </c>
      <c r="I868" s="63"/>
    </row>
    <row r="869" spans="1:9" ht="109.2" x14ac:dyDescent="0.3">
      <c r="A869" s="57">
        <v>26</v>
      </c>
      <c r="B869" s="57" t="s">
        <v>35</v>
      </c>
      <c r="C869" s="57">
        <v>3</v>
      </c>
      <c r="D869" s="58" t="s">
        <v>0</v>
      </c>
      <c r="E869" s="58" t="s">
        <v>929</v>
      </c>
      <c r="F869" s="57" t="s">
        <v>63</v>
      </c>
      <c r="G869" s="59">
        <v>31</v>
      </c>
      <c r="H869" s="91" t="s">
        <v>539</v>
      </c>
      <c r="I869" s="63"/>
    </row>
    <row r="870" spans="1:9" ht="109.2" x14ac:dyDescent="0.3">
      <c r="A870" s="57">
        <v>26</v>
      </c>
      <c r="B870" s="57" t="s">
        <v>35</v>
      </c>
      <c r="C870" s="57">
        <v>3</v>
      </c>
      <c r="D870" s="58" t="s">
        <v>0</v>
      </c>
      <c r="E870" s="58" t="s">
        <v>930</v>
      </c>
      <c r="F870" s="57" t="s">
        <v>63</v>
      </c>
      <c r="G870" s="59">
        <v>177</v>
      </c>
      <c r="H870" s="91" t="s">
        <v>539</v>
      </c>
      <c r="I870" s="63"/>
    </row>
    <row r="871" spans="1:9" ht="124.8" x14ac:dyDescent="0.3">
      <c r="A871" s="57">
        <v>26</v>
      </c>
      <c r="B871" s="57" t="s">
        <v>35</v>
      </c>
      <c r="C871" s="57">
        <v>3</v>
      </c>
      <c r="D871" s="58" t="s">
        <v>541</v>
      </c>
      <c r="E871" s="58" t="s">
        <v>931</v>
      </c>
      <c r="F871" s="57" t="s">
        <v>63</v>
      </c>
      <c r="G871" s="59">
        <v>2</v>
      </c>
      <c r="H871" s="91" t="s">
        <v>333</v>
      </c>
      <c r="I871" s="63"/>
    </row>
    <row r="872" spans="1:9" ht="124.8" x14ac:dyDescent="0.3">
      <c r="A872" s="57">
        <v>26</v>
      </c>
      <c r="B872" s="57" t="s">
        <v>35</v>
      </c>
      <c r="C872" s="57">
        <v>3</v>
      </c>
      <c r="D872" s="58" t="s">
        <v>541</v>
      </c>
      <c r="E872" s="58" t="s">
        <v>932</v>
      </c>
      <c r="F872" s="57" t="s">
        <v>51</v>
      </c>
      <c r="G872" s="59">
        <v>4</v>
      </c>
      <c r="H872" s="91" t="s">
        <v>333</v>
      </c>
      <c r="I872" s="63"/>
    </row>
    <row r="873" spans="1:9" ht="46.8" x14ac:dyDescent="0.3">
      <c r="A873" s="100">
        <v>26</v>
      </c>
      <c r="B873" s="100" t="s">
        <v>35</v>
      </c>
      <c r="C873" s="100">
        <v>3</v>
      </c>
      <c r="D873" s="103" t="s">
        <v>124</v>
      </c>
      <c r="E873" s="103" t="s">
        <v>933</v>
      </c>
      <c r="F873" s="100" t="s">
        <v>51</v>
      </c>
      <c r="G873" s="106">
        <v>5</v>
      </c>
      <c r="H873" s="108" t="s">
        <v>934</v>
      </c>
      <c r="I873" s="63"/>
    </row>
    <row r="874" spans="1:9" ht="140.4" x14ac:dyDescent="0.3">
      <c r="A874" s="57">
        <v>26</v>
      </c>
      <c r="B874" s="57" t="s">
        <v>35</v>
      </c>
      <c r="C874" s="57">
        <v>3</v>
      </c>
      <c r="D874" s="58" t="s">
        <v>1</v>
      </c>
      <c r="E874" s="58" t="s">
        <v>935</v>
      </c>
      <c r="F874" s="57" t="s">
        <v>63</v>
      </c>
      <c r="G874" s="59">
        <v>78</v>
      </c>
      <c r="H874" s="91" t="s">
        <v>321</v>
      </c>
      <c r="I874" s="63"/>
    </row>
    <row r="875" spans="1:9" ht="140.4" x14ac:dyDescent="0.3">
      <c r="A875" s="57">
        <v>26</v>
      </c>
      <c r="B875" s="57" t="s">
        <v>35</v>
      </c>
      <c r="C875" s="57">
        <v>3</v>
      </c>
      <c r="D875" s="58" t="s">
        <v>1</v>
      </c>
      <c r="E875" s="58" t="s">
        <v>936</v>
      </c>
      <c r="F875" s="57" t="s">
        <v>63</v>
      </c>
      <c r="G875" s="59">
        <v>87</v>
      </c>
      <c r="H875" s="91" t="s">
        <v>321</v>
      </c>
      <c r="I875" s="63"/>
    </row>
    <row r="876" spans="1:9" ht="140.4" x14ac:dyDescent="0.3">
      <c r="A876" s="57">
        <v>26</v>
      </c>
      <c r="B876" s="57" t="s">
        <v>35</v>
      </c>
      <c r="C876" s="57">
        <v>3</v>
      </c>
      <c r="D876" s="58" t="s">
        <v>1</v>
      </c>
      <c r="E876" s="58" t="s">
        <v>937</v>
      </c>
      <c r="F876" s="57" t="s">
        <v>63</v>
      </c>
      <c r="G876" s="59">
        <v>62</v>
      </c>
      <c r="H876" s="91" t="s">
        <v>321</v>
      </c>
      <c r="I876" s="63"/>
    </row>
    <row r="877" spans="1:9" ht="140.4" x14ac:dyDescent="0.3">
      <c r="A877" s="57">
        <v>26</v>
      </c>
      <c r="B877" s="57" t="s">
        <v>35</v>
      </c>
      <c r="C877" s="57">
        <v>3</v>
      </c>
      <c r="D877" s="58" t="s">
        <v>1</v>
      </c>
      <c r="E877" s="58" t="s">
        <v>938</v>
      </c>
      <c r="F877" s="57" t="s">
        <v>63</v>
      </c>
      <c r="G877" s="59">
        <v>15</v>
      </c>
      <c r="H877" s="91" t="s">
        <v>321</v>
      </c>
      <c r="I877" s="63"/>
    </row>
    <row r="878" spans="1:9" ht="140.4" x14ac:dyDescent="0.3">
      <c r="A878" s="57">
        <v>26</v>
      </c>
      <c r="B878" s="57" t="s">
        <v>35</v>
      </c>
      <c r="C878" s="57">
        <v>3</v>
      </c>
      <c r="D878" s="58" t="s">
        <v>1</v>
      </c>
      <c r="E878" s="58" t="s">
        <v>939</v>
      </c>
      <c r="F878" s="57" t="s">
        <v>63</v>
      </c>
      <c r="G878" s="59">
        <v>167</v>
      </c>
      <c r="H878" s="91" t="s">
        <v>321</v>
      </c>
      <c r="I878" s="63"/>
    </row>
    <row r="879" spans="1:9" ht="140.4" x14ac:dyDescent="0.3">
      <c r="A879" s="100">
        <v>26</v>
      </c>
      <c r="B879" s="100" t="s">
        <v>35</v>
      </c>
      <c r="C879" s="100">
        <v>3</v>
      </c>
      <c r="D879" s="103" t="s">
        <v>1</v>
      </c>
      <c r="E879" s="103" t="s">
        <v>940</v>
      </c>
      <c r="F879" s="100" t="s">
        <v>63</v>
      </c>
      <c r="G879" s="106">
        <v>130</v>
      </c>
      <c r="H879" s="108" t="s">
        <v>321</v>
      </c>
      <c r="I879" s="63"/>
    </row>
    <row r="880" spans="1:9" ht="140.4" x14ac:dyDescent="0.3">
      <c r="A880" s="57">
        <v>26</v>
      </c>
      <c r="B880" s="57" t="s">
        <v>35</v>
      </c>
      <c r="C880" s="57">
        <v>3</v>
      </c>
      <c r="D880" s="58" t="s">
        <v>1</v>
      </c>
      <c r="E880" s="58" t="s">
        <v>941</v>
      </c>
      <c r="F880" s="57" t="s">
        <v>63</v>
      </c>
      <c r="G880" s="59">
        <v>61</v>
      </c>
      <c r="H880" s="91" t="s">
        <v>321</v>
      </c>
      <c r="I880" s="63"/>
    </row>
    <row r="881" spans="1:9" ht="140.4" x14ac:dyDescent="0.3">
      <c r="A881" s="57">
        <v>26</v>
      </c>
      <c r="B881" s="57" t="s">
        <v>35</v>
      </c>
      <c r="C881" s="57">
        <v>3</v>
      </c>
      <c r="D881" s="58" t="s">
        <v>1</v>
      </c>
      <c r="E881" s="58" t="s">
        <v>942</v>
      </c>
      <c r="F881" s="57" t="s">
        <v>63</v>
      </c>
      <c r="G881" s="59">
        <v>56</v>
      </c>
      <c r="H881" s="91" t="s">
        <v>321</v>
      </c>
      <c r="I881" s="63"/>
    </row>
    <row r="882" spans="1:9" ht="140.4" x14ac:dyDescent="0.3">
      <c r="A882" s="57">
        <v>26</v>
      </c>
      <c r="B882" s="57" t="s">
        <v>35</v>
      </c>
      <c r="C882" s="57">
        <v>3</v>
      </c>
      <c r="D882" s="58" t="s">
        <v>1</v>
      </c>
      <c r="E882" s="58" t="s">
        <v>943</v>
      </c>
      <c r="F882" s="57" t="s">
        <v>51</v>
      </c>
      <c r="G882" s="59">
        <v>16</v>
      </c>
      <c r="H882" s="91" t="s">
        <v>321</v>
      </c>
      <c r="I882" s="63"/>
    </row>
    <row r="883" spans="1:9" ht="78" x14ac:dyDescent="0.3">
      <c r="A883" s="57">
        <v>26</v>
      </c>
      <c r="B883" s="57" t="s">
        <v>35</v>
      </c>
      <c r="C883" s="57">
        <v>3</v>
      </c>
      <c r="D883" s="58" t="s">
        <v>375</v>
      </c>
      <c r="E883" s="58" t="s">
        <v>944</v>
      </c>
      <c r="F883" s="57" t="s">
        <v>63</v>
      </c>
      <c r="G883" s="59">
        <v>14</v>
      </c>
      <c r="H883" s="91" t="s">
        <v>338</v>
      </c>
      <c r="I883" s="63"/>
    </row>
    <row r="884" spans="1:9" ht="93.6" x14ac:dyDescent="0.3">
      <c r="A884" s="57">
        <v>26</v>
      </c>
      <c r="B884" s="57" t="s">
        <v>35</v>
      </c>
      <c r="C884" s="57">
        <v>3</v>
      </c>
      <c r="D884" s="58" t="s">
        <v>375</v>
      </c>
      <c r="E884" s="58" t="s">
        <v>536</v>
      </c>
      <c r="F884" s="57" t="s">
        <v>51</v>
      </c>
      <c r="G884" s="59">
        <v>9</v>
      </c>
      <c r="H884" s="91" t="s">
        <v>336</v>
      </c>
      <c r="I884" s="63"/>
    </row>
    <row r="885" spans="1:9" ht="78" x14ac:dyDescent="0.3">
      <c r="A885" s="57">
        <v>26</v>
      </c>
      <c r="B885" s="57" t="s">
        <v>35</v>
      </c>
      <c r="C885" s="57">
        <v>3</v>
      </c>
      <c r="D885" s="58" t="s">
        <v>375</v>
      </c>
      <c r="E885" s="58" t="s">
        <v>945</v>
      </c>
      <c r="F885" s="57" t="s">
        <v>63</v>
      </c>
      <c r="G885" s="59">
        <v>8</v>
      </c>
      <c r="H885" s="91" t="s">
        <v>338</v>
      </c>
      <c r="I885" s="63"/>
    </row>
    <row r="886" spans="1:9" ht="78" x14ac:dyDescent="0.3">
      <c r="A886" s="57">
        <v>26</v>
      </c>
      <c r="B886" s="57" t="s">
        <v>35</v>
      </c>
      <c r="C886" s="57">
        <v>3</v>
      </c>
      <c r="D886" s="58" t="s">
        <v>375</v>
      </c>
      <c r="E886" s="58" t="s">
        <v>946</v>
      </c>
      <c r="F886" s="57" t="s">
        <v>63</v>
      </c>
      <c r="G886" s="59">
        <v>74</v>
      </c>
      <c r="H886" s="91" t="s">
        <v>338</v>
      </c>
      <c r="I886" s="63"/>
    </row>
    <row r="887" spans="1:9" ht="78" x14ac:dyDescent="0.3">
      <c r="A887" s="100">
        <v>26</v>
      </c>
      <c r="B887" s="100" t="s">
        <v>35</v>
      </c>
      <c r="C887" s="100">
        <v>3</v>
      </c>
      <c r="D887" s="103" t="s">
        <v>375</v>
      </c>
      <c r="E887" s="103" t="s">
        <v>947</v>
      </c>
      <c r="F887" s="100" t="s">
        <v>63</v>
      </c>
      <c r="G887" s="106">
        <v>40</v>
      </c>
      <c r="H887" s="108" t="s">
        <v>338</v>
      </c>
      <c r="I887" s="63"/>
    </row>
    <row r="888" spans="1:9" ht="78" x14ac:dyDescent="0.3">
      <c r="A888" s="57">
        <v>26</v>
      </c>
      <c r="B888" s="57" t="s">
        <v>35</v>
      </c>
      <c r="C888" s="57">
        <v>3</v>
      </c>
      <c r="D888" s="58" t="s">
        <v>375</v>
      </c>
      <c r="E888" s="58" t="s">
        <v>948</v>
      </c>
      <c r="F888" s="57" t="s">
        <v>63</v>
      </c>
      <c r="G888" s="59">
        <v>46</v>
      </c>
      <c r="H888" s="91" t="s">
        <v>338</v>
      </c>
      <c r="I888" s="63"/>
    </row>
    <row r="889" spans="1:9" ht="78" x14ac:dyDescent="0.3">
      <c r="A889" s="57">
        <v>26</v>
      </c>
      <c r="B889" s="57" t="s">
        <v>35</v>
      </c>
      <c r="C889" s="57">
        <v>3</v>
      </c>
      <c r="D889" s="58" t="s">
        <v>375</v>
      </c>
      <c r="E889" s="58" t="s">
        <v>949</v>
      </c>
      <c r="F889" s="57" t="s">
        <v>63</v>
      </c>
      <c r="G889" s="59">
        <v>15</v>
      </c>
      <c r="H889" s="91" t="s">
        <v>338</v>
      </c>
      <c r="I889" s="50"/>
    </row>
    <row r="890" spans="1:9" ht="140.4" x14ac:dyDescent="0.3">
      <c r="A890" s="39">
        <v>26</v>
      </c>
      <c r="B890" s="39" t="s">
        <v>35</v>
      </c>
      <c r="C890" s="39">
        <v>4</v>
      </c>
      <c r="D890" s="44" t="s">
        <v>1</v>
      </c>
      <c r="E890" s="44" t="s">
        <v>1392</v>
      </c>
      <c r="F890" s="39" t="s">
        <v>63</v>
      </c>
      <c r="G890" s="48">
        <v>39</v>
      </c>
      <c r="H890" s="92" t="s">
        <v>321</v>
      </c>
      <c r="I890" s="63"/>
    </row>
    <row r="891" spans="1:9" ht="140.4" x14ac:dyDescent="0.3">
      <c r="A891" s="39">
        <v>26</v>
      </c>
      <c r="B891" s="39" t="s">
        <v>35</v>
      </c>
      <c r="C891" s="39">
        <v>4</v>
      </c>
      <c r="D891" s="89" t="s">
        <v>1</v>
      </c>
      <c r="E891" s="89" t="s">
        <v>1393</v>
      </c>
      <c r="F891" s="88" t="s">
        <v>63</v>
      </c>
      <c r="G891" s="90">
        <v>42</v>
      </c>
      <c r="H891" s="93" t="s">
        <v>321</v>
      </c>
      <c r="I891" s="63"/>
    </row>
    <row r="892" spans="1:9" ht="140.4" x14ac:dyDescent="0.3">
      <c r="A892" s="39">
        <v>26</v>
      </c>
      <c r="B892" s="39" t="s">
        <v>35</v>
      </c>
      <c r="C892" s="39">
        <v>4</v>
      </c>
      <c r="D892" s="89" t="s">
        <v>1</v>
      </c>
      <c r="E892" s="89" t="s">
        <v>1394</v>
      </c>
      <c r="F892" s="88" t="s">
        <v>63</v>
      </c>
      <c r="G892" s="90">
        <v>156</v>
      </c>
      <c r="H892" s="93" t="s">
        <v>321</v>
      </c>
      <c r="I892" s="63"/>
    </row>
    <row r="893" spans="1:9" ht="140.4" x14ac:dyDescent="0.3">
      <c r="A893" s="39">
        <v>26</v>
      </c>
      <c r="B893" s="39" t="s">
        <v>35</v>
      </c>
      <c r="C893" s="39">
        <v>4</v>
      </c>
      <c r="D893" s="89" t="s">
        <v>1</v>
      </c>
      <c r="E893" s="89" t="s">
        <v>1395</v>
      </c>
      <c r="F893" s="88" t="s">
        <v>51</v>
      </c>
      <c r="G893" s="90">
        <v>16</v>
      </c>
      <c r="H893" s="93" t="s">
        <v>321</v>
      </c>
      <c r="I893" s="63"/>
    </row>
    <row r="894" spans="1:9" ht="140.4" x14ac:dyDescent="0.3">
      <c r="A894" s="39">
        <v>26</v>
      </c>
      <c r="B894" s="39" t="s">
        <v>35</v>
      </c>
      <c r="C894" s="39">
        <v>4</v>
      </c>
      <c r="D894" s="89" t="s">
        <v>1</v>
      </c>
      <c r="E894" s="89" t="s">
        <v>1396</v>
      </c>
      <c r="F894" s="88" t="s">
        <v>51</v>
      </c>
      <c r="G894" s="90">
        <v>58</v>
      </c>
      <c r="H894" s="93" t="s">
        <v>321</v>
      </c>
      <c r="I894" s="63"/>
    </row>
    <row r="895" spans="1:9" ht="140.4" x14ac:dyDescent="0.3">
      <c r="A895" s="39">
        <v>26</v>
      </c>
      <c r="B895" s="39" t="s">
        <v>35</v>
      </c>
      <c r="C895" s="39">
        <v>4</v>
      </c>
      <c r="D895" s="89" t="s">
        <v>1</v>
      </c>
      <c r="E895" s="89" t="s">
        <v>1397</v>
      </c>
      <c r="F895" s="88" t="s">
        <v>63</v>
      </c>
      <c r="G895" s="90">
        <v>39</v>
      </c>
      <c r="H895" s="93" t="s">
        <v>321</v>
      </c>
      <c r="I895" s="63"/>
    </row>
    <row r="896" spans="1:9" ht="140.4" x14ac:dyDescent="0.3">
      <c r="A896" s="39">
        <v>26</v>
      </c>
      <c r="B896" s="39" t="s">
        <v>35</v>
      </c>
      <c r="C896" s="39">
        <v>4</v>
      </c>
      <c r="D896" s="89" t="s">
        <v>1</v>
      </c>
      <c r="E896" s="89" t="s">
        <v>1398</v>
      </c>
      <c r="F896" s="88" t="s">
        <v>51</v>
      </c>
      <c r="G896" s="90">
        <v>15</v>
      </c>
      <c r="H896" s="93" t="s">
        <v>321</v>
      </c>
      <c r="I896" s="63"/>
    </row>
    <row r="897" spans="1:9" ht="140.4" x14ac:dyDescent="0.3">
      <c r="A897" s="39">
        <v>26</v>
      </c>
      <c r="B897" s="39" t="s">
        <v>35</v>
      </c>
      <c r="C897" s="39">
        <v>4</v>
      </c>
      <c r="D897" s="89" t="s">
        <v>1</v>
      </c>
      <c r="E897" s="89" t="s">
        <v>1399</v>
      </c>
      <c r="F897" s="88" t="s">
        <v>63</v>
      </c>
      <c r="G897" s="90">
        <v>16</v>
      </c>
      <c r="H897" s="93" t="s">
        <v>321</v>
      </c>
      <c r="I897" s="63"/>
    </row>
    <row r="898" spans="1:9" ht="140.4" x14ac:dyDescent="0.3">
      <c r="A898" s="39">
        <v>26</v>
      </c>
      <c r="B898" s="39" t="s">
        <v>35</v>
      </c>
      <c r="C898" s="39">
        <v>4</v>
      </c>
      <c r="D898" s="89" t="s">
        <v>1</v>
      </c>
      <c r="E898" s="89" t="s">
        <v>1400</v>
      </c>
      <c r="F898" s="88" t="s">
        <v>63</v>
      </c>
      <c r="G898" s="90">
        <v>31</v>
      </c>
      <c r="H898" s="93" t="s">
        <v>321</v>
      </c>
      <c r="I898" s="63"/>
    </row>
    <row r="899" spans="1:9" ht="78" x14ac:dyDescent="0.3">
      <c r="A899" s="39">
        <v>26</v>
      </c>
      <c r="B899" s="39" t="s">
        <v>35</v>
      </c>
      <c r="C899" s="39">
        <v>4</v>
      </c>
      <c r="D899" s="89" t="s">
        <v>375</v>
      </c>
      <c r="E899" s="89" t="s">
        <v>1517</v>
      </c>
      <c r="F899" s="88" t="s">
        <v>63</v>
      </c>
      <c r="G899" s="90">
        <v>54</v>
      </c>
      <c r="H899" s="93" t="s">
        <v>338</v>
      </c>
      <c r="I899" s="63"/>
    </row>
    <row r="900" spans="1:9" ht="78" x14ac:dyDescent="0.3">
      <c r="A900" s="39">
        <v>26</v>
      </c>
      <c r="B900" s="39" t="s">
        <v>35</v>
      </c>
      <c r="C900" s="39">
        <v>4</v>
      </c>
      <c r="D900" s="89" t="s">
        <v>375</v>
      </c>
      <c r="E900" s="89" t="s">
        <v>1401</v>
      </c>
      <c r="F900" s="88" t="s">
        <v>63</v>
      </c>
      <c r="G900" s="90">
        <v>2</v>
      </c>
      <c r="H900" s="93" t="s">
        <v>338</v>
      </c>
      <c r="I900" s="63"/>
    </row>
    <row r="901" spans="1:9" ht="93.6" x14ac:dyDescent="0.3">
      <c r="A901" s="39">
        <v>26</v>
      </c>
      <c r="B901" s="39" t="s">
        <v>35</v>
      </c>
      <c r="C901" s="39">
        <v>4</v>
      </c>
      <c r="D901" s="89" t="s">
        <v>375</v>
      </c>
      <c r="E901" s="89" t="s">
        <v>536</v>
      </c>
      <c r="F901" s="88" t="s">
        <v>51</v>
      </c>
      <c r="G901" s="90">
        <v>9</v>
      </c>
      <c r="H901" s="93" t="s">
        <v>336</v>
      </c>
      <c r="I901" s="63"/>
    </row>
    <row r="902" spans="1:9" ht="109.2" x14ac:dyDescent="0.3">
      <c r="A902" s="39">
        <v>26</v>
      </c>
      <c r="B902" s="39" t="s">
        <v>35</v>
      </c>
      <c r="C902" s="39">
        <v>4</v>
      </c>
      <c r="D902" s="89" t="s">
        <v>0</v>
      </c>
      <c r="E902" s="89" t="s">
        <v>1402</v>
      </c>
      <c r="F902" s="88" t="s">
        <v>63</v>
      </c>
      <c r="G902" s="90">
        <v>88</v>
      </c>
      <c r="H902" s="93" t="s">
        <v>539</v>
      </c>
      <c r="I902" s="63"/>
    </row>
    <row r="903" spans="1:9" ht="93.6" x14ac:dyDescent="0.3">
      <c r="A903" s="39">
        <v>26</v>
      </c>
      <c r="B903" s="39" t="s">
        <v>35</v>
      </c>
      <c r="C903" s="39">
        <v>4</v>
      </c>
      <c r="D903" s="89" t="s">
        <v>124</v>
      </c>
      <c r="E903" s="89" t="s">
        <v>1403</v>
      </c>
      <c r="F903" s="88" t="s">
        <v>51</v>
      </c>
      <c r="G903" s="90">
        <v>9</v>
      </c>
      <c r="H903" s="93" t="s">
        <v>1404</v>
      </c>
      <c r="I903" s="63"/>
    </row>
    <row r="904" spans="1:9" ht="124.8" x14ac:dyDescent="0.3">
      <c r="A904" s="39">
        <v>26</v>
      </c>
      <c r="B904" s="39" t="s">
        <v>35</v>
      </c>
      <c r="C904" s="39">
        <v>4</v>
      </c>
      <c r="D904" s="89" t="s">
        <v>1</v>
      </c>
      <c r="E904" s="89" t="s">
        <v>1405</v>
      </c>
      <c r="F904" s="88" t="s">
        <v>63</v>
      </c>
      <c r="G904" s="90">
        <v>31</v>
      </c>
      <c r="H904" s="93" t="s">
        <v>333</v>
      </c>
      <c r="I904" s="63"/>
    </row>
    <row r="905" spans="1:9" ht="124.8" x14ac:dyDescent="0.3">
      <c r="A905" s="39">
        <v>26</v>
      </c>
      <c r="B905" s="39" t="s">
        <v>35</v>
      </c>
      <c r="C905" s="39">
        <v>4</v>
      </c>
      <c r="D905" s="89" t="s">
        <v>541</v>
      </c>
      <c r="E905" s="89" t="s">
        <v>932</v>
      </c>
      <c r="F905" s="88" t="s">
        <v>63</v>
      </c>
      <c r="G905" s="90">
        <v>4</v>
      </c>
      <c r="H905" s="93" t="s">
        <v>333</v>
      </c>
      <c r="I905" s="63"/>
    </row>
    <row r="906" spans="1:9" ht="124.8" x14ac:dyDescent="0.3">
      <c r="A906" s="88">
        <v>26</v>
      </c>
      <c r="B906" s="88" t="s">
        <v>35</v>
      </c>
      <c r="C906" s="88">
        <v>4</v>
      </c>
      <c r="D906" s="89" t="s">
        <v>1</v>
      </c>
      <c r="E906" s="89" t="s">
        <v>1518</v>
      </c>
      <c r="F906" s="88" t="s">
        <v>63</v>
      </c>
      <c r="G906" s="90">
        <v>53</v>
      </c>
      <c r="H906" s="93" t="s">
        <v>333</v>
      </c>
      <c r="I906" s="63"/>
    </row>
    <row r="907" spans="1:9" x14ac:dyDescent="0.3">
      <c r="A907" s="9">
        <v>27</v>
      </c>
      <c r="B907" s="9" t="s">
        <v>36</v>
      </c>
      <c r="C907" s="9">
        <v>1</v>
      </c>
      <c r="D907" s="14" t="s">
        <v>0</v>
      </c>
      <c r="E907" s="14" t="s">
        <v>341</v>
      </c>
      <c r="F907" s="9" t="s">
        <v>51</v>
      </c>
      <c r="G907" s="15">
        <v>1</v>
      </c>
      <c r="H907" s="77" t="s">
        <v>342</v>
      </c>
      <c r="I907" s="63"/>
    </row>
    <row r="908" spans="1:9" x14ac:dyDescent="0.3">
      <c r="A908" s="9">
        <v>27</v>
      </c>
      <c r="B908" s="9" t="s">
        <v>36</v>
      </c>
      <c r="C908" s="9">
        <v>1</v>
      </c>
      <c r="D908" s="14" t="s">
        <v>1</v>
      </c>
      <c r="E908" s="14" t="s">
        <v>339</v>
      </c>
      <c r="F908" s="9" t="s">
        <v>63</v>
      </c>
      <c r="G908" s="15">
        <v>1</v>
      </c>
      <c r="H908" s="77" t="s">
        <v>340</v>
      </c>
      <c r="I908" s="63"/>
    </row>
    <row r="909" spans="1:9" x14ac:dyDescent="0.3">
      <c r="A909" s="26">
        <v>27</v>
      </c>
      <c r="B909" s="26" t="s">
        <v>36</v>
      </c>
      <c r="C909" s="26">
        <v>2</v>
      </c>
      <c r="D909" s="32" t="s">
        <v>4</v>
      </c>
      <c r="E909" s="32" t="s">
        <v>655</v>
      </c>
      <c r="F909" s="26" t="s">
        <v>51</v>
      </c>
      <c r="G909" s="36">
        <v>15</v>
      </c>
      <c r="H909" s="76" t="s">
        <v>656</v>
      </c>
      <c r="I909" s="63"/>
    </row>
    <row r="910" spans="1:9" x14ac:dyDescent="0.3">
      <c r="A910" s="26">
        <v>27</v>
      </c>
      <c r="B910" s="26" t="s">
        <v>36</v>
      </c>
      <c r="C910" s="26">
        <v>2</v>
      </c>
      <c r="D910" s="32" t="s">
        <v>119</v>
      </c>
      <c r="E910" s="32" t="s">
        <v>651</v>
      </c>
      <c r="F910" s="26" t="s">
        <v>63</v>
      </c>
      <c r="G910" s="36">
        <v>65</v>
      </c>
      <c r="H910" s="76" t="s">
        <v>652</v>
      </c>
      <c r="I910" s="63"/>
    </row>
    <row r="911" spans="1:9" ht="31.2" x14ac:dyDescent="0.3">
      <c r="A911" s="26">
        <v>27</v>
      </c>
      <c r="B911" s="26" t="s">
        <v>36</v>
      </c>
      <c r="C911" s="26">
        <v>2</v>
      </c>
      <c r="D911" s="32" t="s">
        <v>1</v>
      </c>
      <c r="E911" s="32" t="s">
        <v>663</v>
      </c>
      <c r="F911" s="26" t="s">
        <v>63</v>
      </c>
      <c r="G911" s="36">
        <v>85</v>
      </c>
      <c r="H911" s="76" t="s">
        <v>645</v>
      </c>
      <c r="I911" s="63"/>
    </row>
    <row r="912" spans="1:9" x14ac:dyDescent="0.3">
      <c r="A912" s="26">
        <v>27</v>
      </c>
      <c r="B912" s="26" t="s">
        <v>36</v>
      </c>
      <c r="C912" s="26">
        <v>2</v>
      </c>
      <c r="D912" s="32" t="s">
        <v>1</v>
      </c>
      <c r="E912" s="32" t="s">
        <v>646</v>
      </c>
      <c r="F912" s="26" t="s">
        <v>63</v>
      </c>
      <c r="G912" s="36">
        <v>56</v>
      </c>
      <c r="H912" s="76" t="s">
        <v>647</v>
      </c>
      <c r="I912" s="63"/>
    </row>
    <row r="913" spans="1:9" x14ac:dyDescent="0.3">
      <c r="A913" s="26">
        <v>27</v>
      </c>
      <c r="B913" s="26" t="s">
        <v>36</v>
      </c>
      <c r="C913" s="26">
        <v>2</v>
      </c>
      <c r="D913" s="32" t="s">
        <v>1</v>
      </c>
      <c r="E913" s="32" t="s">
        <v>664</v>
      </c>
      <c r="F913" s="26" t="s">
        <v>63</v>
      </c>
      <c r="G913" s="36">
        <v>55</v>
      </c>
      <c r="H913" s="76" t="s">
        <v>648</v>
      </c>
      <c r="I913" s="63"/>
    </row>
    <row r="914" spans="1:9" ht="31.2" x14ac:dyDescent="0.3">
      <c r="A914" s="26">
        <v>27</v>
      </c>
      <c r="B914" s="26" t="s">
        <v>36</v>
      </c>
      <c r="C914" s="26">
        <v>2</v>
      </c>
      <c r="D914" s="32" t="s">
        <v>1</v>
      </c>
      <c r="E914" s="32" t="s">
        <v>649</v>
      </c>
      <c r="F914" s="26" t="s">
        <v>63</v>
      </c>
      <c r="G914" s="36">
        <v>30</v>
      </c>
      <c r="H914" s="76" t="s">
        <v>650</v>
      </c>
      <c r="I914" s="63"/>
    </row>
    <row r="915" spans="1:9" x14ac:dyDescent="0.3">
      <c r="A915" s="26">
        <v>27</v>
      </c>
      <c r="B915" s="26" t="s">
        <v>36</v>
      </c>
      <c r="C915" s="26">
        <v>2</v>
      </c>
      <c r="D915" s="32" t="s">
        <v>1</v>
      </c>
      <c r="E915" s="32" t="s">
        <v>653</v>
      </c>
      <c r="F915" s="26" t="s">
        <v>63</v>
      </c>
      <c r="G915" s="36">
        <v>89</v>
      </c>
      <c r="H915" s="76" t="s">
        <v>654</v>
      </c>
      <c r="I915" s="63"/>
    </row>
    <row r="916" spans="1:9" ht="31.2" x14ac:dyDescent="0.3">
      <c r="A916" s="26">
        <v>27</v>
      </c>
      <c r="B916" s="26" t="s">
        <v>36</v>
      </c>
      <c r="C916" s="26">
        <v>2</v>
      </c>
      <c r="D916" s="32" t="s">
        <v>1</v>
      </c>
      <c r="E916" s="27" t="s">
        <v>657</v>
      </c>
      <c r="F916" s="26" t="s">
        <v>51</v>
      </c>
      <c r="G916" s="36">
        <v>52</v>
      </c>
      <c r="H916" s="76" t="s">
        <v>658</v>
      </c>
      <c r="I916" s="63"/>
    </row>
    <row r="917" spans="1:9" x14ac:dyDescent="0.3">
      <c r="A917" s="57">
        <v>27</v>
      </c>
      <c r="B917" s="57" t="s">
        <v>36</v>
      </c>
      <c r="C917" s="57">
        <v>3</v>
      </c>
      <c r="D917" s="58" t="s">
        <v>1</v>
      </c>
      <c r="E917" s="58" t="s">
        <v>1457</v>
      </c>
      <c r="F917" s="57" t="s">
        <v>51</v>
      </c>
      <c r="G917" s="59">
        <v>25</v>
      </c>
      <c r="H917" s="91" t="s">
        <v>1458</v>
      </c>
      <c r="I917" s="63"/>
    </row>
    <row r="918" spans="1:9" x14ac:dyDescent="0.3">
      <c r="A918" s="39">
        <v>27</v>
      </c>
      <c r="B918" s="39" t="s">
        <v>36</v>
      </c>
      <c r="C918" s="39">
        <v>4</v>
      </c>
      <c r="D918" s="44" t="s">
        <v>4</v>
      </c>
      <c r="E918" s="44" t="s">
        <v>655</v>
      </c>
      <c r="F918" s="39" t="s">
        <v>51</v>
      </c>
      <c r="G918" s="48" t="s">
        <v>1406</v>
      </c>
      <c r="H918" s="92" t="s">
        <v>656</v>
      </c>
      <c r="I918" s="63"/>
    </row>
    <row r="919" spans="1:9" ht="31.2" x14ac:dyDescent="0.3">
      <c r="A919" s="39">
        <v>27</v>
      </c>
      <c r="B919" s="39" t="s">
        <v>36</v>
      </c>
      <c r="C919" s="39">
        <v>4</v>
      </c>
      <c r="D919" s="44" t="s">
        <v>119</v>
      </c>
      <c r="E919" s="44" t="s">
        <v>651</v>
      </c>
      <c r="F919" s="39" t="s">
        <v>63</v>
      </c>
      <c r="G919" s="48" t="s">
        <v>1407</v>
      </c>
      <c r="H919" s="92" t="s">
        <v>1408</v>
      </c>
      <c r="I919" s="63"/>
    </row>
    <row r="920" spans="1:9" x14ac:dyDescent="0.3">
      <c r="A920" s="39">
        <v>27</v>
      </c>
      <c r="B920" s="39" t="s">
        <v>36</v>
      </c>
      <c r="C920" s="39">
        <v>4</v>
      </c>
      <c r="D920" s="44" t="s">
        <v>541</v>
      </c>
      <c r="E920" s="44" t="s">
        <v>1459</v>
      </c>
      <c r="F920" s="39" t="s">
        <v>63</v>
      </c>
      <c r="G920" s="48" t="s">
        <v>1298</v>
      </c>
      <c r="H920" s="92" t="s">
        <v>1409</v>
      </c>
      <c r="I920" s="63"/>
    </row>
    <row r="921" spans="1:9" ht="31.2" x14ac:dyDescent="0.3">
      <c r="A921" s="39">
        <v>27</v>
      </c>
      <c r="B921" s="39" t="s">
        <v>36</v>
      </c>
      <c r="C921" s="39">
        <v>4</v>
      </c>
      <c r="D921" s="44" t="s">
        <v>1</v>
      </c>
      <c r="E921" s="44" t="s">
        <v>1410</v>
      </c>
      <c r="F921" s="39" t="s">
        <v>63</v>
      </c>
      <c r="G921" s="48" t="s">
        <v>1411</v>
      </c>
      <c r="H921" s="92" t="s">
        <v>1412</v>
      </c>
      <c r="I921" s="63"/>
    </row>
    <row r="922" spans="1:9" x14ac:dyDescent="0.3">
      <c r="A922" s="39">
        <v>27</v>
      </c>
      <c r="B922" s="39" t="s">
        <v>36</v>
      </c>
      <c r="C922" s="39">
        <v>4</v>
      </c>
      <c r="D922" s="44" t="s">
        <v>1413</v>
      </c>
      <c r="E922" s="44" t="s">
        <v>1414</v>
      </c>
      <c r="F922" s="39" t="s">
        <v>51</v>
      </c>
      <c r="G922" s="48" t="s">
        <v>1415</v>
      </c>
      <c r="H922" s="92" t="s">
        <v>1416</v>
      </c>
      <c r="I922" s="63"/>
    </row>
    <row r="923" spans="1:9" ht="31.2" x14ac:dyDescent="0.3">
      <c r="A923" s="88">
        <v>27</v>
      </c>
      <c r="B923" s="88" t="s">
        <v>36</v>
      </c>
      <c r="C923" s="88">
        <v>4</v>
      </c>
      <c r="D923" s="89" t="s">
        <v>1413</v>
      </c>
      <c r="E923" s="89" t="s">
        <v>1417</v>
      </c>
      <c r="F923" s="88" t="s">
        <v>63</v>
      </c>
      <c r="G923" s="90" t="s">
        <v>1298</v>
      </c>
      <c r="H923" s="93" t="s">
        <v>1460</v>
      </c>
      <c r="I923" s="63"/>
    </row>
    <row r="924" spans="1:9" ht="31.2" x14ac:dyDescent="0.3">
      <c r="A924" s="39">
        <v>27</v>
      </c>
      <c r="B924" s="39" t="s">
        <v>36</v>
      </c>
      <c r="C924" s="39">
        <v>4</v>
      </c>
      <c r="D924" s="44" t="s">
        <v>1413</v>
      </c>
      <c r="E924" s="44" t="s">
        <v>1418</v>
      </c>
      <c r="F924" s="39" t="s">
        <v>63</v>
      </c>
      <c r="G924" s="48">
        <v>1</v>
      </c>
      <c r="H924" s="92" t="s">
        <v>1419</v>
      </c>
      <c r="I924" s="63"/>
    </row>
    <row r="925" spans="1:9" ht="62.4" x14ac:dyDescent="0.3">
      <c r="A925" s="9">
        <v>28</v>
      </c>
      <c r="B925" s="9" t="s">
        <v>37</v>
      </c>
      <c r="C925" s="9">
        <v>1</v>
      </c>
      <c r="D925" s="14" t="s">
        <v>4</v>
      </c>
      <c r="E925" s="16" t="s">
        <v>371</v>
      </c>
      <c r="F925" s="9" t="s">
        <v>51</v>
      </c>
      <c r="G925" s="15">
        <v>21</v>
      </c>
      <c r="H925" s="77" t="s">
        <v>372</v>
      </c>
      <c r="I925" s="63"/>
    </row>
    <row r="926" spans="1:9" ht="46.8" x14ac:dyDescent="0.3">
      <c r="A926" s="9">
        <v>28</v>
      </c>
      <c r="B926" s="9" t="s">
        <v>37</v>
      </c>
      <c r="C926" s="9">
        <v>1</v>
      </c>
      <c r="D926" s="14" t="s">
        <v>1</v>
      </c>
      <c r="E926" s="16" t="s">
        <v>349</v>
      </c>
      <c r="F926" s="9" t="s">
        <v>63</v>
      </c>
      <c r="G926" s="15">
        <v>187</v>
      </c>
      <c r="H926" s="77" t="s">
        <v>350</v>
      </c>
      <c r="I926" s="63"/>
    </row>
    <row r="927" spans="1:9" x14ac:dyDescent="0.3">
      <c r="A927" s="9">
        <v>28</v>
      </c>
      <c r="B927" s="9" t="s">
        <v>37</v>
      </c>
      <c r="C927" s="9">
        <v>1</v>
      </c>
      <c r="D927" s="14" t="s">
        <v>1</v>
      </c>
      <c r="E927" s="16" t="s">
        <v>351</v>
      </c>
      <c r="F927" s="9" t="s">
        <v>51</v>
      </c>
      <c r="G927" s="15">
        <v>130</v>
      </c>
      <c r="H927" s="77" t="s">
        <v>352</v>
      </c>
      <c r="I927" s="63"/>
    </row>
    <row r="928" spans="1:9" x14ac:dyDescent="0.3">
      <c r="A928" s="9">
        <v>28</v>
      </c>
      <c r="B928" s="9" t="s">
        <v>37</v>
      </c>
      <c r="C928" s="9">
        <v>1</v>
      </c>
      <c r="D928" s="14" t="s">
        <v>1</v>
      </c>
      <c r="E928" s="16" t="s">
        <v>357</v>
      </c>
      <c r="F928" s="9" t="s">
        <v>51</v>
      </c>
      <c r="G928" s="15">
        <v>32</v>
      </c>
      <c r="H928" s="77" t="s">
        <v>358</v>
      </c>
      <c r="I928" s="63"/>
    </row>
    <row r="929" spans="1:9" x14ac:dyDescent="0.3">
      <c r="A929" s="9">
        <v>28</v>
      </c>
      <c r="B929" s="9" t="s">
        <v>37</v>
      </c>
      <c r="C929" s="9">
        <v>1</v>
      </c>
      <c r="D929" s="14" t="s">
        <v>1</v>
      </c>
      <c r="E929" s="16" t="s">
        <v>359</v>
      </c>
      <c r="F929" s="9" t="s">
        <v>51</v>
      </c>
      <c r="G929" s="15">
        <v>40</v>
      </c>
      <c r="H929" s="77" t="s">
        <v>360</v>
      </c>
      <c r="I929" s="63"/>
    </row>
    <row r="930" spans="1:9" ht="31.2" x14ac:dyDescent="0.3">
      <c r="A930" s="9">
        <v>28</v>
      </c>
      <c r="B930" s="9" t="s">
        <v>37</v>
      </c>
      <c r="C930" s="9">
        <v>1</v>
      </c>
      <c r="D930" s="14" t="s">
        <v>1</v>
      </c>
      <c r="E930" s="16" t="s">
        <v>361</v>
      </c>
      <c r="F930" s="9" t="s">
        <v>51</v>
      </c>
      <c r="G930" s="15">
        <v>710</v>
      </c>
      <c r="H930" s="77" t="s">
        <v>362</v>
      </c>
      <c r="I930" s="63"/>
    </row>
    <row r="931" spans="1:9" x14ac:dyDescent="0.3">
      <c r="A931" s="9">
        <v>28</v>
      </c>
      <c r="B931" s="9" t="s">
        <v>37</v>
      </c>
      <c r="C931" s="9">
        <v>1</v>
      </c>
      <c r="D931" s="14" t="s">
        <v>1</v>
      </c>
      <c r="E931" s="16" t="s">
        <v>363</v>
      </c>
      <c r="F931" s="9" t="s">
        <v>51</v>
      </c>
      <c r="G931" s="15">
        <v>182</v>
      </c>
      <c r="H931" s="77" t="s">
        <v>364</v>
      </c>
      <c r="I931" s="63"/>
    </row>
    <row r="932" spans="1:9" ht="46.8" x14ac:dyDescent="0.3">
      <c r="A932" s="9">
        <v>28</v>
      </c>
      <c r="B932" s="9" t="s">
        <v>37</v>
      </c>
      <c r="C932" s="9">
        <v>1</v>
      </c>
      <c r="D932" s="55" t="s">
        <v>375</v>
      </c>
      <c r="E932" s="16" t="s">
        <v>367</v>
      </c>
      <c r="F932" s="9" t="s">
        <v>63</v>
      </c>
      <c r="G932" s="15">
        <v>3</v>
      </c>
      <c r="H932" s="77" t="s">
        <v>368</v>
      </c>
      <c r="I932" s="63"/>
    </row>
    <row r="933" spans="1:9" ht="31.2" x14ac:dyDescent="0.3">
      <c r="A933" s="9">
        <v>28</v>
      </c>
      <c r="B933" s="9" t="s">
        <v>37</v>
      </c>
      <c r="C933" s="9">
        <v>1</v>
      </c>
      <c r="D933" s="55" t="s">
        <v>375</v>
      </c>
      <c r="E933" s="16" t="s">
        <v>369</v>
      </c>
      <c r="F933" s="9" t="s">
        <v>63</v>
      </c>
      <c r="G933" s="15">
        <v>2</v>
      </c>
      <c r="H933" s="77" t="s">
        <v>370</v>
      </c>
      <c r="I933" s="63"/>
    </row>
    <row r="934" spans="1:9" ht="62.4" x14ac:dyDescent="0.3">
      <c r="A934" s="9">
        <v>28</v>
      </c>
      <c r="B934" s="9" t="s">
        <v>37</v>
      </c>
      <c r="C934" s="9">
        <v>1</v>
      </c>
      <c r="D934" s="14" t="s">
        <v>1</v>
      </c>
      <c r="E934" s="16" t="s">
        <v>373</v>
      </c>
      <c r="F934" s="9" t="s">
        <v>51</v>
      </c>
      <c r="G934" s="15">
        <v>30</v>
      </c>
      <c r="H934" s="77" t="s">
        <v>374</v>
      </c>
      <c r="I934" s="63"/>
    </row>
    <row r="935" spans="1:9" ht="31.2" x14ac:dyDescent="0.3">
      <c r="A935" s="9">
        <v>28</v>
      </c>
      <c r="B935" s="9" t="s">
        <v>37</v>
      </c>
      <c r="C935" s="9">
        <v>1</v>
      </c>
      <c r="D935" s="14" t="s">
        <v>65</v>
      </c>
      <c r="E935" s="16" t="s">
        <v>343</v>
      </c>
      <c r="F935" s="9" t="s">
        <v>51</v>
      </c>
      <c r="G935" s="15">
        <v>43</v>
      </c>
      <c r="H935" s="77" t="s">
        <v>344</v>
      </c>
      <c r="I935" s="63"/>
    </row>
    <row r="936" spans="1:9" ht="31.2" x14ac:dyDescent="0.3">
      <c r="A936" s="9">
        <v>28</v>
      </c>
      <c r="B936" s="9" t="s">
        <v>37</v>
      </c>
      <c r="C936" s="9">
        <v>1</v>
      </c>
      <c r="D936" s="14" t="s">
        <v>65</v>
      </c>
      <c r="E936" s="16" t="s">
        <v>345</v>
      </c>
      <c r="F936" s="9" t="s">
        <v>51</v>
      </c>
      <c r="G936" s="15">
        <v>8210</v>
      </c>
      <c r="H936" s="77" t="s">
        <v>346</v>
      </c>
      <c r="I936" s="63"/>
    </row>
    <row r="937" spans="1:9" ht="31.2" x14ac:dyDescent="0.3">
      <c r="A937" s="9">
        <v>28</v>
      </c>
      <c r="B937" s="9" t="s">
        <v>37</v>
      </c>
      <c r="C937" s="9">
        <v>1</v>
      </c>
      <c r="D937" s="14" t="s">
        <v>65</v>
      </c>
      <c r="E937" s="14" t="s">
        <v>347</v>
      </c>
      <c r="F937" s="9" t="s">
        <v>51</v>
      </c>
      <c r="G937" s="15">
        <v>52</v>
      </c>
      <c r="H937" s="77" t="s">
        <v>348</v>
      </c>
      <c r="I937" s="63"/>
    </row>
    <row r="938" spans="1:9" ht="31.2" x14ac:dyDescent="0.3">
      <c r="A938" s="9">
        <v>28</v>
      </c>
      <c r="B938" s="9" t="s">
        <v>37</v>
      </c>
      <c r="C938" s="9">
        <v>1</v>
      </c>
      <c r="D938" s="14" t="s">
        <v>65</v>
      </c>
      <c r="E938" s="14" t="s">
        <v>353</v>
      </c>
      <c r="F938" s="9" t="s">
        <v>51</v>
      </c>
      <c r="G938" s="15">
        <v>76</v>
      </c>
      <c r="H938" s="77" t="s">
        <v>354</v>
      </c>
      <c r="I938" s="63"/>
    </row>
    <row r="939" spans="1:9" ht="46.8" x14ac:dyDescent="0.3">
      <c r="A939" s="9">
        <v>28</v>
      </c>
      <c r="B939" s="9" t="s">
        <v>37</v>
      </c>
      <c r="C939" s="9">
        <v>1</v>
      </c>
      <c r="D939" s="14" t="s">
        <v>65</v>
      </c>
      <c r="E939" s="16" t="s">
        <v>355</v>
      </c>
      <c r="F939" s="9" t="s">
        <v>51</v>
      </c>
      <c r="G939" s="15">
        <v>28</v>
      </c>
      <c r="H939" s="77" t="s">
        <v>356</v>
      </c>
      <c r="I939" s="63"/>
    </row>
    <row r="940" spans="1:9" ht="31.2" x14ac:dyDescent="0.3">
      <c r="A940" s="9">
        <v>28</v>
      </c>
      <c r="B940" s="9" t="s">
        <v>37</v>
      </c>
      <c r="C940" s="9">
        <v>1</v>
      </c>
      <c r="D940" s="14" t="s">
        <v>65</v>
      </c>
      <c r="E940" s="14" t="s">
        <v>365</v>
      </c>
      <c r="F940" s="9" t="s">
        <v>51</v>
      </c>
      <c r="G940" s="15">
        <v>197</v>
      </c>
      <c r="H940" s="77" t="s">
        <v>366</v>
      </c>
      <c r="I940" s="63"/>
    </row>
    <row r="941" spans="1:9" x14ac:dyDescent="0.3">
      <c r="A941" s="26">
        <v>28</v>
      </c>
      <c r="B941" s="26" t="s">
        <v>37</v>
      </c>
      <c r="C941" s="26">
        <v>2</v>
      </c>
      <c r="D941" s="113" t="s">
        <v>375</v>
      </c>
      <c r="E941" s="32" t="s">
        <v>549</v>
      </c>
      <c r="F941" s="26" t="s">
        <v>51</v>
      </c>
      <c r="G941" s="36">
        <v>12</v>
      </c>
      <c r="H941" s="76" t="s">
        <v>550</v>
      </c>
      <c r="I941" s="63"/>
    </row>
    <row r="942" spans="1:9" ht="62.4" x14ac:dyDescent="0.3">
      <c r="A942" s="57">
        <v>28</v>
      </c>
      <c r="B942" s="57" t="s">
        <v>37</v>
      </c>
      <c r="C942" s="57">
        <v>3</v>
      </c>
      <c r="D942" s="58" t="s">
        <v>4</v>
      </c>
      <c r="E942" s="58" t="s">
        <v>964</v>
      </c>
      <c r="F942" s="57" t="s">
        <v>51</v>
      </c>
      <c r="G942" s="59">
        <v>95</v>
      </c>
      <c r="H942" s="91" t="s">
        <v>372</v>
      </c>
      <c r="I942" s="63"/>
    </row>
    <row r="943" spans="1:9" ht="31.2" x14ac:dyDescent="0.3">
      <c r="A943" s="57">
        <v>28</v>
      </c>
      <c r="B943" s="57" t="s">
        <v>37</v>
      </c>
      <c r="C943" s="57">
        <v>3</v>
      </c>
      <c r="D943" s="58" t="s">
        <v>124</v>
      </c>
      <c r="E943" s="58" t="s">
        <v>996</v>
      </c>
      <c r="F943" s="57" t="s">
        <v>51</v>
      </c>
      <c r="G943" s="59">
        <v>8</v>
      </c>
      <c r="H943" s="91" t="s">
        <v>965</v>
      </c>
      <c r="I943" s="63"/>
    </row>
    <row r="944" spans="1:9" ht="31.2" x14ac:dyDescent="0.3">
      <c r="A944" s="57">
        <v>28</v>
      </c>
      <c r="B944" s="57" t="s">
        <v>37</v>
      </c>
      <c r="C944" s="57">
        <v>3</v>
      </c>
      <c r="D944" s="58" t="s">
        <v>1</v>
      </c>
      <c r="E944" s="58" t="s">
        <v>950</v>
      </c>
      <c r="F944" s="57" t="s">
        <v>51</v>
      </c>
      <c r="G944" s="59">
        <v>364</v>
      </c>
      <c r="H944" s="91" t="s">
        <v>951</v>
      </c>
      <c r="I944" s="63"/>
    </row>
    <row r="945" spans="1:9" x14ac:dyDescent="0.3">
      <c r="A945" s="100">
        <v>28</v>
      </c>
      <c r="B945" s="100" t="s">
        <v>37</v>
      </c>
      <c r="C945" s="100">
        <v>3</v>
      </c>
      <c r="D945" s="103" t="s">
        <v>1</v>
      </c>
      <c r="E945" s="103" t="s">
        <v>952</v>
      </c>
      <c r="F945" s="100" t="s">
        <v>51</v>
      </c>
      <c r="G945" s="106">
        <v>2435</v>
      </c>
      <c r="H945" s="108" t="s">
        <v>953</v>
      </c>
      <c r="I945" s="63"/>
    </row>
    <row r="946" spans="1:9" x14ac:dyDescent="0.3">
      <c r="A946" s="57">
        <v>28</v>
      </c>
      <c r="B946" s="57" t="s">
        <v>37</v>
      </c>
      <c r="C946" s="57">
        <v>3</v>
      </c>
      <c r="D946" s="58" t="s">
        <v>1</v>
      </c>
      <c r="E946" s="58" t="s">
        <v>960</v>
      </c>
      <c r="F946" s="57" t="s">
        <v>51</v>
      </c>
      <c r="G946" s="59">
        <v>50</v>
      </c>
      <c r="H946" s="91" t="s">
        <v>961</v>
      </c>
      <c r="I946" s="63"/>
    </row>
    <row r="947" spans="1:9" x14ac:dyDescent="0.3">
      <c r="A947" s="57">
        <v>28</v>
      </c>
      <c r="B947" s="57" t="s">
        <v>37</v>
      </c>
      <c r="C947" s="57">
        <v>3</v>
      </c>
      <c r="D947" s="58" t="s">
        <v>1</v>
      </c>
      <c r="E947" s="58" t="s">
        <v>966</v>
      </c>
      <c r="F947" s="57" t="s">
        <v>51</v>
      </c>
      <c r="G947" s="59">
        <v>2279</v>
      </c>
      <c r="H947" s="91" t="s">
        <v>967</v>
      </c>
      <c r="I947" s="50"/>
    </row>
    <row r="948" spans="1:9" ht="31.2" x14ac:dyDescent="0.3">
      <c r="A948" s="57">
        <v>28</v>
      </c>
      <c r="B948" s="57" t="s">
        <v>37</v>
      </c>
      <c r="C948" s="57">
        <v>3</v>
      </c>
      <c r="D948" s="58" t="s">
        <v>375</v>
      </c>
      <c r="E948" s="58" t="s">
        <v>365</v>
      </c>
      <c r="F948" s="57" t="s">
        <v>51</v>
      </c>
      <c r="G948" s="59">
        <v>33</v>
      </c>
      <c r="H948" s="91" t="s">
        <v>954</v>
      </c>
      <c r="I948" s="63"/>
    </row>
    <row r="949" spans="1:9" ht="31.2" x14ac:dyDescent="0.3">
      <c r="A949" s="57">
        <v>28</v>
      </c>
      <c r="B949" s="57" t="s">
        <v>37</v>
      </c>
      <c r="C949" s="57">
        <v>3</v>
      </c>
      <c r="D949" s="58" t="s">
        <v>375</v>
      </c>
      <c r="E949" s="58" t="s">
        <v>955</v>
      </c>
      <c r="F949" s="57" t="s">
        <v>51</v>
      </c>
      <c r="G949" s="59">
        <v>11</v>
      </c>
      <c r="H949" s="91" t="s">
        <v>956</v>
      </c>
      <c r="I949" s="63"/>
    </row>
    <row r="950" spans="1:9" ht="31.2" x14ac:dyDescent="0.3">
      <c r="A950" s="57">
        <v>28</v>
      </c>
      <c r="B950" s="57" t="s">
        <v>37</v>
      </c>
      <c r="C950" s="57">
        <v>3</v>
      </c>
      <c r="D950" s="58" t="s">
        <v>375</v>
      </c>
      <c r="E950" s="58" t="s">
        <v>345</v>
      </c>
      <c r="F950" s="57" t="s">
        <v>51</v>
      </c>
      <c r="G950" s="59">
        <v>20957</v>
      </c>
      <c r="H950" s="91" t="s">
        <v>957</v>
      </c>
      <c r="I950" s="63"/>
    </row>
    <row r="951" spans="1:9" x14ac:dyDescent="0.3">
      <c r="A951" s="57">
        <v>28</v>
      </c>
      <c r="B951" s="57" t="s">
        <v>37</v>
      </c>
      <c r="C951" s="57">
        <v>3</v>
      </c>
      <c r="D951" s="58" t="s">
        <v>375</v>
      </c>
      <c r="E951" s="58" t="s">
        <v>958</v>
      </c>
      <c r="F951" s="57" t="s">
        <v>51</v>
      </c>
      <c r="G951" s="59">
        <v>2423</v>
      </c>
      <c r="H951" s="91" t="s">
        <v>959</v>
      </c>
      <c r="I951" s="63"/>
    </row>
    <row r="952" spans="1:9" x14ac:dyDescent="0.3">
      <c r="A952" s="57">
        <v>28</v>
      </c>
      <c r="B952" s="57" t="s">
        <v>37</v>
      </c>
      <c r="C952" s="57">
        <v>3</v>
      </c>
      <c r="D952" s="58" t="s">
        <v>375</v>
      </c>
      <c r="E952" s="58" t="s">
        <v>962</v>
      </c>
      <c r="F952" s="57" t="s">
        <v>63</v>
      </c>
      <c r="G952" s="59">
        <v>1000</v>
      </c>
      <c r="H952" s="91" t="s">
        <v>963</v>
      </c>
      <c r="I952" s="63"/>
    </row>
    <row r="953" spans="1:9" ht="62.4" x14ac:dyDescent="0.3">
      <c r="A953" s="39">
        <v>28</v>
      </c>
      <c r="B953" s="39" t="s">
        <v>37</v>
      </c>
      <c r="C953" s="39">
        <v>4</v>
      </c>
      <c r="D953" s="44" t="s">
        <v>1</v>
      </c>
      <c r="E953" s="44" t="s">
        <v>950</v>
      </c>
      <c r="F953" s="39" t="s">
        <v>63</v>
      </c>
      <c r="G953" s="48">
        <v>2254</v>
      </c>
      <c r="H953" s="92" t="s">
        <v>1420</v>
      </c>
      <c r="I953" s="63"/>
    </row>
    <row r="954" spans="1:9" ht="62.4" x14ac:dyDescent="0.3">
      <c r="A954" s="39">
        <v>28</v>
      </c>
      <c r="B954" s="39" t="s">
        <v>37</v>
      </c>
      <c r="C954" s="39">
        <v>4</v>
      </c>
      <c r="D954" s="44" t="s">
        <v>1</v>
      </c>
      <c r="E954" s="44" t="s">
        <v>1421</v>
      </c>
      <c r="F954" s="39" t="s">
        <v>63</v>
      </c>
      <c r="G954" s="48">
        <v>3647</v>
      </c>
      <c r="H954" s="92" t="s">
        <v>1461</v>
      </c>
      <c r="I954" s="63"/>
    </row>
    <row r="955" spans="1:9" ht="31.2" x14ac:dyDescent="0.3">
      <c r="A955" s="39">
        <v>28</v>
      </c>
      <c r="B955" s="39" t="s">
        <v>37</v>
      </c>
      <c r="C955" s="39">
        <v>4</v>
      </c>
      <c r="D955" s="44" t="s">
        <v>375</v>
      </c>
      <c r="E955" s="44" t="s">
        <v>1422</v>
      </c>
      <c r="F955" s="39" t="s">
        <v>63</v>
      </c>
      <c r="G955" s="48">
        <v>22</v>
      </c>
      <c r="H955" s="92" t="s">
        <v>954</v>
      </c>
      <c r="I955" s="63"/>
    </row>
    <row r="956" spans="1:9" x14ac:dyDescent="0.3">
      <c r="A956" s="39">
        <v>28</v>
      </c>
      <c r="B956" s="39" t="s">
        <v>37</v>
      </c>
      <c r="C956" s="39">
        <v>4</v>
      </c>
      <c r="D956" s="44" t="s">
        <v>375</v>
      </c>
      <c r="E956" s="44" t="s">
        <v>1423</v>
      </c>
      <c r="F956" s="39" t="s">
        <v>63</v>
      </c>
      <c r="G956" s="48">
        <v>83</v>
      </c>
      <c r="H956" s="92" t="s">
        <v>1424</v>
      </c>
      <c r="I956" s="63"/>
    </row>
    <row r="957" spans="1:9" ht="31.2" x14ac:dyDescent="0.3">
      <c r="A957" s="39">
        <v>28</v>
      </c>
      <c r="B957" s="39" t="s">
        <v>37</v>
      </c>
      <c r="C957" s="39">
        <v>4</v>
      </c>
      <c r="D957" s="44" t="s">
        <v>375</v>
      </c>
      <c r="E957" s="44" t="s">
        <v>1425</v>
      </c>
      <c r="F957" s="39" t="s">
        <v>63</v>
      </c>
      <c r="G957" s="48">
        <v>93</v>
      </c>
      <c r="H957" s="92" t="s">
        <v>1426</v>
      </c>
      <c r="I957" s="63"/>
    </row>
    <row r="958" spans="1:9" ht="31.2" x14ac:dyDescent="0.3">
      <c r="A958" s="39">
        <v>28</v>
      </c>
      <c r="B958" s="39" t="s">
        <v>37</v>
      </c>
      <c r="C958" s="39">
        <v>4</v>
      </c>
      <c r="D958" s="44" t="s">
        <v>375</v>
      </c>
      <c r="E958" s="44" t="s">
        <v>1427</v>
      </c>
      <c r="F958" s="39" t="s">
        <v>63</v>
      </c>
      <c r="G958" s="48">
        <v>574</v>
      </c>
      <c r="H958" s="92" t="s">
        <v>1428</v>
      </c>
      <c r="I958" s="63"/>
    </row>
    <row r="959" spans="1:9" ht="31.2" x14ac:dyDescent="0.3">
      <c r="A959" s="39">
        <v>28</v>
      </c>
      <c r="B959" s="39" t="s">
        <v>37</v>
      </c>
      <c r="C959" s="39">
        <v>4</v>
      </c>
      <c r="D959" s="44" t="s">
        <v>375</v>
      </c>
      <c r="E959" s="44" t="s">
        <v>1462</v>
      </c>
      <c r="F959" s="39" t="s">
        <v>63</v>
      </c>
      <c r="G959" s="48">
        <v>1566</v>
      </c>
      <c r="H959" s="92" t="s">
        <v>1463</v>
      </c>
      <c r="I959" s="63"/>
    </row>
    <row r="960" spans="1:9" ht="31.2" x14ac:dyDescent="0.3">
      <c r="A960" s="39">
        <v>28</v>
      </c>
      <c r="B960" s="39" t="s">
        <v>37</v>
      </c>
      <c r="C960" s="39">
        <v>4</v>
      </c>
      <c r="D960" s="44" t="s">
        <v>1</v>
      </c>
      <c r="E960" s="44" t="s">
        <v>1429</v>
      </c>
      <c r="F960" s="39" t="s">
        <v>63</v>
      </c>
      <c r="G960" s="48">
        <v>436</v>
      </c>
      <c r="H960" s="92" t="s">
        <v>1464</v>
      </c>
      <c r="I960" s="63"/>
    </row>
    <row r="961" spans="1:9" x14ac:dyDescent="0.3">
      <c r="A961" s="39">
        <v>28</v>
      </c>
      <c r="B961" s="39" t="s">
        <v>37</v>
      </c>
      <c r="C961" s="39">
        <v>4</v>
      </c>
      <c r="D961" s="44" t="s">
        <v>1</v>
      </c>
      <c r="E961" s="44" t="s">
        <v>1430</v>
      </c>
      <c r="F961" s="39" t="s">
        <v>63</v>
      </c>
      <c r="G961" s="48">
        <v>250</v>
      </c>
      <c r="H961" s="92" t="s">
        <v>1431</v>
      </c>
      <c r="I961" s="63"/>
    </row>
    <row r="962" spans="1:9" ht="31.2" x14ac:dyDescent="0.3">
      <c r="A962" s="39">
        <v>28</v>
      </c>
      <c r="B962" s="39" t="s">
        <v>37</v>
      </c>
      <c r="C962" s="39">
        <v>4</v>
      </c>
      <c r="D962" s="44" t="s">
        <v>1</v>
      </c>
      <c r="E962" s="44" t="s">
        <v>1432</v>
      </c>
      <c r="F962" s="39" t="s">
        <v>63</v>
      </c>
      <c r="G962" s="48">
        <v>100</v>
      </c>
      <c r="H962" s="92" t="s">
        <v>1433</v>
      </c>
      <c r="I962" s="63"/>
    </row>
    <row r="963" spans="1:9" ht="31.2" x14ac:dyDescent="0.3">
      <c r="A963" s="39">
        <v>28</v>
      </c>
      <c r="B963" s="39" t="s">
        <v>37</v>
      </c>
      <c r="C963" s="39">
        <v>4</v>
      </c>
      <c r="D963" s="44" t="s">
        <v>1</v>
      </c>
      <c r="E963" s="44" t="s">
        <v>1465</v>
      </c>
      <c r="F963" s="39" t="s">
        <v>51</v>
      </c>
      <c r="G963" s="48">
        <v>34</v>
      </c>
      <c r="H963" s="92" t="s">
        <v>1434</v>
      </c>
      <c r="I963" s="63"/>
    </row>
    <row r="964" spans="1:9" ht="31.2" x14ac:dyDescent="0.3">
      <c r="A964" s="39">
        <v>28</v>
      </c>
      <c r="B964" s="39" t="s">
        <v>37</v>
      </c>
      <c r="C964" s="39">
        <v>4</v>
      </c>
      <c r="D964" s="44" t="s">
        <v>1</v>
      </c>
      <c r="E964" s="44" t="s">
        <v>1435</v>
      </c>
      <c r="F964" s="39" t="s">
        <v>63</v>
      </c>
      <c r="G964" s="48">
        <v>100</v>
      </c>
      <c r="H964" s="92" t="s">
        <v>1436</v>
      </c>
      <c r="I964" s="63"/>
    </row>
    <row r="965" spans="1:9" x14ac:dyDescent="0.3">
      <c r="A965" s="39">
        <v>28</v>
      </c>
      <c r="B965" s="39" t="s">
        <v>37</v>
      </c>
      <c r="C965" s="39">
        <v>4</v>
      </c>
      <c r="D965" s="44" t="s">
        <v>0</v>
      </c>
      <c r="E965" s="44" t="s">
        <v>1437</v>
      </c>
      <c r="F965" s="39" t="s">
        <v>63</v>
      </c>
      <c r="G965" s="48">
        <v>250</v>
      </c>
      <c r="H965" s="92" t="s">
        <v>1438</v>
      </c>
      <c r="I965" s="63"/>
    </row>
    <row r="966" spans="1:9" ht="31.2" x14ac:dyDescent="0.3">
      <c r="A966" s="39">
        <v>28</v>
      </c>
      <c r="B966" s="39" t="s">
        <v>37</v>
      </c>
      <c r="C966" s="39">
        <v>4</v>
      </c>
      <c r="D966" s="44" t="s">
        <v>0</v>
      </c>
      <c r="E966" s="44" t="s">
        <v>1439</v>
      </c>
      <c r="F966" s="39" t="s">
        <v>63</v>
      </c>
      <c r="G966" s="48">
        <v>50</v>
      </c>
      <c r="H966" s="92" t="s">
        <v>1440</v>
      </c>
      <c r="I966" s="63"/>
    </row>
    <row r="967" spans="1:9" x14ac:dyDescent="0.3">
      <c r="A967" s="39">
        <v>28</v>
      </c>
      <c r="B967" s="39" t="s">
        <v>37</v>
      </c>
      <c r="C967" s="39">
        <v>4</v>
      </c>
      <c r="D967" s="44" t="s">
        <v>541</v>
      </c>
      <c r="E967" s="44" t="s">
        <v>1441</v>
      </c>
      <c r="F967" s="39" t="s">
        <v>63</v>
      </c>
      <c r="G967" s="48">
        <v>40</v>
      </c>
      <c r="H967" s="92" t="s">
        <v>1442</v>
      </c>
      <c r="I967" s="63"/>
    </row>
    <row r="968" spans="1:9" x14ac:dyDescent="0.3">
      <c r="A968" s="39">
        <v>28</v>
      </c>
      <c r="B968" s="39" t="s">
        <v>37</v>
      </c>
      <c r="C968" s="39">
        <v>4</v>
      </c>
      <c r="D968" s="44" t="s">
        <v>375</v>
      </c>
      <c r="E968" s="44" t="s">
        <v>1443</v>
      </c>
      <c r="F968" s="39" t="s">
        <v>63</v>
      </c>
      <c r="G968" s="48">
        <v>37</v>
      </c>
      <c r="H968" s="92" t="s">
        <v>1444</v>
      </c>
      <c r="I968" s="63"/>
    </row>
    <row r="969" spans="1:9" ht="31.2" x14ac:dyDescent="0.3">
      <c r="A969" s="39">
        <v>28</v>
      </c>
      <c r="B969" s="39" t="s">
        <v>37</v>
      </c>
      <c r="C969" s="39">
        <v>4</v>
      </c>
      <c r="D969" s="44" t="s">
        <v>124</v>
      </c>
      <c r="E969" s="44" t="s">
        <v>1445</v>
      </c>
      <c r="F969" s="39" t="s">
        <v>63</v>
      </c>
      <c r="G969" s="48">
        <v>7</v>
      </c>
      <c r="H969" s="92" t="s">
        <v>1446</v>
      </c>
      <c r="I969" s="63"/>
    </row>
    <row r="970" spans="1:9" ht="31.2" x14ac:dyDescent="0.3">
      <c r="A970" s="88">
        <v>28</v>
      </c>
      <c r="B970" s="88" t="s">
        <v>37</v>
      </c>
      <c r="C970" s="88">
        <v>4</v>
      </c>
      <c r="D970" s="89" t="s">
        <v>119</v>
      </c>
      <c r="E970" s="94" t="s">
        <v>1447</v>
      </c>
      <c r="F970" s="88" t="s">
        <v>63</v>
      </c>
      <c r="G970" s="90">
        <v>69</v>
      </c>
      <c r="H970" s="93" t="s">
        <v>1448</v>
      </c>
      <c r="I970" s="63"/>
    </row>
    <row r="971" spans="1:9" ht="31.2" x14ac:dyDescent="0.3">
      <c r="A971" s="88">
        <v>28</v>
      </c>
      <c r="B971" s="88" t="s">
        <v>37</v>
      </c>
      <c r="C971" s="88">
        <v>4</v>
      </c>
      <c r="D971" s="94" t="s">
        <v>375</v>
      </c>
      <c r="E971" s="94" t="s">
        <v>345</v>
      </c>
      <c r="F971" s="116" t="s">
        <v>63</v>
      </c>
      <c r="G971" s="117">
        <v>629</v>
      </c>
      <c r="H971" s="117" t="s">
        <v>1449</v>
      </c>
      <c r="I971" s="63"/>
    </row>
    <row r="972" spans="1:9" ht="31.2" x14ac:dyDescent="0.3">
      <c r="A972" s="88">
        <v>28</v>
      </c>
      <c r="B972" s="88" t="s">
        <v>37</v>
      </c>
      <c r="C972" s="88">
        <v>4</v>
      </c>
      <c r="D972" s="94" t="s">
        <v>375</v>
      </c>
      <c r="E972" s="94" t="s">
        <v>1450</v>
      </c>
      <c r="F972" s="116" t="s">
        <v>63</v>
      </c>
      <c r="G972" s="117">
        <v>1000</v>
      </c>
      <c r="H972" s="117" t="s">
        <v>1451</v>
      </c>
      <c r="I972" s="63"/>
    </row>
    <row r="973" spans="1:9" ht="31.2" x14ac:dyDescent="0.3">
      <c r="A973" s="88">
        <v>28</v>
      </c>
      <c r="B973" s="88" t="s">
        <v>37</v>
      </c>
      <c r="C973" s="88">
        <v>4</v>
      </c>
      <c r="D973" s="94" t="s">
        <v>375</v>
      </c>
      <c r="E973" s="94" t="s">
        <v>1452</v>
      </c>
      <c r="F973" s="116" t="s">
        <v>63</v>
      </c>
      <c r="G973" s="117">
        <v>110</v>
      </c>
      <c r="H973" s="117" t="s">
        <v>1453</v>
      </c>
      <c r="I973" s="63"/>
    </row>
    <row r="974" spans="1:9" x14ac:dyDescent="0.3">
      <c r="A974" s="88">
        <v>28</v>
      </c>
      <c r="B974" s="88" t="s">
        <v>37</v>
      </c>
      <c r="C974" s="88">
        <v>4</v>
      </c>
      <c r="D974" s="94" t="s">
        <v>375</v>
      </c>
      <c r="E974" s="94" t="s">
        <v>1454</v>
      </c>
      <c r="F974" s="116" t="s">
        <v>63</v>
      </c>
      <c r="G974" s="117">
        <v>760</v>
      </c>
      <c r="H974" s="117" t="s">
        <v>1455</v>
      </c>
      <c r="I974" s="63"/>
    </row>
    <row r="975" spans="1:9" ht="62.4" x14ac:dyDescent="0.3">
      <c r="A975" s="88">
        <v>28</v>
      </c>
      <c r="B975" s="88" t="s">
        <v>37</v>
      </c>
      <c r="C975" s="88">
        <v>4</v>
      </c>
      <c r="D975" s="94" t="s">
        <v>4</v>
      </c>
      <c r="E975" s="94" t="s">
        <v>1456</v>
      </c>
      <c r="F975" s="116" t="s">
        <v>63</v>
      </c>
      <c r="G975" s="117">
        <v>30</v>
      </c>
      <c r="H975" s="117" t="s">
        <v>1466</v>
      </c>
      <c r="I975" s="63"/>
    </row>
    <row r="976" spans="1:9" x14ac:dyDescent="0.3">
      <c r="A976" s="62" t="s">
        <v>968</v>
      </c>
      <c r="B976" s="95"/>
      <c r="C976" s="62"/>
      <c r="D976" s="51"/>
      <c r="E976" s="51"/>
      <c r="F976" s="49"/>
      <c r="G976" s="56"/>
      <c r="H976" s="56"/>
      <c r="I976" s="63"/>
    </row>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row r="1001" x14ac:dyDescent="0.3"/>
    <row r="1002" x14ac:dyDescent="0.3"/>
    <row r="1003" x14ac:dyDescent="0.3"/>
    <row r="1004" x14ac:dyDescent="0.3"/>
    <row r="1005" x14ac:dyDescent="0.3"/>
    <row r="1006" x14ac:dyDescent="0.3"/>
    <row r="1007" x14ac:dyDescent="0.3"/>
    <row r="1008" x14ac:dyDescent="0.3"/>
    <row r="1009" x14ac:dyDescent="0.3"/>
    <row r="1010" x14ac:dyDescent="0.3"/>
    <row r="1011" x14ac:dyDescent="0.3"/>
    <row r="1012" x14ac:dyDescent="0.3"/>
    <row r="1013" x14ac:dyDescent="0.3"/>
    <row r="1014" x14ac:dyDescent="0.3"/>
    <row r="1015" x14ac:dyDescent="0.3"/>
    <row r="1016" x14ac:dyDescent="0.3"/>
    <row r="1017" x14ac:dyDescent="0.3"/>
    <row r="1018" x14ac:dyDescent="0.3"/>
    <row r="1019" x14ac:dyDescent="0.3"/>
    <row r="1020" x14ac:dyDescent="0.3"/>
    <row r="1021" x14ac:dyDescent="0.3"/>
    <row r="1022" x14ac:dyDescent="0.3"/>
    <row r="1023" x14ac:dyDescent="0.3"/>
    <row r="1024" x14ac:dyDescent="0.3"/>
    <row r="1025" x14ac:dyDescent="0.3"/>
    <row r="1026" x14ac:dyDescent="0.3"/>
    <row r="1027" x14ac:dyDescent="0.3"/>
    <row r="1028" x14ac:dyDescent="0.3"/>
    <row r="1029" x14ac:dyDescent="0.3"/>
    <row r="1030" x14ac:dyDescent="0.3"/>
    <row r="1031" x14ac:dyDescent="0.3"/>
    <row r="1032" x14ac:dyDescent="0.3"/>
    <row r="1033" x14ac:dyDescent="0.3"/>
    <row r="1034" x14ac:dyDescent="0.3"/>
    <row r="1035" x14ac:dyDescent="0.3"/>
    <row r="1036" x14ac:dyDescent="0.3"/>
    <row r="1037" x14ac:dyDescent="0.3"/>
    <row r="1038" x14ac:dyDescent="0.3"/>
    <row r="1039" x14ac:dyDescent="0.3"/>
    <row r="1040" x14ac:dyDescent="0.3"/>
    <row r="1041" x14ac:dyDescent="0.3"/>
    <row r="1042" x14ac:dyDescent="0.3"/>
    <row r="1043" x14ac:dyDescent="0.3"/>
    <row r="1044" x14ac:dyDescent="0.3"/>
  </sheetData>
  <dataValidations xWindow="1315" yWindow="516" count="4">
    <dataValidation allowBlank="1" showInputMessage="1" showErrorMessage="1" promptTitle="Activity Description" prompt="Enter detailed description of the activity or grouping of activities._x000a__x000a_What was the reach and impact of the activity?_x000a__x000a_Has the Board made adjustments from the original Expenditure Plan?_x000a_" sqref="E319:E327 E968:E970" xr:uid="{BF918AD2-9F9E-461A-8129-AE769066ED2B}"/>
    <dataValidation allowBlank="1" showInputMessage="1" showErrorMessage="1" prompt="Enter detailed description of the activity or grouping of activities._x000a__x000a_What was the reach and impact of the activity?_x000a__x000a_Has the Board made adjustments from the original Expenditure Plan?_x000a_" sqref="E946:E967 E681:E742" xr:uid="{70A01F7E-AFD0-4D23-8B0C-C231E3EC7E6C}"/>
    <dataValidation allowBlank="1" showInputMessage="1" showErrorMessage="1" prompt="Enter the number and type of new, unduplicated participants served during the quarter._x000a__x000a_Participants might be programs or individuals (such as teachers or children)._x000a_" sqref="G319:G327 G946:G970 G681:G742" xr:uid="{0F091E20-0DA7-425B-BC94-9CDFCDD5152E}"/>
    <dataValidation allowBlank="1" showInputMessage="1" showErrorMessage="1" promptTitle="Describe the measurable outcomes" prompt="Use numbers to indicate results._x000a__x000a_NOTE: Some outcomes may not be available within the quarter an activity is completed. The Board may denote results are TBD and update in a later report._x000a__x000a_If updating data for a previous quarter, include date added." sqref="H319:H327 H946:H970 H681:H742" xr:uid="{91FEE014-FA2E-4CA4-8467-D6B6388B3C2B}"/>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F376-5BAD-4577-946B-E40E07B2BAC4}">
  <dimension ref="A1:H1048576"/>
  <sheetViews>
    <sheetView tabSelected="1" topLeftCell="A113" zoomScale="50" zoomScaleNormal="50" workbookViewId="0">
      <selection activeCell="A1048567" sqref="A1048567"/>
    </sheetView>
  </sheetViews>
  <sheetFormatPr defaultColWidth="0" defaultRowHeight="15.6" zeroHeight="1" x14ac:dyDescent="0.3"/>
  <cols>
    <col min="1" max="1" width="11.109375" style="6" bestFit="1" customWidth="1"/>
    <col min="2" max="2" width="10.5546875" style="6" customWidth="1"/>
    <col min="3" max="3" width="20.44140625" style="130" customWidth="1"/>
    <col min="4" max="4" width="34.33203125" style="6" customWidth="1"/>
    <col min="5" max="5" width="111.5546875" style="6" customWidth="1"/>
    <col min="6" max="6" width="13.44140625" style="6" bestFit="1" customWidth="1"/>
    <col min="7" max="7" width="18.44140625" style="6" customWidth="1"/>
    <col min="8" max="8" width="118.5546875" style="6" customWidth="1"/>
    <col min="9" max="16384" width="9.109375" style="6" hidden="1"/>
  </cols>
  <sheetData>
    <row r="1" spans="1:8" ht="46.8" x14ac:dyDescent="0.3">
      <c r="A1" s="131" t="s">
        <v>45</v>
      </c>
      <c r="B1" s="132" t="s">
        <v>46</v>
      </c>
      <c r="C1" s="161" t="s">
        <v>9</v>
      </c>
      <c r="D1" s="131" t="s">
        <v>47</v>
      </c>
      <c r="E1" s="131" t="s">
        <v>48</v>
      </c>
      <c r="F1" s="131" t="s">
        <v>49</v>
      </c>
      <c r="G1" s="131" t="s">
        <v>1714</v>
      </c>
      <c r="H1" s="133" t="s">
        <v>50</v>
      </c>
    </row>
    <row r="2" spans="1:8" ht="78" x14ac:dyDescent="0.3">
      <c r="A2" s="134">
        <v>1</v>
      </c>
      <c r="B2" s="75">
        <v>1</v>
      </c>
      <c r="C2" s="139" t="s">
        <v>10</v>
      </c>
      <c r="D2" s="139" t="s">
        <v>1</v>
      </c>
      <c r="E2" s="14" t="s">
        <v>1716</v>
      </c>
      <c r="F2" s="135" t="s">
        <v>51</v>
      </c>
      <c r="G2" s="9">
        <v>48</v>
      </c>
      <c r="H2" s="136" t="s">
        <v>1717</v>
      </c>
    </row>
    <row r="3" spans="1:8" ht="89.25" customHeight="1" x14ac:dyDescent="0.3">
      <c r="A3" s="75">
        <v>1</v>
      </c>
      <c r="B3" s="75">
        <v>1</v>
      </c>
      <c r="C3" s="139" t="s">
        <v>10</v>
      </c>
      <c r="D3" s="139" t="s">
        <v>0</v>
      </c>
      <c r="E3" s="14" t="s">
        <v>1718</v>
      </c>
      <c r="F3" s="135" t="s">
        <v>63</v>
      </c>
      <c r="G3" s="9">
        <v>10</v>
      </c>
      <c r="H3" s="136" t="s">
        <v>1719</v>
      </c>
    </row>
    <row r="4" spans="1:8" ht="102.75" customHeight="1" x14ac:dyDescent="0.3">
      <c r="A4" s="75">
        <v>1</v>
      </c>
      <c r="B4" s="75">
        <v>1</v>
      </c>
      <c r="C4" s="139" t="s">
        <v>10</v>
      </c>
      <c r="D4" s="139" t="s">
        <v>0</v>
      </c>
      <c r="E4" s="14" t="s">
        <v>1720</v>
      </c>
      <c r="F4" s="135" t="s">
        <v>63</v>
      </c>
      <c r="G4" s="9">
        <v>10</v>
      </c>
      <c r="H4" s="136" t="s">
        <v>1719</v>
      </c>
    </row>
    <row r="5" spans="1:8" ht="84" customHeight="1" x14ac:dyDescent="0.3">
      <c r="A5" s="75">
        <v>1</v>
      </c>
      <c r="B5" s="75">
        <v>1</v>
      </c>
      <c r="C5" s="139" t="s">
        <v>10</v>
      </c>
      <c r="D5" s="139" t="s">
        <v>0</v>
      </c>
      <c r="E5" s="14" t="s">
        <v>1721</v>
      </c>
      <c r="F5" s="135" t="s">
        <v>51</v>
      </c>
      <c r="G5" s="9">
        <v>1</v>
      </c>
      <c r="H5" s="136" t="s">
        <v>1722</v>
      </c>
    </row>
    <row r="6" spans="1:8" ht="89.25" customHeight="1" x14ac:dyDescent="0.3">
      <c r="A6" s="75">
        <v>1</v>
      </c>
      <c r="B6" s="75">
        <v>1</v>
      </c>
      <c r="C6" s="139" t="s">
        <v>10</v>
      </c>
      <c r="D6" s="139" t="s">
        <v>1713</v>
      </c>
      <c r="E6" s="14" t="s">
        <v>1723</v>
      </c>
      <c r="F6" s="135" t="s">
        <v>51</v>
      </c>
      <c r="G6" s="9">
        <v>1</v>
      </c>
      <c r="H6" s="136" t="s">
        <v>1724</v>
      </c>
    </row>
    <row r="7" spans="1:8" ht="62.4" x14ac:dyDescent="0.3">
      <c r="A7" s="75">
        <v>1</v>
      </c>
      <c r="B7" s="75">
        <v>1</v>
      </c>
      <c r="C7" s="139" t="s">
        <v>10</v>
      </c>
      <c r="D7" s="139" t="s">
        <v>65</v>
      </c>
      <c r="E7" s="14" t="s">
        <v>1725</v>
      </c>
      <c r="F7" s="135" t="s">
        <v>51</v>
      </c>
      <c r="G7" s="9" t="s">
        <v>75</v>
      </c>
      <c r="H7" s="136" t="s">
        <v>1726</v>
      </c>
    </row>
    <row r="8" spans="1:8" ht="62.4" x14ac:dyDescent="0.3">
      <c r="A8" s="75">
        <v>2</v>
      </c>
      <c r="B8" s="75">
        <v>1</v>
      </c>
      <c r="C8" s="139" t="s">
        <v>11</v>
      </c>
      <c r="D8" s="139" t="s">
        <v>0</v>
      </c>
      <c r="E8" s="14" t="s">
        <v>1727</v>
      </c>
      <c r="F8" s="135" t="s">
        <v>51</v>
      </c>
      <c r="G8" s="9">
        <v>2</v>
      </c>
      <c r="H8" s="136" t="s">
        <v>1728</v>
      </c>
    </row>
    <row r="9" spans="1:8" ht="62.25" customHeight="1" x14ac:dyDescent="0.3">
      <c r="A9" s="75">
        <v>2</v>
      </c>
      <c r="B9" s="75">
        <v>1</v>
      </c>
      <c r="C9" s="139" t="s">
        <v>11</v>
      </c>
      <c r="D9" s="139" t="s">
        <v>1</v>
      </c>
      <c r="E9" s="14" t="s">
        <v>1729</v>
      </c>
      <c r="F9" s="10" t="s">
        <v>51</v>
      </c>
      <c r="G9" s="9">
        <v>27</v>
      </c>
      <c r="H9" s="77" t="s">
        <v>1730</v>
      </c>
    </row>
    <row r="10" spans="1:8" ht="46.8" x14ac:dyDescent="0.3">
      <c r="A10" s="75">
        <v>2</v>
      </c>
      <c r="B10" s="75">
        <v>1</v>
      </c>
      <c r="C10" s="139" t="s">
        <v>11</v>
      </c>
      <c r="D10" s="14" t="s">
        <v>1</v>
      </c>
      <c r="E10" s="14" t="s">
        <v>1731</v>
      </c>
      <c r="F10" s="14" t="s">
        <v>51</v>
      </c>
      <c r="G10" s="15">
        <v>29</v>
      </c>
      <c r="H10" s="77" t="s">
        <v>1732</v>
      </c>
    </row>
    <row r="11" spans="1:8" ht="62.4" x14ac:dyDescent="0.3">
      <c r="A11" s="75">
        <v>2</v>
      </c>
      <c r="B11" s="75">
        <v>1</v>
      </c>
      <c r="C11" s="139" t="s">
        <v>11</v>
      </c>
      <c r="D11" s="139" t="s">
        <v>1</v>
      </c>
      <c r="E11" s="14" t="s">
        <v>1733</v>
      </c>
      <c r="F11" s="10" t="s">
        <v>51</v>
      </c>
      <c r="G11" s="9">
        <v>29</v>
      </c>
      <c r="H11" s="77" t="s">
        <v>1734</v>
      </c>
    </row>
    <row r="12" spans="1:8" ht="72" customHeight="1" x14ac:dyDescent="0.3">
      <c r="A12" s="75">
        <v>2</v>
      </c>
      <c r="B12" s="75">
        <v>1</v>
      </c>
      <c r="C12" s="139" t="s">
        <v>11</v>
      </c>
      <c r="D12" s="139" t="s">
        <v>1</v>
      </c>
      <c r="E12" s="14" t="s">
        <v>1735</v>
      </c>
      <c r="F12" s="10" t="s">
        <v>51</v>
      </c>
      <c r="G12" s="9">
        <v>17</v>
      </c>
      <c r="H12" s="77" t="s">
        <v>1736</v>
      </c>
    </row>
    <row r="13" spans="1:8" ht="78" x14ac:dyDescent="0.3">
      <c r="A13" s="75">
        <v>2</v>
      </c>
      <c r="B13" s="75">
        <v>1</v>
      </c>
      <c r="C13" s="139" t="s">
        <v>11</v>
      </c>
      <c r="D13" s="10" t="s">
        <v>1</v>
      </c>
      <c r="E13" s="14" t="s">
        <v>1737</v>
      </c>
      <c r="F13" s="10" t="s">
        <v>51</v>
      </c>
      <c r="G13" s="9">
        <v>12</v>
      </c>
      <c r="H13" s="77" t="s">
        <v>1738</v>
      </c>
    </row>
    <row r="14" spans="1:8" ht="78" x14ac:dyDescent="0.3">
      <c r="A14" s="75">
        <v>2</v>
      </c>
      <c r="B14" s="75">
        <v>1</v>
      </c>
      <c r="C14" s="139" t="s">
        <v>11</v>
      </c>
      <c r="D14" s="10" t="s">
        <v>1</v>
      </c>
      <c r="E14" s="14" t="s">
        <v>1739</v>
      </c>
      <c r="F14" s="10" t="s">
        <v>51</v>
      </c>
      <c r="G14" s="9">
        <v>11</v>
      </c>
      <c r="H14" s="77" t="s">
        <v>1740</v>
      </c>
    </row>
    <row r="15" spans="1:8" ht="62.4" x14ac:dyDescent="0.3">
      <c r="A15" s="75">
        <v>2</v>
      </c>
      <c r="B15" s="75">
        <v>1</v>
      </c>
      <c r="C15" s="139" t="s">
        <v>11</v>
      </c>
      <c r="D15" s="10" t="s">
        <v>65</v>
      </c>
      <c r="E15" s="14" t="s">
        <v>1741</v>
      </c>
      <c r="F15" s="10" t="s">
        <v>51</v>
      </c>
      <c r="G15" s="15">
        <v>4</v>
      </c>
      <c r="H15" s="77" t="s">
        <v>1742</v>
      </c>
    </row>
    <row r="16" spans="1:8" ht="62.4" x14ac:dyDescent="0.3">
      <c r="A16" s="75">
        <v>2</v>
      </c>
      <c r="B16" s="75">
        <v>1</v>
      </c>
      <c r="C16" s="139" t="s">
        <v>11</v>
      </c>
      <c r="D16" s="10" t="s">
        <v>65</v>
      </c>
      <c r="E16" s="14" t="s">
        <v>1743</v>
      </c>
      <c r="F16" s="10" t="s">
        <v>51</v>
      </c>
      <c r="G16" s="9">
        <v>5</v>
      </c>
      <c r="H16" s="77" t="s">
        <v>1744</v>
      </c>
    </row>
    <row r="17" spans="1:8" ht="95.25" customHeight="1" x14ac:dyDescent="0.3">
      <c r="A17" s="75">
        <v>2</v>
      </c>
      <c r="B17" s="75">
        <v>1</v>
      </c>
      <c r="C17" s="139" t="s">
        <v>11</v>
      </c>
      <c r="D17" s="10" t="s">
        <v>65</v>
      </c>
      <c r="E17" s="14" t="s">
        <v>1745</v>
      </c>
      <c r="F17" s="10" t="s">
        <v>51</v>
      </c>
      <c r="G17" s="9">
        <v>3</v>
      </c>
      <c r="H17" s="77" t="s">
        <v>1746</v>
      </c>
    </row>
    <row r="18" spans="1:8" ht="93.6" x14ac:dyDescent="0.3">
      <c r="A18" s="75">
        <v>2</v>
      </c>
      <c r="B18" s="75">
        <v>1</v>
      </c>
      <c r="C18" s="139" t="s">
        <v>11</v>
      </c>
      <c r="D18" s="10" t="s">
        <v>65</v>
      </c>
      <c r="E18" s="14" t="s">
        <v>1747</v>
      </c>
      <c r="F18" s="10" t="s">
        <v>51</v>
      </c>
      <c r="G18" s="9">
        <v>21</v>
      </c>
      <c r="H18" s="77" t="s">
        <v>1748</v>
      </c>
    </row>
    <row r="19" spans="1:8" ht="46.8" x14ac:dyDescent="0.3">
      <c r="A19" s="75">
        <v>2</v>
      </c>
      <c r="B19" s="75">
        <v>1</v>
      </c>
      <c r="C19" s="139" t="s">
        <v>11</v>
      </c>
      <c r="D19" s="10" t="s">
        <v>65</v>
      </c>
      <c r="E19" s="14" t="s">
        <v>1749</v>
      </c>
      <c r="F19" s="10" t="s">
        <v>51</v>
      </c>
      <c r="G19" s="9">
        <v>5</v>
      </c>
      <c r="H19" s="77" t="s">
        <v>1750</v>
      </c>
    </row>
    <row r="20" spans="1:8" ht="102.75" customHeight="1" x14ac:dyDescent="0.3">
      <c r="A20" s="75">
        <v>3</v>
      </c>
      <c r="B20" s="75">
        <v>1</v>
      </c>
      <c r="C20" s="139" t="s">
        <v>12</v>
      </c>
      <c r="D20" s="10" t="s">
        <v>65</v>
      </c>
      <c r="E20" s="14" t="s">
        <v>1751</v>
      </c>
      <c r="F20" s="10" t="s">
        <v>51</v>
      </c>
      <c r="G20" s="9" t="s">
        <v>75</v>
      </c>
      <c r="H20" s="77" t="s">
        <v>88</v>
      </c>
    </row>
    <row r="21" spans="1:8" ht="78" x14ac:dyDescent="0.3">
      <c r="A21" s="75">
        <v>3</v>
      </c>
      <c r="B21" s="75">
        <v>1</v>
      </c>
      <c r="C21" s="139" t="s">
        <v>12</v>
      </c>
      <c r="D21" s="10" t="s">
        <v>0</v>
      </c>
      <c r="E21" s="14" t="s">
        <v>1752</v>
      </c>
      <c r="F21" s="10" t="s">
        <v>51</v>
      </c>
      <c r="G21" s="9">
        <v>15</v>
      </c>
      <c r="H21" s="77" t="s">
        <v>1753</v>
      </c>
    </row>
    <row r="22" spans="1:8" ht="187.2" x14ac:dyDescent="0.3">
      <c r="A22" s="154">
        <v>3</v>
      </c>
      <c r="B22" s="9">
        <v>1</v>
      </c>
      <c r="C22" s="139" t="s">
        <v>12</v>
      </c>
      <c r="D22" s="139" t="s">
        <v>0</v>
      </c>
      <c r="E22" s="14" t="s">
        <v>1754</v>
      </c>
      <c r="F22" s="10" t="s">
        <v>51</v>
      </c>
      <c r="G22" s="9">
        <v>50</v>
      </c>
      <c r="H22" s="77" t="s">
        <v>1755</v>
      </c>
    </row>
    <row r="23" spans="1:8" ht="78" x14ac:dyDescent="0.3">
      <c r="A23" s="154">
        <v>3</v>
      </c>
      <c r="B23" s="9">
        <v>1</v>
      </c>
      <c r="C23" s="139" t="s">
        <v>12</v>
      </c>
      <c r="D23" s="139" t="s">
        <v>1</v>
      </c>
      <c r="E23" s="14" t="s">
        <v>1756</v>
      </c>
      <c r="F23" s="10" t="s">
        <v>51</v>
      </c>
      <c r="G23" s="15">
        <v>11</v>
      </c>
      <c r="H23" s="77" t="s">
        <v>1757</v>
      </c>
    </row>
    <row r="24" spans="1:8" ht="156" x14ac:dyDescent="0.3">
      <c r="A24" s="154">
        <v>3</v>
      </c>
      <c r="B24" s="9">
        <v>1</v>
      </c>
      <c r="C24" s="139" t="s">
        <v>12</v>
      </c>
      <c r="D24" s="139" t="s">
        <v>1</v>
      </c>
      <c r="E24" s="14" t="s">
        <v>1758</v>
      </c>
      <c r="F24" s="10" t="s">
        <v>51</v>
      </c>
      <c r="G24" s="9">
        <v>18</v>
      </c>
      <c r="H24" s="77" t="s">
        <v>1759</v>
      </c>
    </row>
    <row r="25" spans="1:8" ht="171.6" x14ac:dyDescent="0.3">
      <c r="A25" s="154">
        <v>3</v>
      </c>
      <c r="B25" s="9">
        <v>1</v>
      </c>
      <c r="C25" s="139" t="s">
        <v>12</v>
      </c>
      <c r="D25" s="10" t="s">
        <v>1</v>
      </c>
      <c r="E25" s="14" t="s">
        <v>1760</v>
      </c>
      <c r="F25" s="10" t="s">
        <v>51</v>
      </c>
      <c r="G25" s="9">
        <v>43</v>
      </c>
      <c r="H25" s="77" t="s">
        <v>1761</v>
      </c>
    </row>
    <row r="26" spans="1:8" ht="109.2" x14ac:dyDescent="0.3">
      <c r="A26" s="154">
        <v>3</v>
      </c>
      <c r="B26" s="9">
        <v>1</v>
      </c>
      <c r="C26" s="139" t="s">
        <v>12</v>
      </c>
      <c r="D26" s="10" t="s">
        <v>1</v>
      </c>
      <c r="E26" s="14" t="s">
        <v>1762</v>
      </c>
      <c r="F26" s="10" t="s">
        <v>51</v>
      </c>
      <c r="G26" s="9">
        <v>4</v>
      </c>
      <c r="H26" s="77" t="s">
        <v>1763</v>
      </c>
    </row>
    <row r="27" spans="1:8" ht="109.2" x14ac:dyDescent="0.3">
      <c r="A27" s="154">
        <v>3</v>
      </c>
      <c r="B27" s="9">
        <v>1</v>
      </c>
      <c r="C27" s="139" t="s">
        <v>12</v>
      </c>
      <c r="D27" s="10" t="s">
        <v>65</v>
      </c>
      <c r="E27" s="14" t="s">
        <v>1764</v>
      </c>
      <c r="F27" s="10" t="s">
        <v>51</v>
      </c>
      <c r="G27" s="9">
        <v>52</v>
      </c>
      <c r="H27" s="77" t="s">
        <v>1765</v>
      </c>
    </row>
    <row r="28" spans="1:8" ht="62.4" x14ac:dyDescent="0.3">
      <c r="A28" s="154">
        <v>3</v>
      </c>
      <c r="B28" s="9">
        <v>1</v>
      </c>
      <c r="C28" s="139" t="s">
        <v>12</v>
      </c>
      <c r="D28" s="10" t="s">
        <v>65</v>
      </c>
      <c r="E28" s="14" t="s">
        <v>2145</v>
      </c>
      <c r="F28" s="10" t="s">
        <v>51</v>
      </c>
      <c r="G28" s="9" t="s">
        <v>75</v>
      </c>
      <c r="H28" s="77" t="s">
        <v>2141</v>
      </c>
    </row>
    <row r="29" spans="1:8" ht="124.8" x14ac:dyDescent="0.3">
      <c r="A29" s="154">
        <v>3</v>
      </c>
      <c r="B29" s="9">
        <v>1</v>
      </c>
      <c r="C29" s="139" t="s">
        <v>12</v>
      </c>
      <c r="D29" s="139" t="s">
        <v>65</v>
      </c>
      <c r="E29" s="14" t="s">
        <v>1766</v>
      </c>
      <c r="F29" s="135" t="s">
        <v>51</v>
      </c>
      <c r="G29" s="9">
        <v>78</v>
      </c>
      <c r="H29" s="136" t="s">
        <v>1767</v>
      </c>
    </row>
    <row r="30" spans="1:8" ht="62.4" x14ac:dyDescent="0.3">
      <c r="A30" s="154">
        <v>3</v>
      </c>
      <c r="B30" s="9">
        <v>1</v>
      </c>
      <c r="C30" s="139" t="s">
        <v>12</v>
      </c>
      <c r="D30" s="139" t="s">
        <v>65</v>
      </c>
      <c r="E30" s="14" t="s">
        <v>1768</v>
      </c>
      <c r="F30" s="135" t="s">
        <v>63</v>
      </c>
      <c r="G30" s="9">
        <v>4</v>
      </c>
      <c r="H30" s="136" t="s">
        <v>1769</v>
      </c>
    </row>
    <row r="31" spans="1:8" ht="109.2" x14ac:dyDescent="0.3">
      <c r="A31" s="154">
        <v>4</v>
      </c>
      <c r="B31" s="9">
        <v>1</v>
      </c>
      <c r="C31" s="139" t="s">
        <v>13</v>
      </c>
      <c r="D31" s="139" t="s">
        <v>0</v>
      </c>
      <c r="E31" s="14" t="s">
        <v>1770</v>
      </c>
      <c r="F31" s="135" t="s">
        <v>51</v>
      </c>
      <c r="G31" s="9">
        <v>28</v>
      </c>
      <c r="H31" s="136" t="s">
        <v>1771</v>
      </c>
    </row>
    <row r="32" spans="1:8" ht="93.6" x14ac:dyDescent="0.3">
      <c r="A32" s="154">
        <v>4</v>
      </c>
      <c r="B32" s="9">
        <v>1</v>
      </c>
      <c r="C32" s="139" t="s">
        <v>13</v>
      </c>
      <c r="D32" s="139" t="s">
        <v>1</v>
      </c>
      <c r="E32" s="14" t="s">
        <v>1772</v>
      </c>
      <c r="F32" s="135" t="s">
        <v>51</v>
      </c>
      <c r="G32" s="9">
        <v>123</v>
      </c>
      <c r="H32" s="136" t="s">
        <v>1773</v>
      </c>
    </row>
    <row r="33" spans="1:8" ht="93.6" x14ac:dyDescent="0.3">
      <c r="A33" s="9">
        <v>4</v>
      </c>
      <c r="B33" s="9">
        <v>1</v>
      </c>
      <c r="C33" s="139" t="s">
        <v>13</v>
      </c>
      <c r="D33" s="139" t="s">
        <v>1</v>
      </c>
      <c r="E33" s="14" t="s">
        <v>1774</v>
      </c>
      <c r="F33" s="135" t="s">
        <v>51</v>
      </c>
      <c r="G33" s="9">
        <v>308</v>
      </c>
      <c r="H33" s="136" t="s">
        <v>1775</v>
      </c>
    </row>
    <row r="34" spans="1:8" ht="93.6" x14ac:dyDescent="0.3">
      <c r="A34" s="9">
        <v>4</v>
      </c>
      <c r="B34" s="9">
        <v>1</v>
      </c>
      <c r="C34" s="139" t="s">
        <v>13</v>
      </c>
      <c r="D34" s="139" t="s">
        <v>65</v>
      </c>
      <c r="E34" s="14" t="s">
        <v>1776</v>
      </c>
      <c r="F34" s="135" t="s">
        <v>51</v>
      </c>
      <c r="G34" s="9" t="s">
        <v>75</v>
      </c>
      <c r="H34" s="136" t="s">
        <v>1777</v>
      </c>
    </row>
    <row r="35" spans="1:8" ht="140.4" x14ac:dyDescent="0.3">
      <c r="A35" s="75">
        <v>4</v>
      </c>
      <c r="B35" s="75">
        <v>1</v>
      </c>
      <c r="C35" s="139" t="s">
        <v>13</v>
      </c>
      <c r="D35" s="139" t="s">
        <v>65</v>
      </c>
      <c r="E35" s="14" t="s">
        <v>1778</v>
      </c>
      <c r="F35" s="135" t="s">
        <v>51</v>
      </c>
      <c r="G35" s="9">
        <v>5</v>
      </c>
      <c r="H35" s="136" t="s">
        <v>1779</v>
      </c>
    </row>
    <row r="36" spans="1:8" ht="109.2" x14ac:dyDescent="0.3">
      <c r="A36" s="75">
        <v>4</v>
      </c>
      <c r="B36" s="75">
        <v>1</v>
      </c>
      <c r="C36" s="139" t="s">
        <v>13</v>
      </c>
      <c r="D36" s="139" t="s">
        <v>1</v>
      </c>
      <c r="E36" s="135" t="s">
        <v>1780</v>
      </c>
      <c r="F36" s="135" t="s">
        <v>63</v>
      </c>
      <c r="G36" s="9">
        <v>14</v>
      </c>
      <c r="H36" s="136" t="s">
        <v>1781</v>
      </c>
    </row>
    <row r="37" spans="1:8" ht="171.6" x14ac:dyDescent="0.3">
      <c r="A37" s="75">
        <v>4</v>
      </c>
      <c r="B37" s="75">
        <v>1</v>
      </c>
      <c r="C37" s="139" t="s">
        <v>13</v>
      </c>
      <c r="D37" s="139" t="s">
        <v>65</v>
      </c>
      <c r="E37" s="135" t="s">
        <v>1782</v>
      </c>
      <c r="F37" s="135" t="s">
        <v>63</v>
      </c>
      <c r="G37" s="9">
        <v>18</v>
      </c>
      <c r="H37" s="136" t="s">
        <v>1783</v>
      </c>
    </row>
    <row r="38" spans="1:8" ht="78" x14ac:dyDescent="0.3">
      <c r="A38" s="75">
        <v>4</v>
      </c>
      <c r="B38" s="75">
        <v>1</v>
      </c>
      <c r="C38" s="139" t="s">
        <v>13</v>
      </c>
      <c r="D38" s="139" t="s">
        <v>65</v>
      </c>
      <c r="E38" s="135" t="s">
        <v>1784</v>
      </c>
      <c r="F38" s="135" t="s">
        <v>63</v>
      </c>
      <c r="G38" s="9">
        <v>2</v>
      </c>
      <c r="H38" s="136" t="s">
        <v>1785</v>
      </c>
    </row>
    <row r="39" spans="1:8" ht="93.6" x14ac:dyDescent="0.3">
      <c r="A39" s="75">
        <v>4</v>
      </c>
      <c r="B39" s="75">
        <v>1</v>
      </c>
      <c r="C39" s="139" t="s">
        <v>13</v>
      </c>
      <c r="D39" s="10" t="s">
        <v>65</v>
      </c>
      <c r="E39" s="14" t="s">
        <v>1786</v>
      </c>
      <c r="F39" s="10" t="s">
        <v>51</v>
      </c>
      <c r="G39" s="9">
        <v>386</v>
      </c>
      <c r="H39" s="77" t="s">
        <v>1787</v>
      </c>
    </row>
    <row r="40" spans="1:8" ht="109.2" x14ac:dyDescent="0.3">
      <c r="A40" s="75">
        <v>4</v>
      </c>
      <c r="B40" s="75">
        <v>1</v>
      </c>
      <c r="C40" s="139" t="s">
        <v>13</v>
      </c>
      <c r="D40" s="10" t="s">
        <v>65</v>
      </c>
      <c r="E40" s="14" t="s">
        <v>1788</v>
      </c>
      <c r="F40" s="10" t="s">
        <v>51</v>
      </c>
      <c r="G40" s="9">
        <v>7</v>
      </c>
      <c r="H40" s="77" t="s">
        <v>1789</v>
      </c>
    </row>
    <row r="41" spans="1:8" ht="124.8" x14ac:dyDescent="0.3">
      <c r="A41" s="75">
        <v>5</v>
      </c>
      <c r="B41" s="75">
        <v>1</v>
      </c>
      <c r="C41" s="139" t="s">
        <v>95</v>
      </c>
      <c r="D41" s="10" t="s">
        <v>65</v>
      </c>
      <c r="E41" s="14" t="s">
        <v>1790</v>
      </c>
      <c r="F41" s="10" t="s">
        <v>63</v>
      </c>
      <c r="G41" s="9">
        <v>4</v>
      </c>
      <c r="H41" s="77" t="s">
        <v>1791</v>
      </c>
    </row>
    <row r="42" spans="1:8" ht="109.2" x14ac:dyDescent="0.3">
      <c r="A42" s="75">
        <v>5</v>
      </c>
      <c r="B42" s="75">
        <v>1</v>
      </c>
      <c r="C42" s="139" t="s">
        <v>95</v>
      </c>
      <c r="D42" s="10" t="s">
        <v>65</v>
      </c>
      <c r="E42" s="14" t="s">
        <v>1792</v>
      </c>
      <c r="F42" s="10" t="s">
        <v>63</v>
      </c>
      <c r="G42" s="9">
        <v>5</v>
      </c>
      <c r="H42" s="77" t="s">
        <v>1793</v>
      </c>
    </row>
    <row r="43" spans="1:8" ht="140.4" x14ac:dyDescent="0.3">
      <c r="A43" s="75">
        <v>5</v>
      </c>
      <c r="B43" s="75">
        <v>1</v>
      </c>
      <c r="C43" s="139" t="s">
        <v>95</v>
      </c>
      <c r="D43" s="10" t="s">
        <v>1</v>
      </c>
      <c r="E43" s="14" t="s">
        <v>1794</v>
      </c>
      <c r="F43" s="10" t="s">
        <v>51</v>
      </c>
      <c r="G43" s="9">
        <v>427</v>
      </c>
      <c r="H43" s="77" t="s">
        <v>1795</v>
      </c>
    </row>
    <row r="44" spans="1:8" ht="62.4" x14ac:dyDescent="0.3">
      <c r="A44" s="75">
        <v>5</v>
      </c>
      <c r="B44" s="75">
        <v>1</v>
      </c>
      <c r="C44" s="139" t="s">
        <v>95</v>
      </c>
      <c r="D44" s="10" t="s">
        <v>0</v>
      </c>
      <c r="E44" s="14" t="s">
        <v>1796</v>
      </c>
      <c r="F44" s="10" t="s">
        <v>51</v>
      </c>
      <c r="G44" s="9">
        <v>23</v>
      </c>
      <c r="H44" s="77" t="s">
        <v>1797</v>
      </c>
    </row>
    <row r="45" spans="1:8" ht="78" x14ac:dyDescent="0.3">
      <c r="A45" s="9">
        <v>5</v>
      </c>
      <c r="B45" s="9">
        <v>1</v>
      </c>
      <c r="C45" s="139" t="s">
        <v>95</v>
      </c>
      <c r="D45" s="10" t="s">
        <v>0</v>
      </c>
      <c r="E45" s="14" t="s">
        <v>1798</v>
      </c>
      <c r="F45" s="10" t="s">
        <v>51</v>
      </c>
      <c r="G45" s="9">
        <v>12</v>
      </c>
      <c r="H45" s="77" t="s">
        <v>1799</v>
      </c>
    </row>
    <row r="46" spans="1:8" ht="109.2" x14ac:dyDescent="0.3">
      <c r="A46" s="9">
        <v>5</v>
      </c>
      <c r="B46" s="9">
        <v>1</v>
      </c>
      <c r="C46" s="139" t="s">
        <v>95</v>
      </c>
      <c r="D46" s="139" t="s">
        <v>65</v>
      </c>
      <c r="E46" s="14" t="s">
        <v>1800</v>
      </c>
      <c r="F46" s="10" t="s">
        <v>51</v>
      </c>
      <c r="G46" s="9">
        <v>76</v>
      </c>
      <c r="H46" s="77" t="s">
        <v>1801</v>
      </c>
    </row>
    <row r="47" spans="1:8" ht="171.6" x14ac:dyDescent="0.3">
      <c r="A47" s="9">
        <v>5</v>
      </c>
      <c r="B47" s="9">
        <v>1</v>
      </c>
      <c r="C47" s="139" t="s">
        <v>95</v>
      </c>
      <c r="D47" s="139" t="s">
        <v>65</v>
      </c>
      <c r="E47" s="14" t="s">
        <v>1802</v>
      </c>
      <c r="F47" s="10" t="s">
        <v>51</v>
      </c>
      <c r="G47" s="9" t="s">
        <v>75</v>
      </c>
      <c r="H47" s="77" t="s">
        <v>1803</v>
      </c>
    </row>
    <row r="48" spans="1:8" ht="46.8" x14ac:dyDescent="0.3">
      <c r="A48" s="9">
        <v>6</v>
      </c>
      <c r="B48" s="9">
        <v>1</v>
      </c>
      <c r="C48" s="139" t="s">
        <v>99</v>
      </c>
      <c r="D48" s="139" t="s">
        <v>1</v>
      </c>
      <c r="E48" s="14" t="s">
        <v>1804</v>
      </c>
      <c r="F48" s="10" t="s">
        <v>51</v>
      </c>
      <c r="G48" s="9">
        <v>167</v>
      </c>
      <c r="H48" s="77" t="s">
        <v>1805</v>
      </c>
    </row>
    <row r="49" spans="1:8" ht="46.8" x14ac:dyDescent="0.3">
      <c r="A49" s="9">
        <v>6</v>
      </c>
      <c r="B49" s="9">
        <v>1</v>
      </c>
      <c r="C49" s="139" t="s">
        <v>99</v>
      </c>
      <c r="D49" s="139" t="s">
        <v>1</v>
      </c>
      <c r="E49" s="14" t="s">
        <v>1806</v>
      </c>
      <c r="F49" s="10" t="s">
        <v>51</v>
      </c>
      <c r="G49" s="9">
        <v>32</v>
      </c>
      <c r="H49" s="77" t="s">
        <v>1807</v>
      </c>
    </row>
    <row r="50" spans="1:8" ht="62.4" x14ac:dyDescent="0.3">
      <c r="A50" s="9">
        <v>6</v>
      </c>
      <c r="B50" s="9">
        <v>1</v>
      </c>
      <c r="C50" s="139" t="s">
        <v>99</v>
      </c>
      <c r="D50" s="139" t="s">
        <v>1</v>
      </c>
      <c r="E50" s="14" t="s">
        <v>1808</v>
      </c>
      <c r="F50" s="10" t="s">
        <v>51</v>
      </c>
      <c r="G50" s="9">
        <v>312</v>
      </c>
      <c r="H50" s="77" t="s">
        <v>1809</v>
      </c>
    </row>
    <row r="51" spans="1:8" ht="78" x14ac:dyDescent="0.3">
      <c r="A51" s="9">
        <v>6</v>
      </c>
      <c r="B51" s="9">
        <v>1</v>
      </c>
      <c r="C51" s="139" t="s">
        <v>99</v>
      </c>
      <c r="D51" s="139" t="s">
        <v>1</v>
      </c>
      <c r="E51" s="14" t="s">
        <v>1810</v>
      </c>
      <c r="F51" s="10" t="s">
        <v>51</v>
      </c>
      <c r="G51" s="9">
        <v>7</v>
      </c>
      <c r="H51" s="77" t="s">
        <v>1811</v>
      </c>
    </row>
    <row r="52" spans="1:8" ht="62.4" x14ac:dyDescent="0.3">
      <c r="A52" s="9">
        <v>6</v>
      </c>
      <c r="B52" s="9">
        <v>1</v>
      </c>
      <c r="C52" s="139" t="s">
        <v>99</v>
      </c>
      <c r="D52" s="139" t="s">
        <v>119</v>
      </c>
      <c r="E52" s="14" t="s">
        <v>1812</v>
      </c>
      <c r="F52" s="10" t="s">
        <v>51</v>
      </c>
      <c r="G52" s="9">
        <v>98</v>
      </c>
      <c r="H52" s="77" t="s">
        <v>1813</v>
      </c>
    </row>
    <row r="53" spans="1:8" ht="62.4" x14ac:dyDescent="0.3">
      <c r="A53" s="9">
        <v>6</v>
      </c>
      <c r="B53" s="9">
        <v>1</v>
      </c>
      <c r="C53" s="139" t="s">
        <v>99</v>
      </c>
      <c r="D53" s="139" t="s">
        <v>119</v>
      </c>
      <c r="E53" s="14" t="s">
        <v>1814</v>
      </c>
      <c r="F53" s="10" t="s">
        <v>51</v>
      </c>
      <c r="G53" s="9">
        <v>60</v>
      </c>
      <c r="H53" s="77" t="s">
        <v>1815</v>
      </c>
    </row>
    <row r="54" spans="1:8" ht="62.4" x14ac:dyDescent="0.3">
      <c r="A54" s="9">
        <v>6</v>
      </c>
      <c r="B54" s="9">
        <v>1</v>
      </c>
      <c r="C54" s="139" t="s">
        <v>99</v>
      </c>
      <c r="D54" s="139" t="s">
        <v>65</v>
      </c>
      <c r="E54" s="14" t="s">
        <v>1816</v>
      </c>
      <c r="F54" s="10" t="s">
        <v>51</v>
      </c>
      <c r="G54" s="9">
        <v>3</v>
      </c>
      <c r="H54" s="77" t="s">
        <v>1817</v>
      </c>
    </row>
    <row r="55" spans="1:8" ht="46.8" x14ac:dyDescent="0.3">
      <c r="A55" s="9">
        <v>6</v>
      </c>
      <c r="B55" s="9">
        <v>1</v>
      </c>
      <c r="C55" s="139" t="s">
        <v>99</v>
      </c>
      <c r="D55" s="139" t="s">
        <v>65</v>
      </c>
      <c r="E55" s="14" t="s">
        <v>1818</v>
      </c>
      <c r="F55" s="10" t="s">
        <v>51</v>
      </c>
      <c r="G55" s="9">
        <v>3</v>
      </c>
      <c r="H55" s="77" t="s">
        <v>1819</v>
      </c>
    </row>
    <row r="56" spans="1:8" ht="62.4" x14ac:dyDescent="0.3">
      <c r="A56" s="9">
        <v>6</v>
      </c>
      <c r="B56" s="9">
        <v>1</v>
      </c>
      <c r="C56" s="139" t="s">
        <v>99</v>
      </c>
      <c r="D56" s="139" t="s">
        <v>65</v>
      </c>
      <c r="E56" s="14" t="s">
        <v>1820</v>
      </c>
      <c r="F56" s="10" t="s">
        <v>51</v>
      </c>
      <c r="G56" s="9">
        <v>57</v>
      </c>
      <c r="H56" s="77" t="s">
        <v>1821</v>
      </c>
    </row>
    <row r="57" spans="1:8" ht="62.4" x14ac:dyDescent="0.3">
      <c r="A57" s="9">
        <v>6</v>
      </c>
      <c r="B57" s="9">
        <v>1</v>
      </c>
      <c r="C57" s="139" t="s">
        <v>99</v>
      </c>
      <c r="D57" s="139" t="s">
        <v>65</v>
      </c>
      <c r="E57" s="14" t="s">
        <v>1822</v>
      </c>
      <c r="F57" s="10" t="s">
        <v>51</v>
      </c>
      <c r="G57" s="9">
        <v>20</v>
      </c>
      <c r="H57" s="77" t="s">
        <v>1823</v>
      </c>
    </row>
    <row r="58" spans="1:8" ht="62.4" x14ac:dyDescent="0.3">
      <c r="A58" s="9">
        <v>6</v>
      </c>
      <c r="B58" s="9">
        <v>1</v>
      </c>
      <c r="C58" s="139" t="s">
        <v>99</v>
      </c>
      <c r="D58" s="139" t="s">
        <v>65</v>
      </c>
      <c r="E58" s="14" t="s">
        <v>1824</v>
      </c>
      <c r="F58" s="10" t="s">
        <v>51</v>
      </c>
      <c r="G58" s="9">
        <v>100</v>
      </c>
      <c r="H58" s="77" t="s">
        <v>1825</v>
      </c>
    </row>
    <row r="59" spans="1:8" ht="78" x14ac:dyDescent="0.3">
      <c r="A59" s="75">
        <v>6</v>
      </c>
      <c r="B59" s="75">
        <v>1</v>
      </c>
      <c r="C59" s="139" t="s">
        <v>99</v>
      </c>
      <c r="D59" s="10" t="s">
        <v>0</v>
      </c>
      <c r="E59" s="14" t="s">
        <v>1826</v>
      </c>
      <c r="F59" s="10" t="s">
        <v>51</v>
      </c>
      <c r="G59" s="9" t="s">
        <v>75</v>
      </c>
      <c r="H59" s="77" t="s">
        <v>1827</v>
      </c>
    </row>
    <row r="60" spans="1:8" ht="78" x14ac:dyDescent="0.3">
      <c r="A60" s="75">
        <v>6</v>
      </c>
      <c r="B60" s="75">
        <v>1</v>
      </c>
      <c r="C60" s="139" t="s">
        <v>99</v>
      </c>
      <c r="D60" s="10" t="s">
        <v>1</v>
      </c>
      <c r="E60" s="14" t="s">
        <v>1828</v>
      </c>
      <c r="F60" s="10" t="s">
        <v>51</v>
      </c>
      <c r="G60" s="9" t="s">
        <v>75</v>
      </c>
      <c r="H60" s="77" t="s">
        <v>1829</v>
      </c>
    </row>
    <row r="61" spans="1:8" ht="78" x14ac:dyDescent="0.3">
      <c r="A61" s="75">
        <v>6</v>
      </c>
      <c r="B61" s="75">
        <v>1</v>
      </c>
      <c r="C61" s="139" t="s">
        <v>99</v>
      </c>
      <c r="D61" s="10" t="s">
        <v>65</v>
      </c>
      <c r="E61" s="14" t="s">
        <v>1830</v>
      </c>
      <c r="F61" s="10" t="s">
        <v>51</v>
      </c>
      <c r="G61" s="9" t="s">
        <v>75</v>
      </c>
      <c r="H61" s="77" t="s">
        <v>1831</v>
      </c>
    </row>
    <row r="62" spans="1:8" ht="62.4" x14ac:dyDescent="0.3">
      <c r="A62" s="75">
        <v>6</v>
      </c>
      <c r="B62" s="75">
        <v>1</v>
      </c>
      <c r="C62" s="139" t="s">
        <v>99</v>
      </c>
      <c r="D62" s="10" t="s">
        <v>4</v>
      </c>
      <c r="E62" s="14" t="s">
        <v>1832</v>
      </c>
      <c r="F62" s="10" t="s">
        <v>51</v>
      </c>
      <c r="G62" s="9" t="s">
        <v>75</v>
      </c>
      <c r="H62" s="77" t="s">
        <v>1833</v>
      </c>
    </row>
    <row r="63" spans="1:8" ht="62.4" x14ac:dyDescent="0.3">
      <c r="A63" s="75">
        <v>6</v>
      </c>
      <c r="B63" s="75">
        <v>1</v>
      </c>
      <c r="C63" s="139" t="s">
        <v>99</v>
      </c>
      <c r="D63" s="10" t="s">
        <v>4</v>
      </c>
      <c r="E63" s="14" t="s">
        <v>1834</v>
      </c>
      <c r="F63" s="10" t="s">
        <v>51</v>
      </c>
      <c r="G63" s="9" t="s">
        <v>75</v>
      </c>
      <c r="H63" s="77" t="s">
        <v>1835</v>
      </c>
    </row>
    <row r="64" spans="1:8" ht="62.4" x14ac:dyDescent="0.3">
      <c r="A64" s="75">
        <v>6</v>
      </c>
      <c r="B64" s="75">
        <v>1</v>
      </c>
      <c r="C64" s="139" t="s">
        <v>99</v>
      </c>
      <c r="D64" s="139" t="s">
        <v>1713</v>
      </c>
      <c r="E64" s="14" t="s">
        <v>1836</v>
      </c>
      <c r="F64" s="10" t="s">
        <v>51</v>
      </c>
      <c r="G64" s="9" t="s">
        <v>75</v>
      </c>
      <c r="H64" s="77" t="s">
        <v>1837</v>
      </c>
    </row>
    <row r="65" spans="1:8" ht="46.8" x14ac:dyDescent="0.3">
      <c r="A65" s="9">
        <v>6</v>
      </c>
      <c r="B65" s="9">
        <v>1</v>
      </c>
      <c r="C65" s="139" t="s">
        <v>99</v>
      </c>
      <c r="D65" s="139" t="s">
        <v>65</v>
      </c>
      <c r="E65" s="14" t="s">
        <v>1838</v>
      </c>
      <c r="F65" s="135" t="s">
        <v>51</v>
      </c>
      <c r="G65" s="9">
        <v>22</v>
      </c>
      <c r="H65" s="136" t="s">
        <v>1839</v>
      </c>
    </row>
    <row r="66" spans="1:8" ht="78" x14ac:dyDescent="0.3">
      <c r="A66" s="9">
        <v>7</v>
      </c>
      <c r="B66" s="9">
        <v>1</v>
      </c>
      <c r="C66" s="139" t="s">
        <v>1840</v>
      </c>
      <c r="D66" s="14" t="s">
        <v>0</v>
      </c>
      <c r="E66" s="14" t="s">
        <v>1841</v>
      </c>
      <c r="F66" s="14" t="s">
        <v>51</v>
      </c>
      <c r="G66" s="15">
        <v>32</v>
      </c>
      <c r="H66" s="77" t="s">
        <v>1842</v>
      </c>
    </row>
    <row r="67" spans="1:8" ht="78" x14ac:dyDescent="0.3">
      <c r="A67" s="9">
        <v>7</v>
      </c>
      <c r="B67" s="9">
        <v>1</v>
      </c>
      <c r="C67" s="139" t="s">
        <v>1840</v>
      </c>
      <c r="D67" s="14" t="s">
        <v>4</v>
      </c>
      <c r="E67" s="14" t="s">
        <v>1843</v>
      </c>
      <c r="F67" s="14" t="s">
        <v>51</v>
      </c>
      <c r="G67" s="15">
        <v>5</v>
      </c>
      <c r="H67" s="77" t="s">
        <v>1844</v>
      </c>
    </row>
    <row r="68" spans="1:8" ht="62.4" x14ac:dyDescent="0.3">
      <c r="A68" s="9">
        <v>7</v>
      </c>
      <c r="B68" s="9">
        <v>1</v>
      </c>
      <c r="C68" s="139" t="s">
        <v>1840</v>
      </c>
      <c r="D68" s="139" t="s">
        <v>1713</v>
      </c>
      <c r="E68" s="14" t="s">
        <v>1845</v>
      </c>
      <c r="F68" s="135" t="s">
        <v>63</v>
      </c>
      <c r="G68" s="9">
        <v>62</v>
      </c>
      <c r="H68" s="136" t="s">
        <v>1846</v>
      </c>
    </row>
    <row r="69" spans="1:8" ht="62.4" x14ac:dyDescent="0.3">
      <c r="A69" s="9">
        <v>7</v>
      </c>
      <c r="B69" s="9">
        <v>1</v>
      </c>
      <c r="C69" s="139" t="s">
        <v>1840</v>
      </c>
      <c r="D69" s="139" t="s">
        <v>1</v>
      </c>
      <c r="E69" s="14" t="s">
        <v>1847</v>
      </c>
      <c r="F69" s="135" t="s">
        <v>51</v>
      </c>
      <c r="G69" s="9">
        <v>110</v>
      </c>
      <c r="H69" s="136" t="s">
        <v>1848</v>
      </c>
    </row>
    <row r="70" spans="1:8" ht="62.4" x14ac:dyDescent="0.3">
      <c r="A70" s="9">
        <v>7</v>
      </c>
      <c r="B70" s="9">
        <v>1</v>
      </c>
      <c r="C70" s="139" t="s">
        <v>1840</v>
      </c>
      <c r="D70" s="139" t="s">
        <v>1</v>
      </c>
      <c r="E70" s="14" t="s">
        <v>1849</v>
      </c>
      <c r="F70" s="135" t="s">
        <v>51</v>
      </c>
      <c r="G70" s="9" t="s">
        <v>394</v>
      </c>
      <c r="H70" s="136" t="s">
        <v>1850</v>
      </c>
    </row>
    <row r="71" spans="1:8" ht="62.4" x14ac:dyDescent="0.3">
      <c r="A71" s="9">
        <v>7</v>
      </c>
      <c r="B71" s="9">
        <v>1</v>
      </c>
      <c r="C71" s="139" t="s">
        <v>1840</v>
      </c>
      <c r="D71" s="139" t="s">
        <v>1</v>
      </c>
      <c r="E71" s="14" t="s">
        <v>1851</v>
      </c>
      <c r="F71" s="135" t="s">
        <v>63</v>
      </c>
      <c r="G71" s="9">
        <v>23</v>
      </c>
      <c r="H71" s="136" t="s">
        <v>1852</v>
      </c>
    </row>
    <row r="72" spans="1:8" ht="78" x14ac:dyDescent="0.3">
      <c r="A72" s="9">
        <v>7</v>
      </c>
      <c r="B72" s="9">
        <v>1</v>
      </c>
      <c r="C72" s="139" t="s">
        <v>1840</v>
      </c>
      <c r="D72" s="139" t="s">
        <v>1</v>
      </c>
      <c r="E72" s="14" t="s">
        <v>1853</v>
      </c>
      <c r="F72" s="135" t="s">
        <v>63</v>
      </c>
      <c r="G72" s="9">
        <v>17</v>
      </c>
      <c r="H72" s="136" t="s">
        <v>1854</v>
      </c>
    </row>
    <row r="73" spans="1:8" ht="62.4" x14ac:dyDescent="0.3">
      <c r="A73" s="9">
        <v>7</v>
      </c>
      <c r="B73" s="9">
        <v>1</v>
      </c>
      <c r="C73" s="139" t="s">
        <v>1840</v>
      </c>
      <c r="D73" s="139" t="s">
        <v>1</v>
      </c>
      <c r="E73" s="14" t="s">
        <v>1855</v>
      </c>
      <c r="F73" s="135" t="s">
        <v>51</v>
      </c>
      <c r="G73" s="9">
        <v>468</v>
      </c>
      <c r="H73" s="136" t="s">
        <v>1856</v>
      </c>
    </row>
    <row r="74" spans="1:8" ht="109.2" x14ac:dyDescent="0.3">
      <c r="A74" s="9">
        <v>7</v>
      </c>
      <c r="B74" s="9">
        <v>1</v>
      </c>
      <c r="C74" s="139" t="s">
        <v>1840</v>
      </c>
      <c r="D74" s="139" t="s">
        <v>1713</v>
      </c>
      <c r="E74" s="14" t="s">
        <v>1857</v>
      </c>
      <c r="F74" s="135" t="s">
        <v>51</v>
      </c>
      <c r="G74" s="9">
        <v>516</v>
      </c>
      <c r="H74" s="136" t="s">
        <v>1858</v>
      </c>
    </row>
    <row r="75" spans="1:8" ht="46.8" x14ac:dyDescent="0.3">
      <c r="A75" s="9">
        <v>7</v>
      </c>
      <c r="B75" s="9">
        <v>1</v>
      </c>
      <c r="C75" s="139" t="s">
        <v>1840</v>
      </c>
      <c r="D75" s="139" t="s">
        <v>1</v>
      </c>
      <c r="E75" s="14" t="s">
        <v>1859</v>
      </c>
      <c r="F75" s="135" t="s">
        <v>51</v>
      </c>
      <c r="G75" s="9">
        <v>2</v>
      </c>
      <c r="H75" s="136" t="s">
        <v>1715</v>
      </c>
    </row>
    <row r="76" spans="1:8" ht="78" x14ac:dyDescent="0.3">
      <c r="A76" s="9">
        <v>7</v>
      </c>
      <c r="B76" s="9">
        <v>1</v>
      </c>
      <c r="C76" s="139" t="s">
        <v>1840</v>
      </c>
      <c r="D76" s="139" t="s">
        <v>65</v>
      </c>
      <c r="E76" s="14" t="s">
        <v>1860</v>
      </c>
      <c r="F76" s="135" t="s">
        <v>51</v>
      </c>
      <c r="G76" s="9">
        <v>60</v>
      </c>
      <c r="H76" s="136" t="s">
        <v>1861</v>
      </c>
    </row>
    <row r="77" spans="1:8" ht="93.6" x14ac:dyDescent="0.3">
      <c r="A77" s="9">
        <v>7</v>
      </c>
      <c r="B77" s="9">
        <v>1</v>
      </c>
      <c r="C77" s="139" t="s">
        <v>1840</v>
      </c>
      <c r="D77" s="139" t="s">
        <v>65</v>
      </c>
      <c r="E77" s="14" t="s">
        <v>1862</v>
      </c>
      <c r="F77" s="135" t="s">
        <v>51</v>
      </c>
      <c r="G77" s="9">
        <v>60</v>
      </c>
      <c r="H77" s="136" t="s">
        <v>1863</v>
      </c>
    </row>
    <row r="78" spans="1:8" ht="46.8" x14ac:dyDescent="0.3">
      <c r="A78" s="9">
        <v>8</v>
      </c>
      <c r="B78" s="9">
        <v>1</v>
      </c>
      <c r="C78" s="139" t="s">
        <v>17</v>
      </c>
      <c r="D78" s="139" t="s">
        <v>119</v>
      </c>
      <c r="E78" s="14" t="s">
        <v>1864</v>
      </c>
      <c r="F78" s="135" t="s">
        <v>63</v>
      </c>
      <c r="G78" s="9">
        <v>1</v>
      </c>
      <c r="H78" s="136" t="s">
        <v>1865</v>
      </c>
    </row>
    <row r="79" spans="1:8" ht="46.8" x14ac:dyDescent="0.3">
      <c r="A79" s="9">
        <v>8</v>
      </c>
      <c r="B79" s="9">
        <v>1</v>
      </c>
      <c r="C79" s="139" t="s">
        <v>17</v>
      </c>
      <c r="D79" s="139" t="s">
        <v>0</v>
      </c>
      <c r="E79" s="14" t="s">
        <v>1866</v>
      </c>
      <c r="F79" s="135" t="s">
        <v>63</v>
      </c>
      <c r="G79" s="9">
        <v>3</v>
      </c>
      <c r="H79" s="136" t="s">
        <v>1867</v>
      </c>
    </row>
    <row r="80" spans="1:8" ht="46.8" x14ac:dyDescent="0.3">
      <c r="A80" s="9">
        <v>8</v>
      </c>
      <c r="B80" s="9">
        <v>1</v>
      </c>
      <c r="C80" s="139" t="s">
        <v>17</v>
      </c>
      <c r="D80" s="139" t="s">
        <v>0</v>
      </c>
      <c r="E80" s="14" t="s">
        <v>1868</v>
      </c>
      <c r="F80" s="135" t="s">
        <v>63</v>
      </c>
      <c r="G80" s="9">
        <v>9</v>
      </c>
      <c r="H80" s="136" t="s">
        <v>1869</v>
      </c>
    </row>
    <row r="81" spans="1:8" ht="46.8" x14ac:dyDescent="0.3">
      <c r="A81" s="9">
        <v>8</v>
      </c>
      <c r="B81" s="9">
        <v>1</v>
      </c>
      <c r="C81" s="139" t="s">
        <v>17</v>
      </c>
      <c r="D81" s="139" t="s">
        <v>0</v>
      </c>
      <c r="E81" s="14" t="s">
        <v>1870</v>
      </c>
      <c r="F81" s="14" t="s">
        <v>63</v>
      </c>
      <c r="G81" s="15">
        <v>17</v>
      </c>
      <c r="H81" s="77" t="s">
        <v>1871</v>
      </c>
    </row>
    <row r="82" spans="1:8" ht="46.8" x14ac:dyDescent="0.3">
      <c r="A82" s="9">
        <v>8</v>
      </c>
      <c r="B82" s="9">
        <v>1</v>
      </c>
      <c r="C82" s="139" t="s">
        <v>17</v>
      </c>
      <c r="D82" s="139" t="s">
        <v>1</v>
      </c>
      <c r="E82" s="14" t="s">
        <v>1872</v>
      </c>
      <c r="F82" s="14" t="s">
        <v>63</v>
      </c>
      <c r="G82" s="15">
        <v>489</v>
      </c>
      <c r="H82" s="77" t="s">
        <v>1873</v>
      </c>
    </row>
    <row r="83" spans="1:8" ht="46.8" x14ac:dyDescent="0.3">
      <c r="A83" s="9">
        <v>8</v>
      </c>
      <c r="B83" s="9">
        <v>1</v>
      </c>
      <c r="C83" s="139" t="s">
        <v>17</v>
      </c>
      <c r="D83" s="139" t="s">
        <v>1</v>
      </c>
      <c r="E83" s="14" t="s">
        <v>1874</v>
      </c>
      <c r="F83" s="14" t="s">
        <v>51</v>
      </c>
      <c r="G83" s="15">
        <v>47</v>
      </c>
      <c r="H83" s="77" t="s">
        <v>1875</v>
      </c>
    </row>
    <row r="84" spans="1:8" ht="46.8" x14ac:dyDescent="0.3">
      <c r="A84" s="9">
        <v>8</v>
      </c>
      <c r="B84" s="9">
        <v>1</v>
      </c>
      <c r="C84" s="139" t="s">
        <v>17</v>
      </c>
      <c r="D84" s="139" t="s">
        <v>1</v>
      </c>
      <c r="E84" s="14" t="s">
        <v>1876</v>
      </c>
      <c r="F84" s="14" t="s">
        <v>51</v>
      </c>
      <c r="G84" s="15">
        <v>1</v>
      </c>
      <c r="H84" s="77" t="s">
        <v>1877</v>
      </c>
    </row>
    <row r="85" spans="1:8" ht="46.8" x14ac:dyDescent="0.3">
      <c r="A85" s="9">
        <v>8</v>
      </c>
      <c r="B85" s="9">
        <v>1</v>
      </c>
      <c r="C85" s="139" t="s">
        <v>17</v>
      </c>
      <c r="D85" s="139" t="s">
        <v>65</v>
      </c>
      <c r="E85" s="14" t="s">
        <v>1878</v>
      </c>
      <c r="F85" s="135" t="s">
        <v>51</v>
      </c>
      <c r="G85" s="9">
        <v>8</v>
      </c>
      <c r="H85" s="136" t="s">
        <v>1879</v>
      </c>
    </row>
    <row r="86" spans="1:8" ht="46.8" x14ac:dyDescent="0.3">
      <c r="A86" s="9">
        <v>8</v>
      </c>
      <c r="B86" s="9">
        <v>1</v>
      </c>
      <c r="C86" s="139" t="s">
        <v>17</v>
      </c>
      <c r="D86" s="139" t="s">
        <v>65</v>
      </c>
      <c r="E86" s="14" t="s">
        <v>1880</v>
      </c>
      <c r="F86" s="135" t="s">
        <v>51</v>
      </c>
      <c r="G86" s="9">
        <v>8</v>
      </c>
      <c r="H86" s="136" t="s">
        <v>1881</v>
      </c>
    </row>
    <row r="87" spans="1:8" ht="46.8" x14ac:dyDescent="0.3">
      <c r="A87" s="9">
        <v>8</v>
      </c>
      <c r="B87" s="9">
        <v>1</v>
      </c>
      <c r="C87" s="139" t="s">
        <v>17</v>
      </c>
      <c r="D87" s="139" t="s">
        <v>65</v>
      </c>
      <c r="E87" s="14" t="s">
        <v>1882</v>
      </c>
      <c r="F87" s="14" t="s">
        <v>51</v>
      </c>
      <c r="G87" s="15">
        <v>19</v>
      </c>
      <c r="H87" s="77" t="s">
        <v>1883</v>
      </c>
    </row>
    <row r="88" spans="1:8" ht="62.4" x14ac:dyDescent="0.3">
      <c r="A88" s="9">
        <v>8</v>
      </c>
      <c r="B88" s="9">
        <v>1</v>
      </c>
      <c r="C88" s="139" t="s">
        <v>17</v>
      </c>
      <c r="D88" s="139" t="s">
        <v>65</v>
      </c>
      <c r="E88" s="14" t="s">
        <v>1884</v>
      </c>
      <c r="F88" s="14" t="s">
        <v>51</v>
      </c>
      <c r="G88" s="15">
        <v>5</v>
      </c>
      <c r="H88" s="77" t="s">
        <v>1885</v>
      </c>
    </row>
    <row r="89" spans="1:8" ht="46.8" x14ac:dyDescent="0.3">
      <c r="A89" s="9">
        <v>8</v>
      </c>
      <c r="B89" s="9">
        <v>1</v>
      </c>
      <c r="C89" s="139" t="s">
        <v>17</v>
      </c>
      <c r="D89" s="14" t="s">
        <v>65</v>
      </c>
      <c r="E89" s="14" t="s">
        <v>1886</v>
      </c>
      <c r="F89" s="14" t="s">
        <v>51</v>
      </c>
      <c r="G89" s="15">
        <v>6</v>
      </c>
      <c r="H89" s="77" t="s">
        <v>1887</v>
      </c>
    </row>
    <row r="90" spans="1:8" ht="46.8" x14ac:dyDescent="0.3">
      <c r="A90" s="9">
        <v>8</v>
      </c>
      <c r="B90" s="9">
        <v>1</v>
      </c>
      <c r="C90" s="139" t="s">
        <v>17</v>
      </c>
      <c r="D90" s="14" t="s">
        <v>65</v>
      </c>
      <c r="E90" s="14" t="s">
        <v>1888</v>
      </c>
      <c r="F90" s="14" t="s">
        <v>51</v>
      </c>
      <c r="G90" s="15">
        <v>5</v>
      </c>
      <c r="H90" s="77" t="s">
        <v>1889</v>
      </c>
    </row>
    <row r="91" spans="1:8" ht="124.8" x14ac:dyDescent="0.3">
      <c r="A91" s="9">
        <v>9</v>
      </c>
      <c r="B91" s="9">
        <v>1</v>
      </c>
      <c r="C91" s="139" t="s">
        <v>18</v>
      </c>
      <c r="D91" s="14" t="s">
        <v>65</v>
      </c>
      <c r="E91" s="14" t="s">
        <v>1890</v>
      </c>
      <c r="F91" s="14" t="s">
        <v>51</v>
      </c>
      <c r="G91" s="15" t="s">
        <v>75</v>
      </c>
      <c r="H91" s="77" t="s">
        <v>1891</v>
      </c>
    </row>
    <row r="92" spans="1:8" ht="78" x14ac:dyDescent="0.3">
      <c r="A92" s="75">
        <v>10</v>
      </c>
      <c r="B92" s="75">
        <v>1</v>
      </c>
      <c r="C92" s="139" t="s">
        <v>19</v>
      </c>
      <c r="D92" s="139" t="s">
        <v>0</v>
      </c>
      <c r="E92" s="14" t="s">
        <v>1892</v>
      </c>
      <c r="F92" s="135" t="s">
        <v>51</v>
      </c>
      <c r="G92" s="9">
        <v>5</v>
      </c>
      <c r="H92" s="136" t="s">
        <v>1893</v>
      </c>
    </row>
    <row r="93" spans="1:8" ht="93.6" x14ac:dyDescent="0.3">
      <c r="A93" s="75">
        <v>10</v>
      </c>
      <c r="B93" s="75">
        <v>1</v>
      </c>
      <c r="C93" s="139" t="s">
        <v>19</v>
      </c>
      <c r="D93" s="14" t="s">
        <v>1</v>
      </c>
      <c r="E93" s="14" t="s">
        <v>1894</v>
      </c>
      <c r="F93" s="14" t="s">
        <v>51</v>
      </c>
      <c r="G93" s="15">
        <v>60</v>
      </c>
      <c r="H93" s="77" t="s">
        <v>1895</v>
      </c>
    </row>
    <row r="94" spans="1:8" ht="140.4" x14ac:dyDescent="0.3">
      <c r="A94" s="75">
        <v>10</v>
      </c>
      <c r="B94" s="75">
        <v>1</v>
      </c>
      <c r="C94" s="139" t="s">
        <v>19</v>
      </c>
      <c r="D94" s="14" t="s">
        <v>1</v>
      </c>
      <c r="E94" s="14" t="s">
        <v>1896</v>
      </c>
      <c r="F94" s="14" t="s">
        <v>51</v>
      </c>
      <c r="G94" s="15">
        <v>90</v>
      </c>
      <c r="H94" s="77" t="s">
        <v>1897</v>
      </c>
    </row>
    <row r="95" spans="1:8" ht="78" x14ac:dyDescent="0.3">
      <c r="A95" s="75">
        <v>10</v>
      </c>
      <c r="B95" s="75">
        <v>1</v>
      </c>
      <c r="C95" s="139" t="s">
        <v>19</v>
      </c>
      <c r="D95" s="14" t="s">
        <v>1</v>
      </c>
      <c r="E95" s="14" t="s">
        <v>1898</v>
      </c>
      <c r="F95" s="14" t="s">
        <v>63</v>
      </c>
      <c r="G95" s="15">
        <v>20</v>
      </c>
      <c r="H95" s="77" t="s">
        <v>1899</v>
      </c>
    </row>
    <row r="96" spans="1:8" ht="78" x14ac:dyDescent="0.3">
      <c r="A96" s="75">
        <v>10</v>
      </c>
      <c r="B96" s="75">
        <v>1</v>
      </c>
      <c r="C96" s="139" t="s">
        <v>19</v>
      </c>
      <c r="D96" s="10" t="s">
        <v>1</v>
      </c>
      <c r="E96" s="14" t="s">
        <v>1900</v>
      </c>
      <c r="F96" s="10" t="s">
        <v>63</v>
      </c>
      <c r="G96" s="9">
        <v>36</v>
      </c>
      <c r="H96" s="77" t="s">
        <v>1901</v>
      </c>
    </row>
    <row r="97" spans="1:8" ht="93.6" x14ac:dyDescent="0.3">
      <c r="A97" s="75">
        <v>10</v>
      </c>
      <c r="B97" s="75">
        <v>1</v>
      </c>
      <c r="C97" s="139" t="s">
        <v>19</v>
      </c>
      <c r="D97" s="10" t="s">
        <v>65</v>
      </c>
      <c r="E97" s="14" t="s">
        <v>1902</v>
      </c>
      <c r="F97" s="10" t="s">
        <v>51</v>
      </c>
      <c r="G97" s="9">
        <v>6</v>
      </c>
      <c r="H97" s="77" t="s">
        <v>1903</v>
      </c>
    </row>
    <row r="98" spans="1:8" ht="109.2" x14ac:dyDescent="0.3">
      <c r="A98" s="75">
        <v>10</v>
      </c>
      <c r="B98" s="75">
        <v>1</v>
      </c>
      <c r="C98" s="139" t="s">
        <v>19</v>
      </c>
      <c r="D98" s="139" t="s">
        <v>65</v>
      </c>
      <c r="E98" s="14" t="s">
        <v>1904</v>
      </c>
      <c r="F98" s="10" t="s">
        <v>51</v>
      </c>
      <c r="G98" s="9">
        <v>25</v>
      </c>
      <c r="H98" s="77" t="s">
        <v>1905</v>
      </c>
    </row>
    <row r="99" spans="1:8" ht="109.2" x14ac:dyDescent="0.3">
      <c r="A99" s="75">
        <v>10</v>
      </c>
      <c r="B99" s="75">
        <v>1</v>
      </c>
      <c r="C99" s="139" t="s">
        <v>19</v>
      </c>
      <c r="D99" s="10" t="s">
        <v>65</v>
      </c>
      <c r="E99" s="14" t="s">
        <v>1906</v>
      </c>
      <c r="F99" s="10" t="s">
        <v>51</v>
      </c>
      <c r="G99" s="9">
        <v>488</v>
      </c>
      <c r="H99" s="77" t="s">
        <v>1907</v>
      </c>
    </row>
    <row r="100" spans="1:8" ht="109.2" x14ac:dyDescent="0.3">
      <c r="A100" s="75">
        <v>10</v>
      </c>
      <c r="B100" s="75">
        <v>1</v>
      </c>
      <c r="C100" s="139" t="s">
        <v>19</v>
      </c>
      <c r="D100" s="14" t="s">
        <v>65</v>
      </c>
      <c r="E100" s="14" t="s">
        <v>1908</v>
      </c>
      <c r="F100" s="14" t="s">
        <v>51</v>
      </c>
      <c r="G100" s="15" t="s">
        <v>75</v>
      </c>
      <c r="H100" s="77" t="s">
        <v>88</v>
      </c>
    </row>
    <row r="101" spans="1:8" ht="78" x14ac:dyDescent="0.3">
      <c r="A101" s="75">
        <v>10</v>
      </c>
      <c r="B101" s="75">
        <v>1</v>
      </c>
      <c r="C101" s="139" t="s">
        <v>19</v>
      </c>
      <c r="D101" s="10" t="s">
        <v>65</v>
      </c>
      <c r="E101" s="14" t="s">
        <v>1909</v>
      </c>
      <c r="F101" s="10" t="s">
        <v>51</v>
      </c>
      <c r="G101" s="9" t="s">
        <v>75</v>
      </c>
      <c r="H101" s="77" t="s">
        <v>1910</v>
      </c>
    </row>
    <row r="102" spans="1:8" ht="93.6" x14ac:dyDescent="0.3">
      <c r="A102" s="9">
        <v>10</v>
      </c>
      <c r="B102" s="9">
        <v>1</v>
      </c>
      <c r="C102" s="139" t="s">
        <v>19</v>
      </c>
      <c r="D102" s="14" t="s">
        <v>65</v>
      </c>
      <c r="E102" s="14" t="s">
        <v>1911</v>
      </c>
      <c r="F102" s="14" t="s">
        <v>51</v>
      </c>
      <c r="G102" s="15" t="s">
        <v>75</v>
      </c>
      <c r="H102" s="77" t="s">
        <v>1912</v>
      </c>
    </row>
    <row r="103" spans="1:8" ht="46.8" x14ac:dyDescent="0.3">
      <c r="A103" s="9">
        <v>11</v>
      </c>
      <c r="B103" s="9">
        <v>1</v>
      </c>
      <c r="C103" s="139" t="s">
        <v>20</v>
      </c>
      <c r="D103" s="10" t="s">
        <v>119</v>
      </c>
      <c r="E103" s="14" t="s">
        <v>1913</v>
      </c>
      <c r="F103" s="10" t="s">
        <v>51</v>
      </c>
      <c r="G103" s="9">
        <v>7</v>
      </c>
      <c r="H103" s="77" t="s">
        <v>1914</v>
      </c>
    </row>
    <row r="104" spans="1:8" ht="46.8" x14ac:dyDescent="0.3">
      <c r="A104" s="9">
        <v>11</v>
      </c>
      <c r="B104" s="9">
        <v>1</v>
      </c>
      <c r="C104" s="139" t="s">
        <v>20</v>
      </c>
      <c r="D104" s="10" t="s">
        <v>119</v>
      </c>
      <c r="E104" s="14" t="s">
        <v>1915</v>
      </c>
      <c r="F104" s="10" t="s">
        <v>51</v>
      </c>
      <c r="G104" s="9">
        <v>6</v>
      </c>
      <c r="H104" s="77" t="s">
        <v>1916</v>
      </c>
    </row>
    <row r="105" spans="1:8" ht="78" x14ac:dyDescent="0.3">
      <c r="A105" s="9">
        <v>11</v>
      </c>
      <c r="B105" s="9">
        <v>1</v>
      </c>
      <c r="C105" s="139" t="s">
        <v>20</v>
      </c>
      <c r="D105" s="10" t="s">
        <v>0</v>
      </c>
      <c r="E105" s="14" t="s">
        <v>1917</v>
      </c>
      <c r="F105" s="10" t="s">
        <v>51</v>
      </c>
      <c r="G105" s="9">
        <v>179</v>
      </c>
      <c r="H105" s="77" t="s">
        <v>1918</v>
      </c>
    </row>
    <row r="106" spans="1:8" ht="62.4" x14ac:dyDescent="0.3">
      <c r="A106" s="9">
        <v>11</v>
      </c>
      <c r="B106" s="9">
        <v>1</v>
      </c>
      <c r="C106" s="139" t="s">
        <v>20</v>
      </c>
      <c r="D106" s="10" t="s">
        <v>0</v>
      </c>
      <c r="E106" s="14" t="s">
        <v>1919</v>
      </c>
      <c r="F106" s="10" t="s">
        <v>51</v>
      </c>
      <c r="G106" s="9">
        <v>1</v>
      </c>
      <c r="H106" s="77" t="s">
        <v>1920</v>
      </c>
    </row>
    <row r="107" spans="1:8" ht="62.4" x14ac:dyDescent="0.3">
      <c r="A107" s="9">
        <v>11</v>
      </c>
      <c r="B107" s="9">
        <v>1</v>
      </c>
      <c r="C107" s="139" t="s">
        <v>20</v>
      </c>
      <c r="D107" s="10" t="s">
        <v>1713</v>
      </c>
      <c r="E107" s="14" t="s">
        <v>1921</v>
      </c>
      <c r="F107" s="10" t="s">
        <v>51</v>
      </c>
      <c r="G107" s="9">
        <v>8</v>
      </c>
      <c r="H107" s="77" t="s">
        <v>1922</v>
      </c>
    </row>
    <row r="108" spans="1:8" ht="62.4" x14ac:dyDescent="0.3">
      <c r="A108" s="9">
        <v>11</v>
      </c>
      <c r="B108" s="9">
        <v>1</v>
      </c>
      <c r="C108" s="139" t="s">
        <v>20</v>
      </c>
      <c r="D108" s="10" t="s">
        <v>1</v>
      </c>
      <c r="E108" s="14" t="s">
        <v>1923</v>
      </c>
      <c r="F108" s="10" t="s">
        <v>51</v>
      </c>
      <c r="G108" s="9">
        <v>1</v>
      </c>
      <c r="H108" s="77" t="s">
        <v>1924</v>
      </c>
    </row>
    <row r="109" spans="1:8" ht="78" x14ac:dyDescent="0.3">
      <c r="A109" s="75">
        <v>11</v>
      </c>
      <c r="B109" s="75">
        <v>1</v>
      </c>
      <c r="C109" s="139" t="s">
        <v>20</v>
      </c>
      <c r="D109" s="139" t="s">
        <v>65</v>
      </c>
      <c r="E109" s="14" t="s">
        <v>1925</v>
      </c>
      <c r="F109" s="10" t="s">
        <v>51</v>
      </c>
      <c r="G109" s="9">
        <v>5</v>
      </c>
      <c r="H109" s="77" t="s">
        <v>1926</v>
      </c>
    </row>
    <row r="110" spans="1:8" ht="62.4" x14ac:dyDescent="0.3">
      <c r="A110" s="75">
        <v>11</v>
      </c>
      <c r="B110" s="75">
        <v>1</v>
      </c>
      <c r="C110" s="139" t="s">
        <v>20</v>
      </c>
      <c r="D110" s="139" t="s">
        <v>65</v>
      </c>
      <c r="E110" s="14" t="s">
        <v>1927</v>
      </c>
      <c r="F110" s="10" t="s">
        <v>51</v>
      </c>
      <c r="G110" s="9">
        <v>2</v>
      </c>
      <c r="H110" s="77" t="s">
        <v>1928</v>
      </c>
    </row>
    <row r="111" spans="1:8" ht="46.8" x14ac:dyDescent="0.3">
      <c r="A111" s="75">
        <v>11</v>
      </c>
      <c r="B111" s="75">
        <v>1</v>
      </c>
      <c r="C111" s="139" t="s">
        <v>20</v>
      </c>
      <c r="D111" s="10" t="s">
        <v>65</v>
      </c>
      <c r="E111" s="14" t="s">
        <v>1929</v>
      </c>
      <c r="F111" s="10" t="s">
        <v>51</v>
      </c>
      <c r="G111" s="9">
        <v>4</v>
      </c>
      <c r="H111" s="77" t="s">
        <v>1930</v>
      </c>
    </row>
    <row r="112" spans="1:8" ht="93.6" x14ac:dyDescent="0.3">
      <c r="A112" s="75">
        <v>11</v>
      </c>
      <c r="B112" s="75">
        <v>1</v>
      </c>
      <c r="C112" s="139" t="s">
        <v>20</v>
      </c>
      <c r="D112" s="10" t="s">
        <v>65</v>
      </c>
      <c r="E112" s="14" t="s">
        <v>1931</v>
      </c>
      <c r="F112" s="10" t="s">
        <v>51</v>
      </c>
      <c r="G112" s="9">
        <v>32</v>
      </c>
      <c r="H112" s="77" t="s">
        <v>1932</v>
      </c>
    </row>
    <row r="113" spans="1:8" ht="46.8" x14ac:dyDescent="0.3">
      <c r="A113" s="75">
        <v>11</v>
      </c>
      <c r="B113" s="75">
        <v>1</v>
      </c>
      <c r="C113" s="139" t="s">
        <v>20</v>
      </c>
      <c r="D113" s="10" t="s">
        <v>65</v>
      </c>
      <c r="E113" s="14" t="s">
        <v>1933</v>
      </c>
      <c r="F113" s="10" t="s">
        <v>51</v>
      </c>
      <c r="G113" s="9" t="s">
        <v>75</v>
      </c>
      <c r="H113" s="77" t="s">
        <v>1934</v>
      </c>
    </row>
    <row r="114" spans="1:8" ht="46.8" x14ac:dyDescent="0.3">
      <c r="A114" s="75">
        <v>12</v>
      </c>
      <c r="B114" s="75">
        <v>1</v>
      </c>
      <c r="C114" s="139" t="s">
        <v>21</v>
      </c>
      <c r="D114" s="10" t="s">
        <v>65</v>
      </c>
      <c r="E114" s="14" t="s">
        <v>1935</v>
      </c>
      <c r="F114" s="10" t="s">
        <v>51</v>
      </c>
      <c r="G114" s="9">
        <v>3</v>
      </c>
      <c r="H114" s="77" t="s">
        <v>1936</v>
      </c>
    </row>
    <row r="115" spans="1:8" ht="124.8" x14ac:dyDescent="0.3">
      <c r="A115" s="75">
        <v>12</v>
      </c>
      <c r="B115" s="75">
        <v>1</v>
      </c>
      <c r="C115" s="139" t="s">
        <v>21</v>
      </c>
      <c r="D115" s="10" t="s">
        <v>65</v>
      </c>
      <c r="E115" s="14" t="s">
        <v>1937</v>
      </c>
      <c r="F115" s="10" t="s">
        <v>51</v>
      </c>
      <c r="G115" s="9">
        <v>3</v>
      </c>
      <c r="H115" s="77" t="s">
        <v>88</v>
      </c>
    </row>
    <row r="116" spans="1:8" ht="78" x14ac:dyDescent="0.3">
      <c r="A116" s="75">
        <v>12</v>
      </c>
      <c r="B116" s="75">
        <v>1</v>
      </c>
      <c r="C116" s="139" t="s">
        <v>21</v>
      </c>
      <c r="D116" s="139" t="s">
        <v>1</v>
      </c>
      <c r="E116" s="14" t="s">
        <v>1938</v>
      </c>
      <c r="F116" s="135" t="s">
        <v>63</v>
      </c>
      <c r="G116" s="9">
        <v>16</v>
      </c>
      <c r="H116" s="136" t="s">
        <v>1939</v>
      </c>
    </row>
    <row r="117" spans="1:8" ht="93.6" x14ac:dyDescent="0.3">
      <c r="A117" s="75">
        <v>12</v>
      </c>
      <c r="B117" s="75">
        <v>1</v>
      </c>
      <c r="C117" s="139" t="s">
        <v>21</v>
      </c>
      <c r="D117" s="139" t="s">
        <v>0</v>
      </c>
      <c r="E117" s="14" t="s">
        <v>1940</v>
      </c>
      <c r="F117" s="135" t="s">
        <v>63</v>
      </c>
      <c r="G117" s="9">
        <v>40</v>
      </c>
      <c r="H117" s="136" t="s">
        <v>1941</v>
      </c>
    </row>
    <row r="118" spans="1:8" ht="93.6" x14ac:dyDescent="0.3">
      <c r="A118" s="75">
        <v>12</v>
      </c>
      <c r="B118" s="75">
        <v>1</v>
      </c>
      <c r="C118" s="139" t="s">
        <v>21</v>
      </c>
      <c r="D118" s="139" t="s">
        <v>1</v>
      </c>
      <c r="E118" s="14" t="s">
        <v>1942</v>
      </c>
      <c r="F118" s="135" t="s">
        <v>63</v>
      </c>
      <c r="G118" s="9">
        <v>17</v>
      </c>
      <c r="H118" s="136" t="s">
        <v>1943</v>
      </c>
    </row>
    <row r="119" spans="1:8" ht="93.6" x14ac:dyDescent="0.3">
      <c r="A119" s="75">
        <v>12</v>
      </c>
      <c r="B119" s="75">
        <v>1</v>
      </c>
      <c r="C119" s="139" t="s">
        <v>21</v>
      </c>
      <c r="D119" s="139" t="s">
        <v>1</v>
      </c>
      <c r="E119" s="14" t="s">
        <v>1944</v>
      </c>
      <c r="F119" s="135" t="s">
        <v>63</v>
      </c>
      <c r="G119" s="9">
        <v>22</v>
      </c>
      <c r="H119" s="136" t="s">
        <v>1945</v>
      </c>
    </row>
    <row r="120" spans="1:8" ht="93.6" x14ac:dyDescent="0.3">
      <c r="A120" s="75">
        <v>13</v>
      </c>
      <c r="B120" s="75">
        <v>1</v>
      </c>
      <c r="C120" s="139" t="s">
        <v>22</v>
      </c>
      <c r="D120" s="139" t="s">
        <v>0</v>
      </c>
      <c r="E120" s="14" t="s">
        <v>1946</v>
      </c>
      <c r="F120" s="135" t="s">
        <v>63</v>
      </c>
      <c r="G120" s="9">
        <v>44</v>
      </c>
      <c r="H120" s="136" t="s">
        <v>1947</v>
      </c>
    </row>
    <row r="121" spans="1:8" ht="93.6" x14ac:dyDescent="0.3">
      <c r="A121" s="75">
        <v>13</v>
      </c>
      <c r="B121" s="75">
        <v>1</v>
      </c>
      <c r="C121" s="139" t="s">
        <v>22</v>
      </c>
      <c r="D121" s="10" t="s">
        <v>1</v>
      </c>
      <c r="E121" s="14" t="s">
        <v>1948</v>
      </c>
      <c r="F121" s="10" t="s">
        <v>63</v>
      </c>
      <c r="G121" s="9">
        <v>47</v>
      </c>
      <c r="H121" s="77" t="s">
        <v>1949</v>
      </c>
    </row>
    <row r="122" spans="1:8" ht="93.6" x14ac:dyDescent="0.3">
      <c r="A122" s="75">
        <v>13</v>
      </c>
      <c r="B122" s="75">
        <v>1</v>
      </c>
      <c r="C122" s="139" t="s">
        <v>22</v>
      </c>
      <c r="D122" s="10" t="s">
        <v>1</v>
      </c>
      <c r="E122" s="14" t="s">
        <v>1950</v>
      </c>
      <c r="F122" s="10" t="s">
        <v>63</v>
      </c>
      <c r="G122" s="9">
        <v>30</v>
      </c>
      <c r="H122" s="77" t="s">
        <v>1951</v>
      </c>
    </row>
    <row r="123" spans="1:8" ht="93.6" x14ac:dyDescent="0.3">
      <c r="A123" s="75">
        <v>13</v>
      </c>
      <c r="B123" s="75">
        <v>1</v>
      </c>
      <c r="C123" s="139" t="s">
        <v>22</v>
      </c>
      <c r="D123" s="139" t="s">
        <v>1</v>
      </c>
      <c r="E123" s="14" t="s">
        <v>1952</v>
      </c>
      <c r="F123" s="10" t="s">
        <v>63</v>
      </c>
      <c r="G123" s="9">
        <v>19</v>
      </c>
      <c r="H123" s="77" t="s">
        <v>1953</v>
      </c>
    </row>
    <row r="124" spans="1:8" ht="93.6" x14ac:dyDescent="0.3">
      <c r="A124" s="75">
        <v>13</v>
      </c>
      <c r="B124" s="75">
        <v>1</v>
      </c>
      <c r="C124" s="139" t="s">
        <v>22</v>
      </c>
      <c r="D124" s="139" t="s">
        <v>1</v>
      </c>
      <c r="E124" s="14" t="s">
        <v>1954</v>
      </c>
      <c r="F124" s="10" t="s">
        <v>63</v>
      </c>
      <c r="G124" s="9">
        <v>37</v>
      </c>
      <c r="H124" s="77" t="s">
        <v>1955</v>
      </c>
    </row>
    <row r="125" spans="1:8" ht="93.6" x14ac:dyDescent="0.3">
      <c r="A125" s="75">
        <v>13</v>
      </c>
      <c r="B125" s="75">
        <v>1</v>
      </c>
      <c r="C125" s="139" t="s">
        <v>22</v>
      </c>
      <c r="D125" s="10" t="s">
        <v>1</v>
      </c>
      <c r="E125" s="14" t="s">
        <v>1956</v>
      </c>
      <c r="F125" s="10" t="s">
        <v>63</v>
      </c>
      <c r="G125" s="9">
        <v>22</v>
      </c>
      <c r="H125" s="77" t="s">
        <v>1957</v>
      </c>
    </row>
    <row r="126" spans="1:8" ht="93.6" x14ac:dyDescent="0.3">
      <c r="A126" s="75">
        <v>13</v>
      </c>
      <c r="B126" s="75">
        <v>1</v>
      </c>
      <c r="C126" s="139" t="s">
        <v>22</v>
      </c>
      <c r="D126" s="10" t="s">
        <v>65</v>
      </c>
      <c r="E126" s="14" t="s">
        <v>1958</v>
      </c>
      <c r="F126" s="10" t="s">
        <v>51</v>
      </c>
      <c r="G126" s="9">
        <v>107</v>
      </c>
      <c r="H126" s="77" t="s">
        <v>1959</v>
      </c>
    </row>
    <row r="127" spans="1:8" ht="109.2" x14ac:dyDescent="0.3">
      <c r="A127" s="75">
        <v>13</v>
      </c>
      <c r="B127" s="75">
        <v>1</v>
      </c>
      <c r="C127" s="139" t="s">
        <v>22</v>
      </c>
      <c r="D127" s="10" t="s">
        <v>65</v>
      </c>
      <c r="E127" s="14" t="s">
        <v>1960</v>
      </c>
      <c r="F127" s="10" t="s">
        <v>51</v>
      </c>
      <c r="G127" s="9">
        <v>18</v>
      </c>
      <c r="H127" s="77" t="s">
        <v>1961</v>
      </c>
    </row>
    <row r="128" spans="1:8" ht="62.4" x14ac:dyDescent="0.3">
      <c r="A128" s="75">
        <v>13</v>
      </c>
      <c r="B128" s="75">
        <v>1</v>
      </c>
      <c r="C128" s="139" t="s">
        <v>22</v>
      </c>
      <c r="D128" s="10" t="s">
        <v>119</v>
      </c>
      <c r="E128" s="14" t="s">
        <v>1962</v>
      </c>
      <c r="F128" s="10" t="s">
        <v>51</v>
      </c>
      <c r="G128" s="9">
        <v>63</v>
      </c>
      <c r="H128" s="77" t="s">
        <v>1963</v>
      </c>
    </row>
    <row r="129" spans="1:8" ht="78" x14ac:dyDescent="0.3">
      <c r="A129" s="75">
        <v>14</v>
      </c>
      <c r="B129" s="75">
        <v>1</v>
      </c>
      <c r="C129" s="139" t="s">
        <v>23</v>
      </c>
      <c r="D129" s="10" t="s">
        <v>1</v>
      </c>
      <c r="E129" s="14" t="s">
        <v>1964</v>
      </c>
      <c r="F129" s="10" t="s">
        <v>51</v>
      </c>
      <c r="G129" s="9">
        <v>656</v>
      </c>
      <c r="H129" s="77" t="s">
        <v>1965</v>
      </c>
    </row>
    <row r="130" spans="1:8" ht="62.4" x14ac:dyDescent="0.3">
      <c r="A130" s="75">
        <v>14</v>
      </c>
      <c r="B130" s="75">
        <v>1</v>
      </c>
      <c r="C130" s="139" t="s">
        <v>23</v>
      </c>
      <c r="D130" s="10" t="s">
        <v>1</v>
      </c>
      <c r="E130" s="14" t="s">
        <v>1966</v>
      </c>
      <c r="F130" s="10" t="s">
        <v>51</v>
      </c>
      <c r="G130" s="9">
        <v>277</v>
      </c>
      <c r="H130" s="77" t="s">
        <v>1967</v>
      </c>
    </row>
    <row r="131" spans="1:8" ht="78" x14ac:dyDescent="0.3">
      <c r="A131" s="75">
        <v>14</v>
      </c>
      <c r="B131" s="75">
        <v>1</v>
      </c>
      <c r="C131" s="139" t="s">
        <v>23</v>
      </c>
      <c r="D131" s="139" t="s">
        <v>119</v>
      </c>
      <c r="E131" s="135" t="s">
        <v>1968</v>
      </c>
      <c r="F131" s="135" t="s">
        <v>51</v>
      </c>
      <c r="G131" s="9">
        <v>124</v>
      </c>
      <c r="H131" s="136" t="s">
        <v>1969</v>
      </c>
    </row>
    <row r="132" spans="1:8" ht="62.4" x14ac:dyDescent="0.3">
      <c r="A132" s="75">
        <v>14</v>
      </c>
      <c r="B132" s="75">
        <v>1</v>
      </c>
      <c r="C132" s="139" t="s">
        <v>23</v>
      </c>
      <c r="D132" s="139" t="s">
        <v>65</v>
      </c>
      <c r="E132" s="14" t="s">
        <v>1970</v>
      </c>
      <c r="F132" s="10" t="s">
        <v>51</v>
      </c>
      <c r="G132" s="9">
        <v>1</v>
      </c>
      <c r="H132" s="77" t="s">
        <v>1971</v>
      </c>
    </row>
    <row r="133" spans="1:8" ht="62.4" x14ac:dyDescent="0.3">
      <c r="A133" s="75">
        <v>14</v>
      </c>
      <c r="B133" s="75">
        <v>1</v>
      </c>
      <c r="C133" s="139" t="s">
        <v>23</v>
      </c>
      <c r="D133" s="139" t="s">
        <v>65</v>
      </c>
      <c r="E133" s="14" t="s">
        <v>1972</v>
      </c>
      <c r="F133" s="10" t="s">
        <v>51</v>
      </c>
      <c r="G133" s="9">
        <v>198</v>
      </c>
      <c r="H133" s="77" t="s">
        <v>1973</v>
      </c>
    </row>
    <row r="134" spans="1:8" ht="46.8" x14ac:dyDescent="0.3">
      <c r="A134" s="75">
        <v>14</v>
      </c>
      <c r="B134" s="75">
        <v>1</v>
      </c>
      <c r="C134" s="139" t="s">
        <v>23</v>
      </c>
      <c r="D134" s="139" t="s">
        <v>1</v>
      </c>
      <c r="E134" s="14" t="s">
        <v>1974</v>
      </c>
      <c r="F134" s="10" t="s">
        <v>51</v>
      </c>
      <c r="G134" s="9">
        <v>12</v>
      </c>
      <c r="H134" s="77" t="s">
        <v>1971</v>
      </c>
    </row>
    <row r="135" spans="1:8" ht="31.2" x14ac:dyDescent="0.3">
      <c r="A135" s="9">
        <v>14</v>
      </c>
      <c r="B135" s="9">
        <v>1</v>
      </c>
      <c r="C135" s="139" t="s">
        <v>23</v>
      </c>
      <c r="D135" s="139" t="s">
        <v>4</v>
      </c>
      <c r="E135" s="14" t="s">
        <v>1975</v>
      </c>
      <c r="F135" s="10" t="s">
        <v>51</v>
      </c>
      <c r="G135" s="9">
        <v>1</v>
      </c>
      <c r="H135" s="77" t="s">
        <v>1971</v>
      </c>
    </row>
    <row r="136" spans="1:8" ht="124.8" x14ac:dyDescent="0.3">
      <c r="A136" s="9">
        <v>15</v>
      </c>
      <c r="B136" s="9">
        <v>1</v>
      </c>
      <c r="C136" s="139" t="s">
        <v>24</v>
      </c>
      <c r="D136" s="139" t="s">
        <v>0</v>
      </c>
      <c r="E136" s="14" t="s">
        <v>1976</v>
      </c>
      <c r="F136" s="10" t="s">
        <v>63</v>
      </c>
      <c r="G136" s="9">
        <v>13</v>
      </c>
      <c r="H136" s="77" t="s">
        <v>1977</v>
      </c>
    </row>
    <row r="137" spans="1:8" ht="109.2" x14ac:dyDescent="0.3">
      <c r="A137" s="9">
        <v>15</v>
      </c>
      <c r="B137" s="9">
        <v>1</v>
      </c>
      <c r="C137" s="139" t="s">
        <v>24</v>
      </c>
      <c r="D137" s="139" t="s">
        <v>119</v>
      </c>
      <c r="E137" s="14" t="s">
        <v>1978</v>
      </c>
      <c r="F137" s="10" t="s">
        <v>51</v>
      </c>
      <c r="G137" s="9">
        <v>17</v>
      </c>
      <c r="H137" s="77" t="s">
        <v>1979</v>
      </c>
    </row>
    <row r="138" spans="1:8" ht="187.2" x14ac:dyDescent="0.3">
      <c r="A138" s="9">
        <v>15</v>
      </c>
      <c r="B138" s="9">
        <v>1</v>
      </c>
      <c r="C138" s="139" t="s">
        <v>24</v>
      </c>
      <c r="D138" s="139" t="s">
        <v>1</v>
      </c>
      <c r="E138" s="14" t="s">
        <v>1980</v>
      </c>
      <c r="F138" s="10" t="s">
        <v>1981</v>
      </c>
      <c r="G138" s="9">
        <v>100</v>
      </c>
      <c r="H138" s="77" t="s">
        <v>1982</v>
      </c>
    </row>
    <row r="139" spans="1:8" ht="156" x14ac:dyDescent="0.3">
      <c r="A139" s="9">
        <v>15</v>
      </c>
      <c r="B139" s="9">
        <v>1</v>
      </c>
      <c r="C139" s="139" t="s">
        <v>24</v>
      </c>
      <c r="D139" s="139" t="s">
        <v>65</v>
      </c>
      <c r="E139" s="14" t="s">
        <v>1983</v>
      </c>
      <c r="F139" s="135" t="s">
        <v>51</v>
      </c>
      <c r="G139" s="9" t="s">
        <v>75</v>
      </c>
      <c r="H139" s="136" t="s">
        <v>1984</v>
      </c>
    </row>
    <row r="140" spans="1:8" ht="187.2" x14ac:dyDescent="0.3">
      <c r="A140" s="9">
        <v>15</v>
      </c>
      <c r="B140" s="9">
        <v>1</v>
      </c>
      <c r="C140" s="139" t="s">
        <v>24</v>
      </c>
      <c r="D140" s="10" t="s">
        <v>65</v>
      </c>
      <c r="E140" s="14" t="s">
        <v>2142</v>
      </c>
      <c r="F140" s="10" t="s">
        <v>51</v>
      </c>
      <c r="G140" s="9">
        <v>9</v>
      </c>
      <c r="H140" s="77" t="s">
        <v>1985</v>
      </c>
    </row>
    <row r="141" spans="1:8" ht="218.4" x14ac:dyDescent="0.3">
      <c r="A141" s="9">
        <v>15</v>
      </c>
      <c r="B141" s="9">
        <v>1</v>
      </c>
      <c r="C141" s="139" t="s">
        <v>24</v>
      </c>
      <c r="D141" s="10" t="s">
        <v>65</v>
      </c>
      <c r="E141" s="14" t="s">
        <v>1986</v>
      </c>
      <c r="F141" s="10" t="s">
        <v>51</v>
      </c>
      <c r="G141" s="9">
        <v>10</v>
      </c>
      <c r="H141" s="77" t="s">
        <v>1987</v>
      </c>
    </row>
    <row r="142" spans="1:8" ht="93.6" x14ac:dyDescent="0.3">
      <c r="A142" s="9">
        <v>15</v>
      </c>
      <c r="B142" s="9">
        <v>1</v>
      </c>
      <c r="C142" s="139" t="s">
        <v>24</v>
      </c>
      <c r="D142" s="10" t="s">
        <v>1713</v>
      </c>
      <c r="E142" s="14" t="s">
        <v>1988</v>
      </c>
      <c r="F142" s="10" t="s">
        <v>51</v>
      </c>
      <c r="G142" s="9">
        <v>25</v>
      </c>
      <c r="H142" s="77" t="s">
        <v>1989</v>
      </c>
    </row>
    <row r="143" spans="1:8" ht="46.8" x14ac:dyDescent="0.3">
      <c r="A143" s="9">
        <v>16</v>
      </c>
      <c r="B143" s="9">
        <v>1</v>
      </c>
      <c r="C143" s="139" t="s">
        <v>25</v>
      </c>
      <c r="D143" s="139" t="s">
        <v>65</v>
      </c>
      <c r="E143" s="14" t="s">
        <v>1990</v>
      </c>
      <c r="F143" s="10" t="s">
        <v>51</v>
      </c>
      <c r="G143" s="9">
        <v>2</v>
      </c>
      <c r="H143" s="77" t="s">
        <v>1991</v>
      </c>
    </row>
    <row r="144" spans="1:8" ht="78" x14ac:dyDescent="0.3">
      <c r="A144" s="9">
        <v>16</v>
      </c>
      <c r="B144" s="9">
        <v>1</v>
      </c>
      <c r="C144" s="139" t="s">
        <v>25</v>
      </c>
      <c r="D144" s="139" t="s">
        <v>1</v>
      </c>
      <c r="E144" s="14" t="s">
        <v>1992</v>
      </c>
      <c r="F144" s="10" t="s">
        <v>51</v>
      </c>
      <c r="G144" s="9">
        <v>48</v>
      </c>
      <c r="H144" s="77" t="s">
        <v>1993</v>
      </c>
    </row>
    <row r="145" spans="1:8" ht="46.8" x14ac:dyDescent="0.3">
      <c r="A145" s="9">
        <v>16</v>
      </c>
      <c r="B145" s="9">
        <v>1</v>
      </c>
      <c r="C145" s="139" t="s">
        <v>25</v>
      </c>
      <c r="D145" s="139" t="s">
        <v>65</v>
      </c>
      <c r="E145" s="14" t="s">
        <v>1994</v>
      </c>
      <c r="F145" s="10" t="s">
        <v>51</v>
      </c>
      <c r="G145" s="9" t="s">
        <v>75</v>
      </c>
      <c r="H145" s="77" t="s">
        <v>88</v>
      </c>
    </row>
    <row r="146" spans="1:8" ht="62.4" x14ac:dyDescent="0.3">
      <c r="A146" s="9">
        <v>17</v>
      </c>
      <c r="B146" s="9">
        <v>1</v>
      </c>
      <c r="C146" s="139" t="s">
        <v>26</v>
      </c>
      <c r="D146" s="139" t="s">
        <v>65</v>
      </c>
      <c r="E146" s="14" t="s">
        <v>1995</v>
      </c>
      <c r="F146" s="10" t="s">
        <v>51</v>
      </c>
      <c r="G146" s="9">
        <v>80</v>
      </c>
      <c r="H146" s="77" t="s">
        <v>1996</v>
      </c>
    </row>
    <row r="147" spans="1:8" ht="31.2" x14ac:dyDescent="0.3">
      <c r="A147" s="9">
        <v>17</v>
      </c>
      <c r="B147" s="9">
        <v>1</v>
      </c>
      <c r="C147" s="139" t="s">
        <v>26</v>
      </c>
      <c r="D147" s="10" t="s">
        <v>1</v>
      </c>
      <c r="E147" s="14" t="s">
        <v>1997</v>
      </c>
      <c r="F147" s="10" t="s">
        <v>63</v>
      </c>
      <c r="G147" s="9">
        <v>15</v>
      </c>
      <c r="H147" s="77" t="s">
        <v>1998</v>
      </c>
    </row>
    <row r="148" spans="1:8" ht="62.4" x14ac:dyDescent="0.3">
      <c r="A148" s="9">
        <v>17</v>
      </c>
      <c r="B148" s="9">
        <v>1</v>
      </c>
      <c r="C148" s="139" t="s">
        <v>26</v>
      </c>
      <c r="D148" s="10" t="s">
        <v>1</v>
      </c>
      <c r="E148" s="14" t="s">
        <v>1999</v>
      </c>
      <c r="F148" s="10" t="s">
        <v>63</v>
      </c>
      <c r="G148" s="9">
        <v>33</v>
      </c>
      <c r="H148" s="77" t="s">
        <v>2000</v>
      </c>
    </row>
    <row r="149" spans="1:8" ht="31.2" x14ac:dyDescent="0.3">
      <c r="A149" s="9">
        <v>17</v>
      </c>
      <c r="B149" s="9">
        <v>1</v>
      </c>
      <c r="C149" s="139" t="s">
        <v>26</v>
      </c>
      <c r="D149" s="139" t="s">
        <v>119</v>
      </c>
      <c r="E149" s="14" t="s">
        <v>2001</v>
      </c>
      <c r="F149" s="10" t="s">
        <v>63</v>
      </c>
      <c r="G149" s="9">
        <v>57</v>
      </c>
      <c r="H149" s="77" t="s">
        <v>2002</v>
      </c>
    </row>
    <row r="150" spans="1:8" ht="31.2" x14ac:dyDescent="0.3">
      <c r="A150" s="9">
        <v>17</v>
      </c>
      <c r="B150" s="9">
        <v>1</v>
      </c>
      <c r="C150" s="139" t="s">
        <v>26</v>
      </c>
      <c r="D150" s="139" t="s">
        <v>1</v>
      </c>
      <c r="E150" s="14" t="s">
        <v>2003</v>
      </c>
      <c r="F150" s="10" t="s">
        <v>63</v>
      </c>
      <c r="G150" s="9">
        <v>76</v>
      </c>
      <c r="H150" s="77" t="s">
        <v>2004</v>
      </c>
    </row>
    <row r="151" spans="1:8" ht="109.2" x14ac:dyDescent="0.3">
      <c r="A151" s="9">
        <v>18</v>
      </c>
      <c r="B151" s="9">
        <v>1</v>
      </c>
      <c r="C151" s="139" t="s">
        <v>243</v>
      </c>
      <c r="D151" s="139" t="s">
        <v>0</v>
      </c>
      <c r="E151" s="14" t="s">
        <v>2005</v>
      </c>
      <c r="F151" s="10" t="s">
        <v>51</v>
      </c>
      <c r="G151" s="9">
        <v>26</v>
      </c>
      <c r="H151" s="77" t="s">
        <v>2006</v>
      </c>
    </row>
    <row r="152" spans="1:8" ht="218.4" x14ac:dyDescent="0.3">
      <c r="A152" s="9">
        <v>18</v>
      </c>
      <c r="B152" s="9">
        <v>1</v>
      </c>
      <c r="C152" s="139" t="s">
        <v>243</v>
      </c>
      <c r="D152" s="139" t="s">
        <v>1</v>
      </c>
      <c r="E152" s="14" t="s">
        <v>2007</v>
      </c>
      <c r="F152" s="10" t="s">
        <v>51</v>
      </c>
      <c r="G152" s="9">
        <v>379</v>
      </c>
      <c r="H152" s="77" t="s">
        <v>2008</v>
      </c>
    </row>
    <row r="153" spans="1:8" ht="109.2" x14ac:dyDescent="0.3">
      <c r="A153" s="9">
        <v>18</v>
      </c>
      <c r="B153" s="9">
        <v>1</v>
      </c>
      <c r="C153" s="139" t="s">
        <v>243</v>
      </c>
      <c r="D153" s="10" t="s">
        <v>65</v>
      </c>
      <c r="E153" s="14" t="s">
        <v>2009</v>
      </c>
      <c r="F153" s="10" t="s">
        <v>51</v>
      </c>
      <c r="G153" s="9">
        <v>27</v>
      </c>
      <c r="H153" s="77" t="s">
        <v>2010</v>
      </c>
    </row>
    <row r="154" spans="1:8" ht="46.8" x14ac:dyDescent="0.3">
      <c r="A154" s="9">
        <v>18</v>
      </c>
      <c r="B154" s="9">
        <v>1</v>
      </c>
      <c r="C154" s="139" t="s">
        <v>243</v>
      </c>
      <c r="D154" s="10" t="s">
        <v>65</v>
      </c>
      <c r="E154" s="14" t="s">
        <v>2011</v>
      </c>
      <c r="F154" s="10" t="s">
        <v>51</v>
      </c>
      <c r="G154" s="9" t="s">
        <v>2012</v>
      </c>
      <c r="H154" s="77" t="s">
        <v>88</v>
      </c>
    </row>
    <row r="155" spans="1:8" ht="78" x14ac:dyDescent="0.3">
      <c r="A155" s="9">
        <v>19</v>
      </c>
      <c r="B155" s="9">
        <v>1</v>
      </c>
      <c r="C155" s="139" t="s">
        <v>28</v>
      </c>
      <c r="D155" s="139" t="s">
        <v>65</v>
      </c>
      <c r="E155" s="14" t="s">
        <v>2013</v>
      </c>
      <c r="F155" s="10" t="s">
        <v>51</v>
      </c>
      <c r="G155" s="9">
        <v>62</v>
      </c>
      <c r="H155" s="77" t="s">
        <v>2014</v>
      </c>
    </row>
    <row r="156" spans="1:8" ht="62.4" x14ac:dyDescent="0.3">
      <c r="A156" s="9">
        <v>19</v>
      </c>
      <c r="B156" s="9">
        <v>1</v>
      </c>
      <c r="C156" s="139" t="s">
        <v>28</v>
      </c>
      <c r="D156" s="10" t="s">
        <v>1</v>
      </c>
      <c r="E156" s="14" t="s">
        <v>2015</v>
      </c>
      <c r="F156" s="10" t="s">
        <v>63</v>
      </c>
      <c r="G156" s="9">
        <v>23</v>
      </c>
      <c r="H156" s="77" t="s">
        <v>2016</v>
      </c>
    </row>
    <row r="157" spans="1:8" ht="62.4" x14ac:dyDescent="0.3">
      <c r="A157" s="9">
        <v>19</v>
      </c>
      <c r="B157" s="9">
        <v>1</v>
      </c>
      <c r="C157" s="139" t="s">
        <v>28</v>
      </c>
      <c r="D157" s="139" t="s">
        <v>0</v>
      </c>
      <c r="E157" s="14" t="s">
        <v>2017</v>
      </c>
      <c r="F157" s="10" t="s">
        <v>63</v>
      </c>
      <c r="G157" s="9">
        <v>2</v>
      </c>
      <c r="H157" s="77" t="s">
        <v>2018</v>
      </c>
    </row>
    <row r="158" spans="1:8" ht="46.8" x14ac:dyDescent="0.3">
      <c r="A158" s="9">
        <v>19</v>
      </c>
      <c r="B158" s="9">
        <v>1</v>
      </c>
      <c r="C158" s="139" t="s">
        <v>28</v>
      </c>
      <c r="D158" s="139" t="s">
        <v>65</v>
      </c>
      <c r="E158" s="14" t="s">
        <v>2019</v>
      </c>
      <c r="F158" s="10" t="s">
        <v>51</v>
      </c>
      <c r="G158" s="9" t="s">
        <v>75</v>
      </c>
      <c r="H158" s="77" t="s">
        <v>2020</v>
      </c>
    </row>
    <row r="159" spans="1:8" ht="93.6" x14ac:dyDescent="0.3">
      <c r="A159" s="9">
        <v>19</v>
      </c>
      <c r="B159" s="9">
        <v>1</v>
      </c>
      <c r="C159" s="139" t="s">
        <v>28</v>
      </c>
      <c r="D159" s="139" t="s">
        <v>65</v>
      </c>
      <c r="E159" s="14" t="s">
        <v>2021</v>
      </c>
      <c r="F159" s="10" t="s">
        <v>63</v>
      </c>
      <c r="G159" s="9">
        <v>62</v>
      </c>
      <c r="H159" s="77" t="s">
        <v>2022</v>
      </c>
    </row>
    <row r="160" spans="1:8" ht="93.6" x14ac:dyDescent="0.3">
      <c r="A160" s="9">
        <v>20</v>
      </c>
      <c r="B160" s="9">
        <v>1</v>
      </c>
      <c r="C160" s="139" t="s">
        <v>29</v>
      </c>
      <c r="D160" s="10" t="s">
        <v>541</v>
      </c>
      <c r="E160" s="14" t="s">
        <v>2023</v>
      </c>
      <c r="F160" s="10" t="s">
        <v>51</v>
      </c>
      <c r="G160" s="9">
        <v>8</v>
      </c>
      <c r="H160" s="77" t="s">
        <v>2024</v>
      </c>
    </row>
    <row r="161" spans="1:8" ht="93.6" x14ac:dyDescent="0.3">
      <c r="A161" s="9">
        <v>20</v>
      </c>
      <c r="B161" s="9">
        <v>1</v>
      </c>
      <c r="C161" s="139" t="s">
        <v>29</v>
      </c>
      <c r="D161" s="10" t="s">
        <v>1713</v>
      </c>
      <c r="E161" s="14" t="s">
        <v>2025</v>
      </c>
      <c r="F161" s="10" t="s">
        <v>51</v>
      </c>
      <c r="G161" s="9">
        <v>78</v>
      </c>
      <c r="H161" s="77" t="s">
        <v>2026</v>
      </c>
    </row>
    <row r="162" spans="1:8" ht="62.4" x14ac:dyDescent="0.3">
      <c r="A162" s="9">
        <v>20</v>
      </c>
      <c r="B162" s="9">
        <v>1</v>
      </c>
      <c r="C162" s="139" t="s">
        <v>29</v>
      </c>
      <c r="D162" s="10" t="s">
        <v>1713</v>
      </c>
      <c r="E162" s="14" t="s">
        <v>2027</v>
      </c>
      <c r="F162" s="10" t="s">
        <v>51</v>
      </c>
      <c r="G162" s="9">
        <v>1076</v>
      </c>
      <c r="H162" s="77" t="s">
        <v>2028</v>
      </c>
    </row>
    <row r="163" spans="1:8" ht="46.8" x14ac:dyDescent="0.3">
      <c r="A163" s="9">
        <v>20</v>
      </c>
      <c r="B163" s="9">
        <v>1</v>
      </c>
      <c r="C163" s="139" t="s">
        <v>29</v>
      </c>
      <c r="D163" s="10" t="s">
        <v>1</v>
      </c>
      <c r="E163" s="14" t="s">
        <v>2029</v>
      </c>
      <c r="F163" s="10" t="s">
        <v>51</v>
      </c>
      <c r="G163" s="9">
        <v>8</v>
      </c>
      <c r="H163" s="77" t="s">
        <v>2030</v>
      </c>
    </row>
    <row r="164" spans="1:8" ht="109.2" x14ac:dyDescent="0.3">
      <c r="A164" s="9">
        <v>20</v>
      </c>
      <c r="B164" s="9">
        <v>1</v>
      </c>
      <c r="C164" s="139" t="s">
        <v>29</v>
      </c>
      <c r="D164" s="10" t="s">
        <v>1</v>
      </c>
      <c r="E164" s="14" t="s">
        <v>2031</v>
      </c>
      <c r="F164" s="10" t="s">
        <v>51</v>
      </c>
      <c r="G164" s="9">
        <v>708</v>
      </c>
      <c r="H164" s="77" t="s">
        <v>2032</v>
      </c>
    </row>
    <row r="165" spans="1:8" ht="62.4" x14ac:dyDescent="0.3">
      <c r="A165" s="9">
        <v>20</v>
      </c>
      <c r="B165" s="9">
        <v>1</v>
      </c>
      <c r="C165" s="139" t="s">
        <v>29</v>
      </c>
      <c r="D165" s="10" t="s">
        <v>65</v>
      </c>
      <c r="E165" s="14" t="s">
        <v>2033</v>
      </c>
      <c r="F165" s="10" t="s">
        <v>51</v>
      </c>
      <c r="G165" s="9" t="s">
        <v>75</v>
      </c>
      <c r="H165" s="77" t="s">
        <v>2034</v>
      </c>
    </row>
    <row r="166" spans="1:8" ht="62.4" x14ac:dyDescent="0.3">
      <c r="A166" s="9">
        <v>20</v>
      </c>
      <c r="B166" s="9">
        <v>1</v>
      </c>
      <c r="C166" s="139" t="s">
        <v>29</v>
      </c>
      <c r="D166" s="10" t="s">
        <v>65</v>
      </c>
      <c r="E166" s="14" t="s">
        <v>2035</v>
      </c>
      <c r="F166" s="10" t="s">
        <v>51</v>
      </c>
      <c r="G166" s="9">
        <v>98</v>
      </c>
      <c r="H166" s="77" t="s">
        <v>2036</v>
      </c>
    </row>
    <row r="167" spans="1:8" ht="78" x14ac:dyDescent="0.3">
      <c r="A167" s="9">
        <v>20</v>
      </c>
      <c r="B167" s="9">
        <v>1</v>
      </c>
      <c r="C167" s="139" t="s">
        <v>29</v>
      </c>
      <c r="D167" s="10" t="s">
        <v>65</v>
      </c>
      <c r="E167" s="14" t="s">
        <v>2037</v>
      </c>
      <c r="F167" s="10" t="s">
        <v>51</v>
      </c>
      <c r="G167" s="9">
        <v>65</v>
      </c>
      <c r="H167" s="77" t="s">
        <v>2038</v>
      </c>
    </row>
    <row r="168" spans="1:8" ht="78" x14ac:dyDescent="0.3">
      <c r="A168" s="9">
        <v>21</v>
      </c>
      <c r="B168" s="9">
        <v>1</v>
      </c>
      <c r="C168" s="139" t="s">
        <v>30</v>
      </c>
      <c r="D168" s="10" t="s">
        <v>65</v>
      </c>
      <c r="E168" s="14" t="s">
        <v>2039</v>
      </c>
      <c r="F168" s="10" t="s">
        <v>51</v>
      </c>
      <c r="G168" s="9">
        <v>1</v>
      </c>
      <c r="H168" s="77" t="s">
        <v>2040</v>
      </c>
    </row>
    <row r="169" spans="1:8" ht="46.8" x14ac:dyDescent="0.3">
      <c r="A169" s="152">
        <v>21</v>
      </c>
      <c r="B169" s="9">
        <v>1</v>
      </c>
      <c r="C169" s="139" t="s">
        <v>30</v>
      </c>
      <c r="D169" s="10" t="s">
        <v>65</v>
      </c>
      <c r="E169" s="14" t="s">
        <v>2041</v>
      </c>
      <c r="F169" s="10" t="s">
        <v>51</v>
      </c>
      <c r="G169" s="9" t="s">
        <v>75</v>
      </c>
      <c r="H169" s="77" t="s">
        <v>88</v>
      </c>
    </row>
    <row r="170" spans="1:8" ht="109.2" x14ac:dyDescent="0.3">
      <c r="A170" s="9">
        <v>22</v>
      </c>
      <c r="B170" s="9">
        <v>1</v>
      </c>
      <c r="C170" s="139" t="s">
        <v>31</v>
      </c>
      <c r="D170" s="139" t="s">
        <v>65</v>
      </c>
      <c r="E170" s="14" t="s">
        <v>2042</v>
      </c>
      <c r="F170" s="135" t="s">
        <v>51</v>
      </c>
      <c r="G170" s="9" t="s">
        <v>75</v>
      </c>
      <c r="H170" s="136" t="s">
        <v>2043</v>
      </c>
    </row>
    <row r="171" spans="1:8" ht="93.6" x14ac:dyDescent="0.3">
      <c r="A171" s="9">
        <v>22</v>
      </c>
      <c r="B171" s="9">
        <v>1</v>
      </c>
      <c r="C171" s="139" t="s">
        <v>31</v>
      </c>
      <c r="D171" s="139" t="s">
        <v>65</v>
      </c>
      <c r="E171" s="14" t="s">
        <v>2044</v>
      </c>
      <c r="F171" s="135" t="s">
        <v>51</v>
      </c>
      <c r="G171" s="9">
        <v>8</v>
      </c>
      <c r="H171" s="136" t="s">
        <v>2045</v>
      </c>
    </row>
    <row r="172" spans="1:8" ht="93.6" x14ac:dyDescent="0.3">
      <c r="A172" s="9">
        <v>22</v>
      </c>
      <c r="B172" s="9">
        <v>1</v>
      </c>
      <c r="C172" s="139" t="s">
        <v>31</v>
      </c>
      <c r="D172" s="139" t="s">
        <v>65</v>
      </c>
      <c r="E172" s="14" t="s">
        <v>2046</v>
      </c>
      <c r="F172" s="135" t="s">
        <v>51</v>
      </c>
      <c r="G172" s="9">
        <v>2</v>
      </c>
      <c r="H172" s="136" t="s">
        <v>2047</v>
      </c>
    </row>
    <row r="173" spans="1:8" ht="46.8" x14ac:dyDescent="0.3">
      <c r="A173" s="9">
        <v>22</v>
      </c>
      <c r="B173" s="9">
        <v>1</v>
      </c>
      <c r="C173" s="139" t="s">
        <v>31</v>
      </c>
      <c r="D173" s="139" t="s">
        <v>65</v>
      </c>
      <c r="E173" s="14" t="s">
        <v>2048</v>
      </c>
      <c r="F173" s="135" t="s">
        <v>51</v>
      </c>
      <c r="G173" s="9">
        <v>30</v>
      </c>
      <c r="H173" s="136" t="s">
        <v>2049</v>
      </c>
    </row>
    <row r="174" spans="1:8" ht="93.6" x14ac:dyDescent="0.3">
      <c r="A174" s="9">
        <v>23</v>
      </c>
      <c r="B174" s="9">
        <v>1</v>
      </c>
      <c r="C174" s="139" t="s">
        <v>32</v>
      </c>
      <c r="D174" s="139" t="s">
        <v>1</v>
      </c>
      <c r="E174" s="14" t="s">
        <v>2050</v>
      </c>
      <c r="F174" s="135" t="s">
        <v>63</v>
      </c>
      <c r="G174" s="9">
        <v>6</v>
      </c>
      <c r="H174" s="136" t="s">
        <v>2051</v>
      </c>
    </row>
    <row r="175" spans="1:8" ht="78" x14ac:dyDescent="0.3">
      <c r="A175" s="9">
        <v>23</v>
      </c>
      <c r="B175" s="9">
        <v>1</v>
      </c>
      <c r="C175" s="139" t="s">
        <v>32</v>
      </c>
      <c r="D175" s="139" t="s">
        <v>65</v>
      </c>
      <c r="E175" s="14" t="s">
        <v>2052</v>
      </c>
      <c r="F175" s="135" t="s">
        <v>51</v>
      </c>
      <c r="G175" s="9">
        <v>28</v>
      </c>
      <c r="H175" s="136" t="s">
        <v>2053</v>
      </c>
    </row>
    <row r="176" spans="1:8" ht="62.4" x14ac:dyDescent="0.3">
      <c r="A176" s="9">
        <v>23</v>
      </c>
      <c r="B176" s="9">
        <v>1</v>
      </c>
      <c r="C176" s="139" t="s">
        <v>32</v>
      </c>
      <c r="D176" s="10" t="s">
        <v>65</v>
      </c>
      <c r="E176" s="14" t="s">
        <v>2054</v>
      </c>
      <c r="F176" s="10" t="s">
        <v>51</v>
      </c>
      <c r="G176" s="9">
        <v>45</v>
      </c>
      <c r="H176" s="77" t="s">
        <v>2055</v>
      </c>
    </row>
    <row r="177" spans="1:8" ht="171.6" x14ac:dyDescent="0.3">
      <c r="A177" s="9">
        <v>23</v>
      </c>
      <c r="B177" s="9">
        <v>1</v>
      </c>
      <c r="C177" s="139" t="s">
        <v>32</v>
      </c>
      <c r="D177" s="10" t="s">
        <v>1</v>
      </c>
      <c r="E177" s="14" t="s">
        <v>2056</v>
      </c>
      <c r="F177" s="10" t="s">
        <v>63</v>
      </c>
      <c r="G177" s="9">
        <v>140</v>
      </c>
      <c r="H177" s="77" t="s">
        <v>2057</v>
      </c>
    </row>
    <row r="178" spans="1:8" ht="171.6" x14ac:dyDescent="0.3">
      <c r="A178" s="75">
        <v>23</v>
      </c>
      <c r="B178" s="75">
        <v>1</v>
      </c>
      <c r="C178" s="139" t="s">
        <v>32</v>
      </c>
      <c r="D178" s="10" t="s">
        <v>1</v>
      </c>
      <c r="E178" s="14" t="s">
        <v>2058</v>
      </c>
      <c r="F178" s="10" t="s">
        <v>63</v>
      </c>
      <c r="G178" s="9">
        <v>92</v>
      </c>
      <c r="H178" s="77" t="s">
        <v>2059</v>
      </c>
    </row>
    <row r="179" spans="1:8" ht="78" x14ac:dyDescent="0.3">
      <c r="A179" s="75">
        <v>23</v>
      </c>
      <c r="B179" s="75">
        <v>1</v>
      </c>
      <c r="C179" s="139" t="s">
        <v>32</v>
      </c>
      <c r="D179" s="10" t="s">
        <v>65</v>
      </c>
      <c r="E179" s="14" t="s">
        <v>2060</v>
      </c>
      <c r="F179" s="10" t="s">
        <v>63</v>
      </c>
      <c r="G179" s="9">
        <v>104</v>
      </c>
      <c r="H179" s="77" t="s">
        <v>2061</v>
      </c>
    </row>
    <row r="180" spans="1:8" ht="62.4" x14ac:dyDescent="0.3">
      <c r="A180" s="75">
        <v>23</v>
      </c>
      <c r="B180" s="75">
        <v>1</v>
      </c>
      <c r="C180" s="139" t="s">
        <v>32</v>
      </c>
      <c r="D180" s="139" t="s">
        <v>65</v>
      </c>
      <c r="E180" s="14" t="s">
        <v>2062</v>
      </c>
      <c r="F180" s="10" t="s">
        <v>51</v>
      </c>
      <c r="G180" s="9">
        <v>13</v>
      </c>
      <c r="H180" s="77" t="s">
        <v>2063</v>
      </c>
    </row>
    <row r="181" spans="1:8" ht="78" x14ac:dyDescent="0.3">
      <c r="A181" s="75">
        <v>24</v>
      </c>
      <c r="B181" s="75">
        <v>1</v>
      </c>
      <c r="C181" s="139" t="s">
        <v>33</v>
      </c>
      <c r="D181" s="139" t="s">
        <v>65</v>
      </c>
      <c r="E181" s="14" t="s">
        <v>2064</v>
      </c>
      <c r="F181" s="10" t="s">
        <v>63</v>
      </c>
      <c r="G181" s="9">
        <v>1</v>
      </c>
      <c r="H181" s="77" t="s">
        <v>2065</v>
      </c>
    </row>
    <row r="182" spans="1:8" ht="78" x14ac:dyDescent="0.3">
      <c r="A182" s="75">
        <v>24</v>
      </c>
      <c r="B182" s="75">
        <v>1</v>
      </c>
      <c r="C182" s="139" t="s">
        <v>33</v>
      </c>
      <c r="D182" s="139" t="s">
        <v>0</v>
      </c>
      <c r="E182" s="14" t="s">
        <v>2066</v>
      </c>
      <c r="F182" s="10" t="s">
        <v>51</v>
      </c>
      <c r="G182" s="9">
        <v>43</v>
      </c>
      <c r="H182" s="77" t="s">
        <v>2067</v>
      </c>
    </row>
    <row r="183" spans="1:8" ht="93.6" x14ac:dyDescent="0.3">
      <c r="A183" s="75">
        <v>24</v>
      </c>
      <c r="B183" s="75">
        <v>1</v>
      </c>
      <c r="C183" s="139" t="s">
        <v>33</v>
      </c>
      <c r="D183" s="139" t="s">
        <v>1</v>
      </c>
      <c r="E183" s="14" t="s">
        <v>2068</v>
      </c>
      <c r="F183" s="10" t="s">
        <v>63</v>
      </c>
      <c r="G183" s="9">
        <v>43</v>
      </c>
      <c r="H183" s="77" t="s">
        <v>2143</v>
      </c>
    </row>
    <row r="184" spans="1:8" ht="78" x14ac:dyDescent="0.3">
      <c r="A184" s="75">
        <v>24</v>
      </c>
      <c r="B184" s="75">
        <v>1</v>
      </c>
      <c r="C184" s="139" t="s">
        <v>33</v>
      </c>
      <c r="D184" s="139" t="s">
        <v>1</v>
      </c>
      <c r="E184" s="14" t="s">
        <v>2069</v>
      </c>
      <c r="F184" s="10" t="s">
        <v>63</v>
      </c>
      <c r="G184" s="9">
        <v>116</v>
      </c>
      <c r="H184" s="77" t="s">
        <v>2070</v>
      </c>
    </row>
    <row r="185" spans="1:8" ht="78" x14ac:dyDescent="0.3">
      <c r="A185" s="75">
        <v>24</v>
      </c>
      <c r="B185" s="75">
        <v>1</v>
      </c>
      <c r="C185" s="139" t="s">
        <v>33</v>
      </c>
      <c r="D185" s="10" t="s">
        <v>1</v>
      </c>
      <c r="E185" s="14" t="s">
        <v>2071</v>
      </c>
      <c r="F185" s="10" t="s">
        <v>51</v>
      </c>
      <c r="G185" s="9">
        <v>159</v>
      </c>
      <c r="H185" s="77" t="s">
        <v>2072</v>
      </c>
    </row>
    <row r="186" spans="1:8" ht="93.6" x14ac:dyDescent="0.3">
      <c r="A186" s="75">
        <v>24</v>
      </c>
      <c r="B186" s="75">
        <v>1</v>
      </c>
      <c r="C186" s="139" t="s">
        <v>33</v>
      </c>
      <c r="D186" s="10" t="s">
        <v>65</v>
      </c>
      <c r="E186" s="14" t="s">
        <v>2073</v>
      </c>
      <c r="F186" s="10" t="s">
        <v>51</v>
      </c>
      <c r="G186" s="9" t="s">
        <v>394</v>
      </c>
      <c r="H186" s="77" t="s">
        <v>2074</v>
      </c>
    </row>
    <row r="187" spans="1:8" ht="62.4" x14ac:dyDescent="0.3">
      <c r="A187" s="75">
        <v>24</v>
      </c>
      <c r="B187" s="75">
        <v>1</v>
      </c>
      <c r="C187" s="139" t="s">
        <v>33</v>
      </c>
      <c r="D187" s="139" t="s">
        <v>65</v>
      </c>
      <c r="E187" s="155" t="s">
        <v>2075</v>
      </c>
      <c r="F187" s="135" t="s">
        <v>51</v>
      </c>
      <c r="G187" s="9">
        <v>2</v>
      </c>
      <c r="H187" s="136" t="s">
        <v>2076</v>
      </c>
    </row>
    <row r="188" spans="1:8" ht="109.2" x14ac:dyDescent="0.3">
      <c r="A188" s="75">
        <v>25</v>
      </c>
      <c r="B188" s="75">
        <v>1</v>
      </c>
      <c r="C188" s="139" t="s">
        <v>34</v>
      </c>
      <c r="D188" s="139" t="s">
        <v>65</v>
      </c>
      <c r="E188" s="135" t="s">
        <v>2077</v>
      </c>
      <c r="F188" s="135" t="s">
        <v>51</v>
      </c>
      <c r="G188" s="9" t="s">
        <v>75</v>
      </c>
      <c r="H188" s="136" t="s">
        <v>2078</v>
      </c>
    </row>
    <row r="189" spans="1:8" ht="78" x14ac:dyDescent="0.3">
      <c r="A189" s="75">
        <v>25</v>
      </c>
      <c r="B189" s="75">
        <v>1</v>
      </c>
      <c r="C189" s="139" t="s">
        <v>34</v>
      </c>
      <c r="D189" s="139" t="s">
        <v>65</v>
      </c>
      <c r="E189" s="135" t="s">
        <v>2079</v>
      </c>
      <c r="F189" s="135" t="s">
        <v>51</v>
      </c>
      <c r="G189" s="9">
        <v>10</v>
      </c>
      <c r="H189" s="136" t="s">
        <v>2080</v>
      </c>
    </row>
    <row r="190" spans="1:8" ht="93.6" x14ac:dyDescent="0.3">
      <c r="A190" s="75">
        <v>25</v>
      </c>
      <c r="B190" s="75">
        <v>1</v>
      </c>
      <c r="C190" s="139" t="s">
        <v>34</v>
      </c>
      <c r="D190" s="139" t="s">
        <v>65</v>
      </c>
      <c r="E190" s="14" t="s">
        <v>2081</v>
      </c>
      <c r="F190" s="10" t="s">
        <v>51</v>
      </c>
      <c r="G190" s="9">
        <v>7</v>
      </c>
      <c r="H190" s="77" t="s">
        <v>2082</v>
      </c>
    </row>
    <row r="191" spans="1:8" ht="109.2" x14ac:dyDescent="0.3">
      <c r="A191" s="75">
        <v>25</v>
      </c>
      <c r="B191" s="75">
        <v>1</v>
      </c>
      <c r="C191" s="139" t="s">
        <v>34</v>
      </c>
      <c r="D191" s="10" t="s">
        <v>1</v>
      </c>
      <c r="E191" s="14" t="s">
        <v>2083</v>
      </c>
      <c r="F191" s="10" t="s">
        <v>51</v>
      </c>
      <c r="G191" s="9">
        <v>27</v>
      </c>
      <c r="H191" s="77" t="s">
        <v>2084</v>
      </c>
    </row>
    <row r="192" spans="1:8" ht="93.6" x14ac:dyDescent="0.3">
      <c r="A192" s="75">
        <v>25</v>
      </c>
      <c r="B192" s="75">
        <v>1</v>
      </c>
      <c r="C192" s="139" t="s">
        <v>34</v>
      </c>
      <c r="D192" s="10" t="s">
        <v>1</v>
      </c>
      <c r="E192" s="14" t="s">
        <v>2085</v>
      </c>
      <c r="F192" s="10" t="s">
        <v>51</v>
      </c>
      <c r="G192" s="9">
        <v>17</v>
      </c>
      <c r="H192" s="77" t="s">
        <v>2086</v>
      </c>
    </row>
    <row r="193" spans="1:8" ht="78" x14ac:dyDescent="0.3">
      <c r="A193" s="75">
        <v>25</v>
      </c>
      <c r="B193" s="75">
        <v>1</v>
      </c>
      <c r="C193" s="139" t="s">
        <v>34</v>
      </c>
      <c r="D193" s="10" t="s">
        <v>1</v>
      </c>
      <c r="E193" s="14" t="s">
        <v>2087</v>
      </c>
      <c r="F193" s="10" t="s">
        <v>51</v>
      </c>
      <c r="G193" s="9">
        <v>2</v>
      </c>
      <c r="H193" s="77" t="s">
        <v>2088</v>
      </c>
    </row>
    <row r="194" spans="1:8" ht="62.4" x14ac:dyDescent="0.3">
      <c r="A194" s="75">
        <v>25</v>
      </c>
      <c r="B194" s="75">
        <v>1</v>
      </c>
      <c r="C194" s="139" t="s">
        <v>34</v>
      </c>
      <c r="D194" s="10" t="s">
        <v>119</v>
      </c>
      <c r="E194" s="14" t="s">
        <v>2089</v>
      </c>
      <c r="F194" s="10" t="s">
        <v>51</v>
      </c>
      <c r="G194" s="9">
        <v>11</v>
      </c>
      <c r="H194" s="77" t="s">
        <v>2088</v>
      </c>
    </row>
    <row r="195" spans="1:8" ht="124.8" x14ac:dyDescent="0.3">
      <c r="A195" s="9">
        <v>25</v>
      </c>
      <c r="B195" s="9">
        <v>1</v>
      </c>
      <c r="C195" s="139" t="s">
        <v>34</v>
      </c>
      <c r="D195" s="10" t="s">
        <v>4</v>
      </c>
      <c r="E195" s="14" t="s">
        <v>2090</v>
      </c>
      <c r="F195" s="10" t="s">
        <v>51</v>
      </c>
      <c r="G195" s="9">
        <v>8</v>
      </c>
      <c r="H195" s="77" t="s">
        <v>2091</v>
      </c>
    </row>
    <row r="196" spans="1:8" ht="78" x14ac:dyDescent="0.3">
      <c r="A196" s="9">
        <v>25</v>
      </c>
      <c r="B196" s="9">
        <v>1</v>
      </c>
      <c r="C196" s="139" t="s">
        <v>34</v>
      </c>
      <c r="D196" s="10" t="s">
        <v>1</v>
      </c>
      <c r="E196" s="14" t="s">
        <v>2092</v>
      </c>
      <c r="F196" s="10" t="s">
        <v>63</v>
      </c>
      <c r="G196" s="9">
        <v>15</v>
      </c>
      <c r="H196" s="77" t="s">
        <v>2093</v>
      </c>
    </row>
    <row r="197" spans="1:8" ht="62.4" x14ac:dyDescent="0.3">
      <c r="A197" s="9">
        <v>25</v>
      </c>
      <c r="B197" s="9">
        <v>1</v>
      </c>
      <c r="C197" s="139" t="s">
        <v>34</v>
      </c>
      <c r="D197" s="10" t="s">
        <v>0</v>
      </c>
      <c r="E197" s="14" t="s">
        <v>2094</v>
      </c>
      <c r="F197" s="10" t="s">
        <v>51</v>
      </c>
      <c r="G197" s="9">
        <v>79</v>
      </c>
      <c r="H197" s="77" t="s">
        <v>2095</v>
      </c>
    </row>
    <row r="198" spans="1:8" ht="62.4" x14ac:dyDescent="0.3">
      <c r="A198" s="9">
        <v>25</v>
      </c>
      <c r="B198" s="9">
        <v>1</v>
      </c>
      <c r="C198" s="139" t="s">
        <v>34</v>
      </c>
      <c r="D198" s="139" t="s">
        <v>0</v>
      </c>
      <c r="E198" s="14" t="s">
        <v>2096</v>
      </c>
      <c r="F198" s="135" t="s">
        <v>51</v>
      </c>
      <c r="G198" s="9">
        <v>151</v>
      </c>
      <c r="H198" s="136" t="s">
        <v>2097</v>
      </c>
    </row>
    <row r="199" spans="1:8" ht="140.4" x14ac:dyDescent="0.3">
      <c r="A199" s="9">
        <v>26</v>
      </c>
      <c r="B199" s="9">
        <v>1</v>
      </c>
      <c r="C199" s="139" t="s">
        <v>35</v>
      </c>
      <c r="D199" s="139" t="s">
        <v>65</v>
      </c>
      <c r="E199" s="135" t="s">
        <v>2098</v>
      </c>
      <c r="F199" s="135" t="s">
        <v>51</v>
      </c>
      <c r="G199" s="9">
        <v>12</v>
      </c>
      <c r="H199" s="136" t="s">
        <v>2099</v>
      </c>
    </row>
    <row r="200" spans="1:8" ht="124.8" x14ac:dyDescent="0.3">
      <c r="A200" s="9">
        <v>26</v>
      </c>
      <c r="B200" s="9">
        <v>1</v>
      </c>
      <c r="C200" s="139" t="s">
        <v>35</v>
      </c>
      <c r="D200" s="139" t="s">
        <v>65</v>
      </c>
      <c r="E200" s="135" t="s">
        <v>2100</v>
      </c>
      <c r="F200" s="135" t="s">
        <v>51</v>
      </c>
      <c r="G200" s="9">
        <v>113</v>
      </c>
      <c r="H200" s="136" t="s">
        <v>2101</v>
      </c>
    </row>
    <row r="201" spans="1:8" ht="46.8" x14ac:dyDescent="0.3">
      <c r="A201" s="9">
        <v>26</v>
      </c>
      <c r="B201" s="9">
        <v>1</v>
      </c>
      <c r="C201" s="139" t="s">
        <v>35</v>
      </c>
      <c r="D201" s="139" t="s">
        <v>65</v>
      </c>
      <c r="E201" s="14" t="s">
        <v>2102</v>
      </c>
      <c r="F201" s="135" t="s">
        <v>51</v>
      </c>
      <c r="G201" s="9" t="s">
        <v>75</v>
      </c>
      <c r="H201" s="136" t="s">
        <v>2103</v>
      </c>
    </row>
    <row r="202" spans="1:8" ht="78" x14ac:dyDescent="0.3">
      <c r="A202" s="9">
        <v>26</v>
      </c>
      <c r="B202" s="9">
        <v>1</v>
      </c>
      <c r="C202" s="139" t="s">
        <v>35</v>
      </c>
      <c r="D202" s="139" t="s">
        <v>65</v>
      </c>
      <c r="E202" s="135" t="s">
        <v>2104</v>
      </c>
      <c r="F202" s="135" t="s">
        <v>51</v>
      </c>
      <c r="G202" s="9">
        <v>2</v>
      </c>
      <c r="H202" s="136" t="s">
        <v>2105</v>
      </c>
    </row>
    <row r="203" spans="1:8" ht="78" x14ac:dyDescent="0.3">
      <c r="A203" s="9">
        <v>26</v>
      </c>
      <c r="B203" s="9">
        <v>1</v>
      </c>
      <c r="C203" s="139" t="s">
        <v>35</v>
      </c>
      <c r="D203" s="139" t="s">
        <v>65</v>
      </c>
      <c r="E203" s="135" t="s">
        <v>2106</v>
      </c>
      <c r="F203" s="135" t="s">
        <v>51</v>
      </c>
      <c r="G203" s="9">
        <v>113</v>
      </c>
      <c r="H203" s="136" t="s">
        <v>2107</v>
      </c>
    </row>
    <row r="204" spans="1:8" ht="46.8" x14ac:dyDescent="0.3">
      <c r="A204" s="9">
        <v>26</v>
      </c>
      <c r="B204" s="9">
        <v>1</v>
      </c>
      <c r="C204" s="139" t="s">
        <v>35</v>
      </c>
      <c r="D204" s="139" t="s">
        <v>541</v>
      </c>
      <c r="E204" s="135" t="s">
        <v>2108</v>
      </c>
      <c r="F204" s="135" t="s">
        <v>51</v>
      </c>
      <c r="G204" s="9">
        <v>7</v>
      </c>
      <c r="H204" s="136" t="s">
        <v>2109</v>
      </c>
    </row>
    <row r="205" spans="1:8" ht="78" x14ac:dyDescent="0.3">
      <c r="A205" s="9">
        <v>26</v>
      </c>
      <c r="B205" s="9">
        <v>1</v>
      </c>
      <c r="C205" s="139" t="s">
        <v>35</v>
      </c>
      <c r="D205" s="139" t="s">
        <v>541</v>
      </c>
      <c r="E205" s="135" t="s">
        <v>2110</v>
      </c>
      <c r="F205" s="135" t="s">
        <v>51</v>
      </c>
      <c r="G205" s="9">
        <v>1</v>
      </c>
      <c r="H205" s="136" t="s">
        <v>2111</v>
      </c>
    </row>
    <row r="206" spans="1:8" ht="78" x14ac:dyDescent="0.3">
      <c r="A206" s="9">
        <v>26</v>
      </c>
      <c r="B206" s="9">
        <v>1</v>
      </c>
      <c r="C206" s="139" t="s">
        <v>35</v>
      </c>
      <c r="D206" s="139" t="s">
        <v>1</v>
      </c>
      <c r="E206" s="135" t="s">
        <v>2112</v>
      </c>
      <c r="F206" s="135" t="s">
        <v>51</v>
      </c>
      <c r="G206" s="9">
        <v>12</v>
      </c>
      <c r="H206" s="136" t="s">
        <v>2113</v>
      </c>
    </row>
    <row r="207" spans="1:8" ht="78" x14ac:dyDescent="0.3">
      <c r="A207" s="9">
        <v>26</v>
      </c>
      <c r="B207" s="9">
        <v>1</v>
      </c>
      <c r="C207" s="139" t="s">
        <v>35</v>
      </c>
      <c r="D207" s="139" t="s">
        <v>1</v>
      </c>
      <c r="E207" s="135" t="s">
        <v>2114</v>
      </c>
      <c r="F207" s="135" t="s">
        <v>51</v>
      </c>
      <c r="G207" s="9">
        <v>11</v>
      </c>
      <c r="H207" s="136" t="s">
        <v>2115</v>
      </c>
    </row>
    <row r="208" spans="1:8" ht="62.4" x14ac:dyDescent="0.3">
      <c r="A208" s="9">
        <v>26</v>
      </c>
      <c r="B208" s="9">
        <v>1</v>
      </c>
      <c r="C208" s="139" t="s">
        <v>35</v>
      </c>
      <c r="D208" s="139" t="s">
        <v>1</v>
      </c>
      <c r="E208" s="135" t="s">
        <v>2116</v>
      </c>
      <c r="F208" s="135" t="s">
        <v>51</v>
      </c>
      <c r="G208" s="9">
        <v>51</v>
      </c>
      <c r="H208" s="136" t="s">
        <v>2117</v>
      </c>
    </row>
    <row r="209" spans="1:8" ht="78" x14ac:dyDescent="0.3">
      <c r="A209" s="9">
        <v>26</v>
      </c>
      <c r="B209" s="9">
        <v>1</v>
      </c>
      <c r="C209" s="139" t="s">
        <v>35</v>
      </c>
      <c r="D209" s="139" t="s">
        <v>1</v>
      </c>
      <c r="E209" s="135" t="s">
        <v>2118</v>
      </c>
      <c r="F209" s="135" t="s">
        <v>51</v>
      </c>
      <c r="G209" s="9">
        <v>86</v>
      </c>
      <c r="H209" s="136" t="s">
        <v>2119</v>
      </c>
    </row>
    <row r="210" spans="1:8" ht="78" x14ac:dyDescent="0.3">
      <c r="A210" s="9">
        <v>26</v>
      </c>
      <c r="B210" s="9">
        <v>1</v>
      </c>
      <c r="C210" s="139" t="s">
        <v>35</v>
      </c>
      <c r="D210" s="139" t="s">
        <v>1</v>
      </c>
      <c r="E210" s="135" t="s">
        <v>2120</v>
      </c>
      <c r="F210" s="135" t="s">
        <v>51</v>
      </c>
      <c r="G210" s="9">
        <v>90</v>
      </c>
      <c r="H210" s="136" t="s">
        <v>2121</v>
      </c>
    </row>
    <row r="211" spans="1:8" ht="62.4" x14ac:dyDescent="0.3">
      <c r="A211" s="9">
        <v>26</v>
      </c>
      <c r="B211" s="9">
        <v>1</v>
      </c>
      <c r="C211" s="139" t="s">
        <v>35</v>
      </c>
      <c r="D211" s="10" t="s">
        <v>1</v>
      </c>
      <c r="E211" s="14" t="s">
        <v>2122</v>
      </c>
      <c r="F211" s="10" t="s">
        <v>51</v>
      </c>
      <c r="G211" s="9">
        <v>117</v>
      </c>
      <c r="H211" s="77" t="s">
        <v>2123</v>
      </c>
    </row>
    <row r="212" spans="1:8" ht="62.4" x14ac:dyDescent="0.3">
      <c r="A212" s="9">
        <v>26</v>
      </c>
      <c r="B212" s="9">
        <v>1</v>
      </c>
      <c r="C212" s="139" t="s">
        <v>35</v>
      </c>
      <c r="D212" s="139" t="s">
        <v>1</v>
      </c>
      <c r="E212" s="14" t="s">
        <v>2144</v>
      </c>
      <c r="F212" s="135" t="s">
        <v>51</v>
      </c>
      <c r="G212" s="9">
        <v>7</v>
      </c>
      <c r="H212" s="136" t="s">
        <v>2124</v>
      </c>
    </row>
    <row r="213" spans="1:8" ht="46.8" x14ac:dyDescent="0.3">
      <c r="A213" s="9">
        <v>26</v>
      </c>
      <c r="B213" s="9">
        <v>1</v>
      </c>
      <c r="C213" s="139" t="s">
        <v>35</v>
      </c>
      <c r="D213" s="139" t="s">
        <v>0</v>
      </c>
      <c r="E213" s="14" t="s">
        <v>2125</v>
      </c>
      <c r="F213" s="135" t="s">
        <v>51</v>
      </c>
      <c r="G213" s="9">
        <v>4</v>
      </c>
      <c r="H213" s="136" t="s">
        <v>2126</v>
      </c>
    </row>
    <row r="214" spans="1:8" ht="46.8" x14ac:dyDescent="0.3">
      <c r="A214" s="9">
        <v>27</v>
      </c>
      <c r="B214" s="9">
        <v>1</v>
      </c>
      <c r="C214" s="139" t="s">
        <v>36</v>
      </c>
      <c r="D214" s="139" t="s">
        <v>1</v>
      </c>
      <c r="E214" s="14" t="s">
        <v>2127</v>
      </c>
      <c r="F214" s="135" t="s">
        <v>51</v>
      </c>
      <c r="G214" s="9">
        <v>25</v>
      </c>
      <c r="H214" s="136" t="s">
        <v>2128</v>
      </c>
    </row>
    <row r="215" spans="1:8" ht="46.8" x14ac:dyDescent="0.3">
      <c r="A215" s="9">
        <v>27</v>
      </c>
      <c r="B215" s="9">
        <v>1</v>
      </c>
      <c r="C215" s="139" t="s">
        <v>36</v>
      </c>
      <c r="D215" s="139" t="s">
        <v>1</v>
      </c>
      <c r="E215" s="14" t="s">
        <v>2129</v>
      </c>
      <c r="F215" s="135" t="s">
        <v>63</v>
      </c>
      <c r="G215" s="9">
        <v>2</v>
      </c>
      <c r="H215" s="136" t="s">
        <v>2130</v>
      </c>
    </row>
    <row r="216" spans="1:8" ht="62.4" x14ac:dyDescent="0.3">
      <c r="A216" s="9">
        <v>27</v>
      </c>
      <c r="B216" s="9">
        <v>1</v>
      </c>
      <c r="C216" s="139" t="s">
        <v>36</v>
      </c>
      <c r="D216" s="139" t="s">
        <v>65</v>
      </c>
      <c r="E216" s="14" t="s">
        <v>2131</v>
      </c>
      <c r="F216" s="135" t="s">
        <v>51</v>
      </c>
      <c r="G216" s="9">
        <v>40</v>
      </c>
      <c r="H216" s="136" t="s">
        <v>2132</v>
      </c>
    </row>
    <row r="217" spans="1:8" ht="46.8" x14ac:dyDescent="0.3">
      <c r="A217" s="75">
        <v>27</v>
      </c>
      <c r="B217" s="75">
        <v>1</v>
      </c>
      <c r="C217" s="139" t="s">
        <v>36</v>
      </c>
      <c r="D217" s="139" t="s">
        <v>65</v>
      </c>
      <c r="E217" s="14" t="s">
        <v>2133</v>
      </c>
      <c r="F217" s="135" t="s">
        <v>51</v>
      </c>
      <c r="G217" s="9">
        <v>42</v>
      </c>
      <c r="H217" s="136" t="s">
        <v>2134</v>
      </c>
    </row>
    <row r="218" spans="1:8" ht="62.4" x14ac:dyDescent="0.3">
      <c r="A218" s="75">
        <v>27</v>
      </c>
      <c r="B218" s="75">
        <v>1</v>
      </c>
      <c r="C218" s="139" t="s">
        <v>36</v>
      </c>
      <c r="D218" s="139" t="s">
        <v>65</v>
      </c>
      <c r="E218" s="14" t="s">
        <v>2135</v>
      </c>
      <c r="F218" s="135" t="s">
        <v>51</v>
      </c>
      <c r="G218" s="9">
        <v>20</v>
      </c>
      <c r="H218" s="136" t="s">
        <v>2132</v>
      </c>
    </row>
    <row r="219" spans="1:8" ht="46.8" x14ac:dyDescent="0.3">
      <c r="A219" s="75">
        <v>27</v>
      </c>
      <c r="B219" s="75">
        <v>1</v>
      </c>
      <c r="C219" s="139" t="s">
        <v>36</v>
      </c>
      <c r="D219" s="139" t="s">
        <v>65</v>
      </c>
      <c r="E219" s="135" t="s">
        <v>2136</v>
      </c>
      <c r="F219" s="135" t="s">
        <v>51</v>
      </c>
      <c r="G219" s="9">
        <v>6</v>
      </c>
      <c r="H219" s="136" t="s">
        <v>2137</v>
      </c>
    </row>
    <row r="220" spans="1:8" ht="156" x14ac:dyDescent="0.3">
      <c r="A220" s="75">
        <v>28</v>
      </c>
      <c r="B220" s="75">
        <v>1</v>
      </c>
      <c r="C220" s="139" t="s">
        <v>37</v>
      </c>
      <c r="D220" s="139" t="s">
        <v>1</v>
      </c>
      <c r="E220" s="14" t="s">
        <v>2140</v>
      </c>
      <c r="F220" s="135" t="s">
        <v>51</v>
      </c>
      <c r="G220" s="9">
        <v>437</v>
      </c>
      <c r="H220" s="136" t="s">
        <v>2138</v>
      </c>
    </row>
    <row r="221" spans="1:8" x14ac:dyDescent="0.3">
      <c r="A221" s="75">
        <v>28</v>
      </c>
      <c r="B221" s="75">
        <v>1</v>
      </c>
      <c r="C221" s="139" t="s">
        <v>37</v>
      </c>
      <c r="D221" s="139" t="s">
        <v>65</v>
      </c>
      <c r="E221" s="139" t="s">
        <v>2139</v>
      </c>
      <c r="F221" s="135" t="s">
        <v>51</v>
      </c>
      <c r="G221" s="9" t="s">
        <v>75</v>
      </c>
      <c r="H221" s="136" t="s">
        <v>88</v>
      </c>
    </row>
    <row r="222" spans="1:8" ht="15.75" hidden="1" x14ac:dyDescent="0.3">
      <c r="A222" s="26"/>
      <c r="B222" s="26"/>
      <c r="C222" s="146"/>
      <c r="D222" s="27"/>
      <c r="E222" s="32"/>
      <c r="F222" s="27"/>
      <c r="G222" s="26"/>
      <c r="H222" s="76"/>
    </row>
    <row r="223" spans="1:8" ht="15.75" hidden="1" x14ac:dyDescent="0.3">
      <c r="A223" s="26"/>
      <c r="B223" s="26"/>
      <c r="C223" s="146"/>
      <c r="D223" s="27"/>
      <c r="E223" s="32"/>
      <c r="F223" s="27"/>
      <c r="G223" s="26"/>
      <c r="H223" s="76"/>
    </row>
    <row r="224" spans="1:8" ht="15.75" hidden="1" x14ac:dyDescent="0.3">
      <c r="A224" s="101"/>
      <c r="B224" s="101"/>
      <c r="C224" s="146"/>
      <c r="D224" s="27"/>
      <c r="E224" s="32"/>
      <c r="F224" s="27"/>
      <c r="G224" s="26"/>
      <c r="H224" s="76"/>
    </row>
    <row r="225" spans="1:8" ht="15.75" hidden="1" x14ac:dyDescent="0.3">
      <c r="A225" s="101"/>
      <c r="B225" s="101"/>
      <c r="C225" s="146"/>
      <c r="D225" s="27"/>
      <c r="E225" s="32"/>
      <c r="F225" s="27"/>
      <c r="G225" s="26"/>
      <c r="H225" s="76"/>
    </row>
    <row r="226" spans="1:8" ht="15.75" hidden="1" x14ac:dyDescent="0.3">
      <c r="A226" s="101"/>
      <c r="B226" s="101"/>
      <c r="C226" s="146"/>
      <c r="D226" s="27"/>
      <c r="E226" s="32"/>
      <c r="F226" s="27"/>
      <c r="G226" s="26"/>
      <c r="H226" s="76"/>
    </row>
    <row r="227" spans="1:8" ht="15.75" hidden="1" x14ac:dyDescent="0.3">
      <c r="A227" s="101"/>
      <c r="B227" s="101"/>
      <c r="C227" s="146"/>
      <c r="D227" s="27"/>
      <c r="E227" s="32"/>
      <c r="F227" s="27"/>
      <c r="G227" s="26"/>
      <c r="H227" s="76"/>
    </row>
    <row r="228" spans="1:8" ht="15.75" hidden="1" x14ac:dyDescent="0.3">
      <c r="A228" s="101"/>
      <c r="B228" s="101"/>
      <c r="C228" s="146"/>
      <c r="D228" s="151"/>
      <c r="E228" s="32"/>
      <c r="F228" s="27"/>
      <c r="G228" s="26"/>
      <c r="H228" s="76"/>
    </row>
    <row r="229" spans="1:8" ht="15.75" hidden="1" x14ac:dyDescent="0.3">
      <c r="A229" s="101"/>
      <c r="B229" s="101"/>
      <c r="C229" s="146"/>
      <c r="D229" s="27"/>
      <c r="E229" s="32"/>
      <c r="F229" s="27"/>
      <c r="G229" s="26"/>
      <c r="H229" s="76"/>
    </row>
    <row r="230" spans="1:8" ht="15.75" hidden="1" x14ac:dyDescent="0.3">
      <c r="A230" s="101"/>
      <c r="B230" s="101"/>
      <c r="C230" s="146"/>
      <c r="D230" s="151"/>
      <c r="E230" s="32"/>
      <c r="F230" s="27"/>
      <c r="G230" s="26"/>
      <c r="H230" s="76"/>
    </row>
    <row r="231" spans="1:8" ht="15.75" hidden="1" x14ac:dyDescent="0.3">
      <c r="A231" s="101"/>
      <c r="B231" s="101"/>
      <c r="C231" s="146"/>
      <c r="D231" s="27"/>
      <c r="E231" s="32"/>
      <c r="F231" s="27"/>
      <c r="G231" s="26"/>
      <c r="H231" s="76"/>
    </row>
    <row r="232" spans="1:8" ht="15.75" hidden="1" x14ac:dyDescent="0.3">
      <c r="A232" s="101"/>
      <c r="B232" s="101"/>
      <c r="C232" s="146"/>
      <c r="D232" s="27"/>
      <c r="E232" s="32"/>
      <c r="F232" s="27"/>
      <c r="G232" s="26"/>
      <c r="H232" s="76"/>
    </row>
    <row r="233" spans="1:8" ht="15.75" hidden="1" x14ac:dyDescent="0.3">
      <c r="A233" s="101"/>
      <c r="B233" s="101"/>
      <c r="C233" s="146"/>
      <c r="D233" s="27"/>
      <c r="E233" s="32"/>
      <c r="F233" s="27"/>
      <c r="G233" s="26"/>
      <c r="H233" s="76"/>
    </row>
    <row r="234" spans="1:8" ht="15.75" hidden="1" x14ac:dyDescent="0.3">
      <c r="A234" s="101"/>
      <c r="B234" s="101"/>
      <c r="C234" s="146"/>
      <c r="D234" s="151"/>
      <c r="E234" s="32"/>
      <c r="F234" s="27"/>
      <c r="G234" s="26"/>
      <c r="H234" s="76"/>
    </row>
    <row r="235" spans="1:8" ht="15.75" hidden="1" x14ac:dyDescent="0.3">
      <c r="A235" s="101"/>
      <c r="B235" s="101"/>
      <c r="C235" s="146"/>
      <c r="D235" s="151"/>
      <c r="E235" s="32"/>
      <c r="F235" s="27"/>
      <c r="G235" s="26"/>
      <c r="H235" s="76"/>
    </row>
    <row r="236" spans="1:8" ht="15.75" hidden="1" x14ac:dyDescent="0.3">
      <c r="A236" s="101"/>
      <c r="B236" s="101"/>
      <c r="C236" s="146"/>
      <c r="D236" s="27"/>
      <c r="E236" s="32"/>
      <c r="F236" s="27"/>
      <c r="G236" s="26"/>
      <c r="H236" s="76"/>
    </row>
    <row r="237" spans="1:8" ht="15.75" hidden="1" x14ac:dyDescent="0.3">
      <c r="A237" s="101"/>
      <c r="B237" s="101"/>
      <c r="C237" s="146"/>
      <c r="D237" s="151"/>
      <c r="E237" s="32"/>
      <c r="F237" s="27"/>
      <c r="G237" s="26"/>
      <c r="H237" s="76"/>
    </row>
    <row r="238" spans="1:8" ht="15.75" hidden="1" x14ac:dyDescent="0.3">
      <c r="A238" s="101"/>
      <c r="B238" s="101"/>
      <c r="C238" s="146"/>
      <c r="D238" s="27"/>
      <c r="E238" s="32"/>
      <c r="F238" s="27"/>
      <c r="G238" s="26"/>
      <c r="H238" s="76"/>
    </row>
    <row r="239" spans="1:8" ht="15.75" hidden="1" x14ac:dyDescent="0.3">
      <c r="A239" s="101"/>
      <c r="B239" s="101"/>
      <c r="C239" s="146"/>
      <c r="D239" s="151"/>
      <c r="E239" s="32"/>
      <c r="F239" s="27"/>
      <c r="G239" s="26"/>
      <c r="H239" s="76"/>
    </row>
    <row r="240" spans="1:8" ht="15.75" hidden="1" x14ac:dyDescent="0.3">
      <c r="A240" s="101"/>
      <c r="B240" s="101"/>
      <c r="C240" s="146"/>
      <c r="D240" s="151"/>
      <c r="E240" s="32"/>
      <c r="F240" s="27"/>
      <c r="G240" s="26"/>
      <c r="H240" s="76"/>
    </row>
    <row r="241" spans="1:8" ht="15.75" hidden="1" x14ac:dyDescent="0.3">
      <c r="A241" s="101"/>
      <c r="B241" s="101"/>
      <c r="C241" s="146"/>
      <c r="D241" s="151"/>
      <c r="E241" s="32"/>
      <c r="F241" s="27"/>
      <c r="G241" s="26"/>
      <c r="H241" s="76"/>
    </row>
    <row r="242" spans="1:8" ht="15.75" hidden="1" x14ac:dyDescent="0.3">
      <c r="A242" s="101"/>
      <c r="B242" s="101"/>
      <c r="C242" s="146"/>
      <c r="D242" s="151"/>
      <c r="E242" s="32"/>
      <c r="F242" s="27"/>
      <c r="G242" s="26"/>
      <c r="H242" s="76"/>
    </row>
    <row r="243" spans="1:8" ht="15.75" hidden="1" x14ac:dyDescent="0.3">
      <c r="A243" s="101"/>
      <c r="B243" s="101"/>
      <c r="C243" s="146"/>
      <c r="D243" s="151"/>
      <c r="E243" s="32"/>
      <c r="F243" s="27"/>
      <c r="G243" s="26"/>
      <c r="H243" s="76"/>
    </row>
    <row r="244" spans="1:8" ht="15.75" hidden="1" x14ac:dyDescent="0.3">
      <c r="A244" s="101"/>
      <c r="B244" s="101"/>
      <c r="C244" s="146"/>
      <c r="D244" s="27"/>
      <c r="E244" s="32"/>
      <c r="F244" s="27"/>
      <c r="G244" s="26"/>
      <c r="H244" s="76"/>
    </row>
    <row r="245" spans="1:8" ht="15.75" hidden="1" x14ac:dyDescent="0.3">
      <c r="A245" s="101"/>
      <c r="B245" s="101"/>
      <c r="C245" s="146"/>
      <c r="D245" s="151"/>
      <c r="E245" s="32"/>
      <c r="F245" s="27"/>
      <c r="G245" s="26"/>
      <c r="H245" s="76"/>
    </row>
    <row r="246" spans="1:8" ht="15.75" hidden="1" x14ac:dyDescent="0.3">
      <c r="A246" s="101"/>
      <c r="B246" s="101"/>
      <c r="C246" s="146"/>
      <c r="D246" s="27"/>
      <c r="E246" s="32"/>
      <c r="F246" s="27"/>
      <c r="G246" s="26"/>
      <c r="H246" s="76"/>
    </row>
    <row r="247" spans="1:8" ht="15.75" hidden="1" x14ac:dyDescent="0.3">
      <c r="A247" s="101"/>
      <c r="B247" s="101"/>
      <c r="C247" s="146"/>
      <c r="D247" s="151"/>
      <c r="E247" s="32"/>
      <c r="F247" s="27"/>
      <c r="G247" s="26"/>
      <c r="H247" s="76"/>
    </row>
    <row r="248" spans="1:8" ht="15.75" hidden="1" x14ac:dyDescent="0.3">
      <c r="A248" s="101"/>
      <c r="B248" s="101"/>
      <c r="C248" s="146"/>
      <c r="D248" s="27"/>
      <c r="E248" s="32"/>
      <c r="F248" s="27"/>
      <c r="G248" s="26"/>
      <c r="H248" s="76"/>
    </row>
    <row r="249" spans="1:8" ht="15.75" hidden="1" x14ac:dyDescent="0.3">
      <c r="A249" s="101"/>
      <c r="B249" s="101"/>
      <c r="C249" s="146"/>
      <c r="D249" s="151"/>
      <c r="E249" s="32"/>
      <c r="F249" s="27"/>
      <c r="G249" s="26"/>
      <c r="H249" s="76"/>
    </row>
    <row r="250" spans="1:8" ht="15.75" hidden="1" x14ac:dyDescent="0.3">
      <c r="A250" s="101"/>
      <c r="B250" s="101"/>
      <c r="C250" s="146"/>
      <c r="D250" s="27"/>
      <c r="E250" s="32"/>
      <c r="F250" s="27"/>
      <c r="G250" s="26"/>
      <c r="H250" s="76"/>
    </row>
    <row r="251" spans="1:8" ht="15.75" hidden="1" x14ac:dyDescent="0.3">
      <c r="A251" s="101"/>
      <c r="B251" s="101"/>
      <c r="C251" s="146"/>
      <c r="D251" s="27"/>
      <c r="E251" s="32"/>
      <c r="F251" s="27"/>
      <c r="G251" s="26"/>
      <c r="H251" s="76"/>
    </row>
    <row r="252" spans="1:8" ht="15.75" hidden="1" x14ac:dyDescent="0.3">
      <c r="A252" s="101"/>
      <c r="B252" s="101"/>
      <c r="C252" s="146"/>
      <c r="D252" s="27"/>
      <c r="E252" s="32"/>
      <c r="F252" s="27"/>
      <c r="G252" s="26"/>
      <c r="H252" s="76"/>
    </row>
    <row r="253" spans="1:8" ht="15.75" hidden="1" x14ac:dyDescent="0.3">
      <c r="A253" s="101"/>
      <c r="B253" s="101"/>
      <c r="C253" s="146"/>
      <c r="D253" s="151"/>
      <c r="E253" s="32"/>
      <c r="F253" s="27"/>
      <c r="G253" s="26"/>
      <c r="H253" s="76"/>
    </row>
    <row r="254" spans="1:8" ht="15.75" hidden="1" x14ac:dyDescent="0.3">
      <c r="A254" s="101"/>
      <c r="B254" s="101"/>
      <c r="C254" s="146"/>
      <c r="D254" s="27"/>
      <c r="E254" s="32"/>
      <c r="F254" s="27"/>
      <c r="G254" s="26"/>
      <c r="H254" s="76"/>
    </row>
    <row r="255" spans="1:8" ht="15.75" hidden="1" x14ac:dyDescent="0.3">
      <c r="A255" s="101"/>
      <c r="B255" s="101"/>
      <c r="C255" s="146"/>
      <c r="D255" s="151"/>
      <c r="E255" s="32"/>
      <c r="F255" s="27"/>
      <c r="G255" s="26"/>
      <c r="H255" s="76"/>
    </row>
    <row r="256" spans="1:8" ht="15.75" hidden="1" x14ac:dyDescent="0.3">
      <c r="A256" s="101"/>
      <c r="B256" s="101"/>
      <c r="C256" s="146"/>
      <c r="D256" s="151"/>
      <c r="E256" s="32"/>
      <c r="F256" s="27"/>
      <c r="G256" s="26"/>
      <c r="H256" s="76"/>
    </row>
    <row r="257" spans="1:8" ht="15.75" hidden="1" x14ac:dyDescent="0.3">
      <c r="A257" s="101"/>
      <c r="B257" s="101"/>
      <c r="C257" s="146"/>
      <c r="D257" s="27"/>
      <c r="E257" s="32"/>
      <c r="F257" s="27"/>
      <c r="G257" s="26"/>
      <c r="H257" s="76"/>
    </row>
    <row r="258" spans="1:8" ht="15.75" hidden="1" x14ac:dyDescent="0.3">
      <c r="A258" s="101"/>
      <c r="B258" s="101"/>
      <c r="C258" s="146"/>
      <c r="D258" s="27"/>
      <c r="E258" s="32"/>
      <c r="F258" s="27"/>
      <c r="G258" s="26"/>
      <c r="H258" s="76"/>
    </row>
    <row r="259" spans="1:8" ht="15.75" hidden="1" x14ac:dyDescent="0.3">
      <c r="A259" s="101"/>
      <c r="B259" s="101"/>
      <c r="C259" s="146"/>
      <c r="D259" s="151"/>
      <c r="E259" s="32"/>
      <c r="F259" s="27"/>
      <c r="G259" s="26"/>
      <c r="H259" s="76"/>
    </row>
    <row r="260" spans="1:8" ht="15.75" hidden="1" x14ac:dyDescent="0.3">
      <c r="A260" s="101"/>
      <c r="B260" s="101"/>
      <c r="C260" s="146"/>
      <c r="D260" s="151"/>
      <c r="E260" s="32"/>
      <c r="F260" s="27"/>
      <c r="G260" s="26"/>
      <c r="H260" s="76"/>
    </row>
    <row r="261" spans="1:8" ht="15.75" hidden="1" x14ac:dyDescent="0.3">
      <c r="A261" s="101"/>
      <c r="B261" s="101"/>
      <c r="C261" s="146"/>
      <c r="D261" s="146"/>
      <c r="E261" s="32"/>
      <c r="F261" s="138"/>
      <c r="G261" s="26"/>
      <c r="H261" s="137"/>
    </row>
    <row r="262" spans="1:8" ht="15.75" hidden="1" x14ac:dyDescent="0.3">
      <c r="A262" s="101"/>
      <c r="B262" s="101"/>
      <c r="C262" s="146"/>
      <c r="D262" s="146"/>
      <c r="E262" s="138"/>
      <c r="F262" s="138"/>
      <c r="G262" s="26"/>
      <c r="H262" s="137"/>
    </row>
    <row r="263" spans="1:8" ht="15.75" hidden="1" x14ac:dyDescent="0.3">
      <c r="A263" s="101"/>
      <c r="B263" s="101"/>
      <c r="C263" s="146"/>
      <c r="D263" s="156"/>
      <c r="E263" s="32"/>
      <c r="F263" s="138"/>
      <c r="G263" s="26"/>
      <c r="H263" s="137"/>
    </row>
    <row r="264" spans="1:8" ht="15.75" hidden="1" x14ac:dyDescent="0.3">
      <c r="A264" s="101"/>
      <c r="B264" s="101"/>
      <c r="C264" s="146"/>
      <c r="D264" s="146"/>
      <c r="E264" s="32"/>
      <c r="F264" s="138"/>
      <c r="G264" s="26"/>
      <c r="H264" s="137"/>
    </row>
    <row r="265" spans="1:8" ht="15.75" hidden="1" x14ac:dyDescent="0.3">
      <c r="A265" s="101"/>
      <c r="B265" s="101"/>
      <c r="C265" s="146"/>
      <c r="D265" s="146"/>
      <c r="E265" s="32"/>
      <c r="F265" s="138"/>
      <c r="G265" s="26"/>
      <c r="H265" s="137"/>
    </row>
    <row r="266" spans="1:8" ht="15.75" hidden="1" x14ac:dyDescent="0.3">
      <c r="A266" s="101"/>
      <c r="B266" s="101"/>
      <c r="C266" s="146"/>
      <c r="D266" s="146"/>
      <c r="E266" s="32"/>
      <c r="F266" s="138"/>
      <c r="G266" s="26"/>
      <c r="H266" s="137"/>
    </row>
    <row r="267" spans="1:8" ht="15.75" hidden="1" x14ac:dyDescent="0.3">
      <c r="A267" s="101"/>
      <c r="B267" s="101"/>
      <c r="C267" s="146"/>
      <c r="D267" s="146"/>
      <c r="E267" s="32"/>
      <c r="F267" s="138"/>
      <c r="G267" s="26"/>
      <c r="H267" s="137"/>
    </row>
    <row r="268" spans="1:8" ht="15.75" hidden="1" x14ac:dyDescent="0.3">
      <c r="A268" s="101"/>
      <c r="B268" s="101"/>
      <c r="C268" s="146"/>
      <c r="D268" s="146"/>
      <c r="E268" s="32"/>
      <c r="F268" s="138"/>
      <c r="G268" s="26"/>
      <c r="H268" s="137"/>
    </row>
    <row r="269" spans="1:8" ht="15.75" hidden="1" x14ac:dyDescent="0.3">
      <c r="A269" s="101"/>
      <c r="B269" s="101"/>
      <c r="C269" s="146"/>
      <c r="D269" s="146"/>
      <c r="E269" s="32"/>
      <c r="F269" s="138"/>
      <c r="G269" s="26"/>
      <c r="H269" s="137"/>
    </row>
    <row r="270" spans="1:8" ht="15.75" hidden="1" x14ac:dyDescent="0.3">
      <c r="A270" s="101"/>
      <c r="B270" s="101"/>
      <c r="C270" s="146"/>
      <c r="D270" s="146"/>
      <c r="E270" s="138"/>
      <c r="F270" s="138"/>
      <c r="G270" s="26"/>
      <c r="H270" s="137"/>
    </row>
    <row r="271" spans="1:8" ht="15.75" hidden="1" x14ac:dyDescent="0.3">
      <c r="A271" s="101"/>
      <c r="B271" s="101"/>
      <c r="C271" s="146"/>
      <c r="D271" s="146"/>
      <c r="E271" s="138"/>
      <c r="F271" s="138"/>
      <c r="G271" s="26"/>
      <c r="H271" s="137"/>
    </row>
    <row r="272" spans="1:8" ht="15.75" hidden="1" x14ac:dyDescent="0.3">
      <c r="A272" s="101"/>
      <c r="B272" s="101"/>
      <c r="C272" s="146"/>
      <c r="D272" s="146"/>
      <c r="E272" s="138"/>
      <c r="F272" s="138"/>
      <c r="G272" s="26"/>
      <c r="H272" s="137"/>
    </row>
    <row r="273" spans="1:8" ht="15.75" hidden="1" x14ac:dyDescent="0.3">
      <c r="A273" s="101"/>
      <c r="B273" s="101"/>
      <c r="C273" s="146"/>
      <c r="D273" s="146"/>
      <c r="E273" s="138"/>
      <c r="F273" s="138"/>
      <c r="G273" s="26"/>
      <c r="H273" s="137"/>
    </row>
    <row r="274" spans="1:8" ht="15.75" hidden="1" x14ac:dyDescent="0.3">
      <c r="A274" s="157"/>
      <c r="B274" s="26"/>
      <c r="C274" s="146"/>
      <c r="D274" s="146"/>
      <c r="E274" s="138"/>
      <c r="F274" s="138"/>
      <c r="G274" s="26"/>
      <c r="H274" s="137"/>
    </row>
    <row r="275" spans="1:8" ht="15.75" hidden="1" x14ac:dyDescent="0.3">
      <c r="A275" s="26"/>
      <c r="B275" s="26"/>
      <c r="C275" s="146"/>
      <c r="D275" s="146"/>
      <c r="E275" s="138"/>
      <c r="F275" s="138"/>
      <c r="G275" s="26"/>
      <c r="H275" s="137"/>
    </row>
    <row r="276" spans="1:8" ht="15.75" hidden="1" x14ac:dyDescent="0.3">
      <c r="A276" s="26"/>
      <c r="B276" s="26"/>
      <c r="C276" s="146"/>
      <c r="D276" s="146"/>
      <c r="E276" s="138"/>
      <c r="F276" s="138"/>
      <c r="G276" s="26"/>
      <c r="H276" s="137"/>
    </row>
    <row r="277" spans="1:8" ht="15.75" hidden="1" x14ac:dyDescent="0.3">
      <c r="A277" s="26"/>
      <c r="B277" s="26"/>
      <c r="C277" s="146"/>
      <c r="D277" s="27"/>
      <c r="E277" s="32"/>
      <c r="F277" s="27"/>
      <c r="G277" s="26"/>
      <c r="H277" s="76"/>
    </row>
    <row r="278" spans="1:8" ht="15.75" hidden="1" x14ac:dyDescent="0.3">
      <c r="A278" s="26"/>
      <c r="B278" s="26"/>
      <c r="C278" s="146"/>
      <c r="D278" s="27"/>
      <c r="E278" s="32"/>
      <c r="F278" s="27"/>
      <c r="G278" s="26"/>
      <c r="H278" s="76"/>
    </row>
    <row r="279" spans="1:8" ht="15.75" hidden="1" x14ac:dyDescent="0.3">
      <c r="A279" s="26"/>
      <c r="B279" s="26"/>
      <c r="C279" s="146"/>
      <c r="D279" s="27"/>
      <c r="E279" s="32"/>
      <c r="F279" s="27"/>
      <c r="G279" s="26"/>
      <c r="H279" s="76"/>
    </row>
    <row r="280" spans="1:8" ht="15.75" hidden="1" x14ac:dyDescent="0.3">
      <c r="A280" s="26"/>
      <c r="B280" s="26"/>
      <c r="C280" s="146"/>
      <c r="D280" s="27"/>
      <c r="E280" s="32"/>
      <c r="F280" s="27"/>
      <c r="G280" s="26"/>
      <c r="H280" s="76"/>
    </row>
    <row r="281" spans="1:8" ht="15.75" hidden="1" x14ac:dyDescent="0.3">
      <c r="A281" s="26"/>
      <c r="B281" s="26"/>
      <c r="C281" s="146"/>
      <c r="D281" s="27"/>
      <c r="E281" s="32"/>
      <c r="F281" s="27"/>
      <c r="G281" s="26"/>
      <c r="H281" s="76"/>
    </row>
    <row r="282" spans="1:8" ht="15.75" hidden="1" x14ac:dyDescent="0.3">
      <c r="A282" s="26"/>
      <c r="B282" s="26"/>
      <c r="C282" s="146"/>
      <c r="D282" s="27"/>
      <c r="E282" s="32"/>
      <c r="F282" s="27"/>
      <c r="G282" s="26"/>
      <c r="H282" s="76"/>
    </row>
    <row r="283" spans="1:8" ht="15.75" hidden="1" x14ac:dyDescent="0.3">
      <c r="A283" s="26"/>
      <c r="B283" s="26"/>
      <c r="C283" s="146"/>
      <c r="D283" s="27"/>
      <c r="E283" s="32"/>
      <c r="F283" s="27"/>
      <c r="G283" s="26"/>
      <c r="H283" s="76"/>
    </row>
    <row r="284" spans="1:8" ht="15.75" hidden="1" x14ac:dyDescent="0.3">
      <c r="A284" s="26"/>
      <c r="B284" s="26"/>
      <c r="C284" s="146"/>
      <c r="D284" s="27"/>
      <c r="E284" s="32"/>
      <c r="F284" s="27"/>
      <c r="G284" s="26"/>
      <c r="H284" s="76"/>
    </row>
    <row r="285" spans="1:8" ht="15.75" hidden="1" x14ac:dyDescent="0.3">
      <c r="A285" s="26"/>
      <c r="B285" s="26"/>
      <c r="C285" s="146"/>
      <c r="D285" s="27"/>
      <c r="E285" s="32"/>
      <c r="F285" s="27"/>
      <c r="G285" s="26"/>
      <c r="H285" s="76"/>
    </row>
    <row r="286" spans="1:8" ht="15.75" hidden="1" x14ac:dyDescent="0.3">
      <c r="A286" s="26"/>
      <c r="B286" s="26"/>
      <c r="C286" s="146"/>
      <c r="D286" s="27"/>
      <c r="E286" s="32"/>
      <c r="F286" s="27"/>
      <c r="G286" s="26"/>
      <c r="H286" s="76"/>
    </row>
    <row r="287" spans="1:8" ht="15.75" hidden="1" x14ac:dyDescent="0.3">
      <c r="A287" s="26"/>
      <c r="B287" s="26"/>
      <c r="C287" s="146"/>
      <c r="D287" s="27"/>
      <c r="E287" s="32"/>
      <c r="F287" s="27"/>
      <c r="G287" s="26"/>
      <c r="H287" s="76"/>
    </row>
    <row r="288" spans="1:8" ht="15.75" hidden="1" x14ac:dyDescent="0.3">
      <c r="A288" s="26"/>
      <c r="B288" s="26"/>
      <c r="C288" s="146"/>
      <c r="D288" s="27"/>
      <c r="E288" s="32"/>
      <c r="F288" s="27"/>
      <c r="G288" s="26"/>
      <c r="H288" s="76"/>
    </row>
    <row r="289" spans="1:8" ht="15.75" hidden="1" x14ac:dyDescent="0.3">
      <c r="A289" s="26"/>
      <c r="B289" s="26"/>
      <c r="C289" s="146"/>
      <c r="D289" s="27"/>
      <c r="E289" s="32"/>
      <c r="F289" s="27"/>
      <c r="G289" s="26"/>
      <c r="H289" s="76"/>
    </row>
    <row r="290" spans="1:8" ht="15.75" hidden="1" x14ac:dyDescent="0.3">
      <c r="A290" s="26"/>
      <c r="B290" s="26"/>
      <c r="C290" s="146"/>
      <c r="D290" s="27"/>
      <c r="E290" s="32"/>
      <c r="F290" s="27"/>
      <c r="G290" s="26"/>
      <c r="H290" s="76"/>
    </row>
    <row r="291" spans="1:8" ht="15.75" hidden="1" x14ac:dyDescent="0.3">
      <c r="A291" s="101"/>
      <c r="B291" s="101"/>
      <c r="C291" s="146"/>
      <c r="D291" s="27"/>
      <c r="E291" s="32"/>
      <c r="F291" s="27"/>
      <c r="G291" s="26"/>
      <c r="H291" s="76"/>
    </row>
    <row r="292" spans="1:8" ht="15.75" hidden="1" x14ac:dyDescent="0.3">
      <c r="A292" s="101"/>
      <c r="B292" s="101"/>
      <c r="C292" s="146"/>
      <c r="D292" s="27"/>
      <c r="E292" s="32"/>
      <c r="F292" s="27"/>
      <c r="G292" s="26"/>
      <c r="H292" s="76"/>
    </row>
    <row r="293" spans="1:8" ht="15.75" hidden="1" x14ac:dyDescent="0.3">
      <c r="A293" s="101"/>
      <c r="B293" s="101"/>
      <c r="C293" s="146"/>
      <c r="D293" s="27"/>
      <c r="E293" s="32"/>
      <c r="F293" s="27"/>
      <c r="G293" s="26"/>
      <c r="H293" s="76"/>
    </row>
    <row r="294" spans="1:8" ht="15.75" hidden="1" x14ac:dyDescent="0.3">
      <c r="A294" s="101"/>
      <c r="B294" s="101"/>
      <c r="C294" s="146"/>
      <c r="D294" s="27"/>
      <c r="E294" s="32"/>
      <c r="F294" s="27"/>
      <c r="G294" s="26"/>
      <c r="H294" s="76"/>
    </row>
    <row r="295" spans="1:8" ht="15.75" hidden="1" x14ac:dyDescent="0.3">
      <c r="A295" s="101"/>
      <c r="B295" s="101"/>
      <c r="C295" s="146"/>
      <c r="D295" s="27"/>
      <c r="E295" s="32"/>
      <c r="F295" s="27"/>
      <c r="G295" s="26"/>
      <c r="H295" s="76"/>
    </row>
    <row r="296" spans="1:8" ht="15.75" hidden="1" x14ac:dyDescent="0.3">
      <c r="A296" s="101"/>
      <c r="B296" s="101"/>
      <c r="C296" s="146"/>
      <c r="D296" s="27"/>
      <c r="E296" s="32"/>
      <c r="F296" s="27"/>
      <c r="G296" s="26"/>
      <c r="H296" s="76"/>
    </row>
    <row r="297" spans="1:8" ht="15.75" hidden="1" x14ac:dyDescent="0.3">
      <c r="A297" s="101"/>
      <c r="B297" s="101"/>
      <c r="C297" s="146"/>
      <c r="D297" s="27"/>
      <c r="E297" s="32"/>
      <c r="F297" s="27"/>
      <c r="G297" s="36"/>
      <c r="H297" s="76"/>
    </row>
    <row r="298" spans="1:8" ht="15.75" hidden="1" x14ac:dyDescent="0.3">
      <c r="A298" s="101"/>
      <c r="B298" s="101"/>
      <c r="C298" s="146"/>
      <c r="D298" s="27"/>
      <c r="E298" s="32"/>
      <c r="F298" s="27"/>
      <c r="G298" s="26"/>
      <c r="H298" s="76"/>
    </row>
    <row r="299" spans="1:8" ht="15.75" hidden="1" x14ac:dyDescent="0.3">
      <c r="A299" s="101"/>
      <c r="B299" s="101"/>
      <c r="C299" s="146"/>
      <c r="D299" s="27"/>
      <c r="E299" s="32"/>
      <c r="F299" s="27"/>
      <c r="G299" s="26"/>
      <c r="H299" s="76"/>
    </row>
    <row r="300" spans="1:8" ht="15.75" hidden="1" x14ac:dyDescent="0.3">
      <c r="A300" s="101"/>
      <c r="B300" s="101"/>
      <c r="C300" s="146"/>
      <c r="D300" s="27"/>
      <c r="E300" s="32"/>
      <c r="F300" s="27"/>
      <c r="G300" s="26"/>
      <c r="H300" s="76"/>
    </row>
    <row r="301" spans="1:8" ht="15.75" hidden="1" x14ac:dyDescent="0.3">
      <c r="A301" s="101"/>
      <c r="B301" s="101"/>
      <c r="C301" s="146"/>
      <c r="D301" s="27"/>
      <c r="E301" s="32"/>
      <c r="F301" s="27"/>
      <c r="G301" s="26"/>
      <c r="H301" s="76"/>
    </row>
    <row r="302" spans="1:8" ht="15.75" hidden="1" x14ac:dyDescent="0.3">
      <c r="A302" s="101"/>
      <c r="B302" s="101"/>
      <c r="C302" s="146"/>
      <c r="D302" s="27"/>
      <c r="E302" s="32"/>
      <c r="F302" s="27"/>
      <c r="G302" s="26"/>
      <c r="H302" s="76"/>
    </row>
    <row r="303" spans="1:8" ht="15.75" hidden="1" x14ac:dyDescent="0.3">
      <c r="A303" s="101"/>
      <c r="B303" s="101"/>
      <c r="C303" s="146"/>
      <c r="D303" s="27"/>
      <c r="E303" s="32"/>
      <c r="F303" s="27"/>
      <c r="G303" s="26"/>
      <c r="H303" s="76"/>
    </row>
    <row r="304" spans="1:8" ht="15.75" hidden="1" x14ac:dyDescent="0.3">
      <c r="A304" s="101"/>
      <c r="B304" s="101"/>
      <c r="C304" s="146"/>
      <c r="D304" s="27"/>
      <c r="E304" s="32"/>
      <c r="F304" s="27"/>
      <c r="G304" s="26"/>
      <c r="H304" s="76"/>
    </row>
    <row r="305" spans="1:8" ht="15.75" hidden="1" x14ac:dyDescent="0.3">
      <c r="A305" s="101"/>
      <c r="B305" s="101"/>
      <c r="C305" s="146"/>
      <c r="D305" s="27"/>
      <c r="E305" s="32"/>
      <c r="F305" s="27"/>
      <c r="G305" s="26"/>
      <c r="H305" s="76"/>
    </row>
    <row r="306" spans="1:8" ht="15.75" hidden="1" x14ac:dyDescent="0.3">
      <c r="A306" s="101"/>
      <c r="B306" s="101"/>
      <c r="C306" s="146"/>
      <c r="D306" s="32"/>
      <c r="E306" s="32"/>
      <c r="F306" s="32"/>
      <c r="G306" s="36"/>
      <c r="H306" s="76"/>
    </row>
    <row r="307" spans="1:8" ht="15.75" hidden="1" x14ac:dyDescent="0.3">
      <c r="A307" s="101"/>
      <c r="B307" s="101"/>
      <c r="C307" s="146"/>
      <c r="D307" s="27"/>
      <c r="E307" s="32"/>
      <c r="F307" s="32"/>
      <c r="G307" s="36"/>
      <c r="H307" s="76"/>
    </row>
    <row r="308" spans="1:8" ht="15.75" hidden="1" x14ac:dyDescent="0.3">
      <c r="A308" s="101"/>
      <c r="B308" s="101"/>
      <c r="C308" s="146"/>
      <c r="D308" s="32"/>
      <c r="E308" s="32"/>
      <c r="F308" s="32"/>
      <c r="G308" s="36"/>
      <c r="H308" s="76"/>
    </row>
    <row r="309" spans="1:8" ht="15.75" hidden="1" x14ac:dyDescent="0.3">
      <c r="A309" s="101"/>
      <c r="B309" s="101"/>
      <c r="C309" s="146"/>
      <c r="D309" s="32"/>
      <c r="E309" s="32"/>
      <c r="F309" s="32"/>
      <c r="G309" s="36"/>
      <c r="H309" s="76"/>
    </row>
    <row r="310" spans="1:8" ht="15.75" hidden="1" x14ac:dyDescent="0.3">
      <c r="A310" s="101"/>
      <c r="B310" s="101"/>
      <c r="C310" s="146"/>
      <c r="D310" s="32"/>
      <c r="E310" s="32"/>
      <c r="F310" s="32"/>
      <c r="G310" s="36"/>
      <c r="H310" s="76"/>
    </row>
    <row r="311" spans="1:8" ht="15.75" hidden="1" x14ac:dyDescent="0.3">
      <c r="A311" s="101"/>
      <c r="B311" s="101"/>
      <c r="C311" s="146"/>
      <c r="D311" s="32"/>
      <c r="E311" s="32"/>
      <c r="F311" s="32"/>
      <c r="G311" s="36"/>
      <c r="H311" s="76"/>
    </row>
    <row r="312" spans="1:8" ht="15.75" hidden="1" x14ac:dyDescent="0.3">
      <c r="A312" s="26"/>
      <c r="B312" s="26"/>
      <c r="C312" s="146"/>
      <c r="D312" s="32"/>
      <c r="E312" s="32"/>
      <c r="F312" s="32"/>
      <c r="G312" s="36"/>
      <c r="H312" s="76"/>
    </row>
    <row r="313" spans="1:8" ht="15.75" hidden="1" x14ac:dyDescent="0.3">
      <c r="A313" s="26"/>
      <c r="B313" s="26"/>
      <c r="C313" s="146"/>
      <c r="D313" s="32"/>
      <c r="E313" s="32"/>
      <c r="F313" s="32"/>
      <c r="G313" s="36"/>
      <c r="H313" s="76"/>
    </row>
    <row r="314" spans="1:8" ht="15.75" hidden="1" x14ac:dyDescent="0.3">
      <c r="A314" s="26"/>
      <c r="B314" s="26"/>
      <c r="C314" s="146"/>
      <c r="D314" s="32"/>
      <c r="E314" s="32"/>
      <c r="F314" s="32"/>
      <c r="G314" s="36"/>
      <c r="H314" s="76"/>
    </row>
    <row r="315" spans="1:8" ht="15.75" hidden="1" x14ac:dyDescent="0.3">
      <c r="A315" s="26"/>
      <c r="B315" s="26"/>
      <c r="C315" s="146"/>
      <c r="D315" s="32"/>
      <c r="E315" s="32"/>
      <c r="F315" s="32"/>
      <c r="G315" s="36"/>
      <c r="H315" s="76"/>
    </row>
    <row r="316" spans="1:8" ht="15.75" hidden="1" x14ac:dyDescent="0.3">
      <c r="A316" s="26"/>
      <c r="B316" s="26"/>
      <c r="C316" s="146"/>
      <c r="D316" s="32"/>
      <c r="E316" s="32"/>
      <c r="F316" s="32"/>
      <c r="G316" s="36"/>
      <c r="H316" s="76"/>
    </row>
    <row r="317" spans="1:8" ht="15.75" hidden="1" x14ac:dyDescent="0.3">
      <c r="A317" s="26"/>
      <c r="B317" s="26"/>
      <c r="C317" s="146"/>
      <c r="D317" s="32"/>
      <c r="E317" s="32"/>
      <c r="F317" s="32"/>
      <c r="G317" s="36"/>
      <c r="H317" s="76"/>
    </row>
    <row r="318" spans="1:8" ht="15.75" hidden="1" x14ac:dyDescent="0.3">
      <c r="A318" s="26"/>
      <c r="B318" s="26"/>
      <c r="C318" s="146"/>
      <c r="D318" s="32"/>
      <c r="E318" s="32"/>
      <c r="F318" s="32"/>
      <c r="G318" s="36"/>
      <c r="H318" s="76"/>
    </row>
    <row r="319" spans="1:8" ht="15.75" hidden="1" x14ac:dyDescent="0.3">
      <c r="A319" s="26"/>
      <c r="B319" s="26"/>
      <c r="C319" s="146"/>
      <c r="D319" s="32"/>
      <c r="E319" s="32"/>
      <c r="F319" s="32"/>
      <c r="G319" s="36"/>
      <c r="H319" s="76"/>
    </row>
    <row r="320" spans="1:8" ht="15.75" hidden="1" x14ac:dyDescent="0.3">
      <c r="A320" s="26"/>
      <c r="B320" s="26"/>
      <c r="C320" s="146"/>
      <c r="D320" s="32"/>
      <c r="E320" s="32"/>
      <c r="F320" s="32"/>
      <c r="G320" s="36"/>
      <c r="H320" s="76"/>
    </row>
    <row r="321" spans="1:8" ht="15.75" hidden="1" x14ac:dyDescent="0.3">
      <c r="A321" s="101"/>
      <c r="B321" s="101"/>
      <c r="C321" s="146"/>
      <c r="D321" s="32"/>
      <c r="E321" s="32"/>
      <c r="F321" s="32"/>
      <c r="G321" s="36"/>
      <c r="H321" s="76"/>
    </row>
    <row r="322" spans="1:8" ht="15.75" hidden="1" x14ac:dyDescent="0.3">
      <c r="A322" s="101"/>
      <c r="B322" s="101"/>
      <c r="C322" s="146"/>
      <c r="D322" s="32"/>
      <c r="E322" s="32"/>
      <c r="F322" s="32"/>
      <c r="G322" s="36"/>
      <c r="H322" s="76"/>
    </row>
    <row r="323" spans="1:8" ht="15.75" hidden="1" x14ac:dyDescent="0.3">
      <c r="A323" s="101"/>
      <c r="B323" s="101"/>
      <c r="C323" s="146"/>
      <c r="D323" s="32"/>
      <c r="E323" s="32"/>
      <c r="F323" s="32"/>
      <c r="G323" s="36"/>
      <c r="H323" s="76"/>
    </row>
    <row r="324" spans="1:8" ht="15.75" hidden="1" x14ac:dyDescent="0.3">
      <c r="A324" s="101"/>
      <c r="B324" s="101"/>
      <c r="C324" s="146"/>
      <c r="D324" s="32"/>
      <c r="E324" s="32"/>
      <c r="F324" s="32"/>
      <c r="G324" s="36"/>
      <c r="H324" s="76"/>
    </row>
    <row r="325" spans="1:8" ht="15.75" hidden="1" x14ac:dyDescent="0.3">
      <c r="A325" s="101"/>
      <c r="B325" s="101"/>
      <c r="C325" s="146"/>
      <c r="D325" s="32"/>
      <c r="E325" s="32"/>
      <c r="F325" s="32"/>
      <c r="G325" s="36"/>
      <c r="H325" s="76"/>
    </row>
    <row r="326" spans="1:8" ht="15.75" hidden="1" x14ac:dyDescent="0.3">
      <c r="A326" s="101"/>
      <c r="B326" s="101"/>
      <c r="C326" s="146"/>
      <c r="D326" s="32"/>
      <c r="E326" s="32"/>
      <c r="F326" s="32"/>
      <c r="G326" s="36"/>
      <c r="H326" s="76"/>
    </row>
    <row r="327" spans="1:8" ht="15.75" hidden="1" x14ac:dyDescent="0.3">
      <c r="A327" s="101"/>
      <c r="B327" s="101"/>
      <c r="C327" s="146"/>
      <c r="D327" s="32"/>
      <c r="E327" s="32"/>
      <c r="F327" s="32"/>
      <c r="G327" s="36"/>
      <c r="H327" s="76"/>
    </row>
    <row r="328" spans="1:8" ht="15.75" hidden="1" x14ac:dyDescent="0.3">
      <c r="A328" s="101"/>
      <c r="B328" s="101"/>
      <c r="C328" s="146"/>
      <c r="D328" s="32"/>
      <c r="E328" s="32"/>
      <c r="F328" s="32"/>
      <c r="G328" s="36"/>
      <c r="H328" s="76"/>
    </row>
    <row r="329" spans="1:8" ht="15.75" hidden="1" x14ac:dyDescent="0.3">
      <c r="A329" s="101"/>
      <c r="B329" s="101"/>
      <c r="C329" s="146"/>
      <c r="D329" s="32"/>
      <c r="E329" s="32"/>
      <c r="F329" s="32"/>
      <c r="G329" s="36"/>
      <c r="H329" s="76"/>
    </row>
    <row r="330" spans="1:8" ht="15.75" hidden="1" x14ac:dyDescent="0.3">
      <c r="A330" s="101"/>
      <c r="B330" s="101"/>
      <c r="C330" s="146"/>
      <c r="D330" s="32"/>
      <c r="E330" s="32"/>
      <c r="F330" s="32"/>
      <c r="G330" s="36"/>
      <c r="H330" s="76"/>
    </row>
    <row r="331" spans="1:8" ht="15.75" hidden="1" x14ac:dyDescent="0.3">
      <c r="A331" s="101"/>
      <c r="B331" s="101"/>
      <c r="C331" s="146"/>
      <c r="D331" s="32"/>
      <c r="E331" s="32"/>
      <c r="F331" s="32"/>
      <c r="G331" s="36"/>
      <c r="H331" s="76"/>
    </row>
    <row r="332" spans="1:8" ht="15.75" hidden="1" x14ac:dyDescent="0.3">
      <c r="A332" s="101"/>
      <c r="B332" s="101"/>
      <c r="C332" s="146"/>
      <c r="D332" s="32"/>
      <c r="E332" s="32"/>
      <c r="F332" s="32"/>
      <c r="G332" s="36"/>
      <c r="H332" s="76"/>
    </row>
    <row r="333" spans="1:8" ht="15.75" hidden="1" x14ac:dyDescent="0.3">
      <c r="A333" s="101"/>
      <c r="B333" s="101"/>
      <c r="C333" s="146"/>
      <c r="D333" s="32"/>
      <c r="E333" s="32"/>
      <c r="F333" s="32"/>
      <c r="G333" s="36"/>
      <c r="H333" s="76"/>
    </row>
    <row r="334" spans="1:8" ht="15.75" hidden="1" x14ac:dyDescent="0.3">
      <c r="A334" s="101"/>
      <c r="B334" s="101"/>
      <c r="C334" s="146"/>
      <c r="D334" s="32"/>
      <c r="E334" s="32"/>
      <c r="F334" s="32"/>
      <c r="G334" s="36"/>
      <c r="H334" s="76"/>
    </row>
    <row r="335" spans="1:8" ht="15.75" hidden="1" x14ac:dyDescent="0.3">
      <c r="A335" s="101"/>
      <c r="B335" s="101"/>
      <c r="C335" s="146"/>
      <c r="D335" s="32"/>
      <c r="E335" s="32"/>
      <c r="F335" s="32"/>
      <c r="G335" s="36"/>
      <c r="H335" s="76"/>
    </row>
    <row r="336" spans="1:8" ht="15.75" hidden="1" x14ac:dyDescent="0.3">
      <c r="A336" s="101"/>
      <c r="B336" s="101"/>
      <c r="C336" s="146"/>
      <c r="D336" s="32"/>
      <c r="E336" s="32"/>
      <c r="F336" s="32"/>
      <c r="G336" s="36"/>
      <c r="H336" s="76"/>
    </row>
    <row r="337" spans="1:8" ht="15.75" hidden="1" x14ac:dyDescent="0.3">
      <c r="A337" s="101"/>
      <c r="B337" s="101"/>
      <c r="C337" s="146"/>
      <c r="D337" s="32"/>
      <c r="E337" s="32"/>
      <c r="F337" s="32"/>
      <c r="G337" s="36"/>
      <c r="H337" s="76"/>
    </row>
    <row r="338" spans="1:8" ht="15.75" hidden="1" x14ac:dyDescent="0.3">
      <c r="A338" s="101"/>
      <c r="B338" s="101"/>
      <c r="C338" s="146"/>
      <c r="D338" s="32"/>
      <c r="E338" s="32"/>
      <c r="F338" s="32"/>
      <c r="G338" s="36"/>
      <c r="H338" s="76"/>
    </row>
    <row r="339" spans="1:8" ht="15.75" hidden="1" x14ac:dyDescent="0.3">
      <c r="A339" s="101"/>
      <c r="B339" s="101"/>
      <c r="C339" s="146"/>
      <c r="D339" s="27"/>
      <c r="E339" s="32"/>
      <c r="F339" s="27"/>
      <c r="G339" s="26"/>
      <c r="H339" s="76"/>
    </row>
    <row r="340" spans="1:8" ht="15.75" hidden="1" x14ac:dyDescent="0.3">
      <c r="A340" s="101"/>
      <c r="B340" s="101"/>
      <c r="C340" s="146"/>
      <c r="D340" s="27"/>
      <c r="E340" s="32"/>
      <c r="F340" s="27"/>
      <c r="G340" s="26"/>
      <c r="H340" s="76"/>
    </row>
    <row r="341" spans="1:8" ht="15.75" hidden="1" x14ac:dyDescent="0.3">
      <c r="A341" s="101"/>
      <c r="B341" s="101"/>
      <c r="C341" s="146"/>
      <c r="D341" s="27"/>
      <c r="E341" s="32"/>
      <c r="F341" s="27"/>
      <c r="G341" s="26"/>
      <c r="H341" s="76"/>
    </row>
    <row r="342" spans="1:8" ht="15.75" hidden="1" x14ac:dyDescent="0.3">
      <c r="A342" s="101"/>
      <c r="B342" s="101"/>
      <c r="C342" s="146"/>
      <c r="D342" s="27"/>
      <c r="E342" s="32"/>
      <c r="F342" s="27"/>
      <c r="G342" s="26"/>
      <c r="H342" s="76"/>
    </row>
    <row r="343" spans="1:8" ht="15.75" hidden="1" x14ac:dyDescent="0.3">
      <c r="A343" s="101"/>
      <c r="B343" s="101"/>
      <c r="C343" s="146"/>
      <c r="D343" s="27"/>
      <c r="E343" s="32"/>
      <c r="F343" s="27"/>
      <c r="G343" s="26"/>
      <c r="H343" s="76"/>
    </row>
    <row r="344" spans="1:8" ht="15.75" hidden="1" x14ac:dyDescent="0.3">
      <c r="A344" s="26"/>
      <c r="B344" s="26"/>
      <c r="C344" s="146"/>
      <c r="D344" s="27"/>
      <c r="E344" s="32"/>
      <c r="F344" s="27"/>
      <c r="G344" s="26"/>
      <c r="H344" s="76"/>
    </row>
    <row r="345" spans="1:8" ht="15.75" hidden="1" x14ac:dyDescent="0.3">
      <c r="A345" s="26"/>
      <c r="B345" s="26"/>
      <c r="C345" s="146"/>
      <c r="D345" s="27"/>
      <c r="E345" s="32"/>
      <c r="F345" s="27"/>
      <c r="G345" s="26"/>
      <c r="H345" s="76"/>
    </row>
    <row r="346" spans="1:8" ht="15.75" hidden="1" x14ac:dyDescent="0.3">
      <c r="A346" s="26"/>
      <c r="B346" s="26"/>
      <c r="C346" s="146"/>
      <c r="D346" s="27"/>
      <c r="E346" s="32"/>
      <c r="F346" s="27"/>
      <c r="G346" s="26"/>
      <c r="H346" s="76"/>
    </row>
    <row r="347" spans="1:8" ht="15.75" hidden="1" x14ac:dyDescent="0.3">
      <c r="A347" s="26"/>
      <c r="B347" s="26"/>
      <c r="C347" s="146"/>
      <c r="D347" s="27"/>
      <c r="E347" s="32"/>
      <c r="F347" s="27"/>
      <c r="G347" s="26"/>
      <c r="H347" s="76"/>
    </row>
    <row r="348" spans="1:8" ht="15.75" hidden="1" x14ac:dyDescent="0.3">
      <c r="A348" s="26"/>
      <c r="B348" s="26"/>
      <c r="C348" s="146"/>
      <c r="D348" s="27"/>
      <c r="E348" s="32"/>
      <c r="F348" s="27"/>
      <c r="G348" s="26"/>
      <c r="H348" s="76"/>
    </row>
    <row r="349" spans="1:8" ht="15.75" hidden="1" x14ac:dyDescent="0.3">
      <c r="A349" s="26"/>
      <c r="B349" s="26"/>
      <c r="C349" s="146"/>
      <c r="D349" s="27"/>
      <c r="E349" s="32"/>
      <c r="F349" s="27"/>
      <c r="G349" s="26"/>
      <c r="H349" s="76"/>
    </row>
    <row r="350" spans="1:8" ht="15.75" hidden="1" x14ac:dyDescent="0.3">
      <c r="A350" s="26"/>
      <c r="B350" s="26"/>
      <c r="C350" s="146"/>
      <c r="D350" s="27"/>
      <c r="E350" s="32"/>
      <c r="F350" s="27"/>
      <c r="G350" s="26"/>
      <c r="H350" s="76"/>
    </row>
    <row r="351" spans="1:8" ht="15.75" hidden="1" x14ac:dyDescent="0.3">
      <c r="A351" s="26"/>
      <c r="B351" s="26"/>
      <c r="C351" s="146"/>
      <c r="D351" s="27"/>
      <c r="E351" s="32"/>
      <c r="F351" s="27"/>
      <c r="G351" s="26"/>
      <c r="H351" s="76"/>
    </row>
    <row r="352" spans="1:8" ht="15.75" hidden="1" x14ac:dyDescent="0.3">
      <c r="A352" s="26"/>
      <c r="B352" s="26"/>
      <c r="C352" s="146"/>
      <c r="D352" s="27"/>
      <c r="E352" s="32"/>
      <c r="F352" s="27"/>
      <c r="G352" s="26"/>
      <c r="H352" s="76"/>
    </row>
    <row r="353" spans="1:8" ht="15.75" hidden="1" x14ac:dyDescent="0.3">
      <c r="A353" s="26"/>
      <c r="B353" s="26"/>
      <c r="C353" s="146"/>
      <c r="D353" s="27"/>
      <c r="E353" s="32"/>
      <c r="F353" s="27"/>
      <c r="G353" s="26"/>
      <c r="H353" s="76"/>
    </row>
    <row r="354" spans="1:8" ht="15.75" hidden="1" x14ac:dyDescent="0.3">
      <c r="A354" s="26"/>
      <c r="B354" s="26"/>
      <c r="C354" s="146"/>
      <c r="D354" s="27"/>
      <c r="E354" s="32"/>
      <c r="F354" s="27"/>
      <c r="G354" s="26"/>
      <c r="H354" s="76"/>
    </row>
    <row r="355" spans="1:8" ht="15.75" hidden="1" x14ac:dyDescent="0.3">
      <c r="A355" s="101"/>
      <c r="B355" s="101"/>
      <c r="C355" s="146"/>
      <c r="D355" s="27"/>
      <c r="E355" s="32"/>
      <c r="F355" s="27"/>
      <c r="G355" s="26"/>
      <c r="H355" s="76"/>
    </row>
    <row r="356" spans="1:8" ht="15.75" hidden="1" x14ac:dyDescent="0.3">
      <c r="A356" s="101"/>
      <c r="B356" s="101"/>
      <c r="C356" s="146"/>
      <c r="D356" s="27"/>
      <c r="E356" s="32"/>
      <c r="F356" s="27"/>
      <c r="G356" s="26"/>
      <c r="H356" s="76"/>
    </row>
    <row r="357" spans="1:8" ht="15.75" hidden="1" x14ac:dyDescent="0.3">
      <c r="A357" s="101"/>
      <c r="B357" s="101"/>
      <c r="C357" s="146"/>
      <c r="D357" s="27"/>
      <c r="E357" s="32"/>
      <c r="F357" s="27"/>
      <c r="G357" s="26"/>
      <c r="H357" s="76"/>
    </row>
    <row r="358" spans="1:8" ht="15.75" hidden="1" x14ac:dyDescent="0.3">
      <c r="A358" s="101"/>
      <c r="B358" s="101"/>
      <c r="C358" s="146"/>
      <c r="D358" s="27"/>
      <c r="E358" s="32"/>
      <c r="F358" s="27"/>
      <c r="G358" s="26"/>
      <c r="H358" s="76"/>
    </row>
    <row r="359" spans="1:8" ht="15.75" hidden="1" x14ac:dyDescent="0.3">
      <c r="A359" s="101"/>
      <c r="B359" s="101"/>
      <c r="C359" s="146"/>
      <c r="D359" s="27"/>
      <c r="E359" s="32"/>
      <c r="F359" s="27"/>
      <c r="G359" s="26"/>
      <c r="H359" s="76"/>
    </row>
    <row r="360" spans="1:8" ht="15.75" hidden="1" x14ac:dyDescent="0.3">
      <c r="A360" s="101"/>
      <c r="B360" s="101"/>
      <c r="C360" s="146"/>
      <c r="D360" s="27"/>
      <c r="E360" s="32"/>
      <c r="F360" s="27"/>
      <c r="G360" s="26"/>
      <c r="H360" s="76"/>
    </row>
    <row r="361" spans="1:8" ht="15.75" hidden="1" x14ac:dyDescent="0.3">
      <c r="A361" s="101"/>
      <c r="B361" s="101"/>
      <c r="C361" s="146"/>
      <c r="D361" s="27"/>
      <c r="E361" s="32"/>
      <c r="F361" s="27"/>
      <c r="G361" s="26"/>
      <c r="H361" s="76"/>
    </row>
    <row r="362" spans="1:8" ht="15.75" hidden="1" x14ac:dyDescent="0.3">
      <c r="A362" s="101"/>
      <c r="B362" s="101"/>
      <c r="C362" s="146"/>
      <c r="D362" s="27"/>
      <c r="E362" s="32"/>
      <c r="F362" s="27"/>
      <c r="G362" s="26"/>
      <c r="H362" s="76"/>
    </row>
    <row r="363" spans="1:8" ht="15.75" hidden="1" x14ac:dyDescent="0.3">
      <c r="A363" s="101"/>
      <c r="B363" s="101"/>
      <c r="C363" s="146"/>
      <c r="D363" s="27"/>
      <c r="E363" s="32"/>
      <c r="F363" s="27"/>
      <c r="G363" s="26"/>
      <c r="H363" s="76"/>
    </row>
    <row r="364" spans="1:8" ht="15.75" hidden="1" x14ac:dyDescent="0.3">
      <c r="A364" s="101"/>
      <c r="B364" s="101"/>
      <c r="C364" s="146"/>
      <c r="D364" s="27"/>
      <c r="E364" s="32"/>
      <c r="F364" s="27"/>
      <c r="G364" s="26"/>
      <c r="H364" s="76"/>
    </row>
    <row r="365" spans="1:8" ht="15.75" hidden="1" x14ac:dyDescent="0.3">
      <c r="A365" s="101"/>
      <c r="B365" s="101"/>
      <c r="C365" s="146"/>
      <c r="D365" s="27"/>
      <c r="E365" s="32"/>
      <c r="F365" s="27"/>
      <c r="G365" s="26"/>
      <c r="H365" s="76"/>
    </row>
    <row r="366" spans="1:8" ht="15.75" hidden="1" x14ac:dyDescent="0.3">
      <c r="A366" s="101"/>
      <c r="B366" s="101"/>
      <c r="C366" s="146"/>
      <c r="D366" s="27"/>
      <c r="E366" s="32"/>
      <c r="F366" s="27"/>
      <c r="G366" s="26"/>
      <c r="H366" s="76"/>
    </row>
    <row r="367" spans="1:8" ht="15.75" hidden="1" x14ac:dyDescent="0.3">
      <c r="A367" s="101"/>
      <c r="B367" s="101"/>
      <c r="C367" s="146"/>
      <c r="D367" s="27"/>
      <c r="E367" s="32"/>
      <c r="F367" s="27"/>
      <c r="G367" s="26"/>
      <c r="H367" s="76"/>
    </row>
    <row r="368" spans="1:8" ht="15.75" hidden="1" x14ac:dyDescent="0.3">
      <c r="A368" s="101"/>
      <c r="B368" s="101"/>
      <c r="C368" s="146"/>
      <c r="D368" s="27"/>
      <c r="E368" s="32"/>
      <c r="F368" s="27"/>
      <c r="G368" s="26"/>
      <c r="H368" s="76"/>
    </row>
    <row r="369" spans="1:8" ht="15.75" hidden="1" x14ac:dyDescent="0.3">
      <c r="A369" s="101"/>
      <c r="B369" s="101"/>
      <c r="C369" s="146"/>
      <c r="D369" s="27"/>
      <c r="E369" s="32"/>
      <c r="F369" s="27"/>
      <c r="G369" s="26"/>
      <c r="H369" s="76"/>
    </row>
    <row r="370" spans="1:8" ht="15.75" hidden="1" x14ac:dyDescent="0.3">
      <c r="A370" s="101"/>
      <c r="B370" s="101"/>
      <c r="C370" s="146"/>
      <c r="D370" s="27"/>
      <c r="E370" s="32"/>
      <c r="F370" s="27"/>
      <c r="G370" s="26"/>
      <c r="H370" s="76"/>
    </row>
    <row r="371" spans="1:8" ht="15.75" hidden="1" x14ac:dyDescent="0.3">
      <c r="A371" s="26"/>
      <c r="B371" s="26"/>
      <c r="C371" s="146"/>
      <c r="D371" s="27"/>
      <c r="E371" s="32"/>
      <c r="F371" s="27"/>
      <c r="G371" s="26"/>
      <c r="H371" s="76"/>
    </row>
    <row r="372" spans="1:8" ht="15.75" hidden="1" x14ac:dyDescent="0.3">
      <c r="A372" s="26"/>
      <c r="B372" s="26"/>
      <c r="C372" s="146"/>
      <c r="D372" s="27"/>
      <c r="E372" s="32"/>
      <c r="F372" s="27"/>
      <c r="G372" s="26"/>
      <c r="H372" s="76"/>
    </row>
    <row r="373" spans="1:8" ht="15.75" hidden="1" x14ac:dyDescent="0.3">
      <c r="A373" s="26"/>
      <c r="B373" s="26"/>
      <c r="C373" s="146"/>
      <c r="D373" s="27"/>
      <c r="E373" s="32"/>
      <c r="F373" s="27"/>
      <c r="G373" s="26"/>
      <c r="H373" s="76"/>
    </row>
    <row r="374" spans="1:8" ht="15.75" hidden="1" x14ac:dyDescent="0.3">
      <c r="A374" s="26"/>
      <c r="B374" s="26"/>
      <c r="C374" s="146"/>
      <c r="D374" s="27"/>
      <c r="E374" s="32"/>
      <c r="F374" s="27"/>
      <c r="G374" s="26"/>
      <c r="H374" s="76"/>
    </row>
    <row r="375" spans="1:8" ht="15.75" hidden="1" x14ac:dyDescent="0.3">
      <c r="A375" s="26"/>
      <c r="B375" s="26"/>
      <c r="C375" s="146"/>
      <c r="D375" s="27"/>
      <c r="E375" s="32"/>
      <c r="F375" s="27"/>
      <c r="G375" s="26"/>
      <c r="H375" s="76"/>
    </row>
    <row r="376" spans="1:8" ht="15.75" hidden="1" x14ac:dyDescent="0.3">
      <c r="A376" s="26"/>
      <c r="B376" s="26"/>
      <c r="C376" s="146"/>
      <c r="D376" s="27"/>
      <c r="E376" s="32"/>
      <c r="F376" s="27"/>
      <c r="G376" s="26"/>
      <c r="H376" s="76"/>
    </row>
    <row r="377" spans="1:8" ht="15.75" hidden="1" x14ac:dyDescent="0.3">
      <c r="A377" s="26"/>
      <c r="B377" s="26"/>
      <c r="C377" s="146"/>
      <c r="D377" s="27"/>
      <c r="E377" s="32"/>
      <c r="F377" s="27"/>
      <c r="G377" s="26"/>
      <c r="H377" s="76"/>
    </row>
    <row r="378" spans="1:8" ht="15.75" hidden="1" x14ac:dyDescent="0.3">
      <c r="A378" s="26"/>
      <c r="B378" s="26"/>
      <c r="C378" s="146"/>
      <c r="D378" s="27"/>
      <c r="E378" s="32"/>
      <c r="F378" s="27"/>
      <c r="G378" s="26"/>
      <c r="H378" s="76"/>
    </row>
    <row r="379" spans="1:8" ht="15.75" hidden="1" x14ac:dyDescent="0.3">
      <c r="A379" s="26"/>
      <c r="B379" s="26"/>
      <c r="C379" s="146"/>
      <c r="D379" s="27"/>
      <c r="E379" s="32"/>
      <c r="F379" s="27"/>
      <c r="G379" s="26"/>
      <c r="H379" s="76"/>
    </row>
    <row r="380" spans="1:8" ht="15.75" hidden="1" x14ac:dyDescent="0.3">
      <c r="A380" s="26"/>
      <c r="B380" s="26"/>
      <c r="C380" s="146"/>
      <c r="D380" s="27"/>
      <c r="E380" s="32"/>
      <c r="F380" s="27"/>
      <c r="G380" s="26"/>
      <c r="H380" s="76"/>
    </row>
    <row r="381" spans="1:8" ht="15.75" hidden="1" x14ac:dyDescent="0.3">
      <c r="A381" s="26"/>
      <c r="B381" s="26"/>
      <c r="C381" s="146"/>
      <c r="D381" s="27"/>
      <c r="E381" s="32"/>
      <c r="F381" s="27"/>
      <c r="G381" s="26"/>
      <c r="H381" s="76"/>
    </row>
    <row r="382" spans="1:8" ht="15.75" hidden="1" x14ac:dyDescent="0.3">
      <c r="A382" s="26"/>
      <c r="B382" s="26"/>
      <c r="C382" s="146"/>
      <c r="D382" s="27"/>
      <c r="E382" s="32"/>
      <c r="F382" s="27"/>
      <c r="G382" s="26"/>
      <c r="H382" s="76"/>
    </row>
    <row r="383" spans="1:8" ht="15.75" hidden="1" x14ac:dyDescent="0.3">
      <c r="A383" s="26"/>
      <c r="B383" s="26"/>
      <c r="C383" s="146"/>
      <c r="D383" s="27"/>
      <c r="E383" s="32"/>
      <c r="F383" s="27"/>
      <c r="G383" s="26"/>
      <c r="H383" s="76"/>
    </row>
    <row r="384" spans="1:8" ht="15.75" hidden="1" x14ac:dyDescent="0.3">
      <c r="A384" s="26"/>
      <c r="B384" s="26"/>
      <c r="C384" s="146"/>
      <c r="D384" s="27"/>
      <c r="E384" s="32"/>
      <c r="F384" s="27"/>
      <c r="G384" s="26"/>
      <c r="H384" s="76"/>
    </row>
    <row r="385" spans="1:8" ht="15.75" hidden="1" x14ac:dyDescent="0.3">
      <c r="A385" s="26"/>
      <c r="B385" s="26"/>
      <c r="C385" s="146"/>
      <c r="D385" s="27"/>
      <c r="E385" s="32"/>
      <c r="F385" s="27"/>
      <c r="G385" s="26"/>
      <c r="H385" s="76"/>
    </row>
    <row r="386" spans="1:8" ht="15.75" hidden="1" x14ac:dyDescent="0.3">
      <c r="A386" s="26"/>
      <c r="B386" s="26"/>
      <c r="C386" s="146"/>
      <c r="D386" s="27"/>
      <c r="E386" s="32"/>
      <c r="F386" s="27"/>
      <c r="G386" s="26"/>
      <c r="H386" s="76"/>
    </row>
    <row r="387" spans="1:8" ht="15.75" hidden="1" x14ac:dyDescent="0.3">
      <c r="A387" s="26"/>
      <c r="B387" s="26"/>
      <c r="C387" s="146"/>
      <c r="D387" s="27"/>
      <c r="E387" s="32"/>
      <c r="F387" s="27"/>
      <c r="G387" s="26"/>
      <c r="H387" s="76"/>
    </row>
    <row r="388" spans="1:8" ht="15.75" hidden="1" x14ac:dyDescent="0.3">
      <c r="A388" s="26"/>
      <c r="B388" s="26"/>
      <c r="C388" s="146"/>
      <c r="D388" s="27"/>
      <c r="E388" s="32"/>
      <c r="F388" s="27"/>
      <c r="G388" s="26"/>
      <c r="H388" s="76"/>
    </row>
    <row r="389" spans="1:8" ht="15.75" hidden="1" x14ac:dyDescent="0.3">
      <c r="A389" s="26"/>
      <c r="B389" s="26"/>
      <c r="C389" s="146"/>
      <c r="D389" s="27"/>
      <c r="E389" s="32"/>
      <c r="F389" s="27"/>
      <c r="G389" s="26"/>
      <c r="H389" s="76"/>
    </row>
    <row r="390" spans="1:8" ht="15.75" hidden="1" x14ac:dyDescent="0.3">
      <c r="A390" s="101"/>
      <c r="B390" s="101"/>
      <c r="C390" s="146"/>
      <c r="D390" s="27"/>
      <c r="E390" s="32"/>
      <c r="F390" s="27"/>
      <c r="G390" s="26"/>
      <c r="H390" s="76"/>
    </row>
    <row r="391" spans="1:8" ht="15.75" hidden="1" x14ac:dyDescent="0.3">
      <c r="A391" s="101"/>
      <c r="B391" s="101"/>
      <c r="C391" s="146"/>
      <c r="D391" s="27"/>
      <c r="E391" s="32"/>
      <c r="F391" s="27"/>
      <c r="G391" s="26"/>
      <c r="H391" s="76"/>
    </row>
    <row r="392" spans="1:8" ht="15.75" hidden="1" x14ac:dyDescent="0.3">
      <c r="A392" s="101"/>
      <c r="B392" s="101"/>
      <c r="C392" s="146"/>
      <c r="D392" s="27"/>
      <c r="E392" s="32"/>
      <c r="F392" s="27"/>
      <c r="G392" s="26"/>
      <c r="H392" s="76"/>
    </row>
    <row r="393" spans="1:8" ht="15.75" hidden="1" x14ac:dyDescent="0.3">
      <c r="A393" s="101"/>
      <c r="B393" s="101"/>
      <c r="C393" s="146"/>
      <c r="D393" s="27"/>
      <c r="E393" s="32"/>
      <c r="F393" s="27"/>
      <c r="G393" s="26"/>
      <c r="H393" s="76"/>
    </row>
    <row r="394" spans="1:8" ht="15.75" hidden="1" x14ac:dyDescent="0.3">
      <c r="A394" s="101"/>
      <c r="B394" s="101"/>
      <c r="C394" s="146"/>
      <c r="D394" s="27"/>
      <c r="E394" s="32"/>
      <c r="F394" s="27"/>
      <c r="G394" s="26"/>
      <c r="H394" s="76"/>
    </row>
    <row r="395" spans="1:8" ht="15.75" hidden="1" x14ac:dyDescent="0.3">
      <c r="A395" s="101"/>
      <c r="B395" s="101"/>
      <c r="C395" s="146"/>
      <c r="D395" s="27"/>
      <c r="E395" s="32"/>
      <c r="F395" s="27"/>
      <c r="G395" s="26"/>
      <c r="H395" s="76"/>
    </row>
    <row r="396" spans="1:8" ht="15.75" hidden="1" x14ac:dyDescent="0.3">
      <c r="A396" s="101"/>
      <c r="B396" s="101"/>
      <c r="C396" s="146"/>
      <c r="D396" s="27"/>
      <c r="E396" s="32"/>
      <c r="F396" s="27"/>
      <c r="G396" s="26"/>
      <c r="H396" s="76"/>
    </row>
    <row r="397" spans="1:8" ht="15.75" hidden="1" x14ac:dyDescent="0.3">
      <c r="A397" s="101"/>
      <c r="B397" s="101"/>
      <c r="C397" s="146"/>
      <c r="D397" s="27"/>
      <c r="E397" s="32"/>
      <c r="F397" s="27"/>
      <c r="G397" s="26"/>
      <c r="H397" s="76"/>
    </row>
    <row r="398" spans="1:8" ht="15.75" hidden="1" x14ac:dyDescent="0.3">
      <c r="A398" s="101"/>
      <c r="B398" s="101"/>
      <c r="C398" s="146"/>
      <c r="D398" s="27"/>
      <c r="E398" s="32"/>
      <c r="F398" s="27"/>
      <c r="G398" s="26"/>
      <c r="H398" s="76"/>
    </row>
    <row r="399" spans="1:8" ht="15.75" hidden="1" x14ac:dyDescent="0.3">
      <c r="A399" s="101"/>
      <c r="B399" s="101"/>
      <c r="C399" s="146"/>
      <c r="D399" s="27"/>
      <c r="E399" s="32"/>
      <c r="F399" s="27"/>
      <c r="G399" s="26"/>
      <c r="H399" s="76"/>
    </row>
    <row r="400" spans="1:8" ht="15.75" hidden="1" x14ac:dyDescent="0.3">
      <c r="A400" s="101"/>
      <c r="B400" s="101"/>
      <c r="C400" s="146"/>
      <c r="D400" s="27"/>
      <c r="E400" s="32"/>
      <c r="F400" s="27"/>
      <c r="G400" s="26"/>
      <c r="H400" s="76"/>
    </row>
    <row r="401" spans="1:8" ht="15.75" hidden="1" x14ac:dyDescent="0.3">
      <c r="A401" s="101"/>
      <c r="B401" s="101"/>
      <c r="C401" s="146"/>
      <c r="D401" s="27"/>
      <c r="E401" s="32"/>
      <c r="F401" s="27"/>
      <c r="G401" s="26"/>
      <c r="H401" s="76"/>
    </row>
    <row r="402" spans="1:8" ht="15.75" hidden="1" x14ac:dyDescent="0.3">
      <c r="A402" s="101"/>
      <c r="B402" s="101"/>
      <c r="C402" s="146"/>
      <c r="D402" s="27"/>
      <c r="E402" s="32"/>
      <c r="F402" s="27"/>
      <c r="G402" s="26"/>
      <c r="H402" s="76"/>
    </row>
    <row r="403" spans="1:8" ht="15.75" hidden="1" x14ac:dyDescent="0.3">
      <c r="A403" s="101"/>
      <c r="B403" s="101"/>
      <c r="C403" s="146"/>
      <c r="D403" s="27"/>
      <c r="E403" s="32"/>
      <c r="F403" s="27"/>
      <c r="G403" s="26"/>
      <c r="H403" s="76"/>
    </row>
    <row r="404" spans="1:8" ht="15.75" hidden="1" x14ac:dyDescent="0.3">
      <c r="A404" s="101"/>
      <c r="B404" s="101"/>
      <c r="C404" s="146"/>
      <c r="D404" s="27"/>
      <c r="E404" s="32"/>
      <c r="F404" s="27"/>
      <c r="G404" s="26"/>
      <c r="H404" s="76"/>
    </row>
    <row r="405" spans="1:8" ht="15.75" hidden="1" x14ac:dyDescent="0.3">
      <c r="A405" s="26"/>
      <c r="B405" s="26"/>
      <c r="C405" s="146"/>
      <c r="D405" s="27"/>
      <c r="E405" s="32"/>
      <c r="F405" s="27"/>
      <c r="G405" s="26"/>
      <c r="H405" s="76"/>
    </row>
    <row r="406" spans="1:8" ht="15.75" hidden="1" x14ac:dyDescent="0.3">
      <c r="A406" s="26"/>
      <c r="B406" s="26"/>
      <c r="C406" s="146"/>
      <c r="D406" s="27"/>
      <c r="E406" s="32"/>
      <c r="F406" s="27"/>
      <c r="G406" s="26"/>
      <c r="H406" s="76"/>
    </row>
    <row r="407" spans="1:8" ht="15.75" hidden="1" x14ac:dyDescent="0.3">
      <c r="A407" s="26"/>
      <c r="B407" s="26"/>
      <c r="C407" s="146"/>
      <c r="D407" s="27"/>
      <c r="E407" s="32"/>
      <c r="F407" s="27"/>
      <c r="G407" s="26"/>
      <c r="H407" s="76"/>
    </row>
    <row r="408" spans="1:8" ht="15.75" hidden="1" x14ac:dyDescent="0.3">
      <c r="A408" s="26"/>
      <c r="B408" s="26"/>
      <c r="C408" s="146"/>
      <c r="D408" s="27"/>
      <c r="E408" s="32"/>
      <c r="F408" s="27"/>
      <c r="G408" s="26"/>
      <c r="H408" s="76"/>
    </row>
    <row r="409" spans="1:8" ht="15.75" hidden="1" x14ac:dyDescent="0.3">
      <c r="A409" s="26"/>
      <c r="B409" s="26"/>
      <c r="C409" s="146"/>
      <c r="D409" s="27"/>
      <c r="E409" s="32"/>
      <c r="F409" s="27"/>
      <c r="G409" s="26"/>
      <c r="H409" s="76"/>
    </row>
    <row r="410" spans="1:8" ht="15.75" hidden="1" x14ac:dyDescent="0.3">
      <c r="A410" s="26"/>
      <c r="B410" s="26"/>
      <c r="C410" s="146"/>
      <c r="D410" s="27"/>
      <c r="E410" s="32"/>
      <c r="F410" s="27"/>
      <c r="G410" s="26"/>
      <c r="H410" s="76"/>
    </row>
    <row r="411" spans="1:8" ht="15.75" hidden="1" x14ac:dyDescent="0.3">
      <c r="A411" s="26"/>
      <c r="B411" s="26"/>
      <c r="C411" s="146"/>
      <c r="D411" s="27"/>
      <c r="E411" s="32"/>
      <c r="F411" s="27"/>
      <c r="G411" s="26"/>
      <c r="H411" s="76"/>
    </row>
    <row r="412" spans="1:8" ht="15.75" hidden="1" x14ac:dyDescent="0.3">
      <c r="A412" s="26"/>
      <c r="B412" s="26"/>
      <c r="C412" s="146"/>
      <c r="D412" s="27"/>
      <c r="E412" s="32"/>
      <c r="F412" s="27"/>
      <c r="G412" s="26"/>
      <c r="H412" s="76"/>
    </row>
    <row r="413" spans="1:8" ht="15.75" hidden="1" x14ac:dyDescent="0.3">
      <c r="A413" s="26"/>
      <c r="B413" s="26"/>
      <c r="C413" s="146"/>
      <c r="D413" s="27"/>
      <c r="E413" s="32"/>
      <c r="F413" s="27"/>
      <c r="G413" s="26"/>
      <c r="H413" s="76"/>
    </row>
    <row r="414" spans="1:8" ht="15.75" hidden="1" x14ac:dyDescent="0.3">
      <c r="A414" s="26"/>
      <c r="B414" s="26"/>
      <c r="C414" s="146"/>
      <c r="D414" s="27"/>
      <c r="E414" s="32"/>
      <c r="F414" s="27"/>
      <c r="G414" s="26"/>
      <c r="H414" s="76"/>
    </row>
    <row r="415" spans="1:8" ht="15.75" hidden="1" x14ac:dyDescent="0.3">
      <c r="A415" s="26"/>
      <c r="B415" s="26"/>
      <c r="C415" s="146"/>
      <c r="D415" s="27"/>
      <c r="E415" s="32"/>
      <c r="F415" s="27"/>
      <c r="G415" s="26"/>
      <c r="H415" s="76"/>
    </row>
    <row r="416" spans="1:8" ht="15.75" hidden="1" x14ac:dyDescent="0.3">
      <c r="A416" s="26"/>
      <c r="B416" s="26"/>
      <c r="C416" s="146"/>
      <c r="D416" s="27"/>
      <c r="E416" s="32"/>
      <c r="F416" s="27"/>
      <c r="G416" s="26"/>
      <c r="H416" s="76"/>
    </row>
    <row r="417" spans="1:8" ht="15.75" hidden="1" x14ac:dyDescent="0.3">
      <c r="A417" s="26"/>
      <c r="B417" s="26"/>
      <c r="C417" s="146"/>
      <c r="D417" s="27"/>
      <c r="E417" s="32"/>
      <c r="F417" s="27"/>
      <c r="G417" s="26"/>
      <c r="H417" s="76"/>
    </row>
    <row r="418" spans="1:8" ht="15.75" hidden="1" x14ac:dyDescent="0.3">
      <c r="A418" s="26"/>
      <c r="B418" s="26"/>
      <c r="C418" s="146"/>
      <c r="D418" s="27"/>
      <c r="E418" s="32"/>
      <c r="F418" s="27"/>
      <c r="G418" s="26"/>
      <c r="H418" s="76"/>
    </row>
    <row r="419" spans="1:8" ht="15.75" hidden="1" x14ac:dyDescent="0.3">
      <c r="A419" s="26"/>
      <c r="B419" s="26"/>
      <c r="C419" s="146"/>
      <c r="D419" s="27"/>
      <c r="E419" s="32"/>
      <c r="F419" s="27"/>
      <c r="G419" s="26"/>
      <c r="H419" s="76"/>
    </row>
    <row r="420" spans="1:8" ht="15.75" hidden="1" x14ac:dyDescent="0.3">
      <c r="A420" s="26"/>
      <c r="B420" s="26"/>
      <c r="C420" s="146"/>
      <c r="D420" s="27"/>
      <c r="E420" s="32"/>
      <c r="F420" s="27"/>
      <c r="G420" s="26"/>
      <c r="H420" s="76"/>
    </row>
    <row r="421" spans="1:8" ht="15.75" hidden="1" x14ac:dyDescent="0.3">
      <c r="A421" s="26"/>
      <c r="B421" s="26"/>
      <c r="C421" s="146"/>
      <c r="D421" s="27"/>
      <c r="E421" s="32"/>
      <c r="F421" s="27"/>
      <c r="G421" s="26"/>
      <c r="H421" s="76"/>
    </row>
    <row r="422" spans="1:8" ht="15.75" hidden="1" x14ac:dyDescent="0.3">
      <c r="A422" s="26"/>
      <c r="B422" s="26"/>
      <c r="C422" s="146"/>
      <c r="D422" s="27"/>
      <c r="E422" s="32"/>
      <c r="F422" s="27"/>
      <c r="G422" s="26"/>
      <c r="H422" s="76"/>
    </row>
    <row r="423" spans="1:8" ht="15.75" hidden="1" x14ac:dyDescent="0.3">
      <c r="A423" s="26"/>
      <c r="B423" s="26"/>
      <c r="C423" s="146"/>
      <c r="D423" s="27"/>
      <c r="E423" s="32"/>
      <c r="F423" s="27"/>
      <c r="G423" s="26"/>
      <c r="H423" s="76"/>
    </row>
    <row r="424" spans="1:8" ht="15.75" hidden="1" x14ac:dyDescent="0.3">
      <c r="A424" s="26"/>
      <c r="B424" s="26"/>
      <c r="C424" s="146"/>
      <c r="D424" s="27"/>
      <c r="E424" s="32"/>
      <c r="F424" s="27"/>
      <c r="G424" s="26"/>
      <c r="H424" s="76"/>
    </row>
    <row r="425" spans="1:8" ht="15.75" hidden="1" x14ac:dyDescent="0.3">
      <c r="A425" s="26"/>
      <c r="B425" s="26"/>
      <c r="C425" s="146"/>
      <c r="D425" s="27"/>
      <c r="E425" s="32"/>
      <c r="F425" s="27"/>
      <c r="G425" s="26"/>
      <c r="H425" s="76"/>
    </row>
    <row r="426" spans="1:8" ht="15.75" hidden="1" x14ac:dyDescent="0.3">
      <c r="A426" s="26"/>
      <c r="B426" s="26"/>
      <c r="C426" s="146"/>
      <c r="D426" s="27"/>
      <c r="E426" s="32"/>
      <c r="F426" s="27"/>
      <c r="G426" s="26"/>
      <c r="H426" s="76"/>
    </row>
    <row r="427" spans="1:8" ht="15.75" hidden="1" x14ac:dyDescent="0.3">
      <c r="A427" s="26"/>
      <c r="B427" s="26"/>
      <c r="C427" s="146"/>
      <c r="D427" s="27"/>
      <c r="E427" s="32"/>
      <c r="F427" s="27"/>
      <c r="G427" s="26"/>
      <c r="H427" s="76"/>
    </row>
    <row r="428" spans="1:8" ht="15.75" hidden="1" x14ac:dyDescent="0.3">
      <c r="A428" s="26"/>
      <c r="B428" s="26"/>
      <c r="C428" s="146"/>
      <c r="D428" s="27"/>
      <c r="E428" s="32"/>
      <c r="F428" s="27"/>
      <c r="G428" s="26"/>
      <c r="H428" s="76"/>
    </row>
    <row r="429" spans="1:8" ht="15.75" hidden="1" x14ac:dyDescent="0.3">
      <c r="A429" s="26"/>
      <c r="B429" s="26"/>
      <c r="C429" s="146"/>
      <c r="D429" s="27"/>
      <c r="E429" s="32"/>
      <c r="F429" s="27"/>
      <c r="G429" s="26"/>
      <c r="H429" s="76"/>
    </row>
    <row r="430" spans="1:8" ht="15.75" hidden="1" x14ac:dyDescent="0.3">
      <c r="A430" s="26"/>
      <c r="B430" s="26"/>
      <c r="C430" s="146"/>
      <c r="D430" s="27"/>
      <c r="E430" s="32"/>
      <c r="F430" s="27"/>
      <c r="G430" s="26"/>
      <c r="H430" s="76"/>
    </row>
    <row r="431" spans="1:8" ht="15.75" hidden="1" x14ac:dyDescent="0.3">
      <c r="A431" s="26"/>
      <c r="B431" s="26"/>
      <c r="C431" s="146"/>
      <c r="D431" s="27"/>
      <c r="E431" s="32"/>
      <c r="F431" s="27"/>
      <c r="G431" s="26"/>
      <c r="H431" s="76"/>
    </row>
    <row r="432" spans="1:8" ht="15.75" hidden="1" x14ac:dyDescent="0.3">
      <c r="A432" s="26"/>
      <c r="B432" s="26"/>
      <c r="C432" s="146"/>
      <c r="D432" s="27"/>
      <c r="E432" s="32"/>
      <c r="F432" s="27"/>
      <c r="G432" s="26"/>
      <c r="H432" s="76"/>
    </row>
    <row r="433" spans="1:8" ht="15.75" hidden="1" x14ac:dyDescent="0.3">
      <c r="A433" s="26"/>
      <c r="B433" s="26"/>
      <c r="C433" s="146"/>
      <c r="D433" s="27"/>
      <c r="E433" s="32"/>
      <c r="F433" s="27"/>
      <c r="G433" s="26"/>
      <c r="H433" s="76"/>
    </row>
    <row r="434" spans="1:8" ht="15.75" hidden="1" x14ac:dyDescent="0.3">
      <c r="A434" s="26"/>
      <c r="B434" s="26"/>
      <c r="C434" s="146"/>
      <c r="D434" s="27"/>
      <c r="E434" s="32"/>
      <c r="F434" s="27"/>
      <c r="G434" s="26"/>
      <c r="H434" s="76"/>
    </row>
    <row r="435" spans="1:8" ht="15.75" hidden="1" x14ac:dyDescent="0.3">
      <c r="A435" s="26"/>
      <c r="B435" s="26"/>
      <c r="C435" s="146"/>
      <c r="D435" s="27"/>
      <c r="E435" s="32"/>
      <c r="F435" s="27"/>
      <c r="G435" s="26"/>
      <c r="H435" s="76"/>
    </row>
    <row r="436" spans="1:8" ht="15.75" hidden="1" x14ac:dyDescent="0.3">
      <c r="A436" s="26"/>
      <c r="B436" s="26"/>
      <c r="C436" s="146"/>
      <c r="D436" s="27"/>
      <c r="E436" s="32"/>
      <c r="F436" s="27"/>
      <c r="G436" s="26"/>
      <c r="H436" s="76"/>
    </row>
    <row r="437" spans="1:8" ht="15.75" hidden="1" x14ac:dyDescent="0.3">
      <c r="A437" s="26"/>
      <c r="B437" s="26"/>
      <c r="C437" s="146"/>
      <c r="D437" s="27"/>
      <c r="E437" s="32"/>
      <c r="F437" s="27"/>
      <c r="G437" s="26"/>
      <c r="H437" s="76"/>
    </row>
    <row r="438" spans="1:8" ht="15.75" hidden="1" x14ac:dyDescent="0.3">
      <c r="A438" s="26"/>
      <c r="B438" s="26"/>
      <c r="C438" s="146"/>
      <c r="D438" s="27"/>
      <c r="E438" s="32"/>
      <c r="F438" s="27"/>
      <c r="G438" s="26"/>
      <c r="H438" s="76"/>
    </row>
    <row r="439" spans="1:8" ht="15.75" hidden="1" x14ac:dyDescent="0.3">
      <c r="A439" s="26"/>
      <c r="B439" s="26"/>
      <c r="C439" s="146"/>
      <c r="D439" s="27"/>
      <c r="E439" s="32"/>
      <c r="F439" s="27"/>
      <c r="G439" s="26"/>
      <c r="H439" s="76"/>
    </row>
    <row r="440" spans="1:8" ht="15.75" hidden="1" x14ac:dyDescent="0.3">
      <c r="A440" s="26"/>
      <c r="B440" s="26"/>
      <c r="C440" s="146"/>
      <c r="D440" s="27"/>
      <c r="E440" s="32"/>
      <c r="F440" s="27"/>
      <c r="G440" s="26"/>
      <c r="H440" s="76"/>
    </row>
    <row r="441" spans="1:8" ht="15.75" hidden="1" x14ac:dyDescent="0.3">
      <c r="A441" s="26"/>
      <c r="B441" s="26"/>
      <c r="C441" s="146"/>
      <c r="D441" s="27"/>
      <c r="E441" s="32"/>
      <c r="F441" s="27"/>
      <c r="G441" s="26"/>
      <c r="H441" s="76"/>
    </row>
    <row r="442" spans="1:8" ht="15.75" hidden="1" x14ac:dyDescent="0.3">
      <c r="A442" s="26"/>
      <c r="B442" s="26"/>
      <c r="C442" s="146"/>
      <c r="D442" s="27"/>
      <c r="E442" s="32"/>
      <c r="F442" s="27"/>
      <c r="G442" s="26"/>
      <c r="H442" s="76"/>
    </row>
    <row r="443" spans="1:8" ht="15.75" hidden="1" x14ac:dyDescent="0.3">
      <c r="A443" s="26"/>
      <c r="B443" s="26"/>
      <c r="C443" s="146"/>
      <c r="D443" s="27"/>
      <c r="E443" s="32"/>
      <c r="F443" s="27"/>
      <c r="G443" s="26"/>
      <c r="H443" s="76"/>
    </row>
    <row r="444" spans="1:8" ht="15.75" hidden="1" x14ac:dyDescent="0.3">
      <c r="A444" s="26"/>
      <c r="B444" s="26"/>
      <c r="C444" s="146"/>
      <c r="D444" s="27"/>
      <c r="E444" s="32"/>
      <c r="F444" s="27"/>
      <c r="G444" s="26"/>
      <c r="H444" s="76"/>
    </row>
    <row r="445" spans="1:8" ht="15.75" hidden="1" x14ac:dyDescent="0.3">
      <c r="A445" s="26"/>
      <c r="B445" s="26"/>
      <c r="C445" s="146"/>
      <c r="D445" s="27"/>
      <c r="E445" s="32"/>
      <c r="F445" s="27"/>
      <c r="G445" s="26"/>
      <c r="H445" s="76"/>
    </row>
    <row r="446" spans="1:8" ht="15.75" hidden="1" x14ac:dyDescent="0.3">
      <c r="A446" s="26"/>
      <c r="B446" s="26"/>
      <c r="C446" s="146"/>
      <c r="D446" s="27"/>
      <c r="E446" s="32"/>
      <c r="F446" s="27"/>
      <c r="G446" s="26"/>
      <c r="H446" s="76"/>
    </row>
    <row r="447" spans="1:8" ht="15.75" hidden="1" x14ac:dyDescent="0.3">
      <c r="A447" s="26"/>
      <c r="B447" s="26"/>
      <c r="C447" s="146"/>
      <c r="D447" s="27"/>
      <c r="E447" s="32"/>
      <c r="F447" s="27"/>
      <c r="G447" s="26"/>
      <c r="H447" s="76"/>
    </row>
    <row r="448" spans="1:8" ht="15.75" hidden="1" x14ac:dyDescent="0.3">
      <c r="A448" s="26"/>
      <c r="B448" s="26"/>
      <c r="C448" s="146"/>
      <c r="D448" s="27"/>
      <c r="E448" s="32"/>
      <c r="F448" s="27"/>
      <c r="G448" s="26"/>
      <c r="H448" s="76"/>
    </row>
    <row r="449" spans="1:8" ht="15.75" hidden="1" x14ac:dyDescent="0.3">
      <c r="A449" s="26"/>
      <c r="B449" s="26"/>
      <c r="C449" s="146"/>
      <c r="D449" s="27"/>
      <c r="E449" s="32"/>
      <c r="F449" s="27"/>
      <c r="G449" s="26"/>
      <c r="H449" s="76"/>
    </row>
    <row r="450" spans="1:8" ht="15.75" hidden="1" x14ac:dyDescent="0.3">
      <c r="A450" s="26"/>
      <c r="B450" s="26"/>
      <c r="C450" s="146"/>
      <c r="D450" s="27"/>
      <c r="E450" s="32"/>
      <c r="F450" s="27"/>
      <c r="G450" s="26"/>
      <c r="H450" s="76"/>
    </row>
    <row r="451" spans="1:8" ht="15.75" hidden="1" x14ac:dyDescent="0.3">
      <c r="A451" s="26"/>
      <c r="B451" s="26"/>
      <c r="C451" s="146"/>
      <c r="D451" s="27"/>
      <c r="E451" s="32"/>
      <c r="F451" s="27"/>
      <c r="G451" s="26"/>
      <c r="H451" s="76"/>
    </row>
    <row r="452" spans="1:8" ht="15.75" hidden="1" x14ac:dyDescent="0.3">
      <c r="A452" s="26"/>
      <c r="B452" s="26"/>
      <c r="C452" s="146"/>
      <c r="D452" s="27"/>
      <c r="E452" s="138"/>
      <c r="F452" s="138"/>
      <c r="G452" s="26"/>
      <c r="H452" s="137"/>
    </row>
    <row r="453" spans="1:8" ht="15.75" hidden="1" x14ac:dyDescent="0.3">
      <c r="A453" s="26"/>
      <c r="B453" s="26"/>
      <c r="C453" s="146"/>
      <c r="D453" s="146"/>
      <c r="E453" s="32"/>
      <c r="F453" s="138"/>
      <c r="G453" s="36"/>
      <c r="H453" s="137"/>
    </row>
    <row r="454" spans="1:8" ht="15.75" hidden="1" x14ac:dyDescent="0.3">
      <c r="A454" s="26"/>
      <c r="B454" s="26"/>
      <c r="C454" s="146"/>
      <c r="D454" s="146"/>
      <c r="E454" s="32"/>
      <c r="F454" s="138"/>
      <c r="G454" s="26"/>
      <c r="H454" s="137"/>
    </row>
    <row r="455" spans="1:8" ht="15.75" hidden="1" x14ac:dyDescent="0.3">
      <c r="A455" s="26"/>
      <c r="B455" s="26"/>
      <c r="C455" s="146"/>
      <c r="D455" s="27"/>
      <c r="E455" s="32"/>
      <c r="F455" s="27"/>
      <c r="G455" s="26"/>
      <c r="H455" s="76"/>
    </row>
    <row r="456" spans="1:8" ht="15.75" hidden="1" x14ac:dyDescent="0.3">
      <c r="A456" s="26"/>
      <c r="B456" s="26"/>
      <c r="C456" s="146"/>
      <c r="D456" s="27"/>
      <c r="E456" s="32"/>
      <c r="F456" s="27"/>
      <c r="G456" s="26"/>
      <c r="H456" s="76"/>
    </row>
    <row r="457" spans="1:8" ht="15.75" hidden="1" x14ac:dyDescent="0.3">
      <c r="A457" s="26"/>
      <c r="B457" s="26"/>
      <c r="C457" s="146"/>
      <c r="D457" s="27"/>
      <c r="E457" s="32"/>
      <c r="F457" s="27"/>
      <c r="G457" s="26"/>
      <c r="H457" s="76"/>
    </row>
    <row r="458" spans="1:8" ht="15.75" hidden="1" x14ac:dyDescent="0.3">
      <c r="A458" s="26"/>
      <c r="B458" s="26"/>
      <c r="C458" s="146"/>
      <c r="D458" s="27"/>
      <c r="E458" s="32"/>
      <c r="F458" s="27"/>
      <c r="G458" s="26"/>
      <c r="H458" s="76"/>
    </row>
    <row r="459" spans="1:8" ht="15.75" hidden="1" x14ac:dyDescent="0.3">
      <c r="A459" s="26"/>
      <c r="B459" s="26"/>
      <c r="C459" s="146"/>
      <c r="D459" s="27"/>
      <c r="E459" s="32"/>
      <c r="F459" s="27"/>
      <c r="G459" s="26"/>
      <c r="H459" s="76"/>
    </row>
    <row r="460" spans="1:8" ht="15.75" hidden="1" x14ac:dyDescent="0.3">
      <c r="A460" s="26"/>
      <c r="B460" s="26"/>
      <c r="C460" s="146"/>
      <c r="D460" s="27"/>
      <c r="E460" s="32"/>
      <c r="F460" s="27"/>
      <c r="G460" s="26"/>
      <c r="H460" s="76"/>
    </row>
    <row r="461" spans="1:8" ht="15.75" hidden="1" x14ac:dyDescent="0.3">
      <c r="A461" s="26"/>
      <c r="B461" s="26"/>
      <c r="C461" s="146"/>
      <c r="D461" s="27"/>
      <c r="E461" s="32"/>
      <c r="F461" s="27"/>
      <c r="G461" s="26"/>
      <c r="H461" s="76"/>
    </row>
    <row r="462" spans="1:8" ht="15.75" hidden="1" x14ac:dyDescent="0.3">
      <c r="A462" s="26"/>
      <c r="B462" s="26"/>
      <c r="C462" s="146"/>
      <c r="D462" s="27"/>
      <c r="E462" s="32"/>
      <c r="F462" s="27"/>
      <c r="G462" s="26"/>
      <c r="H462" s="76"/>
    </row>
    <row r="463" spans="1:8" ht="15.75" hidden="1" x14ac:dyDescent="0.3">
      <c r="A463" s="26"/>
      <c r="B463" s="26"/>
      <c r="C463" s="146"/>
      <c r="D463" s="27"/>
      <c r="E463" s="32"/>
      <c r="F463" s="27"/>
      <c r="G463" s="26"/>
      <c r="H463" s="76"/>
    </row>
    <row r="464" spans="1:8" ht="15.75" hidden="1" x14ac:dyDescent="0.3">
      <c r="A464" s="26"/>
      <c r="B464" s="26"/>
      <c r="C464" s="146"/>
      <c r="D464" s="27"/>
      <c r="E464" s="32"/>
      <c r="F464" s="27"/>
      <c r="G464" s="26"/>
      <c r="H464" s="76"/>
    </row>
    <row r="465" spans="1:8" ht="15.75" hidden="1" x14ac:dyDescent="0.3">
      <c r="A465" s="26"/>
      <c r="B465" s="26"/>
      <c r="C465" s="146"/>
      <c r="D465" s="27"/>
      <c r="E465" s="32"/>
      <c r="F465" s="27"/>
      <c r="G465" s="26"/>
      <c r="H465" s="76"/>
    </row>
    <row r="466" spans="1:8" ht="15.75" hidden="1" x14ac:dyDescent="0.3">
      <c r="A466" s="26"/>
      <c r="B466" s="26"/>
      <c r="C466" s="146"/>
      <c r="D466" s="27"/>
      <c r="E466" s="32"/>
      <c r="F466" s="27"/>
      <c r="G466" s="26"/>
      <c r="H466" s="76"/>
    </row>
    <row r="467" spans="1:8" ht="15.75" hidden="1" x14ac:dyDescent="0.3">
      <c r="A467" s="26"/>
      <c r="B467" s="26"/>
      <c r="C467" s="146"/>
      <c r="D467" s="27"/>
      <c r="E467" s="32"/>
      <c r="F467" s="27"/>
      <c r="G467" s="26"/>
      <c r="H467" s="76"/>
    </row>
    <row r="468" spans="1:8" ht="15.75" hidden="1" x14ac:dyDescent="0.3">
      <c r="A468" s="26"/>
      <c r="B468" s="26"/>
      <c r="C468" s="146"/>
      <c r="D468" s="27"/>
      <c r="E468" s="32"/>
      <c r="F468" s="27"/>
      <c r="G468" s="26"/>
      <c r="H468" s="76"/>
    </row>
    <row r="469" spans="1:8" ht="15.75" hidden="1" x14ac:dyDescent="0.3">
      <c r="A469" s="26"/>
      <c r="B469" s="26"/>
      <c r="C469" s="146"/>
      <c r="D469" s="27"/>
      <c r="E469" s="32"/>
      <c r="F469" s="27"/>
      <c r="G469" s="26"/>
      <c r="H469" s="76"/>
    </row>
    <row r="470" spans="1:8" ht="15.75" hidden="1" x14ac:dyDescent="0.3">
      <c r="A470" s="26"/>
      <c r="B470" s="26"/>
      <c r="C470" s="146"/>
      <c r="D470" s="27"/>
      <c r="E470" s="32"/>
      <c r="F470" s="27"/>
      <c r="G470" s="26"/>
      <c r="H470" s="76"/>
    </row>
    <row r="471" spans="1:8" ht="15.75" hidden="1" x14ac:dyDescent="0.3">
      <c r="A471" s="26"/>
      <c r="B471" s="26"/>
      <c r="C471" s="146"/>
      <c r="D471" s="27"/>
      <c r="E471" s="32"/>
      <c r="F471" s="27"/>
      <c r="G471" s="26"/>
      <c r="H471" s="76"/>
    </row>
    <row r="472" spans="1:8" ht="15.75" hidden="1" x14ac:dyDescent="0.3">
      <c r="A472" s="26"/>
      <c r="B472" s="26"/>
      <c r="C472" s="146"/>
      <c r="D472" s="27"/>
      <c r="E472" s="32"/>
      <c r="F472" s="27"/>
      <c r="G472" s="26"/>
      <c r="H472" s="76"/>
    </row>
    <row r="473" spans="1:8" ht="15.75" hidden="1" x14ac:dyDescent="0.3">
      <c r="A473" s="26"/>
      <c r="B473" s="26"/>
      <c r="C473" s="146"/>
      <c r="D473" s="27"/>
      <c r="E473" s="32"/>
      <c r="F473" s="27"/>
      <c r="G473" s="26"/>
      <c r="H473" s="76"/>
    </row>
    <row r="474" spans="1:8" ht="15.75" hidden="1" x14ac:dyDescent="0.3">
      <c r="A474" s="26"/>
      <c r="B474" s="26"/>
      <c r="C474" s="146"/>
      <c r="D474" s="27"/>
      <c r="E474" s="32"/>
      <c r="F474" s="27"/>
      <c r="G474" s="26"/>
      <c r="H474" s="76"/>
    </row>
    <row r="475" spans="1:8" ht="15.75" hidden="1" x14ac:dyDescent="0.3">
      <c r="A475" s="26"/>
      <c r="B475" s="26"/>
      <c r="C475" s="146"/>
      <c r="D475" s="27"/>
      <c r="E475" s="32"/>
      <c r="F475" s="27"/>
      <c r="G475" s="26"/>
      <c r="H475" s="76"/>
    </row>
    <row r="476" spans="1:8" ht="15.75" hidden="1" x14ac:dyDescent="0.3">
      <c r="A476" s="101"/>
      <c r="B476" s="101"/>
      <c r="C476" s="146"/>
      <c r="D476" s="27"/>
      <c r="E476" s="32"/>
      <c r="F476" s="27"/>
      <c r="G476" s="26"/>
      <c r="H476" s="76"/>
    </row>
    <row r="477" spans="1:8" ht="15.75" hidden="1" x14ac:dyDescent="0.3">
      <c r="A477" s="101"/>
      <c r="B477" s="101"/>
      <c r="C477" s="146"/>
      <c r="D477" s="27"/>
      <c r="E477" s="32"/>
      <c r="F477" s="27"/>
      <c r="G477" s="26"/>
      <c r="H477" s="76"/>
    </row>
    <row r="478" spans="1:8" ht="15.75" hidden="1" x14ac:dyDescent="0.3">
      <c r="A478" s="101"/>
      <c r="B478" s="101"/>
      <c r="C478" s="146"/>
      <c r="D478" s="27"/>
      <c r="E478" s="32"/>
      <c r="F478" s="27"/>
      <c r="G478" s="26"/>
      <c r="H478" s="76"/>
    </row>
    <row r="479" spans="1:8" ht="15.75" hidden="1" x14ac:dyDescent="0.3">
      <c r="A479" s="101"/>
      <c r="B479" s="101"/>
      <c r="C479" s="146"/>
      <c r="D479" s="27"/>
      <c r="E479" s="32"/>
      <c r="F479" s="27"/>
      <c r="G479" s="26"/>
      <c r="H479" s="76"/>
    </row>
    <row r="480" spans="1:8" ht="15.75" hidden="1" x14ac:dyDescent="0.3">
      <c r="A480" s="101"/>
      <c r="B480" s="101"/>
      <c r="C480" s="146"/>
      <c r="D480" s="27"/>
      <c r="E480" s="32"/>
      <c r="F480" s="27"/>
      <c r="G480" s="26"/>
      <c r="H480" s="76"/>
    </row>
    <row r="481" spans="1:8" ht="15.75" hidden="1" x14ac:dyDescent="0.3">
      <c r="A481" s="101"/>
      <c r="B481" s="101"/>
      <c r="C481" s="146"/>
      <c r="D481" s="27"/>
      <c r="E481" s="32"/>
      <c r="F481" s="27"/>
      <c r="G481" s="26"/>
      <c r="H481" s="76"/>
    </row>
    <row r="482" spans="1:8" ht="15.75" hidden="1" x14ac:dyDescent="0.3">
      <c r="A482" s="101"/>
      <c r="B482" s="101"/>
      <c r="C482" s="146"/>
      <c r="D482" s="27"/>
      <c r="E482" s="32"/>
      <c r="F482" s="27"/>
      <c r="G482" s="26"/>
      <c r="H482" s="76"/>
    </row>
    <row r="483" spans="1:8" ht="15.75" hidden="1" x14ac:dyDescent="0.3">
      <c r="A483" s="101"/>
      <c r="B483" s="101"/>
      <c r="C483" s="146"/>
      <c r="D483" s="27"/>
      <c r="E483" s="32"/>
      <c r="F483" s="27"/>
      <c r="G483" s="26"/>
      <c r="H483" s="76"/>
    </row>
    <row r="484" spans="1:8" ht="15.75" hidden="1" x14ac:dyDescent="0.3">
      <c r="A484" s="101"/>
      <c r="B484" s="101"/>
      <c r="C484" s="146"/>
      <c r="D484" s="27"/>
      <c r="E484" s="32"/>
      <c r="F484" s="27"/>
      <c r="G484" s="26"/>
      <c r="H484" s="76"/>
    </row>
    <row r="485" spans="1:8" ht="15.75" hidden="1" x14ac:dyDescent="0.3">
      <c r="A485" s="101"/>
      <c r="B485" s="101"/>
      <c r="C485" s="146"/>
      <c r="D485" s="151"/>
      <c r="E485" s="32"/>
      <c r="F485" s="27"/>
      <c r="G485" s="26"/>
      <c r="H485" s="76"/>
    </row>
    <row r="486" spans="1:8" ht="15.75" hidden="1" x14ac:dyDescent="0.3">
      <c r="A486" s="101"/>
      <c r="B486" s="101"/>
      <c r="C486" s="146"/>
      <c r="D486" s="151"/>
      <c r="E486" s="32"/>
      <c r="F486" s="27"/>
      <c r="G486" s="26"/>
      <c r="H486" s="76"/>
    </row>
    <row r="487" spans="1:8" ht="15.75" hidden="1" x14ac:dyDescent="0.3">
      <c r="A487" s="101"/>
      <c r="B487" s="101"/>
      <c r="C487" s="146"/>
      <c r="D487" s="27"/>
      <c r="E487" s="32"/>
      <c r="F487" s="27"/>
      <c r="G487" s="26"/>
      <c r="H487" s="76"/>
    </row>
    <row r="488" spans="1:8" ht="15.75" hidden="1" x14ac:dyDescent="0.3">
      <c r="A488" s="101"/>
      <c r="B488" s="101"/>
      <c r="C488" s="146"/>
      <c r="D488" s="27"/>
      <c r="E488" s="32"/>
      <c r="F488" s="27"/>
      <c r="G488" s="26"/>
      <c r="H488" s="76"/>
    </row>
    <row r="489" spans="1:8" ht="15.75" hidden="1" x14ac:dyDescent="0.3">
      <c r="A489" s="101"/>
      <c r="B489" s="101"/>
      <c r="C489" s="146"/>
      <c r="D489" s="27"/>
      <c r="E489" s="32"/>
      <c r="F489" s="27"/>
      <c r="G489" s="26"/>
      <c r="H489" s="76"/>
    </row>
    <row r="490" spans="1:8" ht="15.75" hidden="1" x14ac:dyDescent="0.3">
      <c r="A490" s="101"/>
      <c r="B490" s="101"/>
      <c r="C490" s="146"/>
      <c r="D490" s="27"/>
      <c r="E490" s="32"/>
      <c r="F490" s="27"/>
      <c r="G490" s="26"/>
      <c r="H490" s="76"/>
    </row>
    <row r="491" spans="1:8" ht="15.75" hidden="1" x14ac:dyDescent="0.3">
      <c r="A491" s="101"/>
      <c r="B491" s="101"/>
      <c r="C491" s="146"/>
      <c r="D491" s="146"/>
      <c r="E491" s="32"/>
      <c r="F491" s="138"/>
      <c r="G491" s="26"/>
      <c r="H491" s="137"/>
    </row>
    <row r="492" spans="1:8" ht="15.75" hidden="1" x14ac:dyDescent="0.3">
      <c r="A492" s="101"/>
      <c r="B492" s="101"/>
      <c r="C492" s="146"/>
      <c r="D492" s="146"/>
      <c r="E492" s="32"/>
      <c r="F492" s="138"/>
      <c r="G492" s="26"/>
      <c r="H492" s="137"/>
    </row>
    <row r="493" spans="1:8" ht="15.75" hidden="1" x14ac:dyDescent="0.3">
      <c r="A493" s="101"/>
      <c r="B493" s="101"/>
      <c r="C493" s="146"/>
      <c r="D493" s="146"/>
      <c r="E493" s="32"/>
      <c r="F493" s="138"/>
      <c r="G493" s="26"/>
      <c r="H493" s="137"/>
    </row>
    <row r="494" spans="1:8" ht="15.75" hidden="1" x14ac:dyDescent="0.3">
      <c r="A494" s="101"/>
      <c r="B494" s="101"/>
      <c r="C494" s="146"/>
      <c r="D494" s="146"/>
      <c r="E494" s="32"/>
      <c r="F494" s="138"/>
      <c r="G494" s="26"/>
      <c r="H494" s="137"/>
    </row>
    <row r="495" spans="1:8" ht="15.75" hidden="1" x14ac:dyDescent="0.3">
      <c r="A495" s="26"/>
      <c r="B495" s="26"/>
      <c r="C495" s="146"/>
      <c r="D495" s="146"/>
      <c r="E495" s="32"/>
      <c r="F495" s="138"/>
      <c r="G495" s="26"/>
      <c r="H495" s="137"/>
    </row>
    <row r="496" spans="1:8" ht="15.75" hidden="1" x14ac:dyDescent="0.3">
      <c r="A496" s="26"/>
      <c r="B496" s="26"/>
      <c r="C496" s="146"/>
      <c r="D496" s="146"/>
      <c r="E496" s="32"/>
      <c r="F496" s="138"/>
      <c r="G496" s="26"/>
      <c r="H496" s="137"/>
    </row>
    <row r="497" spans="1:8" ht="15.75" hidden="1" x14ac:dyDescent="0.3">
      <c r="A497" s="26"/>
      <c r="B497" s="26"/>
      <c r="C497" s="146"/>
      <c r="D497" s="146"/>
      <c r="E497" s="32"/>
      <c r="F497" s="138"/>
      <c r="G497" s="26"/>
      <c r="H497" s="137"/>
    </row>
    <row r="498" spans="1:8" ht="15.75" hidden="1" x14ac:dyDescent="0.3">
      <c r="A498" s="26"/>
      <c r="B498" s="26"/>
      <c r="C498" s="146"/>
      <c r="D498" s="146"/>
      <c r="E498" s="32"/>
      <c r="F498" s="138"/>
      <c r="G498" s="26"/>
      <c r="H498" s="137"/>
    </row>
    <row r="499" spans="1:8" ht="15.75" hidden="1" x14ac:dyDescent="0.3">
      <c r="A499" s="26"/>
      <c r="B499" s="26"/>
      <c r="C499" s="146"/>
      <c r="D499" s="146"/>
      <c r="E499" s="32"/>
      <c r="F499" s="138"/>
      <c r="G499" s="26"/>
      <c r="H499" s="137"/>
    </row>
    <row r="500" spans="1:8" ht="15.75" hidden="1" x14ac:dyDescent="0.3">
      <c r="A500" s="26"/>
      <c r="B500" s="26"/>
      <c r="C500" s="146"/>
      <c r="D500" s="146"/>
      <c r="E500" s="32"/>
      <c r="F500" s="138"/>
      <c r="G500" s="26"/>
      <c r="H500" s="137"/>
    </row>
    <row r="501" spans="1:8" ht="15.75" hidden="1" x14ac:dyDescent="0.3">
      <c r="A501" s="26"/>
      <c r="B501" s="26"/>
      <c r="C501" s="146"/>
      <c r="D501" s="146"/>
      <c r="E501" s="32"/>
      <c r="F501" s="138"/>
      <c r="G501" s="26"/>
      <c r="H501" s="137"/>
    </row>
    <row r="502" spans="1:8" ht="15.75" hidden="1" x14ac:dyDescent="0.3">
      <c r="A502" s="26"/>
      <c r="B502" s="26"/>
      <c r="C502" s="146"/>
      <c r="D502" s="146"/>
      <c r="E502" s="146"/>
      <c r="F502" s="138"/>
      <c r="G502" s="26"/>
      <c r="H502" s="137"/>
    </row>
    <row r="503" spans="1:8" ht="15.75" hidden="1" x14ac:dyDescent="0.3">
      <c r="A503" s="26"/>
      <c r="B503" s="26"/>
      <c r="C503" s="146"/>
      <c r="D503" s="146"/>
      <c r="E503" s="32"/>
      <c r="F503" s="138"/>
      <c r="G503" s="26"/>
      <c r="H503" s="137"/>
    </row>
    <row r="504" spans="1:8" ht="15.75" hidden="1" x14ac:dyDescent="0.3">
      <c r="A504" s="26"/>
      <c r="B504" s="26"/>
      <c r="C504" s="146"/>
      <c r="D504" s="146"/>
      <c r="E504" s="32"/>
      <c r="F504" s="138"/>
      <c r="G504" s="26"/>
      <c r="H504" s="137"/>
    </row>
    <row r="505" spans="1:8" ht="15.75" hidden="1" x14ac:dyDescent="0.3">
      <c r="A505" s="26"/>
      <c r="B505" s="26"/>
      <c r="C505" s="146"/>
      <c r="D505" s="146"/>
      <c r="E505" s="32"/>
      <c r="F505" s="138"/>
      <c r="G505" s="26"/>
      <c r="H505" s="137"/>
    </row>
    <row r="506" spans="1:8" ht="15.75" hidden="1" x14ac:dyDescent="0.3">
      <c r="A506" s="26"/>
      <c r="B506" s="26"/>
      <c r="C506" s="146"/>
      <c r="D506" s="146"/>
      <c r="E506" s="32"/>
      <c r="F506" s="138"/>
      <c r="G506" s="26"/>
      <c r="H506" s="137"/>
    </row>
    <row r="507" spans="1:8" ht="15.75" hidden="1" x14ac:dyDescent="0.3">
      <c r="A507" s="26"/>
      <c r="B507" s="26"/>
      <c r="C507" s="146"/>
      <c r="D507" s="146"/>
      <c r="E507" s="146"/>
      <c r="F507" s="138"/>
      <c r="G507" s="26"/>
      <c r="H507" s="137"/>
    </row>
    <row r="508" spans="1:8" ht="15.75" hidden="1" x14ac:dyDescent="0.3">
      <c r="A508" s="26"/>
      <c r="B508" s="26"/>
      <c r="C508" s="146"/>
      <c r="D508" s="146"/>
      <c r="E508" s="146"/>
      <c r="F508" s="138"/>
      <c r="G508" s="26"/>
      <c r="H508" s="137"/>
    </row>
    <row r="509" spans="1:8" ht="15.75" hidden="1" x14ac:dyDescent="0.3">
      <c r="A509" s="101"/>
      <c r="B509" s="101"/>
      <c r="C509" s="146"/>
      <c r="D509" s="146"/>
      <c r="E509" s="146"/>
      <c r="F509" s="138"/>
      <c r="G509" s="26"/>
      <c r="H509" s="137"/>
    </row>
    <row r="510" spans="1:8" ht="15.75" hidden="1" x14ac:dyDescent="0.3">
      <c r="A510" s="101"/>
      <c r="B510" s="101"/>
      <c r="C510" s="146"/>
      <c r="D510" s="146"/>
      <c r="E510" s="32"/>
      <c r="F510" s="138"/>
      <c r="G510" s="26"/>
      <c r="H510" s="137"/>
    </row>
    <row r="511" spans="1:8" ht="15.75" hidden="1" x14ac:dyDescent="0.3">
      <c r="A511" s="101"/>
      <c r="B511" s="101"/>
      <c r="C511" s="146"/>
      <c r="D511" s="146"/>
      <c r="E511" s="32"/>
      <c r="F511" s="138"/>
      <c r="G511" s="26"/>
      <c r="H511" s="137"/>
    </row>
    <row r="512" spans="1:8" ht="15.75" hidden="1" x14ac:dyDescent="0.3">
      <c r="A512" s="101"/>
      <c r="B512" s="101"/>
      <c r="C512" s="146"/>
      <c r="D512" s="146"/>
      <c r="E512" s="32"/>
      <c r="F512" s="138"/>
      <c r="G512" s="26"/>
      <c r="H512" s="137"/>
    </row>
    <row r="513" spans="1:8" ht="15.75" hidden="1" x14ac:dyDescent="0.3">
      <c r="A513" s="101"/>
      <c r="B513" s="101"/>
      <c r="C513" s="146"/>
      <c r="D513" s="146"/>
      <c r="E513" s="32"/>
      <c r="F513" s="138"/>
      <c r="G513" s="26"/>
      <c r="H513" s="137"/>
    </row>
    <row r="514" spans="1:8" ht="15.75" hidden="1" x14ac:dyDescent="0.3">
      <c r="A514" s="101"/>
      <c r="B514" s="101"/>
      <c r="C514" s="146"/>
      <c r="D514" s="146"/>
      <c r="E514" s="32"/>
      <c r="F514" s="138"/>
      <c r="G514" s="26"/>
      <c r="H514" s="137"/>
    </row>
    <row r="515" spans="1:8" ht="15.75" hidden="1" x14ac:dyDescent="0.3">
      <c r="A515" s="101"/>
      <c r="B515" s="101"/>
      <c r="C515" s="146"/>
      <c r="D515" s="146"/>
      <c r="E515" s="32"/>
      <c r="F515" s="138"/>
      <c r="G515" s="26"/>
      <c r="H515" s="137"/>
    </row>
    <row r="516" spans="1:8" ht="15.75" hidden="1" x14ac:dyDescent="0.3">
      <c r="A516" s="101"/>
      <c r="B516" s="101"/>
      <c r="C516" s="146"/>
      <c r="D516" s="146"/>
      <c r="E516" s="138"/>
      <c r="F516" s="138"/>
      <c r="G516" s="26"/>
      <c r="H516" s="137"/>
    </row>
    <row r="517" spans="1:8" ht="15.75" hidden="1" x14ac:dyDescent="0.3">
      <c r="A517" s="101"/>
      <c r="B517" s="101"/>
      <c r="C517" s="146"/>
      <c r="D517" s="27"/>
      <c r="E517" s="32"/>
      <c r="F517" s="27"/>
      <c r="G517" s="26"/>
      <c r="H517" s="76"/>
    </row>
    <row r="518" spans="1:8" ht="15.75" hidden="1" x14ac:dyDescent="0.3">
      <c r="A518" s="101"/>
      <c r="B518" s="101"/>
      <c r="C518" s="146"/>
      <c r="D518" s="27"/>
      <c r="E518" s="32"/>
      <c r="F518" s="27"/>
      <c r="G518" s="26"/>
      <c r="H518" s="76"/>
    </row>
    <row r="519" spans="1:8" ht="15.75" hidden="1" x14ac:dyDescent="0.3">
      <c r="A519" s="101"/>
      <c r="B519" s="101"/>
      <c r="C519" s="146"/>
      <c r="D519" s="27"/>
      <c r="E519" s="32"/>
      <c r="F519" s="27"/>
      <c r="G519" s="26"/>
      <c r="H519" s="76"/>
    </row>
    <row r="520" spans="1:8" ht="15.75" hidden="1" x14ac:dyDescent="0.3">
      <c r="A520" s="101"/>
      <c r="B520" s="101"/>
      <c r="C520" s="146"/>
      <c r="D520" s="27"/>
      <c r="E520" s="32"/>
      <c r="F520" s="27"/>
      <c r="G520" s="26"/>
      <c r="H520" s="76"/>
    </row>
    <row r="521" spans="1:8" ht="15.75" hidden="1" x14ac:dyDescent="0.3">
      <c r="A521" s="101"/>
      <c r="B521" s="101"/>
      <c r="C521" s="146"/>
      <c r="D521" s="27"/>
      <c r="E521" s="32"/>
      <c r="F521" s="27"/>
      <c r="G521" s="26"/>
      <c r="H521" s="76"/>
    </row>
    <row r="522" spans="1:8" ht="15.75" hidden="1" x14ac:dyDescent="0.3">
      <c r="A522" s="101"/>
      <c r="B522" s="101"/>
      <c r="C522" s="146"/>
      <c r="D522" s="27"/>
      <c r="E522" s="32"/>
      <c r="F522" s="27"/>
      <c r="G522" s="26"/>
      <c r="H522" s="76"/>
    </row>
    <row r="523" spans="1:8" ht="15.75" hidden="1" x14ac:dyDescent="0.3">
      <c r="A523" s="101"/>
      <c r="B523" s="101"/>
      <c r="C523" s="146"/>
      <c r="D523" s="27"/>
      <c r="E523" s="32"/>
      <c r="F523" s="27"/>
      <c r="G523" s="26"/>
      <c r="H523" s="76"/>
    </row>
    <row r="524" spans="1:8" ht="15.75" hidden="1" x14ac:dyDescent="0.3">
      <c r="A524" s="101"/>
      <c r="B524" s="101"/>
      <c r="C524" s="146"/>
      <c r="D524" s="27"/>
      <c r="E524" s="32"/>
      <c r="F524" s="27"/>
      <c r="G524" s="26"/>
      <c r="H524" s="76"/>
    </row>
    <row r="525" spans="1:8" ht="15.75" hidden="1" x14ac:dyDescent="0.3">
      <c r="A525" s="101"/>
      <c r="B525" s="101"/>
      <c r="C525" s="146"/>
      <c r="D525" s="27"/>
      <c r="E525" s="32"/>
      <c r="F525" s="27"/>
      <c r="G525" s="26"/>
      <c r="H525" s="76"/>
    </row>
    <row r="526" spans="1:8" ht="15.75" hidden="1" x14ac:dyDescent="0.3">
      <c r="A526" s="26"/>
      <c r="B526" s="26"/>
      <c r="C526" s="146"/>
      <c r="D526" s="27"/>
      <c r="E526" s="32"/>
      <c r="F526" s="27"/>
      <c r="G526" s="36"/>
      <c r="H526" s="76"/>
    </row>
    <row r="527" spans="1:8" ht="15.75" hidden="1" x14ac:dyDescent="0.3">
      <c r="A527" s="26"/>
      <c r="B527" s="26"/>
      <c r="C527" s="146"/>
      <c r="D527" s="27"/>
      <c r="E527" s="32"/>
      <c r="F527" s="27"/>
      <c r="G527" s="26"/>
      <c r="H527" s="76"/>
    </row>
    <row r="528" spans="1:8" ht="15.75" hidden="1" x14ac:dyDescent="0.3">
      <c r="A528" s="26"/>
      <c r="B528" s="26"/>
      <c r="C528" s="146"/>
      <c r="D528" s="27"/>
      <c r="E528" s="32"/>
      <c r="F528" s="27"/>
      <c r="G528" s="26"/>
      <c r="H528" s="76"/>
    </row>
    <row r="529" spans="1:8" ht="15.75" hidden="1" x14ac:dyDescent="0.3">
      <c r="A529" s="26"/>
      <c r="B529" s="26"/>
      <c r="C529" s="146"/>
      <c r="D529" s="27"/>
      <c r="E529" s="32"/>
      <c r="F529" s="27"/>
      <c r="G529" s="26"/>
      <c r="H529" s="76"/>
    </row>
    <row r="530" spans="1:8" ht="15.75" hidden="1" x14ac:dyDescent="0.3">
      <c r="A530" s="26"/>
      <c r="B530" s="26"/>
      <c r="C530" s="146"/>
      <c r="D530" s="27"/>
      <c r="E530" s="32"/>
      <c r="F530" s="27"/>
      <c r="G530" s="26"/>
      <c r="H530" s="76"/>
    </row>
    <row r="531" spans="1:8" ht="15.75" hidden="1" x14ac:dyDescent="0.3">
      <c r="A531" s="26"/>
      <c r="B531" s="26"/>
      <c r="C531" s="146"/>
      <c r="D531" s="27"/>
      <c r="E531" s="32"/>
      <c r="F531" s="27"/>
      <c r="G531" s="26"/>
      <c r="H531" s="76"/>
    </row>
    <row r="532" spans="1:8" ht="15.75" hidden="1" x14ac:dyDescent="0.3">
      <c r="A532" s="26"/>
      <c r="B532" s="26"/>
      <c r="C532" s="146"/>
      <c r="D532" s="27"/>
      <c r="E532" s="32"/>
      <c r="F532" s="27"/>
      <c r="G532" s="26"/>
      <c r="H532" s="76"/>
    </row>
    <row r="533" spans="1:8" ht="15.75" hidden="1" x14ac:dyDescent="0.3">
      <c r="A533" s="26"/>
      <c r="B533" s="26"/>
      <c r="C533" s="146"/>
      <c r="D533" s="27"/>
      <c r="E533" s="32"/>
      <c r="F533" s="27"/>
      <c r="G533" s="26"/>
      <c r="H533" s="76"/>
    </row>
    <row r="534" spans="1:8" ht="15.75" hidden="1" x14ac:dyDescent="0.3">
      <c r="A534" s="26"/>
      <c r="B534" s="26"/>
      <c r="C534" s="146"/>
      <c r="D534" s="27"/>
      <c r="E534" s="32"/>
      <c r="F534" s="27"/>
      <c r="G534" s="26"/>
      <c r="H534" s="76"/>
    </row>
    <row r="535" spans="1:8" ht="15.75" hidden="1" x14ac:dyDescent="0.3">
      <c r="A535" s="26"/>
      <c r="B535" s="26"/>
      <c r="C535" s="146"/>
      <c r="D535" s="151"/>
      <c r="E535" s="32"/>
      <c r="F535" s="27"/>
      <c r="G535" s="26"/>
      <c r="H535" s="76"/>
    </row>
    <row r="536" spans="1:8" ht="15.75" hidden="1" x14ac:dyDescent="0.3">
      <c r="A536" s="26"/>
      <c r="B536" s="26"/>
      <c r="C536" s="146"/>
      <c r="D536" s="27"/>
      <c r="E536" s="32"/>
      <c r="F536" s="27"/>
      <c r="G536" s="26"/>
      <c r="H536" s="76"/>
    </row>
    <row r="537" spans="1:8" ht="15.75" hidden="1" x14ac:dyDescent="0.3">
      <c r="A537" s="26"/>
      <c r="B537" s="26"/>
      <c r="C537" s="146"/>
      <c r="D537" s="27"/>
      <c r="E537" s="32"/>
      <c r="F537" s="27"/>
      <c r="G537" s="26"/>
      <c r="H537" s="76"/>
    </row>
    <row r="538" spans="1:8" ht="15.75" hidden="1" x14ac:dyDescent="0.3">
      <c r="A538" s="26"/>
      <c r="B538" s="26"/>
      <c r="C538" s="146"/>
      <c r="D538" s="27"/>
      <c r="E538" s="32"/>
      <c r="F538" s="27"/>
      <c r="G538" s="26"/>
      <c r="H538" s="76"/>
    </row>
    <row r="539" spans="1:8" ht="15.75" hidden="1" x14ac:dyDescent="0.3">
      <c r="A539" s="142"/>
      <c r="B539" s="142"/>
      <c r="C539" s="147"/>
      <c r="D539" s="143"/>
      <c r="E539" s="144"/>
      <c r="F539" s="143"/>
      <c r="G539" s="142"/>
      <c r="H539" s="145"/>
    </row>
    <row r="540" spans="1:8" ht="15.75" hidden="1" x14ac:dyDescent="0.3">
      <c r="A540" s="142"/>
      <c r="B540" s="142"/>
      <c r="C540" s="147"/>
      <c r="D540" s="153"/>
      <c r="E540" s="144"/>
      <c r="F540" s="143"/>
      <c r="G540" s="142"/>
      <c r="H540" s="145"/>
    </row>
    <row r="541" spans="1:8" ht="15.75" hidden="1" x14ac:dyDescent="0.3">
      <c r="A541" s="142"/>
      <c r="B541" s="142"/>
      <c r="C541" s="147"/>
      <c r="D541" s="153"/>
      <c r="E541" s="144"/>
      <c r="F541" s="143"/>
      <c r="G541" s="142"/>
      <c r="H541" s="145"/>
    </row>
    <row r="542" spans="1:8" ht="15.75" hidden="1" x14ac:dyDescent="0.3">
      <c r="A542" s="142"/>
      <c r="B542" s="142"/>
      <c r="C542" s="147"/>
      <c r="D542" s="143"/>
      <c r="E542" s="144"/>
      <c r="F542" s="143"/>
      <c r="G542" s="142"/>
      <c r="H542" s="145"/>
    </row>
    <row r="543" spans="1:8" ht="15.75" hidden="1" x14ac:dyDescent="0.3">
      <c r="A543" s="142"/>
      <c r="B543" s="142"/>
      <c r="C543" s="147"/>
      <c r="D543" s="143"/>
      <c r="E543" s="144"/>
      <c r="F543" s="143"/>
      <c r="G543" s="142"/>
      <c r="H543" s="145"/>
    </row>
    <row r="544" spans="1:8" ht="15.75" hidden="1" x14ac:dyDescent="0.3">
      <c r="A544" s="142"/>
      <c r="B544" s="142"/>
      <c r="C544" s="147"/>
      <c r="D544" s="143"/>
      <c r="E544" s="144"/>
      <c r="F544" s="143"/>
      <c r="G544" s="142"/>
      <c r="H544" s="145"/>
    </row>
    <row r="545" spans="1:8" ht="15.75" hidden="1" x14ac:dyDescent="0.3">
      <c r="A545" s="142"/>
      <c r="B545" s="142"/>
      <c r="C545" s="147"/>
      <c r="D545" s="143"/>
      <c r="E545" s="144"/>
      <c r="F545" s="143"/>
      <c r="G545" s="142"/>
      <c r="H545" s="145"/>
    </row>
    <row r="546" spans="1:8" ht="15.75" hidden="1" x14ac:dyDescent="0.3">
      <c r="A546" s="142"/>
      <c r="B546" s="142"/>
      <c r="C546" s="147"/>
      <c r="D546" s="143"/>
      <c r="E546" s="144"/>
      <c r="F546" s="143"/>
      <c r="G546" s="142"/>
      <c r="H546" s="145"/>
    </row>
    <row r="547" spans="1:8" ht="15.75" hidden="1" x14ac:dyDescent="0.3">
      <c r="A547" s="142"/>
      <c r="B547" s="142"/>
      <c r="C547" s="147"/>
      <c r="D547" s="143"/>
      <c r="E547" s="144"/>
      <c r="F547" s="143"/>
      <c r="G547" s="142"/>
      <c r="H547" s="145"/>
    </row>
    <row r="548" spans="1:8" ht="15.75" hidden="1" x14ac:dyDescent="0.3">
      <c r="A548" s="162"/>
      <c r="B548" s="162"/>
      <c r="C548" s="147"/>
      <c r="D548" s="143"/>
      <c r="E548" s="144"/>
      <c r="F548" s="143"/>
      <c r="G548" s="142"/>
      <c r="H548" s="145"/>
    </row>
    <row r="549" spans="1:8" ht="15.75" hidden="1" x14ac:dyDescent="0.3">
      <c r="A549" s="162"/>
      <c r="B549" s="162"/>
      <c r="C549" s="147"/>
      <c r="D549" s="153"/>
      <c r="E549" s="144"/>
      <c r="F549" s="143"/>
      <c r="G549" s="142"/>
      <c r="H549" s="145"/>
    </row>
    <row r="550" spans="1:8" ht="15.75" hidden="1" x14ac:dyDescent="0.3">
      <c r="A550" s="162"/>
      <c r="B550" s="162"/>
      <c r="C550" s="147"/>
      <c r="D550" s="143"/>
      <c r="E550" s="144"/>
      <c r="F550" s="143"/>
      <c r="G550" s="142"/>
      <c r="H550" s="145"/>
    </row>
    <row r="551" spans="1:8" ht="15.75" hidden="1" x14ac:dyDescent="0.3">
      <c r="A551" s="162"/>
      <c r="B551" s="162"/>
      <c r="C551" s="147"/>
      <c r="D551" s="153"/>
      <c r="E551" s="144"/>
      <c r="F551" s="143"/>
      <c r="G551" s="142"/>
      <c r="H551" s="145"/>
    </row>
    <row r="552" spans="1:8" ht="15.75" hidden="1" x14ac:dyDescent="0.3">
      <c r="A552" s="162"/>
      <c r="B552" s="162"/>
      <c r="C552" s="147"/>
      <c r="D552" s="143"/>
      <c r="E552" s="144"/>
      <c r="F552" s="143"/>
      <c r="G552" s="142"/>
      <c r="H552" s="145"/>
    </row>
    <row r="553" spans="1:8" ht="15.75" hidden="1" x14ac:dyDescent="0.3">
      <c r="A553" s="162"/>
      <c r="B553" s="162"/>
      <c r="C553" s="147"/>
      <c r="D553" s="143"/>
      <c r="E553" s="144"/>
      <c r="F553" s="143"/>
      <c r="G553" s="142"/>
      <c r="H553" s="145"/>
    </row>
    <row r="554" spans="1:8" ht="15.75" hidden="1" x14ac:dyDescent="0.3">
      <c r="A554" s="162"/>
      <c r="B554" s="162"/>
      <c r="C554" s="147"/>
      <c r="D554" s="143"/>
      <c r="E554" s="144"/>
      <c r="F554" s="143"/>
      <c r="G554" s="142"/>
      <c r="H554" s="145"/>
    </row>
    <row r="555" spans="1:8" ht="15.75" hidden="1" x14ac:dyDescent="0.3">
      <c r="A555" s="162"/>
      <c r="B555" s="162"/>
      <c r="C555" s="147"/>
      <c r="D555" s="143"/>
      <c r="E555" s="144"/>
      <c r="F555" s="143"/>
      <c r="G555" s="142"/>
      <c r="H555" s="145"/>
    </row>
    <row r="556" spans="1:8" ht="15.75" hidden="1" x14ac:dyDescent="0.3">
      <c r="A556" s="162"/>
      <c r="B556" s="162"/>
      <c r="C556" s="147"/>
      <c r="D556" s="153"/>
      <c r="E556" s="144"/>
      <c r="F556" s="143"/>
      <c r="G556" s="142"/>
      <c r="H556" s="145"/>
    </row>
    <row r="557" spans="1:8" ht="15.75" hidden="1" x14ac:dyDescent="0.3">
      <c r="A557" s="162"/>
      <c r="B557" s="162"/>
      <c r="C557" s="147"/>
      <c r="D557" s="143"/>
      <c r="E557" s="144"/>
      <c r="F557" s="143"/>
      <c r="G557" s="142"/>
      <c r="H557" s="145"/>
    </row>
    <row r="558" spans="1:8" ht="15.75" hidden="1" x14ac:dyDescent="0.3">
      <c r="A558" s="162"/>
      <c r="B558" s="162"/>
      <c r="C558" s="147"/>
      <c r="D558" s="143"/>
      <c r="E558" s="144"/>
      <c r="F558" s="143"/>
      <c r="G558" s="142"/>
      <c r="H558" s="145"/>
    </row>
    <row r="559" spans="1:8" ht="15.75" hidden="1" x14ac:dyDescent="0.3">
      <c r="A559" s="162"/>
      <c r="B559" s="162"/>
      <c r="C559" s="147"/>
      <c r="D559" s="153"/>
      <c r="E559" s="144"/>
      <c r="F559" s="143"/>
      <c r="G559" s="142"/>
      <c r="H559" s="145"/>
    </row>
    <row r="560" spans="1:8" ht="15.75" hidden="1" x14ac:dyDescent="0.3">
      <c r="A560" s="162"/>
      <c r="B560" s="162"/>
      <c r="C560" s="147"/>
      <c r="D560" s="143"/>
      <c r="E560" s="144"/>
      <c r="F560" s="143"/>
      <c r="G560" s="142"/>
      <c r="H560" s="145"/>
    </row>
    <row r="561" spans="1:8" ht="15.75" hidden="1" x14ac:dyDescent="0.3">
      <c r="A561" s="162"/>
      <c r="B561" s="162"/>
      <c r="C561" s="147"/>
      <c r="D561" s="143"/>
      <c r="E561" s="144"/>
      <c r="F561" s="143"/>
      <c r="G561" s="142"/>
      <c r="H561" s="145"/>
    </row>
    <row r="562" spans="1:8" ht="15.75" hidden="1" x14ac:dyDescent="0.3">
      <c r="A562" s="162"/>
      <c r="B562" s="162"/>
      <c r="C562" s="147"/>
      <c r="D562" s="143"/>
      <c r="E562" s="144"/>
      <c r="F562" s="143"/>
      <c r="G562" s="142"/>
      <c r="H562" s="145"/>
    </row>
    <row r="563" spans="1:8" ht="15.75" hidden="1" x14ac:dyDescent="0.3">
      <c r="A563" s="162"/>
      <c r="B563" s="162"/>
      <c r="C563" s="147"/>
      <c r="D563" s="143"/>
      <c r="E563" s="144"/>
      <c r="F563" s="143"/>
      <c r="G563" s="142"/>
      <c r="H563" s="145"/>
    </row>
    <row r="564" spans="1:8" ht="15.75" hidden="1" x14ac:dyDescent="0.3">
      <c r="A564" s="141"/>
      <c r="B564" s="142"/>
      <c r="C564" s="147"/>
      <c r="D564" s="153"/>
      <c r="E564" s="144"/>
      <c r="F564" s="143"/>
      <c r="G564" s="142"/>
      <c r="H564" s="145"/>
    </row>
    <row r="565" spans="1:8" ht="15.75" hidden="1" x14ac:dyDescent="0.3">
      <c r="A565" s="141"/>
      <c r="B565" s="142"/>
      <c r="C565" s="147"/>
      <c r="D565" s="153"/>
      <c r="E565" s="144"/>
      <c r="F565" s="143"/>
      <c r="G565" s="142"/>
      <c r="H565" s="145"/>
    </row>
    <row r="566" spans="1:8" ht="15.75" hidden="1" x14ac:dyDescent="0.3">
      <c r="A566" s="141"/>
      <c r="B566" s="142"/>
      <c r="C566" s="147"/>
      <c r="D566" s="153"/>
      <c r="E566" s="144"/>
      <c r="F566" s="143"/>
      <c r="G566" s="142"/>
      <c r="H566" s="145"/>
    </row>
    <row r="567" spans="1:8" ht="15.75" hidden="1" x14ac:dyDescent="0.3">
      <c r="A567" s="141"/>
      <c r="B567" s="142"/>
      <c r="C567" s="147"/>
      <c r="D567" s="153"/>
      <c r="E567" s="144"/>
      <c r="F567" s="143"/>
      <c r="G567" s="142"/>
      <c r="H567" s="145"/>
    </row>
    <row r="568" spans="1:8" ht="15.75" hidden="1" x14ac:dyDescent="0.3">
      <c r="A568" s="141"/>
      <c r="B568" s="142"/>
      <c r="C568" s="147"/>
      <c r="D568" s="153"/>
      <c r="E568" s="144"/>
      <c r="F568" s="143"/>
      <c r="G568" s="142"/>
      <c r="H568" s="145"/>
    </row>
    <row r="569" spans="1:8" ht="15.75" hidden="1" x14ac:dyDescent="0.3">
      <c r="A569" s="141"/>
      <c r="B569" s="142"/>
      <c r="C569" s="147"/>
      <c r="D569" s="153"/>
      <c r="E569" s="144"/>
      <c r="F569" s="143"/>
      <c r="G569" s="142"/>
      <c r="H569" s="145"/>
    </row>
    <row r="570" spans="1:8" ht="15.75" hidden="1" x14ac:dyDescent="0.3">
      <c r="A570" s="141"/>
      <c r="B570" s="142"/>
      <c r="C570" s="147"/>
      <c r="D570" s="153"/>
      <c r="E570" s="144"/>
      <c r="F570" s="143"/>
      <c r="G570" s="142"/>
      <c r="H570" s="145"/>
    </row>
    <row r="571" spans="1:8" ht="15.75" hidden="1" x14ac:dyDescent="0.3">
      <c r="A571" s="141"/>
      <c r="B571" s="142"/>
      <c r="C571" s="147"/>
      <c r="D571" s="143"/>
      <c r="E571" s="144"/>
      <c r="F571" s="143"/>
      <c r="G571" s="142"/>
      <c r="H571" s="145"/>
    </row>
    <row r="572" spans="1:8" ht="15.75" hidden="1" x14ac:dyDescent="0.3">
      <c r="A572" s="141"/>
      <c r="B572" s="142"/>
      <c r="C572" s="147"/>
      <c r="D572" s="143"/>
      <c r="E572" s="144"/>
      <c r="F572" s="143"/>
      <c r="G572" s="142"/>
      <c r="H572" s="145"/>
    </row>
    <row r="573" spans="1:8" ht="15.75" hidden="1" x14ac:dyDescent="0.3">
      <c r="A573" s="141"/>
      <c r="B573" s="142"/>
      <c r="C573" s="147"/>
      <c r="D573" s="143"/>
      <c r="E573" s="144"/>
      <c r="F573" s="143"/>
      <c r="G573" s="142"/>
      <c r="H573" s="145"/>
    </row>
    <row r="574" spans="1:8" ht="15.75" hidden="1" x14ac:dyDescent="0.3">
      <c r="A574" s="141"/>
      <c r="B574" s="142"/>
      <c r="C574" s="147"/>
      <c r="D574" s="153"/>
      <c r="E574" s="144"/>
      <c r="F574" s="143"/>
      <c r="G574" s="142"/>
      <c r="H574" s="145"/>
    </row>
    <row r="575" spans="1:8" ht="15.75" hidden="1" x14ac:dyDescent="0.3">
      <c r="A575" s="141"/>
      <c r="B575" s="142"/>
      <c r="C575" s="147"/>
      <c r="D575" s="143"/>
      <c r="E575" s="144"/>
      <c r="F575" s="143"/>
      <c r="G575" s="142"/>
      <c r="H575" s="145"/>
    </row>
    <row r="576" spans="1:8" ht="15.75" hidden="1" x14ac:dyDescent="0.3">
      <c r="A576" s="141"/>
      <c r="B576" s="142"/>
      <c r="C576" s="147"/>
      <c r="D576" s="153"/>
      <c r="E576" s="144"/>
      <c r="F576" s="143"/>
      <c r="G576" s="142"/>
      <c r="H576" s="145"/>
    </row>
    <row r="577" spans="1:8" ht="15.75" hidden="1" x14ac:dyDescent="0.3">
      <c r="A577" s="141"/>
      <c r="B577" s="142"/>
      <c r="C577" s="147"/>
      <c r="D577" s="143"/>
      <c r="E577" s="144"/>
      <c r="F577" s="143"/>
      <c r="G577" s="142"/>
      <c r="H577" s="145"/>
    </row>
    <row r="578" spans="1:8" ht="15.75" hidden="1" x14ac:dyDescent="0.3">
      <c r="A578" s="141"/>
      <c r="B578" s="142"/>
      <c r="C578" s="147"/>
      <c r="D578" s="143"/>
      <c r="E578" s="144"/>
      <c r="F578" s="143"/>
      <c r="G578" s="142"/>
      <c r="H578" s="145"/>
    </row>
    <row r="579" spans="1:8" ht="15.75" hidden="1" x14ac:dyDescent="0.3">
      <c r="A579" s="141"/>
      <c r="B579" s="142"/>
      <c r="C579" s="147"/>
      <c r="D579" s="143"/>
      <c r="E579" s="144"/>
      <c r="F579" s="143"/>
      <c r="G579" s="142"/>
      <c r="H579" s="145"/>
    </row>
    <row r="580" spans="1:8" ht="15.75" hidden="1" x14ac:dyDescent="0.3">
      <c r="A580" s="141"/>
      <c r="B580" s="142"/>
      <c r="C580" s="147"/>
      <c r="D580" s="159"/>
      <c r="E580" s="144"/>
      <c r="F580" s="148"/>
      <c r="G580" s="142"/>
      <c r="H580" s="149"/>
    </row>
    <row r="581" spans="1:8" ht="15.75" hidden="1" x14ac:dyDescent="0.3">
      <c r="A581" s="141"/>
      <c r="B581" s="142"/>
      <c r="C581" s="147"/>
      <c r="D581" s="147"/>
      <c r="E581" s="144"/>
      <c r="F581" s="148"/>
      <c r="G581" s="142"/>
      <c r="H581" s="149"/>
    </row>
    <row r="582" spans="1:8" ht="15.75" hidden="1" x14ac:dyDescent="0.3">
      <c r="A582" s="141"/>
      <c r="B582" s="142"/>
      <c r="C582" s="147"/>
      <c r="D582" s="147"/>
      <c r="E582" s="144"/>
      <c r="F582" s="148"/>
      <c r="G582" s="142"/>
      <c r="H582" s="149"/>
    </row>
    <row r="583" spans="1:8" ht="15.75" hidden="1" x14ac:dyDescent="0.3">
      <c r="A583" s="141"/>
      <c r="B583" s="142"/>
      <c r="C583" s="147"/>
      <c r="D583" s="147"/>
      <c r="E583" s="144"/>
      <c r="F583" s="148"/>
      <c r="G583" s="142"/>
      <c r="H583" s="149"/>
    </row>
    <row r="584" spans="1:8" ht="15.75" hidden="1" x14ac:dyDescent="0.3">
      <c r="A584" s="141"/>
      <c r="B584" s="142"/>
      <c r="C584" s="147"/>
      <c r="D584" s="147"/>
      <c r="E584" s="144"/>
      <c r="F584" s="148"/>
      <c r="G584" s="142"/>
      <c r="H584" s="149"/>
    </row>
    <row r="585" spans="1:8" ht="15.75" hidden="1" x14ac:dyDescent="0.3">
      <c r="A585" s="142"/>
      <c r="B585" s="142"/>
      <c r="C585" s="147"/>
      <c r="D585" s="159"/>
      <c r="E585" s="148"/>
      <c r="F585" s="148"/>
      <c r="G585" s="142"/>
      <c r="H585" s="149"/>
    </row>
    <row r="586" spans="1:8" ht="15.75" hidden="1" x14ac:dyDescent="0.3">
      <c r="A586" s="142"/>
      <c r="B586" s="142"/>
      <c r="C586" s="147"/>
      <c r="D586" s="159"/>
      <c r="E586" s="144"/>
      <c r="F586" s="148"/>
      <c r="G586" s="142"/>
      <c r="H586" s="149"/>
    </row>
    <row r="587" spans="1:8" ht="15.75" hidden="1" x14ac:dyDescent="0.3">
      <c r="A587" s="142"/>
      <c r="B587" s="142"/>
      <c r="C587" s="147"/>
      <c r="D587" s="147"/>
      <c r="E587" s="144"/>
      <c r="F587" s="148"/>
      <c r="G587" s="142"/>
      <c r="H587" s="149"/>
    </row>
    <row r="588" spans="1:8" ht="15.75" hidden="1" x14ac:dyDescent="0.3">
      <c r="A588" s="162"/>
      <c r="B588" s="162"/>
      <c r="C588" s="147"/>
      <c r="D588" s="159"/>
      <c r="E588" s="144"/>
      <c r="F588" s="148"/>
      <c r="G588" s="142"/>
      <c r="H588" s="149"/>
    </row>
    <row r="589" spans="1:8" ht="15.75" hidden="1" x14ac:dyDescent="0.3">
      <c r="A589" s="162"/>
      <c r="B589" s="162"/>
      <c r="C589" s="147"/>
      <c r="D589" s="159"/>
      <c r="E589" s="144"/>
      <c r="F589" s="148"/>
      <c r="G589" s="142"/>
      <c r="H589" s="148"/>
    </row>
    <row r="590" spans="1:8" ht="15.75" hidden="1" x14ac:dyDescent="0.3">
      <c r="A590" s="162"/>
      <c r="B590" s="162"/>
      <c r="C590" s="147"/>
      <c r="D590" s="159"/>
      <c r="E590" s="144"/>
      <c r="F590" s="148"/>
      <c r="G590" s="142"/>
      <c r="H590" s="148"/>
    </row>
    <row r="591" spans="1:8" ht="15.75" hidden="1" x14ac:dyDescent="0.3">
      <c r="A591" s="162"/>
      <c r="B591" s="162"/>
      <c r="C591" s="147"/>
      <c r="D591" s="159"/>
      <c r="E591" s="144"/>
      <c r="F591" s="148"/>
      <c r="G591" s="142"/>
      <c r="H591" s="148"/>
    </row>
    <row r="592" spans="1:8" ht="15.75" hidden="1" x14ac:dyDescent="0.3">
      <c r="A592" s="162"/>
      <c r="B592" s="162"/>
      <c r="C592" s="147"/>
      <c r="D592" s="159"/>
      <c r="E592" s="144"/>
      <c r="F592" s="148"/>
      <c r="G592" s="142"/>
      <c r="H592" s="148"/>
    </row>
    <row r="593" spans="1:8" ht="15.75" hidden="1" x14ac:dyDescent="0.3">
      <c r="A593" s="162"/>
      <c r="B593" s="162"/>
      <c r="C593" s="147"/>
      <c r="D593" s="159"/>
      <c r="E593" s="144"/>
      <c r="F593" s="148"/>
      <c r="G593" s="142"/>
      <c r="H593" s="148"/>
    </row>
    <row r="594" spans="1:8" ht="15.75" hidden="1" x14ac:dyDescent="0.3">
      <c r="A594" s="162"/>
      <c r="B594" s="162"/>
      <c r="C594" s="147"/>
      <c r="D594" s="147"/>
      <c r="E594" s="144"/>
      <c r="F594" s="148"/>
      <c r="G594" s="142"/>
      <c r="H594" s="149"/>
    </row>
    <row r="595" spans="1:8" ht="15.75" hidden="1" x14ac:dyDescent="0.3">
      <c r="A595" s="162"/>
      <c r="B595" s="162"/>
      <c r="C595" s="147"/>
      <c r="D595" s="159"/>
      <c r="E595" s="144"/>
      <c r="F595" s="148"/>
      <c r="G595" s="142"/>
      <c r="H595" s="148"/>
    </row>
    <row r="596" spans="1:8" ht="15.75" hidden="1" x14ac:dyDescent="0.3">
      <c r="A596" s="162"/>
      <c r="B596" s="162"/>
      <c r="C596" s="147"/>
      <c r="D596" s="159"/>
      <c r="E596" s="144"/>
      <c r="F596" s="148"/>
      <c r="G596" s="142"/>
      <c r="H596" s="148"/>
    </row>
    <row r="597" spans="1:8" ht="15.75" hidden="1" x14ac:dyDescent="0.3">
      <c r="A597" s="162"/>
      <c r="B597" s="162"/>
      <c r="C597" s="147"/>
      <c r="D597" s="147"/>
      <c r="E597" s="144"/>
      <c r="F597" s="148"/>
      <c r="G597" s="142"/>
      <c r="H597" s="149"/>
    </row>
    <row r="598" spans="1:8" ht="15.75" hidden="1" x14ac:dyDescent="0.3">
      <c r="A598" s="162"/>
      <c r="B598" s="162"/>
      <c r="C598" s="147"/>
      <c r="D598" s="147"/>
      <c r="E598" s="144"/>
      <c r="F598" s="148"/>
      <c r="G598" s="142"/>
      <c r="H598" s="149"/>
    </row>
    <row r="599" spans="1:8" ht="15.75" hidden="1" x14ac:dyDescent="0.3">
      <c r="A599" s="162"/>
      <c r="B599" s="162"/>
      <c r="C599" s="147"/>
      <c r="D599" s="159"/>
      <c r="E599" s="144"/>
      <c r="F599" s="148"/>
      <c r="G599" s="142"/>
      <c r="H599" s="149"/>
    </row>
    <row r="600" spans="1:8" ht="15.75" hidden="1" x14ac:dyDescent="0.3">
      <c r="A600" s="162"/>
      <c r="B600" s="162"/>
      <c r="C600" s="147"/>
      <c r="D600" s="143"/>
      <c r="E600" s="144"/>
      <c r="F600" s="143"/>
      <c r="G600" s="142"/>
      <c r="H600" s="145"/>
    </row>
    <row r="601" spans="1:8" ht="15.75" hidden="1" x14ac:dyDescent="0.3">
      <c r="A601" s="162"/>
      <c r="B601" s="162"/>
      <c r="C601" s="147"/>
      <c r="D601" s="153"/>
      <c r="E601" s="144"/>
      <c r="F601" s="143"/>
      <c r="G601" s="142"/>
      <c r="H601" s="145"/>
    </row>
    <row r="602" spans="1:8" ht="15.75" hidden="1" x14ac:dyDescent="0.3">
      <c r="A602" s="162"/>
      <c r="B602" s="162"/>
      <c r="C602" s="147"/>
      <c r="D602" s="143"/>
      <c r="E602" s="144"/>
      <c r="F602" s="143"/>
      <c r="G602" s="142"/>
      <c r="H602" s="145"/>
    </row>
    <row r="603" spans="1:8" ht="15.75" hidden="1" x14ac:dyDescent="0.3">
      <c r="A603" s="162"/>
      <c r="B603" s="162"/>
      <c r="C603" s="147"/>
      <c r="D603" s="153"/>
      <c r="E603" s="144"/>
      <c r="F603" s="143"/>
      <c r="G603" s="142"/>
      <c r="H603" s="145"/>
    </row>
    <row r="604" spans="1:8" ht="15.75" hidden="1" x14ac:dyDescent="0.3">
      <c r="A604" s="162"/>
      <c r="B604" s="162"/>
      <c r="C604" s="147"/>
      <c r="D604" s="153"/>
      <c r="E604" s="144"/>
      <c r="F604" s="143"/>
      <c r="G604" s="142"/>
      <c r="H604" s="145"/>
    </row>
    <row r="605" spans="1:8" ht="15.75" hidden="1" x14ac:dyDescent="0.3">
      <c r="A605" s="142"/>
      <c r="B605" s="142"/>
      <c r="C605" s="147"/>
      <c r="D605" s="153"/>
      <c r="E605" s="144"/>
      <c r="F605" s="143"/>
      <c r="G605" s="142"/>
      <c r="H605" s="145"/>
    </row>
    <row r="606" spans="1:8" ht="15.75" hidden="1" x14ac:dyDescent="0.3">
      <c r="A606" s="142"/>
      <c r="B606" s="142"/>
      <c r="C606" s="147"/>
      <c r="D606" s="143"/>
      <c r="E606" s="144"/>
      <c r="F606" s="143"/>
      <c r="G606" s="142"/>
      <c r="H606" s="145"/>
    </row>
    <row r="607" spans="1:8" ht="15.75" hidden="1" x14ac:dyDescent="0.3">
      <c r="A607" s="142"/>
      <c r="B607" s="142"/>
      <c r="C607" s="147"/>
      <c r="D607" s="143"/>
      <c r="E607" s="144"/>
      <c r="F607" s="143"/>
      <c r="G607" s="142"/>
      <c r="H607" s="145"/>
    </row>
    <row r="608" spans="1:8" ht="15.75" hidden="1" x14ac:dyDescent="0.3">
      <c r="A608" s="142"/>
      <c r="B608" s="142"/>
      <c r="C608" s="147"/>
      <c r="D608" s="143"/>
      <c r="E608" s="144"/>
      <c r="F608" s="143"/>
      <c r="G608" s="142"/>
      <c r="H608" s="145"/>
    </row>
    <row r="609" spans="1:8" ht="15.75" hidden="1" x14ac:dyDescent="0.3">
      <c r="A609" s="142"/>
      <c r="B609" s="142"/>
      <c r="C609" s="147"/>
      <c r="D609" s="143"/>
      <c r="E609" s="144"/>
      <c r="F609" s="143"/>
      <c r="G609" s="142"/>
      <c r="H609" s="145"/>
    </row>
    <row r="610" spans="1:8" ht="15.75" hidden="1" x14ac:dyDescent="0.3">
      <c r="A610" s="142"/>
      <c r="B610" s="142"/>
      <c r="C610" s="147"/>
      <c r="D610" s="153"/>
      <c r="E610" s="144"/>
      <c r="F610" s="143"/>
      <c r="G610" s="142"/>
      <c r="H610" s="145"/>
    </row>
    <row r="611" spans="1:8" ht="15.75" hidden="1" x14ac:dyDescent="0.3">
      <c r="A611" s="142"/>
      <c r="B611" s="142"/>
      <c r="C611" s="147"/>
      <c r="D611" s="143"/>
      <c r="E611" s="144"/>
      <c r="F611" s="143"/>
      <c r="G611" s="142"/>
      <c r="H611" s="145"/>
    </row>
    <row r="612" spans="1:8" ht="15.75" hidden="1" x14ac:dyDescent="0.3">
      <c r="A612" s="142"/>
      <c r="B612" s="142"/>
      <c r="C612" s="147"/>
      <c r="D612" s="143"/>
      <c r="E612" s="144"/>
      <c r="F612" s="143"/>
      <c r="G612" s="142"/>
      <c r="H612" s="145"/>
    </row>
    <row r="613" spans="1:8" ht="15.75" hidden="1" x14ac:dyDescent="0.3">
      <c r="A613" s="142"/>
      <c r="B613" s="142"/>
      <c r="C613" s="147"/>
      <c r="D613" s="143"/>
      <c r="E613" s="144"/>
      <c r="F613" s="143"/>
      <c r="G613" s="142"/>
      <c r="H613" s="145"/>
    </row>
    <row r="614" spans="1:8" ht="15.75" hidden="1" x14ac:dyDescent="0.3">
      <c r="A614" s="142"/>
      <c r="B614" s="142"/>
      <c r="C614" s="147"/>
      <c r="D614" s="143"/>
      <c r="E614" s="144"/>
      <c r="F614" s="143"/>
      <c r="G614" s="142"/>
      <c r="H614" s="145"/>
    </row>
    <row r="615" spans="1:8" ht="15.75" hidden="1" x14ac:dyDescent="0.3">
      <c r="A615" s="142"/>
      <c r="B615" s="142"/>
      <c r="C615" s="147"/>
      <c r="D615" s="143"/>
      <c r="E615" s="144"/>
      <c r="F615" s="143"/>
      <c r="G615" s="142"/>
      <c r="H615" s="145"/>
    </row>
    <row r="616" spans="1:8" ht="15.75" hidden="1" x14ac:dyDescent="0.3">
      <c r="A616" s="141"/>
      <c r="B616" s="142"/>
      <c r="C616" s="147"/>
      <c r="D616" s="143"/>
      <c r="E616" s="144"/>
      <c r="F616" s="143"/>
      <c r="G616" s="142"/>
      <c r="H616" s="145"/>
    </row>
    <row r="617" spans="1:8" ht="15.75" hidden="1" x14ac:dyDescent="0.3">
      <c r="A617" s="142"/>
      <c r="B617" s="142"/>
      <c r="C617" s="147"/>
      <c r="D617" s="143"/>
      <c r="E617" s="144"/>
      <c r="F617" s="143"/>
      <c r="G617" s="142"/>
      <c r="H617" s="145"/>
    </row>
    <row r="618" spans="1:8" ht="15.75" hidden="1" x14ac:dyDescent="0.3">
      <c r="A618" s="142"/>
      <c r="B618" s="142"/>
      <c r="C618" s="147"/>
      <c r="D618" s="143"/>
      <c r="E618" s="144"/>
      <c r="F618" s="143"/>
      <c r="G618" s="142"/>
      <c r="H618" s="145"/>
    </row>
    <row r="619" spans="1:8" ht="15.75" hidden="1" x14ac:dyDescent="0.3">
      <c r="A619" s="142"/>
      <c r="B619" s="142"/>
      <c r="C619" s="147"/>
      <c r="D619" s="143"/>
      <c r="E619" s="144"/>
      <c r="F619" s="143"/>
      <c r="G619" s="142"/>
      <c r="H619" s="145"/>
    </row>
    <row r="620" spans="1:8" ht="15.75" hidden="1" x14ac:dyDescent="0.3">
      <c r="A620" s="142"/>
      <c r="B620" s="142"/>
      <c r="C620" s="147"/>
      <c r="D620" s="143"/>
      <c r="E620" s="144"/>
      <c r="F620" s="143"/>
      <c r="G620" s="142"/>
      <c r="H620" s="145"/>
    </row>
    <row r="621" spans="1:8" ht="15.75" hidden="1" x14ac:dyDescent="0.3">
      <c r="A621" s="142"/>
      <c r="B621" s="142"/>
      <c r="C621" s="147"/>
      <c r="D621" s="143"/>
      <c r="E621" s="144"/>
      <c r="F621" s="143"/>
      <c r="G621" s="142"/>
      <c r="H621" s="145"/>
    </row>
    <row r="622" spans="1:8" ht="15.75" hidden="1" x14ac:dyDescent="0.3">
      <c r="A622" s="142"/>
      <c r="B622" s="142"/>
      <c r="C622" s="147"/>
      <c r="D622" s="143"/>
      <c r="E622" s="144"/>
      <c r="F622" s="143"/>
      <c r="G622" s="142"/>
      <c r="H622" s="145"/>
    </row>
    <row r="623" spans="1:8" ht="15.75" hidden="1" x14ac:dyDescent="0.3">
      <c r="A623" s="142"/>
      <c r="B623" s="142"/>
      <c r="C623" s="147"/>
      <c r="D623" s="143"/>
      <c r="E623" s="144"/>
      <c r="F623" s="143"/>
      <c r="G623" s="142"/>
      <c r="H623" s="145"/>
    </row>
    <row r="624" spans="1:8" ht="15.75" hidden="1" x14ac:dyDescent="0.3">
      <c r="A624" s="142"/>
      <c r="B624" s="142"/>
      <c r="C624" s="147"/>
      <c r="D624" s="147"/>
      <c r="E624" s="144"/>
      <c r="F624" s="148"/>
      <c r="G624" s="142"/>
      <c r="H624" s="149"/>
    </row>
    <row r="625" spans="1:8" ht="15.75" hidden="1" x14ac:dyDescent="0.3">
      <c r="A625" s="142"/>
      <c r="B625" s="142"/>
      <c r="C625" s="147"/>
      <c r="D625" s="147"/>
      <c r="E625" s="144"/>
      <c r="F625" s="148"/>
      <c r="G625" s="142"/>
      <c r="H625" s="149"/>
    </row>
    <row r="626" spans="1:8" ht="15.75" hidden="1" x14ac:dyDescent="0.3">
      <c r="A626" s="142"/>
      <c r="B626" s="142"/>
      <c r="C626" s="147"/>
      <c r="D626" s="147"/>
      <c r="E626" s="144"/>
      <c r="F626" s="148"/>
      <c r="G626" s="142"/>
      <c r="H626" s="149"/>
    </row>
    <row r="627" spans="1:8" ht="15.75" hidden="1" x14ac:dyDescent="0.3">
      <c r="A627" s="142"/>
      <c r="B627" s="142"/>
      <c r="C627" s="147"/>
      <c r="D627" s="147"/>
      <c r="E627" s="144"/>
      <c r="F627" s="148"/>
      <c r="G627" s="142"/>
      <c r="H627" s="149"/>
    </row>
    <row r="628" spans="1:8" ht="15.75" hidden="1" x14ac:dyDescent="0.3">
      <c r="A628" s="142"/>
      <c r="B628" s="142"/>
      <c r="C628" s="147"/>
      <c r="D628" s="147"/>
      <c r="E628" s="148"/>
      <c r="F628" s="148"/>
      <c r="G628" s="142"/>
      <c r="H628" s="149"/>
    </row>
    <row r="629" spans="1:8" ht="15.75" hidden="1" x14ac:dyDescent="0.3">
      <c r="A629" s="142"/>
      <c r="B629" s="142"/>
      <c r="C629" s="147"/>
      <c r="D629" s="147"/>
      <c r="E629" s="144"/>
      <c r="F629" s="148"/>
      <c r="G629" s="142"/>
      <c r="H629" s="149"/>
    </row>
    <row r="630" spans="1:8" ht="15.75" hidden="1" x14ac:dyDescent="0.3">
      <c r="A630" s="142"/>
      <c r="B630" s="142"/>
      <c r="C630" s="147"/>
      <c r="D630" s="147"/>
      <c r="E630" s="144"/>
      <c r="F630" s="148"/>
      <c r="G630" s="142"/>
      <c r="H630" s="149"/>
    </row>
    <row r="631" spans="1:8" ht="15.75" hidden="1" x14ac:dyDescent="0.3">
      <c r="A631" s="142"/>
      <c r="B631" s="142"/>
      <c r="C631" s="147"/>
      <c r="D631" s="147"/>
      <c r="E631" s="144"/>
      <c r="F631" s="148"/>
      <c r="G631" s="142"/>
      <c r="H631" s="149"/>
    </row>
    <row r="632" spans="1:8" ht="15.75" hidden="1" x14ac:dyDescent="0.3">
      <c r="A632" s="142"/>
      <c r="B632" s="142"/>
      <c r="C632" s="147"/>
      <c r="D632" s="147"/>
      <c r="E632" s="144"/>
      <c r="F632" s="148"/>
      <c r="G632" s="142"/>
      <c r="H632" s="149"/>
    </row>
    <row r="633" spans="1:8" ht="15.75" hidden="1" x14ac:dyDescent="0.3">
      <c r="A633" s="142"/>
      <c r="B633" s="142"/>
      <c r="C633" s="147"/>
      <c r="D633" s="144"/>
      <c r="E633" s="144"/>
      <c r="F633" s="144"/>
      <c r="G633" s="150"/>
      <c r="H633" s="145"/>
    </row>
    <row r="634" spans="1:8" ht="15.75" hidden="1" x14ac:dyDescent="0.3">
      <c r="A634" s="142"/>
      <c r="B634" s="142"/>
      <c r="C634" s="147"/>
      <c r="D634" s="144"/>
      <c r="E634" s="144"/>
      <c r="F634" s="144"/>
      <c r="G634" s="150"/>
      <c r="H634" s="145"/>
    </row>
    <row r="635" spans="1:8" ht="15.75" hidden="1" x14ac:dyDescent="0.3">
      <c r="A635" s="142"/>
      <c r="B635" s="142"/>
      <c r="C635" s="147"/>
      <c r="D635" s="144"/>
      <c r="E635" s="144"/>
      <c r="F635" s="144"/>
      <c r="G635" s="150"/>
      <c r="H635" s="145"/>
    </row>
    <row r="636" spans="1:8" ht="15.75" hidden="1" x14ac:dyDescent="0.3">
      <c r="A636" s="142"/>
      <c r="B636" s="142"/>
      <c r="C636" s="147"/>
      <c r="D636" s="144"/>
      <c r="E636" s="144"/>
      <c r="F636" s="144"/>
      <c r="G636" s="150"/>
      <c r="H636" s="145"/>
    </row>
    <row r="637" spans="1:8" ht="15.75" hidden="1" x14ac:dyDescent="0.3">
      <c r="A637" s="142"/>
      <c r="B637" s="142"/>
      <c r="C637" s="147"/>
      <c r="D637" s="144"/>
      <c r="E637" s="144"/>
      <c r="F637" s="144"/>
      <c r="G637" s="150"/>
      <c r="H637" s="145"/>
    </row>
    <row r="638" spans="1:8" ht="15.75" hidden="1" x14ac:dyDescent="0.3">
      <c r="A638" s="142"/>
      <c r="B638" s="142"/>
      <c r="C638" s="147"/>
      <c r="D638" s="144"/>
      <c r="E638" s="144"/>
      <c r="F638" s="144"/>
      <c r="G638" s="150"/>
      <c r="H638" s="145"/>
    </row>
    <row r="639" spans="1:8" ht="15.75" hidden="1" x14ac:dyDescent="0.3">
      <c r="A639" s="142"/>
      <c r="B639" s="142"/>
      <c r="C639" s="147"/>
      <c r="D639" s="144"/>
      <c r="E639" s="144"/>
      <c r="F639" s="144"/>
      <c r="G639" s="150"/>
      <c r="H639" s="145"/>
    </row>
    <row r="640" spans="1:8" ht="15.75" hidden="1" x14ac:dyDescent="0.3">
      <c r="A640" s="142"/>
      <c r="B640" s="142"/>
      <c r="C640" s="147"/>
      <c r="D640" s="144"/>
      <c r="E640" s="144"/>
      <c r="F640" s="144"/>
      <c r="G640" s="150"/>
      <c r="H640" s="145"/>
    </row>
    <row r="641" spans="1:8" ht="15.75" hidden="1" x14ac:dyDescent="0.3">
      <c r="A641" s="162"/>
      <c r="B641" s="162"/>
      <c r="C641" s="147"/>
      <c r="D641" s="165"/>
      <c r="E641" s="144"/>
      <c r="F641" s="144"/>
      <c r="G641" s="150"/>
      <c r="H641" s="144"/>
    </row>
    <row r="642" spans="1:8" ht="15.75" hidden="1" x14ac:dyDescent="0.3">
      <c r="A642" s="162"/>
      <c r="B642" s="162"/>
      <c r="C642" s="147"/>
      <c r="D642" s="165"/>
      <c r="E642" s="166"/>
      <c r="F642" s="144"/>
      <c r="G642" s="150"/>
      <c r="H642" s="144"/>
    </row>
    <row r="643" spans="1:8" ht="15.75" hidden="1" x14ac:dyDescent="0.3">
      <c r="A643" s="162"/>
      <c r="B643" s="162"/>
      <c r="C643" s="147"/>
      <c r="D643" s="165"/>
      <c r="E643" s="144"/>
      <c r="F643" s="144"/>
      <c r="G643" s="150"/>
      <c r="H643" s="145"/>
    </row>
    <row r="644" spans="1:8" ht="15.75" hidden="1" x14ac:dyDescent="0.3">
      <c r="A644" s="162"/>
      <c r="B644" s="162"/>
      <c r="C644" s="147"/>
      <c r="D644" s="165"/>
      <c r="E644" s="144"/>
      <c r="F644" s="144"/>
      <c r="G644" s="150"/>
      <c r="H644" s="145"/>
    </row>
    <row r="645" spans="1:8" ht="15.75" hidden="1" x14ac:dyDescent="0.3">
      <c r="A645" s="162"/>
      <c r="B645" s="162"/>
      <c r="C645" s="147"/>
      <c r="D645" s="165"/>
      <c r="E645" s="144"/>
      <c r="F645" s="144"/>
      <c r="G645" s="150"/>
      <c r="H645" s="145"/>
    </row>
    <row r="646" spans="1:8" ht="15.75" hidden="1" x14ac:dyDescent="0.3">
      <c r="A646" s="162"/>
      <c r="B646" s="162"/>
      <c r="C646" s="147"/>
      <c r="D646" s="165"/>
      <c r="E646" s="144"/>
      <c r="F646" s="144"/>
      <c r="G646" s="150"/>
      <c r="H646" s="145"/>
    </row>
    <row r="647" spans="1:8" ht="15.75" hidden="1" x14ac:dyDescent="0.3">
      <c r="A647" s="162"/>
      <c r="B647" s="162"/>
      <c r="C647" s="147"/>
      <c r="D647" s="144"/>
      <c r="E647" s="144"/>
      <c r="F647" s="144"/>
      <c r="G647" s="150"/>
      <c r="H647" s="145"/>
    </row>
    <row r="648" spans="1:8" ht="15.75" hidden="1" x14ac:dyDescent="0.3">
      <c r="A648" s="142"/>
      <c r="B648" s="142"/>
      <c r="C648" s="147"/>
      <c r="D648" s="144"/>
      <c r="E648" s="144"/>
      <c r="F648" s="144"/>
      <c r="G648" s="150"/>
      <c r="H648" s="145"/>
    </row>
    <row r="649" spans="1:8" ht="15.75" hidden="1" x14ac:dyDescent="0.3">
      <c r="A649" s="142"/>
      <c r="B649" s="142"/>
      <c r="C649" s="147"/>
      <c r="D649" s="143"/>
      <c r="E649" s="144"/>
      <c r="F649" s="144"/>
      <c r="G649" s="150"/>
      <c r="H649" s="145"/>
    </row>
    <row r="650" spans="1:8" ht="15.75" hidden="1" x14ac:dyDescent="0.3">
      <c r="A650" s="142"/>
      <c r="B650" s="142"/>
      <c r="C650" s="147"/>
      <c r="D650" s="144"/>
      <c r="E650" s="144"/>
      <c r="F650" s="144"/>
      <c r="G650" s="59"/>
      <c r="H650" s="145"/>
    </row>
    <row r="651" spans="1:8" ht="15.75" hidden="1" x14ac:dyDescent="0.3">
      <c r="A651" s="142"/>
      <c r="B651" s="142"/>
      <c r="C651" s="147"/>
      <c r="D651" s="144"/>
      <c r="E651" s="144"/>
      <c r="F651" s="144"/>
      <c r="G651" s="150"/>
      <c r="H651" s="145"/>
    </row>
    <row r="652" spans="1:8" ht="15.75" hidden="1" x14ac:dyDescent="0.3">
      <c r="A652" s="142"/>
      <c r="B652" s="142"/>
      <c r="C652" s="147"/>
      <c r="D652" s="144"/>
      <c r="E652" s="144"/>
      <c r="F652" s="144"/>
      <c r="G652" s="150"/>
      <c r="H652" s="145"/>
    </row>
    <row r="653" spans="1:8" ht="15.75" hidden="1" x14ac:dyDescent="0.3">
      <c r="A653" s="142"/>
      <c r="B653" s="142"/>
      <c r="C653" s="147"/>
      <c r="D653" s="144"/>
      <c r="E653" s="144"/>
      <c r="F653" s="144"/>
      <c r="G653" s="150"/>
      <c r="H653" s="145"/>
    </row>
    <row r="654" spans="1:8" ht="15.75" hidden="1" x14ac:dyDescent="0.3">
      <c r="A654" s="142"/>
      <c r="B654" s="142"/>
      <c r="C654" s="147"/>
      <c r="D654" s="144"/>
      <c r="E654" s="144"/>
      <c r="F654" s="144"/>
      <c r="G654" s="150"/>
      <c r="H654" s="145"/>
    </row>
    <row r="655" spans="1:8" ht="15.75" hidden="1" x14ac:dyDescent="0.3">
      <c r="A655" s="142"/>
      <c r="B655" s="142"/>
      <c r="C655" s="147"/>
      <c r="D655" s="144"/>
      <c r="E655" s="144"/>
      <c r="F655" s="144"/>
      <c r="G655" s="150"/>
      <c r="H655" s="145"/>
    </row>
    <row r="656" spans="1:8" ht="15.75" hidden="1" x14ac:dyDescent="0.3">
      <c r="A656" s="142"/>
      <c r="B656" s="142"/>
      <c r="C656" s="147"/>
      <c r="D656" s="144"/>
      <c r="E656" s="144"/>
      <c r="F656" s="144"/>
      <c r="G656" s="150"/>
      <c r="H656" s="145"/>
    </row>
    <row r="657" spans="1:8" ht="15.75" hidden="1" x14ac:dyDescent="0.3">
      <c r="A657" s="162"/>
      <c r="B657" s="162"/>
      <c r="C657" s="147"/>
      <c r="D657" s="144"/>
      <c r="E657" s="144"/>
      <c r="F657" s="144"/>
      <c r="G657" s="150"/>
      <c r="H657" s="145"/>
    </row>
    <row r="658" spans="1:8" ht="15.75" hidden="1" x14ac:dyDescent="0.3">
      <c r="A658" s="162"/>
      <c r="B658" s="162"/>
      <c r="C658" s="147"/>
      <c r="D658" s="144"/>
      <c r="E658" s="144"/>
      <c r="F658" s="144"/>
      <c r="G658" s="150"/>
      <c r="H658" s="145"/>
    </row>
    <row r="659" spans="1:8" ht="15.75" hidden="1" x14ac:dyDescent="0.3">
      <c r="A659" s="162"/>
      <c r="B659" s="162"/>
      <c r="C659" s="147"/>
      <c r="D659" s="143"/>
      <c r="E659" s="144"/>
      <c r="F659" s="143"/>
      <c r="G659" s="142"/>
      <c r="H659" s="145"/>
    </row>
    <row r="660" spans="1:8" ht="15.75" hidden="1" x14ac:dyDescent="0.3">
      <c r="A660" s="162"/>
      <c r="B660" s="162"/>
      <c r="C660" s="147"/>
      <c r="D660" s="143"/>
      <c r="E660" s="144"/>
      <c r="F660" s="143"/>
      <c r="G660" s="142"/>
      <c r="H660" s="145"/>
    </row>
    <row r="661" spans="1:8" ht="15.75" hidden="1" x14ac:dyDescent="0.3">
      <c r="A661" s="162"/>
      <c r="B661" s="162"/>
      <c r="C661" s="147"/>
      <c r="D661" s="143"/>
      <c r="E661" s="144"/>
      <c r="F661" s="143"/>
      <c r="G661" s="142"/>
      <c r="H661" s="145"/>
    </row>
    <row r="662" spans="1:8" ht="15.75" hidden="1" x14ac:dyDescent="0.3">
      <c r="A662" s="162"/>
      <c r="B662" s="162"/>
      <c r="C662" s="147"/>
      <c r="D662" s="143"/>
      <c r="E662" s="144"/>
      <c r="F662" s="143"/>
      <c r="G662" s="142"/>
      <c r="H662" s="145"/>
    </row>
    <row r="663" spans="1:8" ht="15.75" hidden="1" x14ac:dyDescent="0.3">
      <c r="A663" s="162"/>
      <c r="B663" s="162"/>
      <c r="C663" s="147"/>
      <c r="D663" s="143"/>
      <c r="E663" s="144"/>
      <c r="F663" s="143"/>
      <c r="G663" s="142"/>
      <c r="H663" s="145"/>
    </row>
    <row r="664" spans="1:8" ht="15.75" hidden="1" x14ac:dyDescent="0.3">
      <c r="A664" s="162"/>
      <c r="B664" s="162"/>
      <c r="C664" s="147"/>
      <c r="D664" s="143"/>
      <c r="E664" s="144"/>
      <c r="F664" s="143"/>
      <c r="G664" s="142"/>
      <c r="H664" s="145"/>
    </row>
    <row r="665" spans="1:8" ht="15.75" hidden="1" x14ac:dyDescent="0.3">
      <c r="A665" s="162"/>
      <c r="B665" s="162"/>
      <c r="C665" s="147"/>
      <c r="D665" s="143"/>
      <c r="E665" s="144"/>
      <c r="F665" s="143"/>
      <c r="G665" s="142"/>
      <c r="H665" s="145"/>
    </row>
    <row r="666" spans="1:8" ht="15.75" hidden="1" x14ac:dyDescent="0.3">
      <c r="A666" s="162"/>
      <c r="B666" s="162"/>
      <c r="C666" s="147"/>
      <c r="D666" s="143"/>
      <c r="E666" s="144"/>
      <c r="F666" s="143"/>
      <c r="G666" s="142"/>
      <c r="H666" s="145"/>
    </row>
    <row r="667" spans="1:8" ht="15.75" hidden="1" x14ac:dyDescent="0.3">
      <c r="A667" s="162"/>
      <c r="B667" s="162"/>
      <c r="C667" s="147"/>
      <c r="D667" s="143"/>
      <c r="E667" s="144"/>
      <c r="F667" s="143"/>
      <c r="G667" s="142"/>
      <c r="H667" s="145"/>
    </row>
    <row r="668" spans="1:8" ht="15.75" hidden="1" x14ac:dyDescent="0.3">
      <c r="A668" s="162"/>
      <c r="B668" s="163"/>
      <c r="C668" s="147"/>
      <c r="D668" s="143"/>
      <c r="E668" s="144"/>
      <c r="F668" s="143"/>
      <c r="G668" s="142"/>
      <c r="H668" s="145"/>
    </row>
    <row r="669" spans="1:8" ht="15.75" hidden="1" x14ac:dyDescent="0.3">
      <c r="A669" s="142"/>
      <c r="B669" s="142"/>
      <c r="C669" s="147"/>
      <c r="D669" s="143"/>
      <c r="E669" s="144"/>
      <c r="F669" s="143"/>
      <c r="G669" s="142"/>
      <c r="H669" s="145"/>
    </row>
    <row r="670" spans="1:8" ht="15.75" hidden="1" x14ac:dyDescent="0.3">
      <c r="A670" s="142"/>
      <c r="B670" s="142"/>
      <c r="C670" s="147"/>
      <c r="D670" s="143"/>
      <c r="E670" s="144"/>
      <c r="F670" s="143"/>
      <c r="G670" s="142"/>
      <c r="H670" s="145"/>
    </row>
    <row r="671" spans="1:8" ht="15.75" hidden="1" x14ac:dyDescent="0.3">
      <c r="A671" s="142"/>
      <c r="B671" s="142"/>
      <c r="C671" s="147"/>
      <c r="D671" s="143"/>
      <c r="E671" s="144"/>
      <c r="F671" s="143"/>
      <c r="G671" s="142"/>
      <c r="H671" s="145"/>
    </row>
    <row r="672" spans="1:8" ht="15.75" hidden="1" x14ac:dyDescent="0.3">
      <c r="A672" s="142"/>
      <c r="B672" s="142"/>
      <c r="C672" s="147"/>
      <c r="D672" s="143"/>
      <c r="E672" s="144"/>
      <c r="F672" s="143"/>
      <c r="G672" s="142"/>
      <c r="H672" s="145"/>
    </row>
    <row r="673" spans="1:8" ht="15.75" hidden="1" x14ac:dyDescent="0.3">
      <c r="A673" s="142"/>
      <c r="B673" s="142"/>
      <c r="C673" s="147"/>
      <c r="D673" s="143"/>
      <c r="E673" s="144"/>
      <c r="F673" s="143"/>
      <c r="G673" s="142"/>
      <c r="H673" s="145"/>
    </row>
    <row r="674" spans="1:8" ht="15.75" hidden="1" x14ac:dyDescent="0.3">
      <c r="A674" s="142"/>
      <c r="B674" s="142"/>
      <c r="C674" s="147"/>
      <c r="D674" s="143"/>
      <c r="E674" s="144"/>
      <c r="F674" s="143"/>
      <c r="G674" s="142"/>
      <c r="H674" s="145"/>
    </row>
    <row r="675" spans="1:8" ht="15.75" hidden="1" x14ac:dyDescent="0.3">
      <c r="A675" s="142"/>
      <c r="B675" s="142"/>
      <c r="C675" s="147"/>
      <c r="D675" s="143"/>
      <c r="E675" s="144"/>
      <c r="F675" s="143"/>
      <c r="G675" s="142"/>
      <c r="H675" s="145"/>
    </row>
    <row r="676" spans="1:8" ht="15.75" hidden="1" x14ac:dyDescent="0.3">
      <c r="A676" s="142"/>
      <c r="B676" s="142"/>
      <c r="C676" s="147"/>
      <c r="D676" s="143"/>
      <c r="E676" s="144"/>
      <c r="F676" s="143"/>
      <c r="G676" s="142"/>
      <c r="H676" s="145"/>
    </row>
    <row r="677" spans="1:8" ht="15.75" hidden="1" x14ac:dyDescent="0.3">
      <c r="A677" s="142"/>
      <c r="B677" s="142"/>
      <c r="C677" s="147"/>
      <c r="D677" s="143"/>
      <c r="E677" s="144"/>
      <c r="F677" s="143"/>
      <c r="G677" s="142"/>
      <c r="H677" s="145"/>
    </row>
    <row r="678" spans="1:8" ht="15.75" hidden="1" x14ac:dyDescent="0.3">
      <c r="A678" s="163"/>
      <c r="B678" s="163"/>
      <c r="C678" s="164"/>
      <c r="D678" s="143"/>
      <c r="E678" s="144"/>
      <c r="F678" s="143"/>
      <c r="G678" s="142"/>
      <c r="H678" s="145"/>
    </row>
    <row r="679" spans="1:8" ht="15.75" hidden="1" x14ac:dyDescent="0.3">
      <c r="A679" s="162"/>
      <c r="B679" s="162"/>
      <c r="C679" s="147"/>
      <c r="D679" s="143"/>
      <c r="E679" s="144"/>
      <c r="F679" s="143"/>
      <c r="G679" s="142"/>
      <c r="H679" s="145"/>
    </row>
    <row r="680" spans="1:8" ht="15.75" hidden="1" x14ac:dyDescent="0.3">
      <c r="A680" s="162"/>
      <c r="B680" s="162"/>
      <c r="C680" s="147"/>
      <c r="D680" s="143"/>
      <c r="E680" s="144"/>
      <c r="F680" s="143"/>
      <c r="G680" s="142"/>
      <c r="H680" s="145"/>
    </row>
    <row r="681" spans="1:8" ht="15.75" hidden="1" x14ac:dyDescent="0.3">
      <c r="A681" s="162"/>
      <c r="B681" s="162"/>
      <c r="C681" s="147"/>
      <c r="D681" s="143"/>
      <c r="E681" s="144"/>
      <c r="F681" s="143"/>
      <c r="G681" s="142"/>
      <c r="H681" s="145"/>
    </row>
    <row r="682" spans="1:8" ht="15.75" hidden="1" x14ac:dyDescent="0.3">
      <c r="A682" s="162"/>
      <c r="B682" s="162"/>
      <c r="C682" s="147"/>
      <c r="D682" s="143"/>
      <c r="E682" s="144"/>
      <c r="F682" s="143"/>
      <c r="G682" s="142"/>
      <c r="H682" s="145"/>
    </row>
    <row r="683" spans="1:8" ht="15.75" hidden="1" x14ac:dyDescent="0.3">
      <c r="A683" s="162"/>
      <c r="B683" s="162"/>
      <c r="C683" s="147"/>
      <c r="D683" s="143"/>
      <c r="E683" s="144"/>
      <c r="F683" s="143"/>
      <c r="G683" s="142"/>
      <c r="H683" s="145"/>
    </row>
    <row r="684" spans="1:8" ht="15.75" hidden="1" x14ac:dyDescent="0.3">
      <c r="A684" s="162"/>
      <c r="B684" s="162"/>
      <c r="C684" s="147"/>
      <c r="D684" s="143"/>
      <c r="E684" s="144"/>
      <c r="F684" s="143"/>
      <c r="G684" s="142"/>
      <c r="H684" s="145"/>
    </row>
    <row r="685" spans="1:8" ht="15.75" hidden="1" x14ac:dyDescent="0.3">
      <c r="A685" s="162"/>
      <c r="B685" s="162"/>
      <c r="C685" s="147"/>
      <c r="D685" s="143"/>
      <c r="E685" s="144"/>
      <c r="F685" s="143"/>
      <c r="G685" s="142"/>
      <c r="H685" s="145"/>
    </row>
    <row r="686" spans="1:8" ht="15.75" hidden="1" x14ac:dyDescent="0.3">
      <c r="A686" s="162"/>
      <c r="B686" s="162"/>
      <c r="C686" s="147"/>
      <c r="D686" s="143"/>
      <c r="E686" s="144"/>
      <c r="F686" s="143"/>
      <c r="G686" s="142"/>
      <c r="H686" s="145"/>
    </row>
    <row r="687" spans="1:8" ht="15.75" hidden="1" x14ac:dyDescent="0.3">
      <c r="A687" s="162"/>
      <c r="B687" s="162"/>
      <c r="C687" s="147"/>
      <c r="D687" s="143"/>
      <c r="E687" s="144"/>
      <c r="F687" s="143"/>
      <c r="G687" s="142"/>
      <c r="H687" s="145"/>
    </row>
    <row r="688" spans="1:8" ht="15.75" hidden="1" x14ac:dyDescent="0.3">
      <c r="A688" s="162"/>
      <c r="B688" s="162"/>
      <c r="C688" s="147"/>
      <c r="D688" s="143"/>
      <c r="E688" s="144"/>
      <c r="F688" s="143"/>
      <c r="G688" s="142"/>
      <c r="H688" s="145"/>
    </row>
    <row r="689" spans="1:8" ht="15.75" hidden="1" x14ac:dyDescent="0.3">
      <c r="A689" s="162"/>
      <c r="B689" s="162"/>
      <c r="C689" s="147"/>
      <c r="D689" s="143"/>
      <c r="E689" s="144"/>
      <c r="F689" s="143"/>
      <c r="G689" s="142"/>
      <c r="H689" s="145"/>
    </row>
    <row r="690" spans="1:8" ht="15.75" hidden="1" x14ac:dyDescent="0.3">
      <c r="A690" s="162"/>
      <c r="B690" s="162"/>
      <c r="C690" s="147"/>
      <c r="D690" s="143"/>
      <c r="E690" s="144"/>
      <c r="F690" s="143"/>
      <c r="G690" s="142"/>
      <c r="H690" s="145"/>
    </row>
    <row r="691" spans="1:8" ht="15.75" hidden="1" x14ac:dyDescent="0.3">
      <c r="A691" s="142"/>
      <c r="B691" s="142"/>
      <c r="C691" s="147"/>
      <c r="D691" s="143"/>
      <c r="E691" s="144"/>
      <c r="F691" s="143"/>
      <c r="G691" s="142"/>
      <c r="H691" s="145"/>
    </row>
    <row r="692" spans="1:8" ht="15.75" hidden="1" x14ac:dyDescent="0.3">
      <c r="A692" s="142"/>
      <c r="B692" s="142"/>
      <c r="C692" s="147"/>
      <c r="D692" s="143"/>
      <c r="E692" s="144"/>
      <c r="F692" s="143"/>
      <c r="G692" s="142"/>
      <c r="H692" s="145"/>
    </row>
    <row r="693" spans="1:8" ht="15.75" hidden="1" x14ac:dyDescent="0.3">
      <c r="A693" s="142"/>
      <c r="B693" s="142"/>
      <c r="C693" s="147"/>
      <c r="D693" s="143"/>
      <c r="E693" s="144"/>
      <c r="F693" s="143"/>
      <c r="G693" s="142"/>
      <c r="H693" s="145"/>
    </row>
    <row r="694" spans="1:8" ht="15.75" hidden="1" x14ac:dyDescent="0.3">
      <c r="A694" s="142"/>
      <c r="B694" s="142"/>
      <c r="C694" s="147"/>
      <c r="D694" s="143"/>
      <c r="E694" s="144"/>
      <c r="F694" s="143"/>
      <c r="G694" s="142"/>
      <c r="H694" s="145"/>
    </row>
    <row r="695" spans="1:8" ht="15.75" hidden="1" x14ac:dyDescent="0.3">
      <c r="A695" s="142"/>
      <c r="B695" s="142"/>
      <c r="C695" s="147"/>
      <c r="D695" s="143"/>
      <c r="E695" s="144"/>
      <c r="F695" s="143"/>
      <c r="G695" s="142"/>
      <c r="H695" s="145"/>
    </row>
    <row r="696" spans="1:8" ht="15.75" hidden="1" x14ac:dyDescent="0.3">
      <c r="A696" s="142"/>
      <c r="B696" s="142"/>
      <c r="C696" s="147"/>
      <c r="D696" s="143"/>
      <c r="E696" s="144"/>
      <c r="F696" s="143"/>
      <c r="G696" s="142"/>
      <c r="H696" s="145"/>
    </row>
    <row r="697" spans="1:8" ht="15.75" hidden="1" x14ac:dyDescent="0.3">
      <c r="A697" s="142"/>
      <c r="B697" s="142"/>
      <c r="C697" s="147"/>
      <c r="D697" s="143"/>
      <c r="E697" s="145"/>
      <c r="F697" s="143"/>
      <c r="G697" s="142"/>
      <c r="H697" s="145"/>
    </row>
    <row r="698" spans="1:8" ht="15.75" hidden="1" x14ac:dyDescent="0.3">
      <c r="A698" s="142"/>
      <c r="B698" s="142"/>
      <c r="C698" s="147"/>
      <c r="D698" s="143"/>
      <c r="E698" s="144"/>
      <c r="F698" s="143"/>
      <c r="G698" s="142"/>
      <c r="H698" s="145"/>
    </row>
    <row r="699" spans="1:8" ht="15.75" hidden="1" x14ac:dyDescent="0.3">
      <c r="A699" s="142"/>
      <c r="B699" s="142"/>
      <c r="C699" s="147"/>
      <c r="D699" s="143"/>
      <c r="E699" s="144"/>
      <c r="F699" s="143"/>
      <c r="G699" s="142"/>
      <c r="H699" s="145"/>
    </row>
    <row r="700" spans="1:8" ht="15.75" hidden="1" x14ac:dyDescent="0.3">
      <c r="A700" s="142"/>
      <c r="B700" s="142"/>
      <c r="C700" s="147"/>
      <c r="D700" s="143"/>
      <c r="E700" s="144"/>
      <c r="F700" s="143"/>
      <c r="G700" s="142"/>
      <c r="H700" s="145"/>
    </row>
    <row r="701" spans="1:8" ht="15.75" hidden="1" x14ac:dyDescent="0.3">
      <c r="A701" s="142"/>
      <c r="B701" s="142"/>
      <c r="C701" s="147"/>
      <c r="D701" s="143"/>
      <c r="E701" s="144"/>
      <c r="F701" s="143"/>
      <c r="G701" s="142"/>
      <c r="H701" s="145"/>
    </row>
    <row r="702" spans="1:8" ht="15.75" hidden="1" x14ac:dyDescent="0.3">
      <c r="A702" s="142"/>
      <c r="B702" s="142"/>
      <c r="C702" s="147"/>
      <c r="D702" s="143"/>
      <c r="E702" s="144"/>
      <c r="F702" s="143"/>
      <c r="G702" s="142"/>
      <c r="H702" s="145"/>
    </row>
    <row r="703" spans="1:8" ht="15.75" hidden="1" x14ac:dyDescent="0.3">
      <c r="A703" s="142"/>
      <c r="B703" s="142"/>
      <c r="C703" s="147"/>
      <c r="D703" s="153"/>
      <c r="E703" s="144"/>
      <c r="F703" s="143"/>
      <c r="G703" s="142"/>
      <c r="H703" s="145"/>
    </row>
    <row r="704" spans="1:8" ht="15.75" hidden="1" x14ac:dyDescent="0.3">
      <c r="A704" s="142"/>
      <c r="B704" s="142"/>
      <c r="C704" s="147"/>
      <c r="D704" s="153"/>
      <c r="E704" s="144"/>
      <c r="F704" s="143"/>
      <c r="G704" s="142"/>
      <c r="H704" s="145"/>
    </row>
    <row r="705" spans="1:8" ht="15.75" hidden="1" x14ac:dyDescent="0.3">
      <c r="A705" s="142"/>
      <c r="B705" s="142"/>
      <c r="C705" s="147"/>
      <c r="D705" s="143"/>
      <c r="E705" s="144"/>
      <c r="F705" s="143"/>
      <c r="G705" s="142"/>
      <c r="H705" s="145"/>
    </row>
    <row r="706" spans="1:8" ht="15.75" hidden="1" x14ac:dyDescent="0.3">
      <c r="A706" s="142"/>
      <c r="B706" s="142"/>
      <c r="C706" s="147"/>
      <c r="D706" s="143"/>
      <c r="E706" s="144"/>
      <c r="F706" s="143"/>
      <c r="G706" s="142"/>
      <c r="H706" s="145"/>
    </row>
    <row r="707" spans="1:8" ht="15.75" hidden="1" x14ac:dyDescent="0.3">
      <c r="A707" s="142"/>
      <c r="B707" s="142"/>
      <c r="C707" s="147"/>
      <c r="D707" s="143"/>
      <c r="E707" s="144"/>
      <c r="F707" s="143"/>
      <c r="G707" s="142"/>
      <c r="H707" s="145"/>
    </row>
    <row r="708" spans="1:8" ht="15.75" hidden="1" x14ac:dyDescent="0.3">
      <c r="A708" s="142"/>
      <c r="B708" s="142"/>
      <c r="C708" s="147"/>
      <c r="D708" s="143"/>
      <c r="E708" s="144"/>
      <c r="F708" s="143"/>
      <c r="G708" s="142"/>
      <c r="H708" s="145"/>
    </row>
    <row r="709" spans="1:8" ht="15.75" hidden="1" x14ac:dyDescent="0.3">
      <c r="A709" s="142"/>
      <c r="B709" s="142"/>
      <c r="C709" s="147"/>
      <c r="D709" s="143"/>
      <c r="E709" s="144"/>
      <c r="F709" s="143"/>
      <c r="G709" s="142"/>
      <c r="H709" s="145"/>
    </row>
    <row r="710" spans="1:8" ht="15.75" hidden="1" x14ac:dyDescent="0.3">
      <c r="A710" s="142"/>
      <c r="B710" s="142"/>
      <c r="C710" s="147"/>
      <c r="D710" s="153"/>
      <c r="E710" s="144"/>
      <c r="F710" s="143"/>
      <c r="G710" s="142"/>
      <c r="H710" s="145"/>
    </row>
    <row r="711" spans="1:8" ht="15.75" hidden="1" x14ac:dyDescent="0.3">
      <c r="A711" s="142"/>
      <c r="B711" s="142"/>
      <c r="C711" s="147"/>
      <c r="D711" s="153"/>
      <c r="E711" s="144"/>
      <c r="F711" s="143"/>
      <c r="G711" s="142"/>
      <c r="H711" s="145"/>
    </row>
    <row r="712" spans="1:8" ht="15.75" hidden="1" x14ac:dyDescent="0.3">
      <c r="A712" s="142"/>
      <c r="B712" s="142"/>
      <c r="C712" s="147"/>
      <c r="D712" s="153"/>
      <c r="E712" s="144"/>
      <c r="F712" s="143"/>
      <c r="G712" s="142"/>
      <c r="H712" s="145"/>
    </row>
    <row r="713" spans="1:8" ht="15.75" hidden="1" x14ac:dyDescent="0.3">
      <c r="A713" s="142"/>
      <c r="B713" s="142"/>
      <c r="C713" s="147"/>
      <c r="D713" s="143"/>
      <c r="E713" s="144"/>
      <c r="F713" s="143"/>
      <c r="G713" s="142"/>
      <c r="H713" s="145"/>
    </row>
    <row r="714" spans="1:8" ht="15.75" hidden="1" x14ac:dyDescent="0.3">
      <c r="A714" s="142"/>
      <c r="B714" s="142"/>
      <c r="C714" s="147"/>
      <c r="D714" s="143"/>
      <c r="E714" s="144"/>
      <c r="F714" s="143"/>
      <c r="G714" s="142"/>
      <c r="H714" s="145"/>
    </row>
    <row r="715" spans="1:8" ht="15.75" hidden="1" x14ac:dyDescent="0.3">
      <c r="A715" s="142"/>
      <c r="B715" s="142"/>
      <c r="C715" s="147"/>
      <c r="D715" s="143"/>
      <c r="E715" s="144"/>
      <c r="F715" s="143"/>
      <c r="G715" s="142"/>
      <c r="H715" s="145"/>
    </row>
    <row r="716" spans="1:8" ht="15.75" hidden="1" x14ac:dyDescent="0.3">
      <c r="A716" s="142"/>
      <c r="B716" s="142"/>
      <c r="C716" s="147"/>
      <c r="D716" s="143"/>
      <c r="E716" s="144"/>
      <c r="F716" s="143"/>
      <c r="G716" s="142"/>
      <c r="H716" s="145"/>
    </row>
    <row r="717" spans="1:8" ht="15.75" hidden="1" x14ac:dyDescent="0.3">
      <c r="A717" s="142"/>
      <c r="B717" s="142"/>
      <c r="C717" s="147"/>
      <c r="D717" s="143"/>
      <c r="E717" s="144"/>
      <c r="F717" s="143"/>
      <c r="G717" s="142"/>
      <c r="H717" s="145"/>
    </row>
    <row r="718" spans="1:8" ht="15.75" hidden="1" x14ac:dyDescent="0.3">
      <c r="A718" s="142"/>
      <c r="B718" s="142"/>
      <c r="C718" s="147"/>
      <c r="D718" s="143"/>
      <c r="E718" s="144"/>
      <c r="F718" s="143"/>
      <c r="G718" s="142"/>
      <c r="H718" s="145"/>
    </row>
    <row r="719" spans="1:8" ht="15.75" hidden="1" x14ac:dyDescent="0.3">
      <c r="A719" s="141"/>
      <c r="B719" s="142"/>
      <c r="C719" s="147"/>
      <c r="D719" s="143"/>
      <c r="E719" s="144"/>
      <c r="F719" s="143"/>
      <c r="G719" s="142"/>
      <c r="H719" s="145"/>
    </row>
    <row r="720" spans="1:8" ht="15.75" hidden="1" x14ac:dyDescent="0.3">
      <c r="A720" s="142"/>
      <c r="B720" s="142"/>
      <c r="C720" s="147"/>
      <c r="D720" s="143"/>
      <c r="E720" s="144"/>
      <c r="F720" s="143"/>
      <c r="G720" s="142"/>
      <c r="H720" s="145"/>
    </row>
    <row r="721" spans="1:8" ht="15.75" hidden="1" x14ac:dyDescent="0.3">
      <c r="A721" s="142"/>
      <c r="B721" s="142"/>
      <c r="C721" s="147"/>
      <c r="D721" s="143"/>
      <c r="E721" s="144"/>
      <c r="F721" s="143"/>
      <c r="G721" s="142"/>
      <c r="H721" s="145"/>
    </row>
    <row r="722" spans="1:8" ht="15.75" hidden="1" x14ac:dyDescent="0.3">
      <c r="A722" s="142"/>
      <c r="B722" s="142"/>
      <c r="C722" s="147"/>
      <c r="D722" s="153"/>
      <c r="E722" s="144"/>
      <c r="F722" s="143"/>
      <c r="G722" s="142"/>
      <c r="H722" s="144"/>
    </row>
    <row r="723" spans="1:8" ht="15.75" hidden="1" x14ac:dyDescent="0.3">
      <c r="A723" s="142"/>
      <c r="B723" s="142"/>
      <c r="C723" s="147"/>
      <c r="D723" s="153"/>
      <c r="E723" s="144"/>
      <c r="F723" s="143"/>
      <c r="G723" s="142"/>
      <c r="H723" s="144"/>
    </row>
    <row r="724" spans="1:8" ht="15.75" hidden="1" x14ac:dyDescent="0.3">
      <c r="A724" s="142"/>
      <c r="B724" s="142"/>
      <c r="C724" s="147"/>
      <c r="D724" s="143"/>
      <c r="E724" s="144"/>
      <c r="F724" s="143"/>
      <c r="G724" s="142"/>
      <c r="H724" s="145"/>
    </row>
    <row r="725" spans="1:8" ht="15.75" hidden="1" x14ac:dyDescent="0.3">
      <c r="A725" s="142"/>
      <c r="B725" s="142"/>
      <c r="C725" s="147"/>
      <c r="D725" s="143"/>
      <c r="E725" s="144"/>
      <c r="F725" s="143"/>
      <c r="G725" s="142"/>
      <c r="H725" s="145"/>
    </row>
    <row r="726" spans="1:8" ht="15.75" hidden="1" x14ac:dyDescent="0.3">
      <c r="A726" s="142"/>
      <c r="B726" s="142"/>
      <c r="C726" s="147"/>
      <c r="D726" s="153"/>
      <c r="E726" s="144"/>
      <c r="F726" s="143"/>
      <c r="G726" s="142"/>
      <c r="H726" s="145"/>
    </row>
    <row r="727" spans="1:8" ht="15.75" hidden="1" x14ac:dyDescent="0.3">
      <c r="A727" s="142"/>
      <c r="B727" s="142"/>
      <c r="C727" s="147"/>
      <c r="D727" s="143"/>
      <c r="E727" s="144"/>
      <c r="F727" s="143"/>
      <c r="G727" s="142"/>
      <c r="H727" s="145"/>
    </row>
    <row r="728" spans="1:8" ht="15.75" hidden="1" x14ac:dyDescent="0.3">
      <c r="A728" s="142"/>
      <c r="B728" s="142"/>
      <c r="C728" s="147"/>
      <c r="D728" s="143"/>
      <c r="E728" s="144"/>
      <c r="F728" s="143"/>
      <c r="G728" s="142"/>
      <c r="H728" s="145"/>
    </row>
    <row r="729" spans="1:8" ht="15.75" hidden="1" x14ac:dyDescent="0.3">
      <c r="A729" s="142"/>
      <c r="B729" s="142"/>
      <c r="C729" s="147"/>
      <c r="D729" s="143"/>
      <c r="E729" s="144"/>
      <c r="F729" s="143"/>
      <c r="G729" s="142"/>
      <c r="H729" s="145"/>
    </row>
    <row r="730" spans="1:8" ht="15.75" hidden="1" x14ac:dyDescent="0.3">
      <c r="A730" s="142"/>
      <c r="B730" s="142"/>
      <c r="C730" s="147"/>
      <c r="D730" s="153"/>
      <c r="E730" s="144"/>
      <c r="F730" s="143"/>
      <c r="G730" s="142"/>
      <c r="H730" s="144"/>
    </row>
    <row r="731" spans="1:8" ht="15.75" hidden="1" x14ac:dyDescent="0.3">
      <c r="A731" s="142"/>
      <c r="B731" s="142"/>
      <c r="C731" s="147"/>
      <c r="D731" s="143"/>
      <c r="E731" s="144"/>
      <c r="F731" s="143"/>
      <c r="G731" s="142"/>
      <c r="H731" s="145"/>
    </row>
    <row r="732" spans="1:8" ht="15.75" hidden="1" x14ac:dyDescent="0.3">
      <c r="A732" s="142"/>
      <c r="B732" s="142"/>
      <c r="C732" s="147"/>
      <c r="D732" s="153"/>
      <c r="E732" s="144"/>
      <c r="F732" s="143"/>
      <c r="G732" s="142"/>
      <c r="H732" s="144"/>
    </row>
    <row r="733" spans="1:8" ht="15.75" hidden="1" x14ac:dyDescent="0.3">
      <c r="A733" s="142"/>
      <c r="B733" s="142"/>
      <c r="C733" s="147"/>
      <c r="D733" s="153"/>
      <c r="E733" s="144"/>
      <c r="F733" s="143"/>
      <c r="G733" s="142"/>
      <c r="H733" s="145"/>
    </row>
    <row r="734" spans="1:8" ht="15.75" hidden="1" x14ac:dyDescent="0.3">
      <c r="A734" s="142"/>
      <c r="B734" s="142"/>
      <c r="C734" s="147"/>
      <c r="D734" s="153"/>
      <c r="E734" s="144"/>
      <c r="F734" s="143"/>
      <c r="G734" s="142"/>
      <c r="H734" s="145"/>
    </row>
    <row r="735" spans="1:8" ht="15.75" hidden="1" x14ac:dyDescent="0.3">
      <c r="A735" s="142"/>
      <c r="B735" s="142"/>
      <c r="C735" s="147"/>
      <c r="D735" s="153"/>
      <c r="E735" s="144"/>
      <c r="F735" s="143"/>
      <c r="G735" s="142"/>
      <c r="H735" s="145"/>
    </row>
    <row r="736" spans="1:8" ht="15.75" hidden="1" x14ac:dyDescent="0.3">
      <c r="A736" s="142"/>
      <c r="B736" s="142"/>
      <c r="C736" s="147"/>
      <c r="D736" s="153"/>
      <c r="E736" s="144"/>
      <c r="F736" s="143"/>
      <c r="G736" s="142"/>
      <c r="H736" s="145"/>
    </row>
    <row r="737" spans="1:8" ht="15.75" hidden="1" x14ac:dyDescent="0.3">
      <c r="A737" s="142"/>
      <c r="B737" s="142"/>
      <c r="C737" s="147"/>
      <c r="D737" s="153"/>
      <c r="E737" s="144"/>
      <c r="F737" s="143"/>
      <c r="G737" s="142"/>
      <c r="H737" s="145"/>
    </row>
    <row r="738" spans="1:8" ht="15.75" hidden="1" x14ac:dyDescent="0.3">
      <c r="A738" s="142"/>
      <c r="B738" s="142"/>
      <c r="C738" s="147"/>
      <c r="D738" s="153"/>
      <c r="E738" s="144"/>
      <c r="F738" s="143"/>
      <c r="G738" s="142"/>
      <c r="H738" s="145"/>
    </row>
    <row r="739" spans="1:8" ht="15.75" hidden="1" x14ac:dyDescent="0.3">
      <c r="A739" s="142"/>
      <c r="B739" s="142"/>
      <c r="C739" s="147"/>
      <c r="D739" s="153"/>
      <c r="E739" s="144"/>
      <c r="F739" s="143"/>
      <c r="G739" s="142"/>
      <c r="H739" s="145"/>
    </row>
    <row r="740" spans="1:8" ht="15.75" hidden="1" x14ac:dyDescent="0.3">
      <c r="A740" s="142"/>
      <c r="B740" s="142"/>
      <c r="C740" s="147"/>
      <c r="D740" s="153"/>
      <c r="E740" s="144"/>
      <c r="F740" s="143"/>
      <c r="G740" s="142"/>
      <c r="H740" s="145"/>
    </row>
    <row r="741" spans="1:8" ht="15.75" hidden="1" x14ac:dyDescent="0.3">
      <c r="A741" s="142"/>
      <c r="B741" s="142"/>
      <c r="C741" s="147"/>
      <c r="D741" s="153"/>
      <c r="E741" s="144"/>
      <c r="F741" s="143"/>
      <c r="G741" s="142"/>
      <c r="H741" s="145"/>
    </row>
    <row r="742" spans="1:8" ht="15.75" hidden="1" x14ac:dyDescent="0.3">
      <c r="A742" s="142"/>
      <c r="B742" s="142"/>
      <c r="C742" s="147"/>
      <c r="D742" s="153"/>
      <c r="E742" s="144"/>
      <c r="F742" s="143"/>
      <c r="G742" s="142"/>
      <c r="H742" s="145"/>
    </row>
    <row r="743" spans="1:8" ht="15.75" hidden="1" x14ac:dyDescent="0.3">
      <c r="A743" s="142"/>
      <c r="B743" s="142"/>
      <c r="C743" s="147"/>
      <c r="D743" s="153"/>
      <c r="E743" s="144"/>
      <c r="F743" s="143"/>
      <c r="G743" s="142"/>
      <c r="H743" s="145"/>
    </row>
    <row r="744" spans="1:8" ht="15.75" hidden="1" x14ac:dyDescent="0.3">
      <c r="A744" s="142"/>
      <c r="B744" s="142"/>
      <c r="C744" s="147"/>
      <c r="D744" s="153"/>
      <c r="E744" s="144"/>
      <c r="F744" s="143"/>
      <c r="G744" s="142"/>
      <c r="H744" s="145"/>
    </row>
    <row r="745" spans="1:8" ht="15.75" hidden="1" x14ac:dyDescent="0.3">
      <c r="A745" s="142"/>
      <c r="B745" s="142"/>
      <c r="C745" s="147"/>
      <c r="D745" s="153"/>
      <c r="E745" s="144"/>
      <c r="F745" s="143"/>
      <c r="G745" s="142"/>
      <c r="H745" s="145"/>
    </row>
    <row r="746" spans="1:8" ht="15.75" hidden="1" x14ac:dyDescent="0.3">
      <c r="A746" s="142"/>
      <c r="B746" s="142"/>
      <c r="C746" s="147"/>
      <c r="D746" s="153"/>
      <c r="E746" s="144"/>
      <c r="F746" s="143"/>
      <c r="G746" s="142"/>
      <c r="H746" s="145"/>
    </row>
    <row r="747" spans="1:8" ht="15.75" hidden="1" x14ac:dyDescent="0.3">
      <c r="A747" s="141"/>
      <c r="B747" s="142"/>
      <c r="C747" s="147"/>
      <c r="D747" s="143"/>
      <c r="E747" s="144"/>
      <c r="F747" s="143"/>
      <c r="G747" s="142"/>
      <c r="H747" s="145"/>
    </row>
    <row r="748" spans="1:8" ht="15.75" hidden="1" x14ac:dyDescent="0.3">
      <c r="A748" s="141"/>
      <c r="B748" s="142"/>
      <c r="C748" s="147"/>
      <c r="D748" s="143"/>
      <c r="E748" s="144"/>
      <c r="F748" s="143"/>
      <c r="G748" s="142"/>
      <c r="H748" s="145"/>
    </row>
    <row r="749" spans="1:8" ht="15.75" hidden="1" x14ac:dyDescent="0.3">
      <c r="A749" s="141"/>
      <c r="B749" s="142"/>
      <c r="C749" s="147"/>
      <c r="D749" s="143"/>
      <c r="E749" s="144"/>
      <c r="F749" s="143"/>
      <c r="G749" s="142"/>
      <c r="H749" s="145"/>
    </row>
    <row r="750" spans="1:8" ht="15.75" hidden="1" x14ac:dyDescent="0.3">
      <c r="A750" s="141"/>
      <c r="B750" s="142"/>
      <c r="C750" s="147"/>
      <c r="D750" s="143"/>
      <c r="E750" s="144"/>
      <c r="F750" s="143"/>
      <c r="G750" s="142"/>
      <c r="H750" s="145"/>
    </row>
    <row r="751" spans="1:8" ht="15.75" hidden="1" x14ac:dyDescent="0.3">
      <c r="A751" s="141"/>
      <c r="B751" s="142"/>
      <c r="C751" s="147"/>
      <c r="D751" s="143"/>
      <c r="E751" s="144"/>
      <c r="F751" s="143"/>
      <c r="G751" s="142"/>
      <c r="H751" s="145"/>
    </row>
    <row r="752" spans="1:8" ht="15.75" hidden="1" x14ac:dyDescent="0.3">
      <c r="A752" s="141"/>
      <c r="B752" s="142"/>
      <c r="C752" s="147"/>
      <c r="D752" s="143"/>
      <c r="E752" s="144"/>
      <c r="F752" s="143"/>
      <c r="G752" s="142"/>
      <c r="H752" s="145"/>
    </row>
    <row r="753" spans="1:8" ht="15.75" hidden="1" x14ac:dyDescent="0.3">
      <c r="A753" s="141"/>
      <c r="B753" s="142"/>
      <c r="C753" s="147"/>
      <c r="D753" s="143"/>
      <c r="E753" s="144"/>
      <c r="F753" s="143"/>
      <c r="G753" s="142"/>
      <c r="H753" s="145"/>
    </row>
    <row r="754" spans="1:8" ht="15.75" hidden="1" x14ac:dyDescent="0.3">
      <c r="A754" s="141"/>
      <c r="B754" s="142"/>
      <c r="C754" s="147"/>
      <c r="D754" s="143"/>
      <c r="E754" s="144"/>
      <c r="F754" s="143"/>
      <c r="G754" s="142"/>
      <c r="H754" s="145"/>
    </row>
    <row r="755" spans="1:8" ht="15.75" hidden="1" x14ac:dyDescent="0.3">
      <c r="A755" s="141"/>
      <c r="B755" s="142"/>
      <c r="C755" s="147"/>
      <c r="D755" s="143"/>
      <c r="E755" s="144"/>
      <c r="F755" s="143"/>
      <c r="G755" s="142"/>
      <c r="H755" s="145"/>
    </row>
    <row r="756" spans="1:8" ht="15.75" hidden="1" x14ac:dyDescent="0.3">
      <c r="A756" s="142"/>
      <c r="B756" s="142"/>
      <c r="C756" s="147"/>
      <c r="D756" s="143"/>
      <c r="E756" s="144"/>
      <c r="F756" s="143"/>
      <c r="G756" s="142"/>
      <c r="H756" s="145"/>
    </row>
    <row r="757" spans="1:8" ht="15.75" hidden="1" x14ac:dyDescent="0.3">
      <c r="A757" s="142"/>
      <c r="B757" s="142"/>
      <c r="C757" s="147"/>
      <c r="D757" s="143"/>
      <c r="E757" s="144"/>
      <c r="F757" s="143"/>
      <c r="G757" s="142"/>
      <c r="H757" s="145"/>
    </row>
    <row r="758" spans="1:8" ht="15.75" hidden="1" x14ac:dyDescent="0.3">
      <c r="A758" s="142"/>
      <c r="B758" s="142"/>
      <c r="C758" s="147"/>
      <c r="D758" s="143"/>
      <c r="E758" s="144"/>
      <c r="F758" s="143"/>
      <c r="G758" s="142"/>
      <c r="H758" s="145"/>
    </row>
    <row r="759" spans="1:8" ht="15.75" hidden="1" x14ac:dyDescent="0.3">
      <c r="A759" s="142"/>
      <c r="B759" s="142"/>
      <c r="C759" s="147"/>
      <c r="D759" s="143"/>
      <c r="E759" s="144"/>
      <c r="F759" s="143"/>
      <c r="G759" s="142"/>
      <c r="H759" s="145"/>
    </row>
    <row r="760" spans="1:8" ht="15.75" hidden="1" x14ac:dyDescent="0.3">
      <c r="A760" s="142"/>
      <c r="B760" s="142"/>
      <c r="C760" s="147"/>
      <c r="D760" s="143"/>
      <c r="E760" s="144"/>
      <c r="F760" s="143"/>
      <c r="G760" s="142"/>
      <c r="H760" s="145"/>
    </row>
    <row r="761" spans="1:8" ht="15.75" hidden="1" x14ac:dyDescent="0.3">
      <c r="A761" s="142"/>
      <c r="B761" s="142"/>
      <c r="C761" s="147"/>
      <c r="D761" s="143"/>
      <c r="E761" s="144"/>
      <c r="F761" s="143"/>
      <c r="G761" s="142"/>
      <c r="H761" s="145"/>
    </row>
    <row r="762" spans="1:8" ht="15.75" hidden="1" x14ac:dyDescent="0.3">
      <c r="A762" s="142"/>
      <c r="B762" s="142"/>
      <c r="C762" s="147"/>
      <c r="D762" s="143"/>
      <c r="E762" s="144"/>
      <c r="F762" s="143"/>
      <c r="G762" s="142"/>
      <c r="H762" s="145"/>
    </row>
    <row r="763" spans="1:8" ht="15.75" hidden="1" x14ac:dyDescent="0.3">
      <c r="A763" s="142"/>
      <c r="B763" s="142"/>
      <c r="C763" s="147"/>
      <c r="D763" s="143"/>
      <c r="E763" s="144"/>
      <c r="F763" s="143"/>
      <c r="G763" s="142"/>
      <c r="H763" s="145"/>
    </row>
    <row r="764" spans="1:8" ht="15.75" hidden="1" x14ac:dyDescent="0.3">
      <c r="A764" s="142"/>
      <c r="B764" s="142"/>
      <c r="C764" s="147"/>
      <c r="D764" s="143"/>
      <c r="E764" s="144"/>
      <c r="F764" s="143"/>
      <c r="G764" s="142"/>
      <c r="H764" s="145"/>
    </row>
    <row r="765" spans="1:8" ht="15.75" hidden="1" x14ac:dyDescent="0.3">
      <c r="A765" s="142"/>
      <c r="B765" s="142"/>
      <c r="C765" s="147"/>
      <c r="D765" s="143"/>
      <c r="E765" s="144"/>
      <c r="F765" s="143"/>
      <c r="G765" s="142"/>
      <c r="H765" s="145"/>
    </row>
    <row r="766" spans="1:8" ht="15.75" hidden="1" x14ac:dyDescent="0.3">
      <c r="A766" s="142"/>
      <c r="B766" s="142"/>
      <c r="C766" s="147"/>
      <c r="D766" s="143"/>
      <c r="E766" s="144"/>
      <c r="F766" s="143"/>
      <c r="G766" s="142"/>
      <c r="H766" s="145"/>
    </row>
    <row r="767" spans="1:8" ht="15.75" hidden="1" x14ac:dyDescent="0.3">
      <c r="A767" s="142"/>
      <c r="B767" s="142"/>
      <c r="C767" s="147"/>
      <c r="D767" s="143"/>
      <c r="E767" s="144"/>
      <c r="F767" s="143"/>
      <c r="G767" s="142"/>
      <c r="H767" s="145"/>
    </row>
    <row r="768" spans="1:8" ht="15.75" hidden="1" x14ac:dyDescent="0.3">
      <c r="A768" s="142"/>
      <c r="B768" s="142"/>
      <c r="C768" s="147"/>
      <c r="D768" s="143"/>
      <c r="E768" s="144"/>
      <c r="F768" s="143"/>
      <c r="G768" s="142"/>
      <c r="H768" s="145"/>
    </row>
    <row r="769" spans="1:8" ht="15.75" hidden="1" x14ac:dyDescent="0.3">
      <c r="A769" s="142"/>
      <c r="B769" s="142"/>
      <c r="C769" s="147"/>
      <c r="D769" s="143"/>
      <c r="E769" s="144"/>
      <c r="F769" s="143"/>
      <c r="G769" s="142"/>
      <c r="H769" s="145"/>
    </row>
    <row r="770" spans="1:8" ht="15.75" hidden="1" x14ac:dyDescent="0.3">
      <c r="A770" s="142"/>
      <c r="B770" s="142"/>
      <c r="C770" s="147"/>
      <c r="D770" s="143"/>
      <c r="E770" s="144"/>
      <c r="F770" s="143"/>
      <c r="G770" s="142"/>
      <c r="H770" s="145"/>
    </row>
    <row r="771" spans="1:8" ht="15.75" hidden="1" x14ac:dyDescent="0.3">
      <c r="A771" s="142"/>
      <c r="B771" s="142"/>
      <c r="C771" s="147"/>
      <c r="D771" s="143"/>
      <c r="E771" s="144"/>
      <c r="F771" s="143"/>
      <c r="G771" s="142"/>
      <c r="H771" s="145"/>
    </row>
    <row r="772" spans="1:8" ht="15.75" hidden="1" x14ac:dyDescent="0.3">
      <c r="A772" s="142"/>
      <c r="B772" s="142"/>
      <c r="C772" s="147"/>
      <c r="D772" s="143"/>
      <c r="E772" s="144"/>
      <c r="F772" s="143"/>
      <c r="G772" s="142"/>
      <c r="H772" s="145"/>
    </row>
    <row r="773" spans="1:8" ht="15.75" hidden="1" x14ac:dyDescent="0.3">
      <c r="A773" s="142"/>
      <c r="B773" s="142"/>
      <c r="C773" s="147"/>
      <c r="D773" s="143"/>
      <c r="E773" s="144"/>
      <c r="F773" s="143"/>
      <c r="G773" s="142"/>
      <c r="H773" s="145"/>
    </row>
    <row r="774" spans="1:8" ht="15.75" hidden="1" x14ac:dyDescent="0.3">
      <c r="A774" s="142"/>
      <c r="B774" s="142"/>
      <c r="C774" s="147"/>
      <c r="D774" s="143"/>
      <c r="E774" s="144"/>
      <c r="F774" s="143"/>
      <c r="G774" s="142"/>
      <c r="H774" s="145"/>
    </row>
    <row r="775" spans="1:8" ht="15.75" hidden="1" x14ac:dyDescent="0.3">
      <c r="A775" s="142"/>
      <c r="B775" s="142"/>
      <c r="C775" s="147"/>
      <c r="D775" s="143"/>
      <c r="E775" s="144"/>
      <c r="F775" s="143"/>
      <c r="G775" s="142"/>
      <c r="H775" s="145"/>
    </row>
    <row r="776" spans="1:8" ht="15.75" hidden="1" x14ac:dyDescent="0.3">
      <c r="A776" s="142"/>
      <c r="B776" s="142"/>
      <c r="C776" s="147"/>
      <c r="D776" s="143"/>
      <c r="E776" s="144"/>
      <c r="F776" s="143"/>
      <c r="G776" s="142"/>
      <c r="H776" s="145"/>
    </row>
    <row r="777" spans="1:8" ht="15.75" hidden="1" x14ac:dyDescent="0.3">
      <c r="A777" s="142"/>
      <c r="B777" s="142"/>
      <c r="C777" s="147"/>
      <c r="D777" s="143"/>
      <c r="E777" s="144"/>
      <c r="F777" s="143"/>
      <c r="G777" s="142"/>
      <c r="H777" s="145"/>
    </row>
    <row r="778" spans="1:8" ht="15.75" hidden="1" x14ac:dyDescent="0.3">
      <c r="A778" s="142"/>
      <c r="B778" s="142"/>
      <c r="C778" s="147"/>
      <c r="D778" s="143"/>
      <c r="E778" s="144"/>
      <c r="F778" s="143"/>
      <c r="G778" s="142"/>
      <c r="H778" s="145"/>
    </row>
    <row r="779" spans="1:8" ht="15.75" hidden="1" x14ac:dyDescent="0.3">
      <c r="A779" s="142"/>
      <c r="B779" s="142"/>
      <c r="C779" s="147"/>
      <c r="D779" s="143"/>
      <c r="E779" s="144"/>
      <c r="F779" s="143"/>
      <c r="G779" s="142"/>
      <c r="H779" s="145"/>
    </row>
    <row r="780" spans="1:8" ht="15.75" hidden="1" x14ac:dyDescent="0.3">
      <c r="A780" s="142"/>
      <c r="B780" s="142"/>
      <c r="C780" s="147"/>
      <c r="D780" s="143"/>
      <c r="E780" s="144"/>
      <c r="F780" s="143"/>
      <c r="G780" s="142"/>
      <c r="H780" s="145"/>
    </row>
    <row r="781" spans="1:8" ht="15.75" hidden="1" x14ac:dyDescent="0.3">
      <c r="A781" s="142"/>
      <c r="B781" s="142"/>
      <c r="C781" s="147"/>
      <c r="D781" s="143"/>
      <c r="E781" s="144"/>
      <c r="F781" s="143"/>
      <c r="G781" s="142"/>
      <c r="H781" s="145"/>
    </row>
    <row r="782" spans="1:8" ht="15.75" hidden="1" x14ac:dyDescent="0.3">
      <c r="A782" s="142"/>
      <c r="B782" s="142"/>
      <c r="C782" s="147"/>
      <c r="D782" s="143"/>
      <c r="E782" s="144"/>
      <c r="F782" s="143"/>
      <c r="G782" s="142"/>
      <c r="H782" s="145"/>
    </row>
    <row r="783" spans="1:8" ht="15.75" hidden="1" x14ac:dyDescent="0.3">
      <c r="A783" s="142"/>
      <c r="B783" s="142"/>
      <c r="C783" s="147"/>
      <c r="D783" s="147"/>
      <c r="E783" s="144"/>
      <c r="F783" s="148"/>
      <c r="G783" s="142"/>
      <c r="H783" s="149"/>
    </row>
    <row r="784" spans="1:8" ht="15.75" hidden="1" x14ac:dyDescent="0.3">
      <c r="A784" s="142"/>
      <c r="B784" s="142"/>
      <c r="C784" s="147"/>
      <c r="D784" s="147"/>
      <c r="E784" s="144"/>
      <c r="F784" s="148"/>
      <c r="G784" s="142"/>
      <c r="H784" s="149"/>
    </row>
    <row r="785" spans="1:8" ht="15.75" hidden="1" x14ac:dyDescent="0.3">
      <c r="A785" s="142"/>
      <c r="B785" s="142"/>
      <c r="C785" s="147"/>
      <c r="D785" s="147"/>
      <c r="E785" s="144"/>
      <c r="F785" s="148"/>
      <c r="G785" s="142"/>
      <c r="H785" s="149"/>
    </row>
    <row r="786" spans="1:8" ht="15.75" hidden="1" x14ac:dyDescent="0.3">
      <c r="A786" s="142"/>
      <c r="B786" s="142"/>
      <c r="C786" s="147"/>
      <c r="D786" s="147"/>
      <c r="E786" s="144"/>
      <c r="F786" s="148"/>
      <c r="G786" s="142"/>
      <c r="H786" s="149"/>
    </row>
    <row r="787" spans="1:8" ht="15.75" hidden="1" x14ac:dyDescent="0.3">
      <c r="A787" s="142"/>
      <c r="B787" s="142"/>
      <c r="C787" s="147"/>
      <c r="D787" s="159"/>
      <c r="E787" s="144"/>
      <c r="F787" s="148"/>
      <c r="G787" s="142"/>
      <c r="H787" s="149"/>
    </row>
    <row r="788" spans="1:8" ht="15.75" hidden="1" x14ac:dyDescent="0.3">
      <c r="A788" s="142"/>
      <c r="B788" s="142"/>
      <c r="C788" s="147"/>
      <c r="D788" s="147"/>
      <c r="E788" s="144"/>
      <c r="F788" s="148"/>
      <c r="G788" s="142"/>
      <c r="H788" s="149"/>
    </row>
    <row r="789" spans="1:8" ht="15.75" hidden="1" x14ac:dyDescent="0.3">
      <c r="A789" s="142"/>
      <c r="B789" s="142"/>
      <c r="C789" s="147"/>
      <c r="D789" s="147"/>
      <c r="E789" s="144"/>
      <c r="F789" s="148"/>
      <c r="G789" s="142"/>
      <c r="H789" s="149"/>
    </row>
    <row r="790" spans="1:8" ht="15.75" hidden="1" x14ac:dyDescent="0.3">
      <c r="A790" s="142"/>
      <c r="B790" s="142"/>
      <c r="C790" s="147"/>
      <c r="D790" s="147"/>
      <c r="E790" s="144"/>
      <c r="F790" s="148"/>
      <c r="G790" s="142"/>
      <c r="H790" s="149"/>
    </row>
    <row r="791" spans="1:8" ht="15.75" hidden="1" x14ac:dyDescent="0.3">
      <c r="A791" s="142"/>
      <c r="B791" s="142"/>
      <c r="C791" s="147"/>
      <c r="D791" s="143"/>
      <c r="E791" s="144"/>
      <c r="F791" s="143"/>
      <c r="G791" s="142"/>
      <c r="H791" s="145"/>
    </row>
    <row r="792" spans="1:8" ht="15.75" hidden="1" x14ac:dyDescent="0.3">
      <c r="A792" s="142"/>
      <c r="B792" s="142"/>
      <c r="C792" s="147"/>
      <c r="D792" s="143"/>
      <c r="E792" s="144"/>
      <c r="F792" s="143"/>
      <c r="G792" s="142"/>
      <c r="H792" s="145"/>
    </row>
    <row r="793" spans="1:8" ht="15.75" hidden="1" x14ac:dyDescent="0.3">
      <c r="A793" s="142"/>
      <c r="B793" s="142"/>
      <c r="C793" s="147"/>
      <c r="D793" s="143"/>
      <c r="E793" s="144"/>
      <c r="F793" s="143"/>
      <c r="G793" s="142"/>
      <c r="H793" s="145"/>
    </row>
    <row r="794" spans="1:8" ht="15.75" hidden="1" x14ac:dyDescent="0.3">
      <c r="A794" s="142"/>
      <c r="B794" s="142"/>
      <c r="C794" s="147"/>
      <c r="D794" s="153"/>
      <c r="E794" s="144"/>
      <c r="F794" s="143"/>
      <c r="G794" s="142"/>
      <c r="H794" s="145"/>
    </row>
    <row r="795" spans="1:8" ht="15.75" hidden="1" x14ac:dyDescent="0.3">
      <c r="A795" s="142"/>
      <c r="B795" s="142"/>
      <c r="C795" s="147"/>
      <c r="D795" s="153"/>
      <c r="E795" s="144"/>
      <c r="F795" s="143"/>
      <c r="G795" s="142"/>
      <c r="H795" s="145"/>
    </row>
    <row r="796" spans="1:8" ht="15.75" hidden="1" x14ac:dyDescent="0.3">
      <c r="A796" s="142"/>
      <c r="B796" s="142"/>
      <c r="C796" s="147"/>
      <c r="D796" s="143"/>
      <c r="E796" s="144"/>
      <c r="F796" s="143"/>
      <c r="G796" s="142"/>
      <c r="H796" s="145"/>
    </row>
    <row r="797" spans="1:8" ht="15.75" hidden="1" x14ac:dyDescent="0.3">
      <c r="A797" s="142"/>
      <c r="B797" s="142"/>
      <c r="C797" s="147"/>
      <c r="D797" s="153"/>
      <c r="E797" s="144"/>
      <c r="F797" s="143"/>
      <c r="G797" s="142"/>
      <c r="H797" s="145"/>
    </row>
    <row r="798" spans="1:8" ht="15.75" hidden="1" x14ac:dyDescent="0.3">
      <c r="A798" s="142"/>
      <c r="B798" s="142"/>
      <c r="C798" s="147"/>
      <c r="D798" s="143"/>
      <c r="E798" s="144"/>
      <c r="F798" s="143"/>
      <c r="G798" s="142"/>
      <c r="H798" s="145"/>
    </row>
    <row r="799" spans="1:8" ht="15.75" hidden="1" x14ac:dyDescent="0.3">
      <c r="A799" s="142"/>
      <c r="B799" s="142"/>
      <c r="C799" s="147"/>
      <c r="D799" s="153"/>
      <c r="E799" s="144"/>
      <c r="F799" s="143"/>
      <c r="G799" s="142"/>
      <c r="H799" s="145"/>
    </row>
    <row r="800" spans="1:8" ht="15.75" hidden="1" x14ac:dyDescent="0.3">
      <c r="A800" s="142"/>
      <c r="B800" s="142"/>
      <c r="C800" s="147"/>
      <c r="D800" s="153"/>
      <c r="E800" s="144"/>
      <c r="F800" s="143"/>
      <c r="G800" s="142"/>
      <c r="H800" s="145"/>
    </row>
    <row r="801" spans="1:8" ht="15.75" hidden="1" x14ac:dyDescent="0.3">
      <c r="A801" s="142"/>
      <c r="B801" s="142"/>
      <c r="C801" s="147"/>
      <c r="D801" s="153"/>
      <c r="E801" s="144"/>
      <c r="F801" s="143"/>
      <c r="G801" s="142"/>
      <c r="H801" s="145"/>
    </row>
    <row r="802" spans="1:8" ht="15.75" hidden="1" x14ac:dyDescent="0.3">
      <c r="A802" s="142"/>
      <c r="B802" s="142"/>
      <c r="C802" s="147"/>
      <c r="D802" s="153"/>
      <c r="E802" s="144"/>
      <c r="F802" s="143"/>
      <c r="G802" s="142"/>
      <c r="H802" s="145"/>
    </row>
    <row r="803" spans="1:8" ht="15.75" hidden="1" x14ac:dyDescent="0.3">
      <c r="A803" s="142"/>
      <c r="B803" s="142"/>
      <c r="C803" s="147"/>
      <c r="D803" s="153"/>
      <c r="E803" s="144"/>
      <c r="F803" s="143"/>
      <c r="G803" s="142"/>
      <c r="H803" s="145"/>
    </row>
    <row r="804" spans="1:8" ht="15.75" hidden="1" x14ac:dyDescent="0.3">
      <c r="A804" s="142"/>
      <c r="B804" s="142"/>
      <c r="C804" s="147"/>
      <c r="D804" s="153"/>
      <c r="E804" s="144"/>
      <c r="F804" s="143"/>
      <c r="G804" s="142"/>
      <c r="H804" s="145"/>
    </row>
    <row r="805" spans="1:8" ht="15.75" hidden="1" x14ac:dyDescent="0.3">
      <c r="A805" s="141"/>
      <c r="B805" s="142"/>
      <c r="C805" s="147"/>
      <c r="D805" s="143"/>
      <c r="E805" s="144"/>
      <c r="F805" s="143"/>
      <c r="G805" s="142"/>
      <c r="H805" s="145"/>
    </row>
    <row r="806" spans="1:8" ht="15.75" hidden="1" x14ac:dyDescent="0.3">
      <c r="A806" s="141"/>
      <c r="B806" s="142"/>
      <c r="C806" s="147"/>
      <c r="D806" s="153"/>
      <c r="E806" s="144"/>
      <c r="F806" s="143"/>
      <c r="G806" s="142"/>
      <c r="H806" s="145"/>
    </row>
    <row r="807" spans="1:8" ht="15.75" hidden="1" x14ac:dyDescent="0.3">
      <c r="A807" s="141"/>
      <c r="B807" s="142"/>
      <c r="C807" s="147"/>
      <c r="D807" s="153"/>
      <c r="E807" s="144"/>
      <c r="F807" s="143"/>
      <c r="G807" s="142"/>
      <c r="H807" s="145"/>
    </row>
    <row r="808" spans="1:8" ht="15.75" hidden="1" x14ac:dyDescent="0.3">
      <c r="A808" s="141"/>
      <c r="B808" s="142"/>
      <c r="C808" s="147"/>
      <c r="D808" s="153"/>
      <c r="E808" s="144"/>
      <c r="F808" s="143"/>
      <c r="G808" s="142"/>
      <c r="H808" s="145"/>
    </row>
    <row r="809" spans="1:8" ht="15.75" hidden="1" x14ac:dyDescent="0.3">
      <c r="A809" s="141"/>
      <c r="B809" s="142"/>
      <c r="C809" s="147"/>
      <c r="D809" s="143"/>
      <c r="E809" s="144"/>
      <c r="F809" s="143"/>
      <c r="G809" s="142"/>
      <c r="H809" s="145"/>
    </row>
    <row r="810" spans="1:8" ht="15.75" hidden="1" x14ac:dyDescent="0.3">
      <c r="A810" s="141"/>
      <c r="B810" s="142"/>
      <c r="C810" s="147"/>
      <c r="D810" s="143"/>
      <c r="E810" s="144"/>
      <c r="F810" s="143"/>
      <c r="G810" s="142"/>
      <c r="H810" s="145"/>
    </row>
    <row r="811" spans="1:8" ht="15.75" hidden="1" x14ac:dyDescent="0.3">
      <c r="A811" s="141"/>
      <c r="B811" s="142"/>
      <c r="C811" s="147"/>
      <c r="D811" s="153"/>
      <c r="E811" s="144"/>
      <c r="F811" s="143"/>
      <c r="G811" s="142"/>
      <c r="H811" s="145"/>
    </row>
    <row r="812" spans="1:8" ht="15.75" hidden="1" x14ac:dyDescent="0.3">
      <c r="A812" s="142"/>
      <c r="B812" s="142"/>
      <c r="C812" s="147"/>
      <c r="D812" s="143"/>
      <c r="E812" s="144"/>
      <c r="F812" s="143"/>
      <c r="G812" s="142"/>
      <c r="H812" s="145"/>
    </row>
    <row r="813" spans="1:8" ht="15.75" hidden="1" x14ac:dyDescent="0.3">
      <c r="A813" s="141"/>
      <c r="B813" s="142"/>
      <c r="C813" s="147"/>
      <c r="D813" s="143"/>
      <c r="E813" s="144"/>
      <c r="F813" s="143"/>
      <c r="G813" s="142"/>
      <c r="H813" s="145"/>
    </row>
    <row r="814" spans="1:8" ht="15.75" hidden="1" x14ac:dyDescent="0.3">
      <c r="A814" s="142"/>
      <c r="B814" s="142"/>
      <c r="C814" s="147"/>
      <c r="D814" s="153"/>
      <c r="E814" s="144"/>
      <c r="F814" s="143"/>
      <c r="G814" s="142"/>
      <c r="H814" s="145"/>
    </row>
    <row r="815" spans="1:8" ht="15.75" hidden="1" x14ac:dyDescent="0.3">
      <c r="A815" s="142"/>
      <c r="B815" s="142"/>
      <c r="C815" s="147"/>
      <c r="D815" s="153"/>
      <c r="E815" s="144"/>
      <c r="F815" s="143"/>
      <c r="G815" s="142"/>
      <c r="H815" s="145"/>
    </row>
    <row r="816" spans="1:8" ht="15.75" hidden="1" x14ac:dyDescent="0.3">
      <c r="A816" s="142"/>
      <c r="B816" s="142"/>
      <c r="C816" s="147"/>
      <c r="D816" s="153"/>
      <c r="E816" s="144"/>
      <c r="F816" s="143"/>
      <c r="G816" s="142"/>
      <c r="H816" s="145"/>
    </row>
    <row r="817" spans="1:8" s="158" customFormat="1" ht="15.75" hidden="1" x14ac:dyDescent="0.3">
      <c r="A817" s="142"/>
      <c r="B817" s="142"/>
      <c r="C817" s="147"/>
      <c r="D817" s="153"/>
      <c r="E817" s="144"/>
      <c r="F817" s="143"/>
      <c r="G817" s="142"/>
      <c r="H817" s="145"/>
    </row>
    <row r="818" spans="1:8" s="158" customFormat="1" ht="15.75" hidden="1" x14ac:dyDescent="0.3">
      <c r="A818" s="142"/>
      <c r="B818" s="142"/>
      <c r="C818" s="147"/>
      <c r="D818" s="143"/>
      <c r="E818" s="144"/>
      <c r="F818" s="143"/>
      <c r="G818" s="142"/>
      <c r="H818" s="145"/>
    </row>
    <row r="819" spans="1:8" ht="15.75" hidden="1" x14ac:dyDescent="0.3">
      <c r="A819" s="142"/>
      <c r="B819" s="142"/>
      <c r="C819" s="147"/>
      <c r="D819" s="143"/>
      <c r="E819" s="144"/>
      <c r="F819" s="143"/>
      <c r="G819" s="142"/>
      <c r="H819" s="145"/>
    </row>
    <row r="820" spans="1:8" ht="15.75" hidden="1" x14ac:dyDescent="0.3">
      <c r="A820" s="142"/>
      <c r="B820" s="142"/>
      <c r="C820" s="147"/>
      <c r="D820" s="143"/>
      <c r="E820" s="144"/>
      <c r="F820" s="143"/>
      <c r="G820" s="142"/>
      <c r="H820" s="145"/>
    </row>
    <row r="821" spans="1:8" ht="15.75" hidden="1" x14ac:dyDescent="0.3">
      <c r="A821" s="142"/>
      <c r="B821" s="142"/>
      <c r="C821" s="147"/>
      <c r="D821" s="153"/>
      <c r="E821" s="144"/>
      <c r="F821" s="143"/>
      <c r="G821" s="142"/>
      <c r="H821" s="145"/>
    </row>
    <row r="822" spans="1:8" ht="15.75" hidden="1" x14ac:dyDescent="0.3">
      <c r="A822" s="142"/>
      <c r="B822" s="142"/>
      <c r="C822" s="147"/>
      <c r="D822" s="143"/>
      <c r="E822" s="144"/>
      <c r="F822" s="143"/>
      <c r="G822" s="142"/>
      <c r="H822" s="145"/>
    </row>
    <row r="823" spans="1:8" ht="15.75" hidden="1" x14ac:dyDescent="0.3">
      <c r="A823" s="142"/>
      <c r="B823" s="142"/>
      <c r="C823" s="147"/>
      <c r="D823" s="143"/>
      <c r="E823" s="144"/>
      <c r="F823" s="143"/>
      <c r="G823" s="142"/>
      <c r="H823" s="145"/>
    </row>
    <row r="824" spans="1:8" ht="15.75" hidden="1" x14ac:dyDescent="0.3">
      <c r="A824" s="142"/>
      <c r="B824" s="142"/>
      <c r="C824" s="147"/>
      <c r="D824" s="153"/>
      <c r="E824" s="144"/>
      <c r="F824" s="143"/>
      <c r="G824" s="142"/>
      <c r="H824" s="145"/>
    </row>
    <row r="825" spans="1:8" ht="15.75" hidden="1" x14ac:dyDescent="0.3">
      <c r="A825" s="142"/>
      <c r="B825" s="142"/>
      <c r="C825" s="147"/>
      <c r="D825" s="143"/>
      <c r="E825" s="144"/>
      <c r="F825" s="143"/>
      <c r="G825" s="142"/>
      <c r="H825" s="145"/>
    </row>
    <row r="826" spans="1:8" ht="15.75" hidden="1" x14ac:dyDescent="0.3">
      <c r="A826" s="142"/>
      <c r="B826" s="142"/>
      <c r="C826" s="147"/>
      <c r="D826" s="143"/>
      <c r="E826" s="144"/>
      <c r="F826" s="143"/>
      <c r="G826" s="142"/>
      <c r="H826" s="145"/>
    </row>
    <row r="827" spans="1:8" ht="15.75" hidden="1" x14ac:dyDescent="0.3">
      <c r="A827" s="142"/>
      <c r="B827" s="142"/>
      <c r="C827" s="147"/>
      <c r="D827" s="153"/>
      <c r="E827" s="144"/>
      <c r="F827" s="143"/>
      <c r="G827" s="142"/>
      <c r="H827" s="145"/>
    </row>
    <row r="828" spans="1:8" ht="15.75" hidden="1" x14ac:dyDescent="0.3">
      <c r="A828" s="142"/>
      <c r="B828" s="142"/>
      <c r="C828" s="147"/>
      <c r="D828" s="143"/>
      <c r="E828" s="144"/>
      <c r="F828" s="143"/>
      <c r="G828" s="142"/>
      <c r="H828" s="145"/>
    </row>
    <row r="829" spans="1:8" ht="15.75" hidden="1" x14ac:dyDescent="0.3">
      <c r="A829" s="142"/>
      <c r="B829" s="142"/>
      <c r="C829" s="147"/>
      <c r="D829" s="143"/>
      <c r="E829" s="144"/>
      <c r="F829" s="143"/>
      <c r="G829" s="142"/>
      <c r="H829" s="145"/>
    </row>
    <row r="830" spans="1:8" ht="15.75" hidden="1" x14ac:dyDescent="0.3">
      <c r="A830" s="142"/>
      <c r="B830" s="142"/>
      <c r="C830" s="147"/>
      <c r="D830" s="143"/>
      <c r="E830" s="144"/>
      <c r="F830" s="143"/>
      <c r="G830" s="142"/>
      <c r="H830" s="145"/>
    </row>
    <row r="831" spans="1:8" ht="15.75" hidden="1" x14ac:dyDescent="0.3">
      <c r="A831" s="142"/>
      <c r="B831" s="142"/>
      <c r="C831" s="147"/>
      <c r="D831" s="143"/>
      <c r="E831" s="144"/>
      <c r="F831" s="143"/>
      <c r="G831" s="142"/>
      <c r="H831" s="145"/>
    </row>
    <row r="832" spans="1:8" ht="15.75" hidden="1" x14ac:dyDescent="0.3">
      <c r="A832" s="142"/>
      <c r="B832" s="142"/>
      <c r="C832" s="147"/>
      <c r="D832" s="143"/>
      <c r="E832" s="144"/>
      <c r="F832" s="143"/>
      <c r="G832" s="142"/>
      <c r="H832" s="145"/>
    </row>
    <row r="833" spans="1:8" ht="15.75" hidden="1" x14ac:dyDescent="0.3">
      <c r="A833" s="141"/>
      <c r="B833" s="142"/>
      <c r="C833" s="147"/>
      <c r="D833" s="153"/>
      <c r="E833" s="144"/>
      <c r="F833" s="143"/>
      <c r="G833" s="142"/>
      <c r="H833" s="145"/>
    </row>
    <row r="834" spans="1:8" ht="15.75" hidden="1" x14ac:dyDescent="0.3">
      <c r="A834" s="141"/>
      <c r="B834" s="142"/>
      <c r="C834" s="147"/>
      <c r="D834" s="153"/>
      <c r="E834" s="144"/>
      <c r="F834" s="143"/>
      <c r="G834" s="142"/>
      <c r="H834" s="145"/>
    </row>
    <row r="835" spans="1:8" ht="15.75" hidden="1" x14ac:dyDescent="0.3">
      <c r="A835" s="141"/>
      <c r="B835" s="142"/>
      <c r="C835" s="147"/>
      <c r="D835" s="153"/>
      <c r="E835" s="144"/>
      <c r="F835" s="143"/>
      <c r="G835" s="142"/>
      <c r="H835" s="145"/>
    </row>
    <row r="836" spans="1:8" ht="15.75" hidden="1" x14ac:dyDescent="0.3">
      <c r="A836" s="141"/>
      <c r="B836" s="142"/>
      <c r="C836" s="147"/>
      <c r="D836" s="153"/>
      <c r="E836" s="144"/>
      <c r="F836" s="143"/>
      <c r="G836" s="142"/>
      <c r="H836" s="145"/>
    </row>
    <row r="837" spans="1:8" ht="15.75" hidden="1" x14ac:dyDescent="0.3">
      <c r="A837" s="141"/>
      <c r="B837" s="142"/>
      <c r="C837" s="147"/>
      <c r="D837" s="153"/>
      <c r="E837" s="144"/>
      <c r="F837" s="143"/>
      <c r="G837" s="142"/>
      <c r="H837" s="145"/>
    </row>
    <row r="838" spans="1:8" ht="15.75" hidden="1" x14ac:dyDescent="0.3">
      <c r="A838" s="141"/>
      <c r="B838" s="142"/>
      <c r="C838" s="147"/>
      <c r="D838" s="153"/>
      <c r="E838" s="144"/>
      <c r="F838" s="143"/>
      <c r="G838" s="142"/>
      <c r="H838" s="145"/>
    </row>
    <row r="839" spans="1:8" ht="15.75" hidden="1" x14ac:dyDescent="0.3">
      <c r="A839" s="142"/>
      <c r="B839" s="142"/>
      <c r="C839" s="147"/>
      <c r="D839" s="143"/>
      <c r="E839" s="144"/>
      <c r="F839" s="143"/>
      <c r="G839" s="142"/>
      <c r="H839" s="145"/>
    </row>
    <row r="840" spans="1:8" ht="15.75" hidden="1" x14ac:dyDescent="0.3">
      <c r="A840" s="142"/>
      <c r="B840" s="142"/>
      <c r="C840" s="147"/>
      <c r="D840" s="147"/>
      <c r="E840" s="144"/>
      <c r="F840" s="148"/>
      <c r="G840" s="142"/>
      <c r="H840" s="149"/>
    </row>
    <row r="841" spans="1:8" ht="15.75" hidden="1" x14ac:dyDescent="0.3">
      <c r="A841" s="142"/>
      <c r="B841" s="142"/>
      <c r="C841" s="147"/>
      <c r="D841" s="147"/>
      <c r="E841" s="144"/>
      <c r="F841" s="148"/>
      <c r="G841" s="142"/>
      <c r="H841" s="149"/>
    </row>
    <row r="842" spans="1:8" ht="15.75" hidden="1" x14ac:dyDescent="0.3">
      <c r="A842" s="142"/>
      <c r="B842" s="142"/>
      <c r="C842" s="147"/>
      <c r="D842" s="147"/>
      <c r="E842" s="144"/>
      <c r="F842" s="148"/>
      <c r="G842" s="142"/>
      <c r="H842" s="149"/>
    </row>
    <row r="843" spans="1:8" ht="15.75" hidden="1" x14ac:dyDescent="0.3">
      <c r="A843" s="142"/>
      <c r="B843" s="142"/>
      <c r="C843" s="147"/>
      <c r="D843" s="147"/>
      <c r="E843" s="144"/>
      <c r="F843" s="148"/>
      <c r="G843" s="142"/>
      <c r="H843" s="149"/>
    </row>
    <row r="844" spans="1:8" ht="15.75" hidden="1" x14ac:dyDescent="0.3">
      <c r="A844" s="142"/>
      <c r="B844" s="142"/>
      <c r="C844" s="147"/>
      <c r="D844" s="147"/>
      <c r="E844" s="144"/>
      <c r="F844" s="148"/>
      <c r="G844" s="142"/>
      <c r="H844" s="149"/>
    </row>
    <row r="845" spans="1:8" ht="15.75" hidden="1" x14ac:dyDescent="0.3">
      <c r="A845" s="142"/>
      <c r="B845" s="142"/>
      <c r="C845" s="147"/>
      <c r="D845" s="147"/>
      <c r="E845" s="144"/>
      <c r="F845" s="148"/>
      <c r="G845" s="142"/>
      <c r="H845" s="149"/>
    </row>
    <row r="846" spans="1:8" ht="15.75" hidden="1" x14ac:dyDescent="0.3">
      <c r="A846" s="142"/>
      <c r="B846" s="142"/>
      <c r="C846" s="147"/>
      <c r="D846" s="147"/>
      <c r="E846" s="144"/>
      <c r="F846" s="148"/>
      <c r="G846" s="142"/>
      <c r="H846" s="149"/>
    </row>
    <row r="847" spans="1:8" ht="15.75" hidden="1" x14ac:dyDescent="0.3">
      <c r="A847" s="142"/>
      <c r="B847" s="142"/>
      <c r="C847" s="147"/>
      <c r="D847" s="147"/>
      <c r="E847" s="144"/>
      <c r="F847" s="148"/>
      <c r="G847" s="142"/>
      <c r="H847" s="149"/>
    </row>
    <row r="848" spans="1:8" ht="15.75" hidden="1" x14ac:dyDescent="0.3">
      <c r="A848" s="142"/>
      <c r="B848" s="142"/>
      <c r="C848" s="147"/>
      <c r="D848" s="147"/>
      <c r="E848" s="144"/>
      <c r="F848" s="148"/>
      <c r="G848" s="142"/>
      <c r="H848" s="149"/>
    </row>
    <row r="849" spans="1:8" ht="15.75" hidden="1" x14ac:dyDescent="0.3">
      <c r="A849" s="142"/>
      <c r="B849" s="142"/>
      <c r="C849" s="147"/>
      <c r="D849" s="147"/>
      <c r="E849" s="144"/>
      <c r="F849" s="148"/>
      <c r="G849" s="142"/>
      <c r="H849" s="149"/>
    </row>
    <row r="850" spans="1:8" ht="15.75" hidden="1" x14ac:dyDescent="0.3">
      <c r="A850" s="142"/>
      <c r="B850" s="142"/>
      <c r="C850" s="147"/>
      <c r="D850" s="147"/>
      <c r="E850" s="144"/>
      <c r="F850" s="148"/>
      <c r="G850" s="142"/>
      <c r="H850" s="149"/>
    </row>
    <row r="851" spans="1:8" ht="15.75" hidden="1" x14ac:dyDescent="0.3">
      <c r="A851" s="142"/>
      <c r="B851" s="142"/>
      <c r="C851" s="147"/>
      <c r="D851" s="147"/>
      <c r="E851" s="144"/>
      <c r="F851" s="148"/>
      <c r="G851" s="142"/>
      <c r="H851" s="149"/>
    </row>
    <row r="852" spans="1:8" ht="15.75" hidden="1" x14ac:dyDescent="0.3">
      <c r="A852" s="142"/>
      <c r="B852" s="142"/>
      <c r="C852" s="147"/>
      <c r="D852" s="147"/>
      <c r="E852" s="144"/>
      <c r="F852" s="148"/>
      <c r="G852" s="142"/>
      <c r="H852" s="149"/>
    </row>
    <row r="853" spans="1:8" ht="15.75" hidden="1" x14ac:dyDescent="0.3">
      <c r="A853" s="142"/>
      <c r="B853" s="142"/>
      <c r="C853" s="147"/>
      <c r="D853" s="147"/>
      <c r="E853" s="144"/>
      <c r="F853" s="148"/>
      <c r="G853" s="142"/>
      <c r="H853" s="149"/>
    </row>
    <row r="854" spans="1:8" ht="15.75" hidden="1" x14ac:dyDescent="0.3">
      <c r="A854" s="142"/>
      <c r="B854" s="142"/>
      <c r="C854" s="147"/>
      <c r="D854" s="147"/>
      <c r="E854" s="144"/>
      <c r="F854" s="148"/>
      <c r="G854" s="142"/>
      <c r="H854" s="149"/>
    </row>
    <row r="855" spans="1:8" ht="15.75" hidden="1" x14ac:dyDescent="0.3">
      <c r="A855" s="142"/>
      <c r="B855" s="142"/>
      <c r="C855" s="147"/>
      <c r="D855" s="147"/>
      <c r="E855" s="144"/>
      <c r="F855" s="148"/>
      <c r="G855" s="142"/>
      <c r="H855" s="149"/>
    </row>
    <row r="856" spans="1:8" ht="15.75" hidden="1" x14ac:dyDescent="0.3">
      <c r="A856" s="142"/>
      <c r="B856" s="142"/>
      <c r="C856" s="147"/>
      <c r="D856" s="147"/>
      <c r="E856" s="144"/>
      <c r="F856" s="148"/>
      <c r="G856" s="142"/>
      <c r="H856" s="149"/>
    </row>
    <row r="857" spans="1:8" ht="15.75" hidden="1" x14ac:dyDescent="0.3">
      <c r="A857" s="142"/>
      <c r="B857" s="142"/>
      <c r="C857" s="147"/>
      <c r="D857" s="147"/>
      <c r="E857" s="144"/>
      <c r="F857" s="148"/>
      <c r="G857" s="142"/>
      <c r="H857" s="149"/>
    </row>
    <row r="858" spans="1:8" ht="15.75" hidden="1" x14ac:dyDescent="0.3">
      <c r="A858" s="142"/>
      <c r="B858" s="142"/>
      <c r="C858" s="147"/>
      <c r="D858" s="147"/>
      <c r="E858" s="144"/>
      <c r="F858" s="148"/>
      <c r="G858" s="142"/>
      <c r="H858" s="149"/>
    </row>
    <row r="859" spans="1:8" ht="15.75" hidden="1" x14ac:dyDescent="0.3">
      <c r="A859" s="142"/>
      <c r="B859" s="142"/>
      <c r="C859" s="147"/>
      <c r="D859" s="147"/>
      <c r="E859" s="144"/>
      <c r="F859" s="148"/>
      <c r="G859" s="142"/>
      <c r="H859" s="149"/>
    </row>
    <row r="860" spans="1:8" ht="15.75" hidden="1" x14ac:dyDescent="0.3">
      <c r="A860" s="142"/>
      <c r="B860" s="142"/>
      <c r="C860" s="147"/>
      <c r="D860" s="147"/>
      <c r="E860" s="144"/>
      <c r="F860" s="148"/>
      <c r="G860" s="142"/>
      <c r="H860" s="149"/>
    </row>
    <row r="861" spans="1:8" ht="15.75" hidden="1" x14ac:dyDescent="0.3">
      <c r="A861" s="142"/>
      <c r="B861" s="142"/>
      <c r="C861" s="147"/>
      <c r="D861" s="147"/>
      <c r="E861" s="144"/>
      <c r="F861" s="148"/>
      <c r="G861" s="142"/>
      <c r="H861" s="149"/>
    </row>
    <row r="862" spans="1:8" ht="15.75" hidden="1" x14ac:dyDescent="0.3">
      <c r="A862" s="142"/>
      <c r="B862" s="142"/>
      <c r="C862" s="147"/>
      <c r="D862" s="147"/>
      <c r="E862" s="144"/>
      <c r="F862" s="148"/>
      <c r="G862" s="142"/>
      <c r="H862" s="149"/>
    </row>
    <row r="863" spans="1:8" ht="15.75" hidden="1" x14ac:dyDescent="0.3">
      <c r="A863" s="142"/>
      <c r="B863" s="142"/>
      <c r="C863" s="147"/>
      <c r="D863" s="147"/>
      <c r="E863" s="144"/>
      <c r="F863" s="148"/>
      <c r="G863" s="142"/>
      <c r="H863" s="149"/>
    </row>
    <row r="864" spans="1:8" ht="15.75" hidden="1" x14ac:dyDescent="0.3">
      <c r="A864" s="142"/>
      <c r="B864" s="142"/>
      <c r="C864" s="147"/>
      <c r="D864" s="147"/>
      <c r="E864" s="144"/>
      <c r="F864" s="148"/>
      <c r="G864" s="142"/>
      <c r="H864" s="149"/>
    </row>
    <row r="865" spans="1:8" ht="15.75" hidden="1" x14ac:dyDescent="0.3">
      <c r="A865" s="142"/>
      <c r="B865" s="142"/>
      <c r="C865" s="147"/>
      <c r="D865" s="147"/>
      <c r="E865" s="144"/>
      <c r="F865" s="148"/>
      <c r="G865" s="142"/>
      <c r="H865" s="149"/>
    </row>
    <row r="866" spans="1:8" ht="15.75" hidden="1" x14ac:dyDescent="0.3">
      <c r="A866" s="142"/>
      <c r="B866" s="142"/>
      <c r="C866" s="147"/>
      <c r="D866" s="147"/>
      <c r="E866" s="144"/>
      <c r="F866" s="148"/>
      <c r="G866" s="142"/>
      <c r="H866" s="149"/>
    </row>
    <row r="867" spans="1:8" ht="15.75" hidden="1" x14ac:dyDescent="0.3">
      <c r="A867" s="142"/>
      <c r="B867" s="142"/>
      <c r="C867" s="147"/>
      <c r="D867" s="147"/>
      <c r="E867" s="144"/>
      <c r="F867" s="148"/>
      <c r="G867" s="142"/>
      <c r="H867" s="149"/>
    </row>
    <row r="868" spans="1:8" ht="15.75" hidden="1" x14ac:dyDescent="0.3">
      <c r="A868" s="142"/>
      <c r="B868" s="142"/>
      <c r="C868" s="147"/>
      <c r="D868" s="147"/>
      <c r="E868" s="144"/>
      <c r="F868" s="148"/>
      <c r="G868" s="142"/>
      <c r="H868" s="149"/>
    </row>
    <row r="869" spans="1:8" ht="15.75" hidden="1" x14ac:dyDescent="0.3">
      <c r="A869" s="142"/>
      <c r="B869" s="142"/>
      <c r="C869" s="147"/>
      <c r="D869" s="147"/>
      <c r="E869" s="144"/>
      <c r="F869" s="148"/>
      <c r="G869" s="142"/>
      <c r="H869" s="149"/>
    </row>
    <row r="870" spans="1:8" ht="15.75" hidden="1" x14ac:dyDescent="0.3">
      <c r="A870" s="142"/>
      <c r="B870" s="142"/>
      <c r="C870" s="147"/>
      <c r="D870" s="147"/>
      <c r="E870" s="144"/>
      <c r="F870" s="148"/>
      <c r="G870" s="142"/>
      <c r="H870" s="149"/>
    </row>
    <row r="871" spans="1:8" ht="15.75" hidden="1" x14ac:dyDescent="0.3">
      <c r="A871" s="142"/>
      <c r="B871" s="142"/>
      <c r="C871" s="147"/>
      <c r="D871" s="147"/>
      <c r="E871" s="144"/>
      <c r="F871" s="148"/>
      <c r="G871" s="142"/>
      <c r="H871" s="149"/>
    </row>
    <row r="872" spans="1:8" ht="15.75" hidden="1" x14ac:dyDescent="0.3">
      <c r="A872" s="142"/>
      <c r="B872" s="142"/>
      <c r="C872" s="147"/>
      <c r="D872" s="147"/>
      <c r="E872" s="144"/>
      <c r="F872" s="148"/>
      <c r="G872" s="142"/>
      <c r="H872" s="149"/>
    </row>
    <row r="873" spans="1:8" ht="15.75" hidden="1" x14ac:dyDescent="0.3">
      <c r="A873" s="142"/>
      <c r="B873" s="142"/>
      <c r="C873" s="147"/>
      <c r="D873" s="147"/>
      <c r="E873" s="144"/>
      <c r="F873" s="148"/>
      <c r="G873" s="142"/>
      <c r="H873" s="149"/>
    </row>
    <row r="874" spans="1:8" ht="15.75" hidden="1" x14ac:dyDescent="0.3">
      <c r="A874" s="142"/>
      <c r="B874" s="142"/>
      <c r="C874" s="147"/>
      <c r="D874" s="143"/>
      <c r="E874" s="144"/>
      <c r="F874" s="143"/>
      <c r="G874" s="142"/>
      <c r="H874" s="145"/>
    </row>
    <row r="875" spans="1:8" ht="15.75" hidden="1" x14ac:dyDescent="0.3">
      <c r="A875" s="142"/>
      <c r="B875" s="142"/>
      <c r="C875" s="147"/>
      <c r="D875" s="143"/>
      <c r="E875" s="144"/>
      <c r="F875" s="143"/>
      <c r="G875" s="142"/>
      <c r="H875" s="145"/>
    </row>
    <row r="876" spans="1:8" ht="15.75" hidden="1" x14ac:dyDescent="0.3">
      <c r="A876" s="142"/>
      <c r="B876" s="142"/>
      <c r="C876" s="147"/>
      <c r="D876" s="143"/>
      <c r="E876" s="144"/>
      <c r="F876" s="143"/>
      <c r="G876" s="142"/>
      <c r="H876" s="145"/>
    </row>
    <row r="877" spans="1:8" ht="15.75" hidden="1" x14ac:dyDescent="0.3">
      <c r="A877" s="142"/>
      <c r="B877" s="142"/>
      <c r="C877" s="147"/>
      <c r="D877" s="143"/>
      <c r="E877" s="144"/>
      <c r="F877" s="143"/>
      <c r="G877" s="142"/>
      <c r="H877" s="145"/>
    </row>
    <row r="878" spans="1:8" ht="15.75" hidden="1" x14ac:dyDescent="0.3">
      <c r="A878" s="142"/>
      <c r="B878" s="142"/>
      <c r="C878" s="147"/>
      <c r="D878" s="143"/>
      <c r="E878" s="144"/>
      <c r="F878" s="143"/>
      <c r="G878" s="142"/>
      <c r="H878" s="145"/>
    </row>
    <row r="879" spans="1:8" ht="15.75" hidden="1" x14ac:dyDescent="0.3">
      <c r="A879" s="142"/>
      <c r="B879" s="142"/>
      <c r="C879" s="147"/>
      <c r="D879" s="143"/>
      <c r="E879" s="144"/>
      <c r="F879" s="143"/>
      <c r="G879" s="142"/>
      <c r="H879" s="145"/>
    </row>
    <row r="880" spans="1:8" ht="15.75" hidden="1" x14ac:dyDescent="0.3">
      <c r="A880" s="142"/>
      <c r="B880" s="142"/>
      <c r="C880" s="147"/>
      <c r="D880" s="143"/>
      <c r="E880" s="144"/>
      <c r="F880" s="143"/>
      <c r="G880" s="142"/>
      <c r="H880" s="145"/>
    </row>
    <row r="881" spans="1:8" ht="15.75" hidden="1" x14ac:dyDescent="0.3">
      <c r="A881" s="142"/>
      <c r="B881" s="142"/>
      <c r="C881" s="147"/>
      <c r="D881" s="143"/>
      <c r="E881" s="144"/>
      <c r="F881" s="143"/>
      <c r="G881" s="142"/>
      <c r="H881" s="145"/>
    </row>
    <row r="882" spans="1:8" ht="15.75" hidden="1" x14ac:dyDescent="0.3">
      <c r="A882" s="142"/>
      <c r="B882" s="142"/>
      <c r="C882" s="147"/>
      <c r="D882" s="143"/>
      <c r="E882" s="144"/>
      <c r="F882" s="143"/>
      <c r="G882" s="142"/>
      <c r="H882" s="145"/>
    </row>
    <row r="883" spans="1:8" ht="15.75" hidden="1" x14ac:dyDescent="0.3">
      <c r="A883" s="142"/>
      <c r="B883" s="142"/>
      <c r="C883" s="147"/>
      <c r="D883" s="143"/>
      <c r="E883" s="144"/>
      <c r="F883" s="143"/>
      <c r="G883" s="142"/>
      <c r="H883" s="145"/>
    </row>
    <row r="884" spans="1:8" ht="15.75" hidden="1" x14ac:dyDescent="0.3">
      <c r="A884" s="142"/>
      <c r="B884" s="142"/>
      <c r="C884" s="147"/>
      <c r="D884" s="143"/>
      <c r="E884" s="144"/>
      <c r="F884" s="143"/>
      <c r="G884" s="142"/>
      <c r="H884" s="145"/>
    </row>
    <row r="885" spans="1:8" ht="15.75" hidden="1" x14ac:dyDescent="0.3">
      <c r="A885" s="142"/>
      <c r="B885" s="142"/>
      <c r="C885" s="147"/>
      <c r="D885" s="143"/>
      <c r="E885" s="144"/>
      <c r="F885" s="143"/>
      <c r="G885" s="142"/>
      <c r="H885" s="145"/>
    </row>
    <row r="886" spans="1:8" ht="15.75" hidden="1" x14ac:dyDescent="0.3">
      <c r="A886" s="142"/>
      <c r="B886" s="142"/>
      <c r="C886" s="147"/>
      <c r="D886" s="143"/>
      <c r="E886" s="144"/>
      <c r="F886" s="143"/>
      <c r="G886" s="142"/>
      <c r="H886" s="145"/>
    </row>
    <row r="887" spans="1:8" ht="15.75" hidden="1" x14ac:dyDescent="0.3">
      <c r="A887" s="142"/>
      <c r="B887" s="142"/>
      <c r="C887" s="147"/>
      <c r="D887" s="143"/>
      <c r="E887" s="144"/>
      <c r="F887" s="143"/>
      <c r="G887" s="142"/>
      <c r="H887" s="145"/>
    </row>
    <row r="888" spans="1:8" ht="15.75" hidden="1" x14ac:dyDescent="0.3">
      <c r="A888" s="142"/>
      <c r="B888" s="142"/>
      <c r="C888" s="147"/>
      <c r="D888" s="143"/>
      <c r="E888" s="144"/>
      <c r="F888" s="143"/>
      <c r="G888" s="142"/>
      <c r="H888" s="145"/>
    </row>
    <row r="889" spans="1:8" ht="15.75" hidden="1" x14ac:dyDescent="0.3">
      <c r="A889" s="142"/>
      <c r="B889" s="142"/>
      <c r="C889" s="147"/>
      <c r="D889" s="143"/>
      <c r="E889" s="144"/>
      <c r="F889" s="143"/>
      <c r="G889" s="142"/>
      <c r="H889" s="145"/>
    </row>
    <row r="890" spans="1:8" ht="15.75" hidden="1" x14ac:dyDescent="0.3">
      <c r="A890" s="142"/>
      <c r="B890" s="142"/>
      <c r="C890" s="147"/>
      <c r="D890" s="143"/>
      <c r="E890" s="144"/>
      <c r="F890" s="143"/>
      <c r="G890" s="142"/>
      <c r="H890" s="145"/>
    </row>
    <row r="891" spans="1:8" ht="15.75" hidden="1" x14ac:dyDescent="0.3">
      <c r="A891" s="142"/>
      <c r="B891" s="142"/>
      <c r="C891" s="147"/>
      <c r="D891" s="143"/>
      <c r="E891" s="144"/>
      <c r="F891" s="143"/>
      <c r="G891" s="142"/>
      <c r="H891" s="145"/>
    </row>
    <row r="892" spans="1:8" ht="15.75" hidden="1" x14ac:dyDescent="0.3">
      <c r="A892" s="142"/>
      <c r="B892" s="142"/>
      <c r="C892" s="147"/>
      <c r="D892" s="143"/>
      <c r="E892" s="144"/>
      <c r="F892" s="143"/>
      <c r="G892" s="142"/>
      <c r="H892" s="145"/>
    </row>
    <row r="893" spans="1:8" ht="15.75" hidden="1" x14ac:dyDescent="0.3">
      <c r="A893" s="142"/>
      <c r="B893" s="142"/>
      <c r="C893" s="147"/>
      <c r="D893" s="143"/>
      <c r="E893" s="144"/>
      <c r="F893" s="143"/>
      <c r="G893" s="142"/>
      <c r="H893" s="145"/>
    </row>
    <row r="894" spans="1:8" ht="15.75" hidden="1" x14ac:dyDescent="0.3">
      <c r="A894" s="142"/>
      <c r="B894" s="142"/>
      <c r="C894" s="147"/>
      <c r="D894" s="143"/>
      <c r="E894" s="144"/>
      <c r="F894" s="143"/>
      <c r="G894" s="142"/>
      <c r="H894" s="145"/>
    </row>
    <row r="895" spans="1:8" ht="15.75" hidden="1" x14ac:dyDescent="0.3">
      <c r="A895" s="99"/>
      <c r="B895" s="99"/>
      <c r="C895" s="169"/>
      <c r="D895" s="170"/>
      <c r="E895" s="44"/>
      <c r="F895" s="39"/>
      <c r="G895" s="39"/>
      <c r="H895" s="171"/>
    </row>
    <row r="896" spans="1:8" ht="15.75" hidden="1" x14ac:dyDescent="0.3">
      <c r="A896" s="99"/>
      <c r="B896" s="99"/>
      <c r="C896" s="169"/>
      <c r="D896" s="170"/>
      <c r="E896" s="44"/>
      <c r="F896" s="39"/>
      <c r="G896" s="39"/>
      <c r="H896" s="171"/>
    </row>
    <row r="897" spans="1:8" ht="15.75" hidden="1" x14ac:dyDescent="0.3">
      <c r="A897" s="99"/>
      <c r="B897" s="99"/>
      <c r="C897" s="169"/>
      <c r="D897" s="170"/>
      <c r="E897" s="44"/>
      <c r="F897" s="39"/>
      <c r="G897" s="39"/>
      <c r="H897" s="171"/>
    </row>
    <row r="898" spans="1:8" ht="15.75" hidden="1" x14ac:dyDescent="0.3">
      <c r="A898" s="99"/>
      <c r="B898" s="99"/>
      <c r="C898" s="169"/>
      <c r="D898" s="170"/>
      <c r="E898" s="44"/>
      <c r="F898" s="39"/>
      <c r="G898" s="39"/>
      <c r="H898" s="171"/>
    </row>
    <row r="899" spans="1:8" ht="15.75" hidden="1" x14ac:dyDescent="0.3">
      <c r="A899" s="99"/>
      <c r="B899" s="99"/>
      <c r="C899" s="169"/>
      <c r="D899" s="170"/>
      <c r="E899" s="44"/>
      <c r="F899" s="39"/>
      <c r="G899" s="39"/>
      <c r="H899" s="171"/>
    </row>
    <row r="900" spans="1:8" ht="15.75" hidden="1" x14ac:dyDescent="0.3">
      <c r="A900" s="99"/>
      <c r="B900" s="99"/>
      <c r="C900" s="169"/>
      <c r="D900" s="170"/>
      <c r="E900" s="44"/>
      <c r="F900" s="39"/>
      <c r="G900" s="39"/>
      <c r="H900" s="171"/>
    </row>
    <row r="901" spans="1:8" ht="15.75" hidden="1" x14ac:dyDescent="0.3">
      <c r="A901" s="99"/>
      <c r="B901" s="99"/>
      <c r="C901" s="169"/>
      <c r="D901" s="170"/>
      <c r="E901" s="44"/>
      <c r="F901" s="39"/>
      <c r="G901" s="39"/>
      <c r="H901" s="171"/>
    </row>
    <row r="902" spans="1:8" ht="15.75" hidden="1" x14ac:dyDescent="0.3">
      <c r="A902" s="99"/>
      <c r="B902" s="99"/>
      <c r="C902" s="169"/>
      <c r="D902" s="170"/>
      <c r="E902" s="44"/>
      <c r="F902" s="39"/>
      <c r="G902" s="39"/>
      <c r="H902" s="171"/>
    </row>
    <row r="903" spans="1:8" ht="15.75" hidden="1" x14ac:dyDescent="0.3">
      <c r="A903" s="99"/>
      <c r="B903" s="99"/>
      <c r="C903" s="169"/>
      <c r="D903" s="170"/>
      <c r="E903" s="44"/>
      <c r="F903" s="39"/>
      <c r="G903" s="39"/>
      <c r="H903" s="171"/>
    </row>
    <row r="904" spans="1:8" ht="15.75" hidden="1" x14ac:dyDescent="0.3">
      <c r="A904" s="99"/>
      <c r="B904" s="99"/>
      <c r="C904" s="169"/>
      <c r="D904" s="170"/>
      <c r="E904" s="44"/>
      <c r="F904" s="39"/>
      <c r="G904" s="39"/>
      <c r="H904" s="171"/>
    </row>
    <row r="905" spans="1:8" ht="15.75" hidden="1" x14ac:dyDescent="0.3">
      <c r="A905" s="99"/>
      <c r="B905" s="99"/>
      <c r="C905" s="169"/>
      <c r="D905" s="170"/>
      <c r="E905" s="44"/>
      <c r="F905" s="39"/>
      <c r="G905" s="39"/>
      <c r="H905" s="171"/>
    </row>
    <row r="906" spans="1:8" ht="15.75" hidden="1" x14ac:dyDescent="0.3">
      <c r="A906" s="99"/>
      <c r="B906" s="99"/>
      <c r="C906" s="169"/>
      <c r="D906" s="170"/>
      <c r="E906" s="44"/>
      <c r="F906" s="39"/>
      <c r="G906" s="39"/>
      <c r="H906" s="171"/>
    </row>
    <row r="907" spans="1:8" ht="15.75" hidden="1" x14ac:dyDescent="0.3">
      <c r="A907" s="99"/>
      <c r="B907" s="99"/>
      <c r="C907" s="169"/>
      <c r="D907" s="170"/>
      <c r="E907" s="44"/>
      <c r="F907" s="39"/>
      <c r="G907" s="39"/>
      <c r="H907" s="171"/>
    </row>
    <row r="908" spans="1:8" ht="15.75" hidden="1" x14ac:dyDescent="0.3">
      <c r="A908" s="99"/>
      <c r="B908" s="99"/>
      <c r="C908" s="169"/>
      <c r="D908" s="170"/>
      <c r="E908" s="44"/>
      <c r="F908" s="39"/>
      <c r="G908" s="39"/>
      <c r="H908" s="171"/>
    </row>
    <row r="909" spans="1:8" ht="15.75" hidden="1" x14ac:dyDescent="0.3">
      <c r="A909" s="99"/>
      <c r="B909" s="99"/>
      <c r="C909" s="169"/>
      <c r="D909" s="170"/>
      <c r="E909" s="44"/>
      <c r="F909" s="39"/>
      <c r="G909" s="39"/>
      <c r="H909" s="171"/>
    </row>
    <row r="910" spans="1:8" ht="15.75" hidden="1" x14ac:dyDescent="0.3">
      <c r="A910" s="99"/>
      <c r="B910" s="99"/>
      <c r="C910" s="169"/>
      <c r="D910" s="170"/>
      <c r="E910" s="44"/>
      <c r="F910" s="39"/>
      <c r="G910" s="39"/>
      <c r="H910" s="171"/>
    </row>
    <row r="911" spans="1:8" ht="15.75" hidden="1" x14ac:dyDescent="0.3">
      <c r="A911" s="99"/>
      <c r="B911" s="99"/>
      <c r="C911" s="169"/>
      <c r="D911" s="170"/>
      <c r="E911" s="44"/>
      <c r="F911" s="39"/>
      <c r="G911" s="39"/>
      <c r="H911" s="171"/>
    </row>
    <row r="912" spans="1:8" ht="15.75" hidden="1" x14ac:dyDescent="0.3">
      <c r="A912" s="99"/>
      <c r="B912" s="99"/>
      <c r="C912" s="169"/>
      <c r="D912" s="170"/>
      <c r="E912" s="44"/>
      <c r="F912" s="39"/>
      <c r="G912" s="39"/>
      <c r="H912" s="171"/>
    </row>
    <row r="913" spans="1:8" ht="15.75" hidden="1" x14ac:dyDescent="0.3">
      <c r="A913" s="99"/>
      <c r="B913" s="99"/>
      <c r="C913" s="169"/>
      <c r="D913" s="170"/>
      <c r="E913" s="44"/>
      <c r="F913" s="39"/>
      <c r="G913" s="39"/>
      <c r="H913" s="171"/>
    </row>
    <row r="914" spans="1:8" ht="15.75" hidden="1" x14ac:dyDescent="0.3">
      <c r="A914" s="99"/>
      <c r="B914" s="99"/>
      <c r="C914" s="169"/>
      <c r="D914" s="170"/>
      <c r="E914" s="44"/>
      <c r="F914" s="39"/>
      <c r="G914" s="39"/>
      <c r="H914" s="171"/>
    </row>
    <row r="915" spans="1:8" ht="15.75" hidden="1" x14ac:dyDescent="0.3">
      <c r="A915" s="99"/>
      <c r="B915" s="99"/>
      <c r="C915" s="169"/>
      <c r="D915" s="170"/>
      <c r="E915" s="44"/>
      <c r="F915" s="39"/>
      <c r="G915" s="39"/>
      <c r="H915" s="171"/>
    </row>
    <row r="916" spans="1:8" ht="15.75" hidden="1" x14ac:dyDescent="0.3">
      <c r="A916" s="99"/>
      <c r="B916" s="99"/>
      <c r="C916" s="169"/>
      <c r="D916" s="170"/>
      <c r="E916" s="44"/>
      <c r="F916" s="39"/>
      <c r="G916" s="39"/>
      <c r="H916" s="171"/>
    </row>
    <row r="917" spans="1:8" ht="15.75" hidden="1" x14ac:dyDescent="0.3">
      <c r="A917" s="99"/>
      <c r="B917" s="99"/>
      <c r="C917" s="169"/>
      <c r="D917" s="170"/>
      <c r="E917" s="44"/>
      <c r="F917" s="39"/>
      <c r="G917" s="39"/>
      <c r="H917" s="171"/>
    </row>
    <row r="918" spans="1:8" ht="15.75" hidden="1" x14ac:dyDescent="0.3">
      <c r="A918" s="99"/>
      <c r="B918" s="99"/>
      <c r="C918" s="169"/>
      <c r="D918" s="170"/>
      <c r="E918" s="44"/>
      <c r="F918" s="39"/>
      <c r="G918" s="39"/>
      <c r="H918" s="171"/>
    </row>
    <row r="919" spans="1:8" ht="15.75" hidden="1" x14ac:dyDescent="0.3">
      <c r="A919" s="99"/>
      <c r="B919" s="99"/>
      <c r="C919" s="169"/>
      <c r="D919" s="170"/>
      <c r="E919" s="44"/>
      <c r="F919" s="39"/>
      <c r="G919" s="39"/>
      <c r="H919" s="171"/>
    </row>
    <row r="920" spans="1:8" ht="15.75" hidden="1" x14ac:dyDescent="0.3">
      <c r="A920" s="99"/>
      <c r="B920" s="99"/>
      <c r="C920" s="169"/>
      <c r="D920" s="170"/>
      <c r="E920" s="44"/>
      <c r="F920" s="39"/>
      <c r="G920" s="39"/>
      <c r="H920" s="171"/>
    </row>
    <row r="921" spans="1:8" ht="15.75" hidden="1" x14ac:dyDescent="0.3">
      <c r="A921" s="99"/>
      <c r="B921" s="99"/>
      <c r="C921" s="169"/>
      <c r="D921" s="170"/>
      <c r="E921" s="44"/>
      <c r="F921" s="39"/>
      <c r="G921" s="39"/>
      <c r="H921" s="171"/>
    </row>
    <row r="922" spans="1:8" ht="15.75" hidden="1" x14ac:dyDescent="0.3">
      <c r="A922" s="99"/>
      <c r="B922" s="99"/>
      <c r="C922" s="169"/>
      <c r="D922" s="170"/>
      <c r="E922" s="44"/>
      <c r="F922" s="39"/>
      <c r="G922" s="39"/>
      <c r="H922" s="171"/>
    </row>
    <row r="923" spans="1:8" ht="15.75" hidden="1" x14ac:dyDescent="0.3">
      <c r="A923" s="99"/>
      <c r="B923" s="99"/>
      <c r="C923" s="169"/>
      <c r="D923" s="170"/>
      <c r="E923" s="44"/>
      <c r="F923" s="39"/>
      <c r="G923" s="39"/>
      <c r="H923" s="171"/>
    </row>
    <row r="924" spans="1:8" ht="15.75" hidden="1" x14ac:dyDescent="0.3">
      <c r="A924" s="99"/>
      <c r="B924" s="99"/>
      <c r="C924" s="169"/>
      <c r="D924" s="170"/>
      <c r="E924" s="44"/>
      <c r="F924" s="39"/>
      <c r="G924" s="39"/>
      <c r="H924" s="171"/>
    </row>
    <row r="925" spans="1:8" ht="15.75" hidden="1" x14ac:dyDescent="0.3">
      <c r="A925" s="99"/>
      <c r="B925" s="99"/>
      <c r="C925" s="169"/>
      <c r="D925" s="170"/>
      <c r="E925" s="44"/>
      <c r="F925" s="39"/>
      <c r="G925" s="39"/>
      <c r="H925" s="171"/>
    </row>
    <row r="926" spans="1:8" ht="15.75" hidden="1" x14ac:dyDescent="0.3">
      <c r="A926" s="99"/>
      <c r="B926" s="99"/>
      <c r="C926" s="169"/>
      <c r="D926" s="170"/>
      <c r="E926" s="44"/>
      <c r="F926" s="39"/>
      <c r="G926" s="39"/>
      <c r="H926" s="171"/>
    </row>
    <row r="927" spans="1:8" ht="15.75" hidden="1" x14ac:dyDescent="0.3">
      <c r="A927" s="99"/>
      <c r="B927" s="99"/>
      <c r="C927" s="169"/>
      <c r="D927" s="170"/>
      <c r="E927" s="44"/>
      <c r="F927" s="39"/>
      <c r="G927" s="39"/>
      <c r="H927" s="171"/>
    </row>
    <row r="928" spans="1:8" ht="15.75" hidden="1" x14ac:dyDescent="0.3">
      <c r="A928" s="99"/>
      <c r="B928" s="99"/>
      <c r="C928" s="169"/>
      <c r="D928" s="170"/>
      <c r="E928" s="44"/>
      <c r="F928" s="39"/>
      <c r="G928" s="39"/>
      <c r="H928" s="171"/>
    </row>
    <row r="929" spans="1:8" ht="15.75" hidden="1" x14ac:dyDescent="0.3">
      <c r="A929" s="99"/>
      <c r="B929" s="99"/>
      <c r="C929" s="169"/>
      <c r="D929" s="170"/>
      <c r="E929" s="44"/>
      <c r="F929" s="39"/>
      <c r="G929" s="39"/>
      <c r="H929" s="171"/>
    </row>
    <row r="930" spans="1:8" ht="15.75" hidden="1" x14ac:dyDescent="0.3">
      <c r="A930" s="99"/>
      <c r="B930" s="99"/>
      <c r="C930" s="169"/>
      <c r="D930" s="170"/>
      <c r="E930" s="44"/>
      <c r="F930" s="39"/>
      <c r="G930" s="39"/>
      <c r="H930" s="171"/>
    </row>
    <row r="931" spans="1:8" ht="15.75" hidden="1" x14ac:dyDescent="0.3">
      <c r="A931" s="99"/>
      <c r="B931" s="99"/>
      <c r="C931" s="169"/>
      <c r="D931" s="170"/>
      <c r="E931" s="44"/>
      <c r="F931" s="39"/>
      <c r="G931" s="39"/>
      <c r="H931" s="171"/>
    </row>
    <row r="932" spans="1:8" ht="15.75" hidden="1" x14ac:dyDescent="0.3">
      <c r="A932" s="99"/>
      <c r="B932" s="99"/>
      <c r="C932" s="169"/>
      <c r="D932" s="170"/>
      <c r="E932" s="44"/>
      <c r="F932" s="39"/>
      <c r="G932" s="39"/>
      <c r="H932" s="171"/>
    </row>
    <row r="933" spans="1:8" ht="15.75" hidden="1" x14ac:dyDescent="0.3">
      <c r="A933" s="99"/>
      <c r="B933" s="99"/>
      <c r="C933" s="169"/>
      <c r="D933" s="170"/>
      <c r="E933" s="44"/>
      <c r="F933" s="39"/>
      <c r="G933" s="39"/>
      <c r="H933" s="171"/>
    </row>
    <row r="934" spans="1:8" ht="15.75" hidden="1" x14ac:dyDescent="0.3">
      <c r="A934" s="99"/>
      <c r="B934" s="99"/>
      <c r="C934" s="169"/>
      <c r="D934" s="170"/>
      <c r="E934" s="44"/>
      <c r="F934" s="39"/>
      <c r="G934" s="39"/>
      <c r="H934" s="171"/>
    </row>
    <row r="935" spans="1:8" ht="15.75" hidden="1" x14ac:dyDescent="0.3">
      <c r="A935" s="99"/>
      <c r="B935" s="99"/>
      <c r="C935" s="169"/>
      <c r="D935" s="170"/>
      <c r="E935" s="44"/>
      <c r="F935" s="39"/>
      <c r="G935" s="39"/>
      <c r="H935" s="171"/>
    </row>
    <row r="936" spans="1:8" ht="15.75" hidden="1" x14ac:dyDescent="0.3">
      <c r="A936" s="99"/>
      <c r="B936" s="99"/>
      <c r="C936" s="169"/>
      <c r="D936" s="170"/>
      <c r="E936" s="44"/>
      <c r="F936" s="39"/>
      <c r="G936" s="39"/>
      <c r="H936" s="171"/>
    </row>
    <row r="937" spans="1:8" ht="15.75" hidden="1" x14ac:dyDescent="0.3">
      <c r="A937" s="99"/>
      <c r="B937" s="99"/>
      <c r="C937" s="169"/>
      <c r="D937" s="170"/>
      <c r="E937" s="44"/>
      <c r="F937" s="39"/>
      <c r="G937" s="39"/>
      <c r="H937" s="171"/>
    </row>
    <row r="938" spans="1:8" ht="15.75" hidden="1" x14ac:dyDescent="0.3">
      <c r="A938" s="99"/>
      <c r="B938" s="99"/>
      <c r="C938" s="169"/>
      <c r="D938" s="170"/>
      <c r="E938" s="44"/>
      <c r="F938" s="39"/>
      <c r="G938" s="39"/>
      <c r="H938" s="171"/>
    </row>
    <row r="939" spans="1:8" ht="15.75" hidden="1" x14ac:dyDescent="0.3">
      <c r="A939" s="99"/>
      <c r="B939" s="99"/>
      <c r="C939" s="169"/>
      <c r="D939" s="170"/>
      <c r="E939" s="44"/>
      <c r="F939" s="39"/>
      <c r="G939" s="39"/>
      <c r="H939" s="171"/>
    </row>
    <row r="940" spans="1:8" ht="15.75" hidden="1" x14ac:dyDescent="0.3">
      <c r="A940" s="99"/>
      <c r="B940" s="99"/>
      <c r="C940" s="169"/>
      <c r="D940" s="170"/>
      <c r="E940" s="44"/>
      <c r="F940" s="39"/>
      <c r="G940" s="39"/>
      <c r="H940" s="171"/>
    </row>
    <row r="941" spans="1:8" ht="15.75" hidden="1" x14ac:dyDescent="0.3">
      <c r="A941" s="99"/>
      <c r="B941" s="99"/>
      <c r="C941" s="169"/>
      <c r="D941" s="170"/>
      <c r="E941" s="44"/>
      <c r="F941" s="39"/>
      <c r="G941" s="39"/>
      <c r="H941" s="171"/>
    </row>
    <row r="942" spans="1:8" ht="15.75" hidden="1" x14ac:dyDescent="0.3">
      <c r="A942" s="99"/>
      <c r="B942" s="99"/>
      <c r="C942" s="169"/>
      <c r="D942" s="170"/>
      <c r="E942" s="44"/>
      <c r="F942" s="39"/>
      <c r="G942" s="39"/>
      <c r="H942" s="171"/>
    </row>
    <row r="943" spans="1:8" ht="15.75" hidden="1" x14ac:dyDescent="0.3">
      <c r="A943" s="99"/>
      <c r="B943" s="99"/>
      <c r="C943" s="169"/>
      <c r="D943" s="170"/>
      <c r="E943" s="44"/>
      <c r="F943" s="39"/>
      <c r="G943" s="39"/>
      <c r="H943" s="171"/>
    </row>
    <row r="944" spans="1:8" ht="15.75" hidden="1" x14ac:dyDescent="0.3">
      <c r="A944" s="99"/>
      <c r="B944" s="99"/>
      <c r="C944" s="169"/>
      <c r="D944" s="170"/>
      <c r="E944" s="44"/>
      <c r="F944" s="39"/>
      <c r="G944" s="39"/>
      <c r="H944" s="171"/>
    </row>
    <row r="945" spans="1:8" ht="15.75" hidden="1" x14ac:dyDescent="0.3">
      <c r="A945" s="99"/>
      <c r="B945" s="99"/>
      <c r="C945" s="169"/>
      <c r="D945" s="170"/>
      <c r="E945" s="44"/>
      <c r="F945" s="39"/>
      <c r="G945" s="39"/>
      <c r="H945" s="171"/>
    </row>
    <row r="946" spans="1:8" ht="15.75" hidden="1" x14ac:dyDescent="0.3">
      <c r="A946" s="99"/>
      <c r="B946" s="99"/>
      <c r="C946" s="169"/>
      <c r="D946" s="170"/>
      <c r="E946" s="44"/>
      <c r="F946" s="39"/>
      <c r="G946" s="39"/>
      <c r="H946" s="171"/>
    </row>
    <row r="947" spans="1:8" ht="15.75" hidden="1" x14ac:dyDescent="0.3">
      <c r="A947" s="99"/>
      <c r="B947" s="99"/>
      <c r="C947" s="169"/>
      <c r="D947" s="170"/>
      <c r="E947" s="44"/>
      <c r="F947" s="39"/>
      <c r="G947" s="39"/>
      <c r="H947" s="171"/>
    </row>
    <row r="948" spans="1:8" ht="15.75" hidden="1" x14ac:dyDescent="0.3">
      <c r="A948" s="99"/>
      <c r="B948" s="99"/>
      <c r="C948" s="169"/>
      <c r="D948" s="170"/>
      <c r="E948" s="44"/>
      <c r="F948" s="39"/>
      <c r="G948" s="39"/>
      <c r="H948" s="171"/>
    </row>
    <row r="949" spans="1:8" ht="15.75" hidden="1" x14ac:dyDescent="0.3">
      <c r="A949" s="99"/>
      <c r="B949" s="99"/>
      <c r="C949" s="169"/>
      <c r="D949" s="170"/>
      <c r="E949" s="44"/>
      <c r="F949" s="39"/>
      <c r="G949" s="39"/>
      <c r="H949" s="171"/>
    </row>
    <row r="950" spans="1:8" ht="15.75" hidden="1" x14ac:dyDescent="0.3">
      <c r="A950" s="99"/>
      <c r="B950" s="99"/>
      <c r="C950" s="169"/>
      <c r="D950" s="170"/>
      <c r="E950" s="44"/>
      <c r="F950" s="39"/>
      <c r="G950" s="39"/>
      <c r="H950" s="171"/>
    </row>
    <row r="951" spans="1:8" ht="15.75" hidden="1" x14ac:dyDescent="0.3">
      <c r="A951" s="99"/>
      <c r="B951" s="99"/>
      <c r="C951" s="169"/>
      <c r="D951" s="170"/>
      <c r="E951" s="44"/>
      <c r="F951" s="39"/>
      <c r="G951" s="39"/>
      <c r="H951" s="171"/>
    </row>
    <row r="952" spans="1:8" ht="15.75" hidden="1" x14ac:dyDescent="0.3">
      <c r="A952" s="99"/>
      <c r="B952" s="99"/>
      <c r="C952" s="169"/>
      <c r="D952" s="170"/>
      <c r="E952" s="44"/>
      <c r="F952" s="39"/>
      <c r="G952" s="39"/>
      <c r="H952" s="171"/>
    </row>
    <row r="953" spans="1:8" ht="15.75" hidden="1" x14ac:dyDescent="0.3">
      <c r="A953" s="99"/>
      <c r="B953" s="99"/>
      <c r="C953" s="169"/>
      <c r="D953" s="170"/>
      <c r="E953" s="44"/>
      <c r="F953" s="39"/>
      <c r="G953" s="39"/>
      <c r="H953" s="171"/>
    </row>
    <row r="954" spans="1:8" ht="15.75" hidden="1" x14ac:dyDescent="0.3">
      <c r="A954" s="99"/>
      <c r="B954" s="99"/>
      <c r="C954" s="169"/>
      <c r="D954" s="170"/>
      <c r="E954" s="44"/>
      <c r="F954" s="39"/>
      <c r="G954" s="39"/>
      <c r="H954" s="171"/>
    </row>
    <row r="955" spans="1:8" ht="15.75" hidden="1" x14ac:dyDescent="0.3">
      <c r="A955" s="99"/>
      <c r="B955" s="99"/>
      <c r="C955" s="169"/>
      <c r="D955" s="170"/>
      <c r="E955" s="44"/>
      <c r="F955" s="39"/>
      <c r="G955" s="39"/>
      <c r="H955" s="171"/>
    </row>
    <row r="956" spans="1:8" ht="15.75" hidden="1" x14ac:dyDescent="0.3">
      <c r="A956" s="99"/>
      <c r="B956" s="99"/>
      <c r="C956" s="169"/>
      <c r="D956" s="170"/>
      <c r="E956" s="44"/>
      <c r="F956" s="39"/>
      <c r="G956" s="39"/>
      <c r="H956" s="171"/>
    </row>
    <row r="957" spans="1:8" ht="15.75" hidden="1" x14ac:dyDescent="0.3">
      <c r="A957" s="99"/>
      <c r="B957" s="99"/>
      <c r="C957" s="169"/>
      <c r="D957" s="170"/>
      <c r="E957" s="44"/>
      <c r="F957" s="39"/>
      <c r="G957" s="39"/>
      <c r="H957" s="171"/>
    </row>
    <row r="958" spans="1:8" ht="15.75" hidden="1" x14ac:dyDescent="0.3">
      <c r="A958" s="99"/>
      <c r="B958" s="99"/>
      <c r="C958" s="169"/>
      <c r="D958" s="170"/>
      <c r="E958" s="44"/>
      <c r="F958" s="39"/>
      <c r="G958" s="39"/>
      <c r="H958" s="171"/>
    </row>
    <row r="959" spans="1:8" ht="15.75" hidden="1" x14ac:dyDescent="0.3">
      <c r="A959" s="99"/>
      <c r="B959" s="99"/>
      <c r="C959" s="169"/>
      <c r="D959" s="170"/>
      <c r="E959" s="44"/>
      <c r="F959" s="39"/>
      <c r="G959" s="39"/>
      <c r="H959" s="171"/>
    </row>
    <row r="960" spans="1:8" ht="15.75" hidden="1" x14ac:dyDescent="0.3">
      <c r="A960" s="99"/>
      <c r="B960" s="99"/>
      <c r="C960" s="169"/>
      <c r="D960" s="170"/>
      <c r="E960" s="44"/>
      <c r="F960" s="39"/>
      <c r="G960" s="39"/>
      <c r="H960" s="171"/>
    </row>
    <row r="961" spans="1:8" ht="15.75" hidden="1" x14ac:dyDescent="0.3">
      <c r="A961" s="99"/>
      <c r="B961" s="99"/>
      <c r="C961" s="169"/>
      <c r="D961" s="170"/>
      <c r="E961" s="44"/>
      <c r="F961" s="39"/>
      <c r="G961" s="39"/>
      <c r="H961" s="171"/>
    </row>
    <row r="962" spans="1:8" ht="15.75" hidden="1" x14ac:dyDescent="0.3">
      <c r="A962" s="99"/>
      <c r="B962" s="99"/>
      <c r="C962" s="169"/>
      <c r="D962" s="170"/>
      <c r="E962" s="44"/>
      <c r="F962" s="39"/>
      <c r="G962" s="39"/>
      <c r="H962" s="171"/>
    </row>
    <row r="963" spans="1:8" ht="15.75" hidden="1" x14ac:dyDescent="0.3">
      <c r="A963" s="99"/>
      <c r="B963" s="99"/>
      <c r="C963" s="169"/>
      <c r="D963" s="170"/>
      <c r="E963" s="44"/>
      <c r="F963" s="39"/>
      <c r="G963" s="39"/>
      <c r="H963" s="171"/>
    </row>
    <row r="964" spans="1:8" ht="15.75" hidden="1" x14ac:dyDescent="0.3">
      <c r="A964" s="99"/>
      <c r="B964" s="99"/>
      <c r="C964" s="169"/>
      <c r="D964" s="170"/>
      <c r="E964" s="44"/>
      <c r="F964" s="39"/>
      <c r="G964" s="39"/>
      <c r="H964" s="171"/>
    </row>
    <row r="965" spans="1:8" ht="15.75" hidden="1" x14ac:dyDescent="0.3">
      <c r="A965" s="99"/>
      <c r="B965" s="99"/>
      <c r="C965" s="169"/>
      <c r="D965" s="170"/>
      <c r="E965" s="44"/>
      <c r="F965" s="39"/>
      <c r="G965" s="39"/>
      <c r="H965" s="171"/>
    </row>
    <row r="966" spans="1:8" ht="15.75" hidden="1" x14ac:dyDescent="0.3">
      <c r="A966" s="99"/>
      <c r="B966" s="99"/>
      <c r="C966" s="169"/>
      <c r="D966" s="170"/>
      <c r="E966" s="44"/>
      <c r="F966" s="39"/>
      <c r="G966" s="39"/>
      <c r="H966" s="171"/>
    </row>
    <row r="967" spans="1:8" ht="15.75" hidden="1" x14ac:dyDescent="0.3">
      <c r="A967" s="99"/>
      <c r="B967" s="99"/>
      <c r="C967" s="169"/>
      <c r="D967" s="170"/>
      <c r="E967" s="44"/>
      <c r="F967" s="39"/>
      <c r="G967" s="39"/>
      <c r="H967" s="171"/>
    </row>
    <row r="968" spans="1:8" ht="15.75" hidden="1" x14ac:dyDescent="0.3">
      <c r="A968" s="99"/>
      <c r="B968" s="99"/>
      <c r="C968" s="169"/>
      <c r="D968" s="170"/>
      <c r="E968" s="44"/>
      <c r="F968" s="39"/>
      <c r="G968" s="39"/>
      <c r="H968" s="171"/>
    </row>
    <row r="969" spans="1:8" ht="15.75" hidden="1" x14ac:dyDescent="0.3">
      <c r="A969" s="99"/>
      <c r="B969" s="99"/>
      <c r="C969" s="169"/>
      <c r="D969" s="170"/>
      <c r="E969" s="44"/>
      <c r="F969" s="39"/>
      <c r="G969" s="39"/>
      <c r="H969" s="171"/>
    </row>
    <row r="970" spans="1:8" ht="15.75" hidden="1" x14ac:dyDescent="0.3">
      <c r="A970" s="99"/>
      <c r="B970" s="99"/>
      <c r="C970" s="169"/>
      <c r="D970" s="170"/>
      <c r="E970" s="44"/>
      <c r="F970" s="39"/>
      <c r="G970" s="39"/>
      <c r="H970" s="171"/>
    </row>
    <row r="971" spans="1:8" ht="15.75" hidden="1" x14ac:dyDescent="0.3">
      <c r="A971" s="99"/>
      <c r="B971" s="99"/>
      <c r="C971" s="169"/>
      <c r="D971" s="170"/>
      <c r="E971" s="44"/>
      <c r="F971" s="39"/>
      <c r="G971" s="39"/>
      <c r="H971" s="171"/>
    </row>
    <row r="972" spans="1:8" ht="15.75" hidden="1" x14ac:dyDescent="0.3">
      <c r="A972" s="99"/>
      <c r="B972" s="99"/>
      <c r="C972" s="169"/>
      <c r="D972" s="170"/>
      <c r="E972" s="44"/>
      <c r="F972" s="39"/>
      <c r="G972" s="39"/>
      <c r="H972" s="171"/>
    </row>
    <row r="973" spans="1:8" ht="15.75" hidden="1" x14ac:dyDescent="0.3">
      <c r="A973" s="99"/>
      <c r="B973" s="99"/>
      <c r="C973" s="169"/>
      <c r="D973" s="170"/>
      <c r="E973" s="44"/>
      <c r="F973" s="39"/>
      <c r="G973" s="39"/>
      <c r="H973" s="171"/>
    </row>
    <row r="974" spans="1:8" ht="15.75" hidden="1" x14ac:dyDescent="0.3">
      <c r="A974" s="99"/>
      <c r="B974" s="99"/>
      <c r="C974" s="169"/>
      <c r="D974" s="170"/>
      <c r="E974" s="44"/>
      <c r="F974" s="39"/>
      <c r="G974" s="39"/>
      <c r="H974" s="171"/>
    </row>
    <row r="975" spans="1:8" ht="15.75" hidden="1" x14ac:dyDescent="0.3">
      <c r="A975" s="99"/>
      <c r="B975" s="99"/>
      <c r="C975" s="169"/>
      <c r="D975" s="170"/>
      <c r="E975" s="44"/>
      <c r="F975" s="39"/>
      <c r="G975" s="39"/>
      <c r="H975" s="171"/>
    </row>
    <row r="976" spans="1:8" ht="15.75" hidden="1" x14ac:dyDescent="0.3">
      <c r="A976" s="99"/>
      <c r="B976" s="99"/>
      <c r="C976" s="169"/>
      <c r="D976" s="170"/>
      <c r="E976" s="44"/>
      <c r="F976" s="39"/>
      <c r="G976" s="39"/>
      <c r="H976" s="171"/>
    </row>
    <row r="977" spans="1:8" ht="15.75" hidden="1" x14ac:dyDescent="0.3">
      <c r="A977" s="99"/>
      <c r="B977" s="99"/>
      <c r="C977" s="169"/>
      <c r="D977" s="170"/>
      <c r="E977" s="44"/>
      <c r="F977" s="39"/>
      <c r="G977" s="39"/>
      <c r="H977" s="171"/>
    </row>
    <row r="978" spans="1:8" ht="15.75" hidden="1" x14ac:dyDescent="0.3">
      <c r="A978" s="99"/>
      <c r="B978" s="99"/>
      <c r="C978" s="169"/>
      <c r="D978" s="170"/>
      <c r="E978" s="44"/>
      <c r="F978" s="39"/>
      <c r="G978" s="39"/>
      <c r="H978" s="171"/>
    </row>
    <row r="979" spans="1:8" ht="15.75" hidden="1" x14ac:dyDescent="0.3">
      <c r="A979" s="99"/>
      <c r="B979" s="99"/>
      <c r="C979" s="169"/>
      <c r="D979" s="170"/>
      <c r="E979" s="44"/>
      <c r="F979" s="39"/>
      <c r="G979" s="39"/>
      <c r="H979" s="171"/>
    </row>
    <row r="980" spans="1:8" ht="15.75" hidden="1" x14ac:dyDescent="0.3">
      <c r="A980" s="99"/>
      <c r="B980" s="99"/>
      <c r="C980" s="169"/>
      <c r="D980" s="170"/>
      <c r="E980" s="44"/>
      <c r="F980" s="39"/>
      <c r="G980" s="39"/>
      <c r="H980" s="171"/>
    </row>
    <row r="981" spans="1:8" ht="15.75" hidden="1" x14ac:dyDescent="0.3">
      <c r="A981" s="99"/>
      <c r="B981" s="99"/>
      <c r="C981" s="169"/>
      <c r="D981" s="170"/>
      <c r="E981" s="44"/>
      <c r="F981" s="39"/>
      <c r="G981" s="39"/>
      <c r="H981" s="171"/>
    </row>
    <row r="982" spans="1:8" ht="15.75" hidden="1" x14ac:dyDescent="0.3">
      <c r="A982" s="99"/>
      <c r="B982" s="99"/>
      <c r="C982" s="169"/>
      <c r="D982" s="170"/>
      <c r="E982" s="44"/>
      <c r="F982" s="39"/>
      <c r="G982" s="39"/>
      <c r="H982" s="171"/>
    </row>
    <row r="983" spans="1:8" ht="15.75" hidden="1" x14ac:dyDescent="0.3">
      <c r="A983" s="99"/>
      <c r="B983" s="99"/>
      <c r="C983" s="169"/>
      <c r="D983" s="170"/>
      <c r="E983" s="44"/>
      <c r="F983" s="39"/>
      <c r="G983" s="39"/>
      <c r="H983" s="171"/>
    </row>
    <row r="984" spans="1:8" ht="15.75" hidden="1" x14ac:dyDescent="0.3">
      <c r="A984" s="99"/>
      <c r="B984" s="99"/>
      <c r="C984" s="169"/>
      <c r="D984" s="170"/>
      <c r="E984" s="44"/>
      <c r="F984" s="39"/>
      <c r="G984" s="39"/>
      <c r="H984" s="171"/>
    </row>
    <row r="985" spans="1:8" ht="15.75" hidden="1" x14ac:dyDescent="0.3">
      <c r="A985" s="99"/>
      <c r="B985" s="99"/>
      <c r="C985" s="169"/>
      <c r="D985" s="170"/>
      <c r="E985" s="44"/>
      <c r="F985" s="39"/>
      <c r="G985" s="39"/>
      <c r="H985" s="171"/>
    </row>
    <row r="986" spans="1:8" ht="15.75" hidden="1" x14ac:dyDescent="0.3">
      <c r="A986" s="99"/>
      <c r="B986" s="99"/>
      <c r="C986" s="169"/>
      <c r="D986" s="170"/>
      <c r="E986" s="44"/>
      <c r="F986" s="39"/>
      <c r="G986" s="39"/>
      <c r="H986" s="171"/>
    </row>
    <row r="987" spans="1:8" ht="15.75" hidden="1" x14ac:dyDescent="0.3">
      <c r="A987" s="99"/>
      <c r="B987" s="99"/>
      <c r="C987" s="169"/>
      <c r="D987" s="170"/>
      <c r="E987" s="44"/>
      <c r="F987" s="39"/>
      <c r="G987" s="39"/>
      <c r="H987" s="171"/>
    </row>
    <row r="988" spans="1:8" ht="15.75" hidden="1" x14ac:dyDescent="0.3">
      <c r="A988" s="99"/>
      <c r="B988" s="99"/>
      <c r="C988" s="169"/>
      <c r="D988" s="170"/>
      <c r="E988" s="44"/>
      <c r="F988" s="39"/>
      <c r="G988" s="39"/>
      <c r="H988" s="171"/>
    </row>
    <row r="989" spans="1:8" ht="15.75" hidden="1" x14ac:dyDescent="0.3">
      <c r="A989" s="99"/>
      <c r="B989" s="99"/>
      <c r="C989" s="169"/>
      <c r="D989" s="170"/>
      <c r="E989" s="44"/>
      <c r="F989" s="39"/>
      <c r="G989" s="39"/>
      <c r="H989" s="171"/>
    </row>
    <row r="990" spans="1:8" ht="15.75" hidden="1" x14ac:dyDescent="0.3">
      <c r="A990" s="99"/>
      <c r="B990" s="99"/>
      <c r="C990" s="169"/>
      <c r="D990" s="170"/>
      <c r="E990" s="44"/>
      <c r="F990" s="39"/>
      <c r="G990" s="39"/>
      <c r="H990" s="171"/>
    </row>
    <row r="991" spans="1:8" ht="15.75" hidden="1" x14ac:dyDescent="0.3">
      <c r="A991" s="99"/>
      <c r="B991" s="99"/>
      <c r="C991" s="169"/>
      <c r="D991" s="170"/>
      <c r="E991" s="44"/>
      <c r="F991" s="39"/>
      <c r="G991" s="39"/>
      <c r="H991" s="171"/>
    </row>
    <row r="992" spans="1:8" ht="15.75" hidden="1" x14ac:dyDescent="0.3">
      <c r="A992" s="99"/>
      <c r="B992" s="99"/>
      <c r="C992" s="169"/>
      <c r="D992" s="170"/>
      <c r="E992" s="44"/>
      <c r="F992" s="39"/>
      <c r="G992" s="39"/>
      <c r="H992" s="171"/>
    </row>
    <row r="993" spans="1:8" ht="15.75" hidden="1" x14ac:dyDescent="0.3">
      <c r="A993" s="99"/>
      <c r="B993" s="99"/>
      <c r="C993" s="169"/>
      <c r="D993" s="170"/>
      <c r="E993" s="44"/>
      <c r="F993" s="39"/>
      <c r="G993" s="39"/>
      <c r="H993" s="171"/>
    </row>
    <row r="994" spans="1:8" ht="15.75" hidden="1" x14ac:dyDescent="0.3">
      <c r="A994" s="99"/>
      <c r="B994" s="99"/>
      <c r="C994" s="169"/>
      <c r="D994" s="170"/>
      <c r="E994" s="44"/>
      <c r="F994" s="39"/>
      <c r="G994" s="39"/>
      <c r="H994" s="171"/>
    </row>
    <row r="995" spans="1:8" ht="15.75" hidden="1" x14ac:dyDescent="0.3">
      <c r="A995" s="99"/>
      <c r="B995" s="99"/>
      <c r="C995" s="169"/>
      <c r="D995" s="170"/>
      <c r="E995" s="44"/>
      <c r="F995" s="39"/>
      <c r="G995" s="39"/>
      <c r="H995" s="171"/>
    </row>
    <row r="996" spans="1:8" ht="15.75" hidden="1" x14ac:dyDescent="0.3">
      <c r="A996" s="99"/>
      <c r="B996" s="99"/>
      <c r="C996" s="169"/>
      <c r="D996" s="170"/>
      <c r="E996" s="44"/>
      <c r="F996" s="39"/>
      <c r="G996" s="39"/>
      <c r="H996" s="171"/>
    </row>
    <row r="997" spans="1:8" ht="15.75" hidden="1" x14ac:dyDescent="0.3">
      <c r="A997" s="99"/>
      <c r="B997" s="99"/>
      <c r="C997" s="169"/>
      <c r="D997" s="170"/>
      <c r="E997" s="44"/>
      <c r="F997" s="39"/>
      <c r="G997" s="39"/>
      <c r="H997" s="171"/>
    </row>
    <row r="998" spans="1:8" ht="15.75" hidden="1" x14ac:dyDescent="0.3">
      <c r="A998" s="99"/>
      <c r="B998" s="99"/>
      <c r="C998" s="169"/>
      <c r="D998" s="170"/>
      <c r="E998" s="44"/>
      <c r="F998" s="39"/>
      <c r="G998" s="39"/>
      <c r="H998" s="171"/>
    </row>
    <row r="999" spans="1:8" ht="15.75" hidden="1" x14ac:dyDescent="0.3">
      <c r="A999" s="99"/>
      <c r="B999" s="99"/>
      <c r="C999" s="169"/>
      <c r="D999" s="170"/>
      <c r="E999" s="44"/>
      <c r="F999" s="39"/>
      <c r="G999" s="39"/>
      <c r="H999" s="171"/>
    </row>
    <row r="1000" spans="1:8" ht="15.75" hidden="1" x14ac:dyDescent="0.3">
      <c r="A1000" s="99"/>
      <c r="B1000" s="99"/>
      <c r="C1000" s="169"/>
      <c r="D1000" s="170"/>
      <c r="E1000" s="44"/>
      <c r="F1000" s="39"/>
      <c r="G1000" s="39"/>
      <c r="H1000" s="171"/>
    </row>
    <row r="1001" spans="1:8" ht="15.75" hidden="1" x14ac:dyDescent="0.3">
      <c r="A1001" s="99"/>
      <c r="B1001" s="99"/>
      <c r="C1001" s="169"/>
      <c r="D1001" s="170"/>
      <c r="E1001" s="44"/>
      <c r="F1001" s="39"/>
      <c r="G1001" s="39"/>
      <c r="H1001" s="171"/>
    </row>
    <row r="1002" spans="1:8" ht="15.75" hidden="1" x14ac:dyDescent="0.3">
      <c r="A1002" s="99"/>
      <c r="B1002" s="99"/>
      <c r="C1002" s="169"/>
      <c r="D1002" s="170"/>
      <c r="E1002" s="44"/>
      <c r="F1002" s="39"/>
      <c r="G1002" s="39"/>
      <c r="H1002" s="171"/>
    </row>
    <row r="1003" spans="1:8" ht="15.75" hidden="1" x14ac:dyDescent="0.3">
      <c r="A1003" s="99"/>
      <c r="B1003" s="99"/>
      <c r="C1003" s="169"/>
      <c r="D1003" s="170"/>
      <c r="E1003" s="44"/>
      <c r="F1003" s="39"/>
      <c r="G1003" s="39"/>
      <c r="H1003" s="171"/>
    </row>
    <row r="1004" spans="1:8" ht="15.75" hidden="1" x14ac:dyDescent="0.3">
      <c r="A1004" s="99"/>
      <c r="B1004" s="99"/>
      <c r="C1004" s="169"/>
      <c r="D1004" s="170"/>
      <c r="E1004" s="44"/>
      <c r="F1004" s="39"/>
      <c r="G1004" s="39"/>
      <c r="H1004" s="171"/>
    </row>
    <row r="1005" spans="1:8" ht="15.75" hidden="1" x14ac:dyDescent="0.3">
      <c r="A1005" s="99"/>
      <c r="B1005" s="99"/>
      <c r="C1005" s="169"/>
      <c r="D1005" s="170"/>
      <c r="E1005" s="44"/>
      <c r="F1005" s="39"/>
      <c r="G1005" s="39"/>
      <c r="H1005" s="171"/>
    </row>
    <row r="1006" spans="1:8" ht="15.75" hidden="1" x14ac:dyDescent="0.3">
      <c r="A1006" s="99"/>
      <c r="B1006" s="99"/>
      <c r="C1006" s="169"/>
      <c r="D1006" s="170"/>
      <c r="E1006" s="44"/>
      <c r="F1006" s="39"/>
      <c r="G1006" s="39"/>
      <c r="H1006" s="171"/>
    </row>
    <row r="1007" spans="1:8" ht="15.75" hidden="1" x14ac:dyDescent="0.3">
      <c r="A1007" s="99"/>
      <c r="B1007" s="99"/>
      <c r="C1007" s="169"/>
      <c r="D1007" s="170"/>
      <c r="E1007" s="44"/>
      <c r="F1007" s="39"/>
      <c r="G1007" s="39"/>
      <c r="H1007" s="171"/>
    </row>
    <row r="1008" spans="1:8" ht="15.75" hidden="1" x14ac:dyDescent="0.3">
      <c r="A1008" s="99"/>
      <c r="B1008" s="99"/>
      <c r="C1008" s="169"/>
      <c r="D1008" s="170"/>
      <c r="E1008" s="44"/>
      <c r="F1008" s="39"/>
      <c r="G1008" s="39"/>
      <c r="H1008" s="171"/>
    </row>
    <row r="1009" spans="1:8" ht="15.75" hidden="1" x14ac:dyDescent="0.3">
      <c r="A1009" s="99"/>
      <c r="B1009" s="99"/>
      <c r="C1009" s="169"/>
      <c r="D1009" s="170"/>
      <c r="E1009" s="44"/>
      <c r="F1009" s="39"/>
      <c r="G1009" s="39"/>
      <c r="H1009" s="171"/>
    </row>
    <row r="1010" spans="1:8" ht="15.75" hidden="1" x14ac:dyDescent="0.3">
      <c r="A1010" s="99"/>
      <c r="B1010" s="99"/>
      <c r="C1010" s="169"/>
      <c r="D1010" s="170"/>
      <c r="E1010" s="44"/>
      <c r="F1010" s="39"/>
      <c r="G1010" s="39"/>
      <c r="H1010" s="171"/>
    </row>
    <row r="1011" spans="1:8" ht="15.75" hidden="1" x14ac:dyDescent="0.3">
      <c r="A1011" s="99"/>
      <c r="B1011" s="99"/>
      <c r="C1011" s="169"/>
      <c r="D1011" s="170"/>
      <c r="E1011" s="44"/>
      <c r="F1011" s="39"/>
      <c r="G1011" s="39"/>
      <c r="H1011" s="171"/>
    </row>
    <row r="1012" spans="1:8" ht="15.75" hidden="1" x14ac:dyDescent="0.3">
      <c r="A1012" s="99"/>
      <c r="B1012" s="99"/>
      <c r="C1012" s="169"/>
      <c r="D1012" s="170"/>
      <c r="E1012" s="44"/>
      <c r="F1012" s="39"/>
      <c r="G1012" s="39"/>
      <c r="H1012" s="171"/>
    </row>
    <row r="1013" spans="1:8" ht="15.75" hidden="1" x14ac:dyDescent="0.3">
      <c r="A1013" s="99"/>
      <c r="B1013" s="99"/>
      <c r="C1013" s="169"/>
      <c r="D1013" s="170"/>
      <c r="E1013" s="44"/>
      <c r="F1013" s="39"/>
      <c r="G1013" s="39"/>
      <c r="H1013" s="171"/>
    </row>
    <row r="1014" spans="1:8" ht="15.75" hidden="1" x14ac:dyDescent="0.3">
      <c r="A1014" s="99"/>
      <c r="B1014" s="99"/>
      <c r="C1014" s="169"/>
      <c r="D1014" s="170"/>
      <c r="E1014" s="44"/>
      <c r="F1014" s="39"/>
      <c r="G1014" s="39"/>
      <c r="H1014" s="171"/>
    </row>
    <row r="1015" spans="1:8" ht="15.75" hidden="1" x14ac:dyDescent="0.3">
      <c r="A1015" s="99"/>
      <c r="B1015" s="99"/>
      <c r="C1015" s="169"/>
      <c r="D1015" s="170"/>
      <c r="E1015" s="44"/>
      <c r="F1015" s="39"/>
      <c r="G1015" s="39"/>
      <c r="H1015" s="171"/>
    </row>
    <row r="1016" spans="1:8" ht="15.75" hidden="1" x14ac:dyDescent="0.3">
      <c r="A1016" s="99"/>
      <c r="B1016" s="99"/>
      <c r="C1016" s="169"/>
      <c r="D1016" s="170"/>
      <c r="E1016" s="44"/>
      <c r="F1016" s="39"/>
      <c r="G1016" s="39"/>
      <c r="H1016" s="171"/>
    </row>
    <row r="1017" spans="1:8" ht="15.75" hidden="1" x14ac:dyDescent="0.3">
      <c r="A1017" s="99"/>
      <c r="B1017" s="99"/>
      <c r="C1017" s="169"/>
      <c r="D1017" s="170"/>
      <c r="E1017" s="44"/>
      <c r="F1017" s="39"/>
      <c r="G1017" s="39"/>
      <c r="H1017" s="171"/>
    </row>
    <row r="1018" spans="1:8" ht="15.75" hidden="1" x14ac:dyDescent="0.3">
      <c r="A1018" s="99"/>
      <c r="B1018" s="99"/>
      <c r="C1018" s="169"/>
      <c r="D1018" s="170"/>
      <c r="E1018" s="44"/>
      <c r="F1018" s="39"/>
      <c r="G1018" s="39"/>
      <c r="H1018" s="171"/>
    </row>
    <row r="1019" spans="1:8" ht="15.75" hidden="1" x14ac:dyDescent="0.3">
      <c r="A1019" s="99"/>
      <c r="B1019" s="99"/>
      <c r="C1019" s="169"/>
      <c r="D1019" s="170"/>
      <c r="E1019" s="44"/>
      <c r="F1019" s="39"/>
      <c r="G1019" s="39"/>
      <c r="H1019" s="171"/>
    </row>
    <row r="1020" spans="1:8" ht="15.75" hidden="1" x14ac:dyDescent="0.3">
      <c r="A1020" s="99"/>
      <c r="B1020" s="99"/>
      <c r="C1020" s="169"/>
      <c r="D1020" s="170"/>
      <c r="E1020" s="44"/>
      <c r="F1020" s="39"/>
      <c r="G1020" s="39"/>
      <c r="H1020" s="171"/>
    </row>
    <row r="1021" spans="1:8" ht="15.75" hidden="1" x14ac:dyDescent="0.3">
      <c r="A1021" s="99"/>
      <c r="B1021" s="99"/>
      <c r="C1021" s="169"/>
      <c r="D1021" s="170"/>
      <c r="E1021" s="44"/>
      <c r="F1021" s="39"/>
      <c r="G1021" s="39"/>
      <c r="H1021" s="171"/>
    </row>
    <row r="1022" spans="1:8" ht="15.75" hidden="1" x14ac:dyDescent="0.3">
      <c r="A1022" s="99"/>
      <c r="B1022" s="99"/>
      <c r="C1022" s="169"/>
      <c r="D1022" s="170"/>
      <c r="E1022" s="44"/>
      <c r="F1022" s="39"/>
      <c r="G1022" s="39"/>
      <c r="H1022" s="171"/>
    </row>
    <row r="1023" spans="1:8" ht="15.75" hidden="1" x14ac:dyDescent="0.3">
      <c r="A1023" s="99"/>
      <c r="B1023" s="99"/>
      <c r="C1023" s="169"/>
      <c r="D1023" s="170"/>
      <c r="E1023" s="44"/>
      <c r="F1023" s="39"/>
      <c r="G1023" s="39"/>
      <c r="H1023" s="171"/>
    </row>
    <row r="1024" spans="1:8" ht="15.75" hidden="1" x14ac:dyDescent="0.3">
      <c r="A1024" s="99"/>
      <c r="B1024" s="99"/>
      <c r="C1024" s="169"/>
      <c r="D1024" s="170"/>
      <c r="E1024" s="44"/>
      <c r="F1024" s="39"/>
      <c r="G1024" s="39"/>
      <c r="H1024" s="171"/>
    </row>
    <row r="1025" spans="1:8" ht="15.75" hidden="1" x14ac:dyDescent="0.3">
      <c r="A1025" s="99"/>
      <c r="B1025" s="99"/>
      <c r="C1025" s="169"/>
      <c r="D1025" s="170"/>
      <c r="E1025" s="44"/>
      <c r="F1025" s="39"/>
      <c r="G1025" s="39"/>
      <c r="H1025" s="171"/>
    </row>
    <row r="1026" spans="1:8" ht="15.75" hidden="1" x14ac:dyDescent="0.3">
      <c r="A1026" s="99"/>
      <c r="B1026" s="99"/>
      <c r="C1026" s="169"/>
      <c r="D1026" s="170"/>
      <c r="E1026" s="44"/>
      <c r="F1026" s="39"/>
      <c r="G1026" s="39"/>
      <c r="H1026" s="171"/>
    </row>
    <row r="1027" spans="1:8" ht="15.75" hidden="1" x14ac:dyDescent="0.3">
      <c r="A1027" s="99"/>
      <c r="B1027" s="99"/>
      <c r="C1027" s="169"/>
      <c r="D1027" s="170"/>
      <c r="E1027" s="44"/>
      <c r="F1027" s="39"/>
      <c r="G1027" s="39"/>
      <c r="H1027" s="171"/>
    </row>
    <row r="1028" spans="1:8" ht="15.75" hidden="1" x14ac:dyDescent="0.3">
      <c r="A1028" s="99"/>
      <c r="B1028" s="99"/>
      <c r="C1028" s="169"/>
      <c r="D1028" s="170"/>
      <c r="E1028" s="44"/>
      <c r="F1028" s="39"/>
      <c r="G1028" s="39"/>
      <c r="H1028" s="171"/>
    </row>
    <row r="1029" spans="1:8" ht="15.75" hidden="1" x14ac:dyDescent="0.3">
      <c r="A1029" s="99"/>
      <c r="B1029" s="99"/>
      <c r="C1029" s="169"/>
      <c r="D1029" s="170"/>
      <c r="E1029" s="44"/>
      <c r="F1029" s="39"/>
      <c r="G1029" s="39"/>
      <c r="H1029" s="171"/>
    </row>
    <row r="1030" spans="1:8" ht="15.75" hidden="1" x14ac:dyDescent="0.3">
      <c r="A1030" s="99"/>
      <c r="B1030" s="99"/>
      <c r="C1030" s="169"/>
      <c r="D1030" s="170"/>
      <c r="E1030" s="44"/>
      <c r="F1030" s="39"/>
      <c r="G1030" s="39"/>
      <c r="H1030" s="171"/>
    </row>
    <row r="1031" spans="1:8" ht="15.75" hidden="1" x14ac:dyDescent="0.3">
      <c r="A1031" s="99"/>
      <c r="B1031" s="99"/>
      <c r="C1031" s="169"/>
      <c r="D1031" s="170"/>
      <c r="E1031" s="44"/>
      <c r="F1031" s="39"/>
      <c r="G1031" s="39"/>
      <c r="H1031" s="171"/>
    </row>
    <row r="1032" spans="1:8" ht="15.75" hidden="1" x14ac:dyDescent="0.3">
      <c r="A1032" s="99"/>
      <c r="B1032" s="99"/>
      <c r="C1032" s="169"/>
      <c r="D1032" s="170"/>
      <c r="E1032" s="44"/>
      <c r="F1032" s="39"/>
      <c r="G1032" s="39"/>
      <c r="H1032" s="171"/>
    </row>
    <row r="1033" spans="1:8" ht="15.75" hidden="1" x14ac:dyDescent="0.3">
      <c r="A1033" s="99"/>
      <c r="B1033" s="99"/>
      <c r="C1033" s="169"/>
      <c r="D1033" s="170"/>
      <c r="E1033" s="44"/>
      <c r="F1033" s="39"/>
      <c r="G1033" s="39"/>
      <c r="H1033" s="171"/>
    </row>
    <row r="1034" spans="1:8" ht="15.75" hidden="1" x14ac:dyDescent="0.3">
      <c r="A1034" s="99"/>
      <c r="B1034" s="99"/>
      <c r="C1034" s="169"/>
      <c r="D1034" s="170"/>
      <c r="E1034" s="44"/>
      <c r="F1034" s="39"/>
      <c r="G1034" s="39"/>
      <c r="H1034" s="171"/>
    </row>
    <row r="1035" spans="1:8" ht="15.75" hidden="1" x14ac:dyDescent="0.3">
      <c r="A1035" s="99"/>
      <c r="B1035" s="99"/>
      <c r="C1035" s="169"/>
      <c r="D1035" s="170"/>
      <c r="E1035" s="44"/>
      <c r="F1035" s="39"/>
      <c r="G1035" s="39"/>
      <c r="H1035" s="171"/>
    </row>
    <row r="1036" spans="1:8" ht="15.75" hidden="1" x14ac:dyDescent="0.3">
      <c r="A1036" s="99"/>
      <c r="B1036" s="99"/>
      <c r="C1036" s="169"/>
      <c r="D1036" s="170"/>
      <c r="E1036" s="44"/>
      <c r="F1036" s="39"/>
      <c r="G1036" s="39"/>
      <c r="H1036" s="171"/>
    </row>
    <row r="1037" spans="1:8" ht="15.75" hidden="1" x14ac:dyDescent="0.3">
      <c r="A1037" s="99"/>
      <c r="B1037" s="99"/>
      <c r="C1037" s="169"/>
      <c r="D1037" s="170"/>
      <c r="E1037" s="44"/>
      <c r="F1037" s="39"/>
      <c r="G1037" s="39"/>
      <c r="H1037" s="171"/>
    </row>
    <row r="1038" spans="1:8" ht="15.75" hidden="1" x14ac:dyDescent="0.3">
      <c r="A1038" s="99"/>
      <c r="B1038" s="99"/>
      <c r="C1038" s="169"/>
      <c r="D1038" s="170"/>
      <c r="E1038" s="44"/>
      <c r="F1038" s="39"/>
      <c r="G1038" s="39"/>
      <c r="H1038" s="171"/>
    </row>
    <row r="1039" spans="1:8" ht="15.75" hidden="1" x14ac:dyDescent="0.3">
      <c r="A1039" s="99"/>
      <c r="B1039" s="99"/>
      <c r="C1039" s="169"/>
      <c r="D1039" s="170"/>
      <c r="E1039" s="44"/>
      <c r="F1039" s="39"/>
      <c r="G1039" s="39"/>
      <c r="H1039" s="171"/>
    </row>
    <row r="1040" spans="1:8" ht="15.75" hidden="1" x14ac:dyDescent="0.3">
      <c r="A1040" s="99"/>
      <c r="B1040" s="99"/>
      <c r="C1040" s="169"/>
      <c r="D1040" s="170"/>
      <c r="E1040" s="44"/>
      <c r="F1040" s="39"/>
      <c r="G1040" s="39"/>
      <c r="H1040" s="171"/>
    </row>
    <row r="1041" spans="1:8" ht="15.75" hidden="1" x14ac:dyDescent="0.3">
      <c r="A1041" s="99"/>
      <c r="B1041" s="99"/>
      <c r="C1041" s="169"/>
      <c r="D1041" s="170"/>
      <c r="E1041" s="44"/>
      <c r="F1041" s="39"/>
      <c r="G1041" s="39"/>
      <c r="H1041" s="171"/>
    </row>
    <row r="1042" spans="1:8" ht="15.75" hidden="1" x14ac:dyDescent="0.3">
      <c r="A1042" s="99"/>
      <c r="B1042" s="99"/>
      <c r="C1042" s="169"/>
      <c r="D1042" s="170"/>
      <c r="E1042" s="44"/>
      <c r="F1042" s="39"/>
      <c r="G1042" s="39"/>
      <c r="H1042" s="171"/>
    </row>
    <row r="1043" spans="1:8" ht="15.75" hidden="1" x14ac:dyDescent="0.3">
      <c r="A1043" s="99"/>
      <c r="B1043" s="99"/>
      <c r="C1043" s="169"/>
      <c r="D1043" s="170"/>
      <c r="E1043" s="44"/>
      <c r="F1043" s="39"/>
      <c r="G1043" s="39"/>
      <c r="H1043" s="171"/>
    </row>
    <row r="1044" spans="1:8" ht="15.75" hidden="1" x14ac:dyDescent="0.3">
      <c r="A1044" s="99"/>
      <c r="B1044" s="99"/>
      <c r="C1044" s="169"/>
      <c r="D1044" s="170"/>
      <c r="E1044" s="44"/>
      <c r="F1044" s="39"/>
      <c r="G1044" s="39"/>
      <c r="H1044" s="171"/>
    </row>
    <row r="1045" spans="1:8" ht="15.75" hidden="1" x14ac:dyDescent="0.3">
      <c r="A1045" s="99"/>
      <c r="B1045" s="99"/>
      <c r="C1045" s="169"/>
      <c r="D1045" s="170"/>
      <c r="E1045" s="44"/>
      <c r="F1045" s="39"/>
      <c r="G1045" s="39"/>
      <c r="H1045" s="171"/>
    </row>
    <row r="1046" spans="1:8" ht="15.75" hidden="1" x14ac:dyDescent="0.3">
      <c r="A1046" s="99"/>
      <c r="B1046" s="99"/>
      <c r="C1046" s="169"/>
      <c r="D1046" s="170"/>
      <c r="E1046" s="44"/>
      <c r="F1046" s="39"/>
      <c r="G1046" s="39"/>
      <c r="H1046" s="171"/>
    </row>
    <row r="1047" spans="1:8" ht="15.75" hidden="1" x14ac:dyDescent="0.3">
      <c r="A1047" s="99"/>
      <c r="B1047" s="99"/>
      <c r="C1047" s="169"/>
      <c r="D1047" s="170"/>
      <c r="E1047" s="44"/>
      <c r="F1047" s="39"/>
      <c r="G1047" s="39"/>
      <c r="H1047" s="171"/>
    </row>
    <row r="1048" spans="1:8" ht="15.75" hidden="1" x14ac:dyDescent="0.3">
      <c r="A1048" s="99"/>
      <c r="B1048" s="99"/>
      <c r="C1048" s="169"/>
      <c r="D1048" s="170"/>
      <c r="E1048" s="44"/>
      <c r="F1048" s="39"/>
      <c r="G1048" s="39"/>
      <c r="H1048" s="171"/>
    </row>
    <row r="1049" spans="1:8" ht="15.75" hidden="1" x14ac:dyDescent="0.3">
      <c r="A1049" s="99"/>
      <c r="B1049" s="99"/>
      <c r="C1049" s="169"/>
      <c r="D1049" s="170"/>
      <c r="E1049" s="44"/>
      <c r="F1049" s="39"/>
      <c r="G1049" s="39"/>
      <c r="H1049" s="171"/>
    </row>
    <row r="1050" spans="1:8" ht="15.75" hidden="1" x14ac:dyDescent="0.3">
      <c r="A1050" s="99"/>
      <c r="B1050" s="99"/>
      <c r="C1050" s="169"/>
      <c r="D1050" s="170"/>
      <c r="E1050" s="44"/>
      <c r="F1050" s="39"/>
      <c r="G1050" s="39"/>
      <c r="H1050" s="171"/>
    </row>
    <row r="1051" spans="1:8" ht="15.75" hidden="1" x14ac:dyDescent="0.3">
      <c r="A1051" s="99"/>
      <c r="B1051" s="99"/>
      <c r="C1051" s="169"/>
      <c r="D1051" s="170"/>
      <c r="E1051" s="44"/>
      <c r="F1051" s="39"/>
      <c r="G1051" s="39"/>
      <c r="H1051" s="171"/>
    </row>
    <row r="1052" spans="1:8" ht="15.75" hidden="1" x14ac:dyDescent="0.3">
      <c r="A1052" s="99"/>
      <c r="B1052" s="99"/>
      <c r="C1052" s="169"/>
      <c r="D1052" s="170"/>
      <c r="E1052" s="44"/>
      <c r="F1052" s="39"/>
      <c r="G1052" s="39"/>
      <c r="H1052" s="171"/>
    </row>
    <row r="1053" spans="1:8" ht="15.75" hidden="1" x14ac:dyDescent="0.3">
      <c r="A1053" s="99"/>
      <c r="B1053" s="99"/>
      <c r="C1053" s="169"/>
      <c r="D1053" s="170"/>
      <c r="E1053" s="44"/>
      <c r="F1053" s="39"/>
      <c r="G1053" s="39"/>
      <c r="H1053" s="171"/>
    </row>
    <row r="1054" spans="1:8" ht="15.75" hidden="1" x14ac:dyDescent="0.3">
      <c r="A1054" s="99"/>
      <c r="B1054" s="99"/>
      <c r="C1054" s="169"/>
      <c r="D1054" s="170"/>
      <c r="E1054" s="44"/>
      <c r="F1054" s="39"/>
      <c r="G1054" s="39"/>
      <c r="H1054" s="171"/>
    </row>
    <row r="1055" spans="1:8" ht="15.75" hidden="1" x14ac:dyDescent="0.3">
      <c r="A1055" s="99"/>
      <c r="B1055" s="99"/>
      <c r="C1055" s="169"/>
      <c r="D1055" s="170"/>
      <c r="E1055" s="44"/>
      <c r="F1055" s="39"/>
      <c r="G1055" s="39"/>
      <c r="H1055" s="171"/>
    </row>
    <row r="1056" spans="1:8" ht="15.75" hidden="1" x14ac:dyDescent="0.3">
      <c r="A1056" s="99"/>
      <c r="B1056" s="99"/>
      <c r="C1056" s="169"/>
      <c r="D1056" s="170"/>
      <c r="E1056" s="44"/>
      <c r="F1056" s="39"/>
      <c r="G1056" s="39"/>
      <c r="H1056" s="171"/>
    </row>
    <row r="1057" spans="1:8" ht="15.75" hidden="1" x14ac:dyDescent="0.3">
      <c r="A1057" s="99"/>
      <c r="B1057" s="99"/>
      <c r="C1057" s="169"/>
      <c r="D1057" s="170"/>
      <c r="E1057" s="44"/>
      <c r="F1057" s="39"/>
      <c r="G1057" s="39"/>
      <c r="H1057" s="171"/>
    </row>
    <row r="1058" spans="1:8" ht="15.75" hidden="1" x14ac:dyDescent="0.3">
      <c r="A1058" s="99"/>
      <c r="B1058" s="99"/>
      <c r="C1058" s="169"/>
      <c r="D1058" s="170"/>
      <c r="E1058" s="44"/>
      <c r="F1058" s="39"/>
      <c r="G1058" s="39"/>
      <c r="H1058" s="171"/>
    </row>
    <row r="1059" spans="1:8" ht="15.75" hidden="1" x14ac:dyDescent="0.3">
      <c r="A1059" s="99"/>
      <c r="B1059" s="99"/>
      <c r="C1059" s="169"/>
      <c r="D1059" s="170"/>
      <c r="E1059" s="44"/>
      <c r="F1059" s="39"/>
      <c r="G1059" s="39"/>
      <c r="H1059" s="171"/>
    </row>
    <row r="1060" spans="1:8" ht="15.75" hidden="1" x14ac:dyDescent="0.3">
      <c r="A1060" s="99"/>
      <c r="B1060" s="99"/>
      <c r="C1060" s="169"/>
      <c r="D1060" s="170"/>
      <c r="E1060" s="44"/>
      <c r="F1060" s="39"/>
      <c r="G1060" s="39"/>
      <c r="H1060" s="171"/>
    </row>
    <row r="1061" spans="1:8" ht="15.75" hidden="1" x14ac:dyDescent="0.3">
      <c r="A1061" s="99"/>
      <c r="B1061" s="99"/>
      <c r="C1061" s="169"/>
      <c r="D1061" s="170"/>
      <c r="E1061" s="44"/>
      <c r="F1061" s="39"/>
      <c r="G1061" s="39"/>
      <c r="H1061" s="171"/>
    </row>
    <row r="1062" spans="1:8" ht="15.75" hidden="1" x14ac:dyDescent="0.3">
      <c r="A1062" s="99"/>
      <c r="B1062" s="99"/>
      <c r="C1062" s="169"/>
      <c r="D1062" s="170"/>
      <c r="E1062" s="44"/>
      <c r="F1062" s="39"/>
      <c r="G1062" s="39"/>
      <c r="H1062" s="171"/>
    </row>
    <row r="1063" spans="1:8" ht="15.75" hidden="1" x14ac:dyDescent="0.3">
      <c r="A1063" s="99"/>
      <c r="B1063" s="99"/>
      <c r="C1063" s="169"/>
      <c r="D1063" s="170"/>
      <c r="E1063" s="44"/>
      <c r="F1063" s="39"/>
      <c r="G1063" s="39"/>
      <c r="H1063" s="171"/>
    </row>
    <row r="1064" spans="1:8" ht="15.75" hidden="1" x14ac:dyDescent="0.3">
      <c r="A1064" s="99"/>
      <c r="B1064" s="99"/>
      <c r="C1064" s="169"/>
      <c r="D1064" s="170"/>
      <c r="E1064" s="44"/>
      <c r="F1064" s="39"/>
      <c r="G1064" s="39"/>
      <c r="H1064" s="171"/>
    </row>
    <row r="1065" spans="1:8" ht="15.75" hidden="1" x14ac:dyDescent="0.3">
      <c r="A1065" s="99"/>
      <c r="B1065" s="99"/>
      <c r="C1065" s="169"/>
      <c r="D1065" s="170"/>
      <c r="E1065" s="44"/>
      <c r="F1065" s="39"/>
      <c r="G1065" s="39"/>
      <c r="H1065" s="171"/>
    </row>
    <row r="1066" spans="1:8" ht="15.75" hidden="1" x14ac:dyDescent="0.3">
      <c r="A1066" s="99"/>
      <c r="B1066" s="99"/>
      <c r="C1066" s="169"/>
      <c r="D1066" s="170"/>
      <c r="E1066" s="44"/>
      <c r="F1066" s="39"/>
      <c r="G1066" s="39"/>
      <c r="H1066" s="171"/>
    </row>
    <row r="1067" spans="1:8" ht="15.75" hidden="1" x14ac:dyDescent="0.3">
      <c r="A1067" s="99"/>
      <c r="B1067" s="99"/>
      <c r="C1067" s="169"/>
      <c r="D1067" s="170"/>
      <c r="E1067" s="44"/>
      <c r="F1067" s="39"/>
      <c r="G1067" s="39"/>
      <c r="H1067" s="171"/>
    </row>
    <row r="1068" spans="1:8" ht="15.75" hidden="1" x14ac:dyDescent="0.3">
      <c r="A1068" s="99"/>
      <c r="B1068" s="99"/>
      <c r="C1068" s="169"/>
      <c r="D1068" s="170"/>
      <c r="E1068" s="44"/>
      <c r="F1068" s="39"/>
      <c r="G1068" s="39"/>
      <c r="H1068" s="171"/>
    </row>
    <row r="1069" spans="1:8" ht="15.75" hidden="1" x14ac:dyDescent="0.3">
      <c r="A1069" s="99"/>
      <c r="B1069" s="99"/>
      <c r="C1069" s="169"/>
      <c r="D1069" s="170"/>
      <c r="E1069" s="44"/>
      <c r="F1069" s="39"/>
      <c r="G1069" s="39"/>
      <c r="H1069" s="171"/>
    </row>
    <row r="1070" spans="1:8" ht="15.75" hidden="1" x14ac:dyDescent="0.3">
      <c r="A1070" s="99"/>
      <c r="B1070" s="99"/>
      <c r="C1070" s="169"/>
      <c r="D1070" s="170"/>
      <c r="E1070" s="44"/>
      <c r="F1070" s="39"/>
      <c r="G1070" s="39"/>
      <c r="H1070" s="171"/>
    </row>
    <row r="1071" spans="1:8" ht="15.75" hidden="1" x14ac:dyDescent="0.3">
      <c r="A1071" s="99"/>
      <c r="B1071" s="99"/>
      <c r="C1071" s="169"/>
      <c r="D1071" s="170"/>
      <c r="E1071" s="44"/>
      <c r="F1071" s="39"/>
      <c r="G1071" s="39"/>
      <c r="H1071" s="171"/>
    </row>
    <row r="1072" spans="1:8" ht="15.75" hidden="1" x14ac:dyDescent="0.3">
      <c r="A1072" s="99"/>
      <c r="B1072" s="99"/>
      <c r="C1072" s="169"/>
      <c r="D1072" s="170"/>
      <c r="E1072" s="44"/>
      <c r="F1072" s="39"/>
      <c r="G1072" s="39"/>
      <c r="H1072" s="171"/>
    </row>
    <row r="1073" spans="1:8" ht="15.75" hidden="1" x14ac:dyDescent="0.3">
      <c r="A1073" s="99"/>
      <c r="B1073" s="99"/>
      <c r="C1073" s="169"/>
      <c r="D1073" s="170"/>
      <c r="E1073" s="44"/>
      <c r="F1073" s="39"/>
      <c r="G1073" s="39"/>
      <c r="H1073" s="171"/>
    </row>
    <row r="1074" spans="1:8" ht="15.75" hidden="1" x14ac:dyDescent="0.3">
      <c r="A1074" s="99"/>
      <c r="B1074" s="99"/>
      <c r="C1074" s="169"/>
      <c r="D1074" s="170"/>
      <c r="E1074" s="44"/>
      <c r="F1074" s="39"/>
      <c r="G1074" s="39"/>
      <c r="H1074" s="171"/>
    </row>
    <row r="1075" spans="1:8" ht="15.75" hidden="1" x14ac:dyDescent="0.3">
      <c r="A1075" s="99"/>
      <c r="B1075" s="99"/>
      <c r="C1075" s="169"/>
      <c r="D1075" s="170"/>
      <c r="E1075" s="44"/>
      <c r="F1075" s="39"/>
      <c r="G1075" s="39"/>
      <c r="H1075" s="171"/>
    </row>
    <row r="1076" spans="1:8" ht="15.75" hidden="1" x14ac:dyDescent="0.3">
      <c r="A1076" s="99"/>
      <c r="B1076" s="99"/>
      <c r="C1076" s="169"/>
      <c r="D1076" s="170"/>
      <c r="E1076" s="44"/>
      <c r="F1076" s="39"/>
      <c r="G1076" s="39"/>
      <c r="H1076" s="171"/>
    </row>
    <row r="1077" spans="1:8" ht="15.75" hidden="1" x14ac:dyDescent="0.3">
      <c r="A1077" s="99"/>
      <c r="B1077" s="99"/>
      <c r="C1077" s="169"/>
      <c r="D1077" s="170"/>
      <c r="E1077" s="44"/>
      <c r="F1077" s="39"/>
      <c r="G1077" s="39"/>
      <c r="H1077" s="171"/>
    </row>
    <row r="1078" spans="1:8" ht="15.75" hidden="1" x14ac:dyDescent="0.3">
      <c r="A1078" s="99"/>
      <c r="B1078" s="99"/>
      <c r="C1078" s="169"/>
      <c r="D1078" s="170"/>
      <c r="E1078" s="44"/>
      <c r="F1078" s="39"/>
      <c r="G1078" s="39"/>
      <c r="H1078" s="171"/>
    </row>
    <row r="1079" spans="1:8" ht="15.75" hidden="1" x14ac:dyDescent="0.3">
      <c r="A1079" s="99"/>
      <c r="B1079" s="99"/>
      <c r="C1079" s="169"/>
      <c r="D1079" s="170"/>
      <c r="E1079" s="44"/>
      <c r="F1079" s="39"/>
      <c r="G1079" s="39"/>
      <c r="H1079" s="171"/>
    </row>
    <row r="1080" spans="1:8" ht="15.75" hidden="1" x14ac:dyDescent="0.3">
      <c r="A1080" s="99"/>
      <c r="B1080" s="99"/>
      <c r="C1080" s="169"/>
      <c r="D1080" s="170"/>
      <c r="E1080" s="44"/>
      <c r="F1080" s="39"/>
      <c r="G1080" s="39"/>
      <c r="H1080" s="171"/>
    </row>
    <row r="1081" spans="1:8" ht="15.75" hidden="1" x14ac:dyDescent="0.3">
      <c r="A1081" s="99"/>
      <c r="B1081" s="99"/>
      <c r="C1081" s="169"/>
      <c r="D1081" s="170"/>
      <c r="E1081" s="44"/>
      <c r="F1081" s="39"/>
      <c r="G1081" s="39"/>
      <c r="H1081" s="171"/>
    </row>
    <row r="1082" spans="1:8" ht="15.75" hidden="1" x14ac:dyDescent="0.3">
      <c r="A1082" s="99"/>
      <c r="B1082" s="99"/>
      <c r="C1082" s="169"/>
      <c r="D1082" s="170"/>
      <c r="E1082" s="44"/>
      <c r="F1082" s="39"/>
      <c r="G1082" s="39"/>
      <c r="H1082" s="171"/>
    </row>
    <row r="1083" spans="1:8" ht="15.75" hidden="1" x14ac:dyDescent="0.3">
      <c r="A1083" s="99"/>
      <c r="B1083" s="99"/>
      <c r="C1083" s="169"/>
      <c r="D1083" s="170"/>
      <c r="E1083" s="44"/>
      <c r="F1083" s="39"/>
      <c r="G1083" s="39"/>
      <c r="H1083" s="171"/>
    </row>
    <row r="1084" spans="1:8" ht="15.75" hidden="1" x14ac:dyDescent="0.3">
      <c r="A1084" s="99"/>
      <c r="B1084" s="99"/>
      <c r="C1084" s="169"/>
      <c r="D1084" s="170"/>
      <c r="E1084" s="44"/>
      <c r="F1084" s="39"/>
      <c r="G1084" s="39"/>
      <c r="H1084" s="171"/>
    </row>
    <row r="1085" spans="1:8" ht="15.75" hidden="1" x14ac:dyDescent="0.3">
      <c r="A1085" s="99"/>
      <c r="B1085" s="99"/>
      <c r="C1085" s="169"/>
      <c r="D1085" s="170"/>
      <c r="E1085" s="44"/>
      <c r="F1085" s="39"/>
      <c r="G1085" s="39"/>
      <c r="H1085" s="171"/>
    </row>
    <row r="1086" spans="1:8" ht="15.75" hidden="1" x14ac:dyDescent="0.3">
      <c r="A1086" s="99"/>
      <c r="B1086" s="99"/>
      <c r="C1086" s="169"/>
      <c r="D1086" s="170"/>
      <c r="E1086" s="44"/>
      <c r="F1086" s="39"/>
      <c r="G1086" s="39"/>
      <c r="H1086" s="171"/>
    </row>
    <row r="1087" spans="1:8" ht="15.75" hidden="1" x14ac:dyDescent="0.3">
      <c r="A1087" s="99"/>
      <c r="B1087" s="99"/>
      <c r="C1087" s="169"/>
      <c r="D1087" s="170"/>
      <c r="E1087" s="44"/>
      <c r="F1087" s="39"/>
      <c r="G1087" s="39"/>
      <c r="H1087" s="171"/>
    </row>
    <row r="1088" spans="1:8" ht="15.75" hidden="1" x14ac:dyDescent="0.3">
      <c r="A1088" s="99"/>
      <c r="B1088" s="99"/>
      <c r="C1088" s="169"/>
      <c r="D1088" s="170"/>
      <c r="E1088" s="44"/>
      <c r="F1088" s="39"/>
      <c r="G1088" s="39"/>
      <c r="H1088" s="171"/>
    </row>
    <row r="1089" spans="1:8" ht="15.75" hidden="1" x14ac:dyDescent="0.3">
      <c r="A1089" s="99"/>
      <c r="B1089" s="99"/>
      <c r="C1089" s="169"/>
      <c r="D1089" s="170"/>
      <c r="E1089" s="44"/>
      <c r="F1089" s="39"/>
      <c r="G1089" s="39"/>
      <c r="H1089" s="171"/>
    </row>
    <row r="1090" spans="1:8" ht="15.75" hidden="1" x14ac:dyDescent="0.3">
      <c r="A1090" s="99"/>
      <c r="B1090" s="99"/>
      <c r="C1090" s="169"/>
      <c r="D1090" s="170"/>
      <c r="E1090" s="44"/>
      <c r="F1090" s="39"/>
      <c r="G1090" s="39"/>
      <c r="H1090" s="171"/>
    </row>
    <row r="1091" spans="1:8" ht="15.75" hidden="1" x14ac:dyDescent="0.3">
      <c r="A1091" s="99"/>
      <c r="B1091" s="99"/>
      <c r="C1091" s="169"/>
      <c r="D1091" s="170"/>
      <c r="E1091" s="44"/>
      <c r="F1091" s="39"/>
      <c r="G1091" s="39"/>
      <c r="H1091" s="171"/>
    </row>
    <row r="1092" spans="1:8" ht="15.75" hidden="1" x14ac:dyDescent="0.3">
      <c r="A1092" s="99"/>
      <c r="B1092" s="99"/>
      <c r="C1092" s="169"/>
      <c r="D1092" s="170"/>
      <c r="E1092" s="44"/>
      <c r="F1092" s="39"/>
      <c r="G1092" s="39"/>
      <c r="H1092" s="171"/>
    </row>
    <row r="1093" spans="1:8" ht="15.75" hidden="1" x14ac:dyDescent="0.3">
      <c r="A1093" s="99"/>
      <c r="B1093" s="99"/>
      <c r="C1093" s="169"/>
      <c r="D1093" s="170"/>
      <c r="E1093" s="44"/>
      <c r="F1093" s="39"/>
      <c r="G1093" s="39"/>
      <c r="H1093" s="171"/>
    </row>
    <row r="1094" spans="1:8" ht="15.75" hidden="1" x14ac:dyDescent="0.3">
      <c r="A1094" s="99"/>
      <c r="B1094" s="99"/>
      <c r="C1094" s="169"/>
      <c r="D1094" s="170"/>
      <c r="E1094" s="44"/>
      <c r="F1094" s="39"/>
      <c r="G1094" s="39"/>
      <c r="H1094" s="171"/>
    </row>
    <row r="1095" spans="1:8" ht="15.75" hidden="1" x14ac:dyDescent="0.3">
      <c r="A1095" s="99"/>
      <c r="B1095" s="99"/>
      <c r="C1095" s="169"/>
      <c r="D1095" s="170"/>
      <c r="E1095" s="44"/>
      <c r="F1095" s="39"/>
      <c r="G1095" s="39"/>
      <c r="H1095" s="171"/>
    </row>
    <row r="1096" spans="1:8" ht="15.75" hidden="1" x14ac:dyDescent="0.3">
      <c r="A1096" s="99"/>
      <c r="B1096" s="99"/>
      <c r="C1096" s="169"/>
      <c r="D1096" s="170"/>
      <c r="E1096" s="44"/>
      <c r="F1096" s="39"/>
      <c r="G1096" s="39"/>
      <c r="H1096" s="171"/>
    </row>
    <row r="1097" spans="1:8" ht="15.75" hidden="1" x14ac:dyDescent="0.3">
      <c r="A1097" s="99"/>
      <c r="B1097" s="99"/>
      <c r="C1097" s="169"/>
      <c r="D1097" s="170"/>
      <c r="E1097" s="44"/>
      <c r="F1097" s="39"/>
      <c r="G1097" s="39"/>
      <c r="H1097" s="171"/>
    </row>
    <row r="1098" spans="1:8" ht="15.75" hidden="1" x14ac:dyDescent="0.3">
      <c r="A1098" s="99"/>
      <c r="B1098" s="99"/>
      <c r="C1098" s="169"/>
      <c r="D1098" s="170"/>
      <c r="E1098" s="44"/>
      <c r="F1098" s="39"/>
      <c r="G1098" s="39"/>
      <c r="H1098" s="171"/>
    </row>
    <row r="1099" spans="1:8" ht="15.75" hidden="1" x14ac:dyDescent="0.3">
      <c r="A1099" s="99"/>
      <c r="B1099" s="99"/>
      <c r="C1099" s="169"/>
      <c r="D1099" s="170"/>
      <c r="E1099" s="44"/>
      <c r="F1099" s="39"/>
      <c r="G1099" s="39"/>
      <c r="H1099" s="171"/>
    </row>
    <row r="1100" spans="1:8" ht="15.75" hidden="1" x14ac:dyDescent="0.3">
      <c r="A1100" s="99"/>
      <c r="B1100" s="99"/>
      <c r="C1100" s="169"/>
      <c r="D1100" s="170"/>
      <c r="E1100" s="44"/>
      <c r="F1100" s="39"/>
      <c r="G1100" s="39"/>
      <c r="H1100" s="171"/>
    </row>
    <row r="1101" spans="1:8" ht="15.75" hidden="1" x14ac:dyDescent="0.3">
      <c r="A1101" s="99"/>
      <c r="B1101" s="99"/>
      <c r="C1101" s="169"/>
      <c r="D1101" s="170"/>
      <c r="E1101" s="44"/>
      <c r="F1101" s="39"/>
      <c r="G1101" s="39"/>
      <c r="H1101" s="171"/>
    </row>
    <row r="1102" spans="1:8" ht="15.75" hidden="1" x14ac:dyDescent="0.3">
      <c r="A1102" s="99"/>
      <c r="B1102" s="99"/>
      <c r="C1102" s="169"/>
      <c r="D1102" s="170"/>
      <c r="E1102" s="44"/>
      <c r="F1102" s="39"/>
      <c r="G1102" s="39"/>
      <c r="H1102" s="171"/>
    </row>
    <row r="1103" spans="1:8" ht="15.75" hidden="1" x14ac:dyDescent="0.3">
      <c r="A1103" s="99"/>
      <c r="B1103" s="99"/>
      <c r="C1103" s="169"/>
      <c r="D1103" s="170"/>
      <c r="E1103" s="44"/>
      <c r="F1103" s="39"/>
      <c r="G1103" s="39"/>
      <c r="H1103" s="171"/>
    </row>
    <row r="1104" spans="1:8" ht="15.75" hidden="1" x14ac:dyDescent="0.3">
      <c r="A1104" s="99"/>
      <c r="B1104" s="99"/>
      <c r="C1104" s="169"/>
      <c r="D1104" s="170"/>
      <c r="E1104" s="44"/>
      <c r="F1104" s="39"/>
      <c r="G1104" s="39"/>
      <c r="H1104" s="171"/>
    </row>
    <row r="1105" spans="1:8" ht="15.75" hidden="1" x14ac:dyDescent="0.3">
      <c r="A1105" s="99"/>
      <c r="B1105" s="99"/>
      <c r="C1105" s="169"/>
      <c r="D1105" s="170"/>
      <c r="E1105" s="44"/>
      <c r="F1105" s="39"/>
      <c r="G1105" s="39"/>
      <c r="H1105" s="171"/>
    </row>
    <row r="1106" spans="1:8" ht="15.75" hidden="1" x14ac:dyDescent="0.3">
      <c r="A1106" s="99"/>
      <c r="B1106" s="99"/>
      <c r="C1106" s="169"/>
      <c r="D1106" s="170"/>
      <c r="E1106" s="44"/>
      <c r="F1106" s="39"/>
      <c r="G1106" s="39"/>
      <c r="H1106" s="171"/>
    </row>
    <row r="1107" spans="1:8" ht="15.75" hidden="1" x14ac:dyDescent="0.3">
      <c r="A1107" s="99"/>
      <c r="B1107" s="99"/>
      <c r="C1107" s="169"/>
      <c r="D1107" s="170"/>
      <c r="E1107" s="44"/>
      <c r="F1107" s="39"/>
      <c r="G1107" s="39"/>
      <c r="H1107" s="171"/>
    </row>
    <row r="1108" spans="1:8" ht="15.75" hidden="1" x14ac:dyDescent="0.3">
      <c r="A1108" s="99"/>
      <c r="B1108" s="99"/>
      <c r="C1108" s="169"/>
      <c r="D1108" s="170"/>
      <c r="E1108" s="44"/>
      <c r="F1108" s="39"/>
      <c r="G1108" s="39"/>
      <c r="H1108" s="171"/>
    </row>
    <row r="1109" spans="1:8" ht="15.75" hidden="1" x14ac:dyDescent="0.3">
      <c r="A1109" s="99"/>
      <c r="B1109" s="99"/>
      <c r="C1109" s="169"/>
      <c r="D1109" s="170"/>
      <c r="E1109" s="44"/>
      <c r="F1109" s="39"/>
      <c r="G1109" s="39"/>
      <c r="H1109" s="171"/>
    </row>
    <row r="1110" spans="1:8" ht="15.75" hidden="1" x14ac:dyDescent="0.3">
      <c r="A1110" s="99"/>
      <c r="B1110" s="99"/>
      <c r="C1110" s="169"/>
      <c r="D1110" s="170"/>
      <c r="E1110" s="44"/>
      <c r="F1110" s="39"/>
      <c r="G1110" s="39"/>
      <c r="H1110" s="171"/>
    </row>
    <row r="1111" spans="1:8" ht="15.75" hidden="1" x14ac:dyDescent="0.3">
      <c r="A1111" s="99"/>
      <c r="B1111" s="99"/>
      <c r="C1111" s="169"/>
      <c r="D1111" s="170"/>
      <c r="E1111" s="44"/>
      <c r="F1111" s="39"/>
      <c r="G1111" s="39"/>
      <c r="H1111" s="171"/>
    </row>
    <row r="1112" spans="1:8" ht="15.75" hidden="1" x14ac:dyDescent="0.3">
      <c r="A1112" s="99"/>
      <c r="B1112" s="99"/>
      <c r="C1112" s="169"/>
      <c r="D1112" s="170"/>
      <c r="E1112" s="44"/>
      <c r="F1112" s="39"/>
      <c r="G1112" s="39"/>
      <c r="H1112" s="171"/>
    </row>
    <row r="1113" spans="1:8" ht="15.75" hidden="1" x14ac:dyDescent="0.3">
      <c r="A1113" s="99"/>
      <c r="B1113" s="99"/>
      <c r="C1113" s="169"/>
      <c r="D1113" s="170"/>
      <c r="E1113" s="44"/>
      <c r="F1113" s="39"/>
      <c r="G1113" s="39"/>
      <c r="H1113" s="171"/>
    </row>
    <row r="1114" spans="1:8" ht="15.75" hidden="1" x14ac:dyDescent="0.3">
      <c r="A1114" s="99"/>
      <c r="B1114" s="99"/>
      <c r="C1114" s="169"/>
      <c r="D1114" s="170"/>
      <c r="E1114" s="44"/>
      <c r="F1114" s="39"/>
      <c r="G1114" s="39"/>
      <c r="H1114" s="171"/>
    </row>
    <row r="1115" spans="1:8" ht="15.75" hidden="1" x14ac:dyDescent="0.3">
      <c r="A1115" s="99"/>
      <c r="B1115" s="99"/>
      <c r="C1115" s="169"/>
      <c r="D1115" s="170"/>
      <c r="E1115" s="44"/>
      <c r="F1115" s="39"/>
      <c r="G1115" s="39"/>
      <c r="H1115" s="171"/>
    </row>
    <row r="1116" spans="1:8" ht="15.75" hidden="1" x14ac:dyDescent="0.3">
      <c r="A1116" s="99"/>
      <c r="B1116" s="99"/>
      <c r="C1116" s="169"/>
      <c r="D1116" s="170"/>
      <c r="E1116" s="44"/>
      <c r="F1116" s="39"/>
      <c r="G1116" s="39"/>
      <c r="H1116" s="171"/>
    </row>
    <row r="1117" spans="1:8" ht="15.75" hidden="1" x14ac:dyDescent="0.3">
      <c r="A1117" s="99"/>
      <c r="B1117" s="99"/>
      <c r="C1117" s="169"/>
      <c r="D1117" s="170"/>
      <c r="E1117" s="44"/>
      <c r="F1117" s="39"/>
      <c r="G1117" s="39"/>
      <c r="H1117" s="171"/>
    </row>
    <row r="1118" spans="1:8" ht="15.75" hidden="1" x14ac:dyDescent="0.3">
      <c r="A1118" s="99"/>
      <c r="B1118" s="99"/>
      <c r="C1118" s="169"/>
      <c r="D1118" s="170"/>
      <c r="E1118" s="44"/>
      <c r="F1118" s="39"/>
      <c r="G1118" s="39"/>
      <c r="H1118" s="171"/>
    </row>
    <row r="1119" spans="1:8" ht="15.75" hidden="1" x14ac:dyDescent="0.3">
      <c r="A1119" s="99"/>
      <c r="B1119" s="99"/>
      <c r="C1119" s="169"/>
      <c r="D1119" s="170"/>
      <c r="E1119" s="44"/>
      <c r="F1119" s="39"/>
      <c r="G1119" s="39"/>
      <c r="H1119" s="171"/>
    </row>
    <row r="1120" spans="1:8" ht="15.75" hidden="1" x14ac:dyDescent="0.3">
      <c r="A1120" s="99"/>
      <c r="B1120" s="99"/>
      <c r="C1120" s="169"/>
      <c r="D1120" s="170"/>
      <c r="E1120" s="44"/>
      <c r="F1120" s="39"/>
      <c r="G1120" s="39"/>
      <c r="H1120" s="171"/>
    </row>
    <row r="1121" spans="1:8" ht="15.75" hidden="1" x14ac:dyDescent="0.3">
      <c r="A1121" s="99"/>
      <c r="B1121" s="99"/>
      <c r="C1121" s="169"/>
      <c r="D1121" s="170"/>
      <c r="E1121" s="44"/>
      <c r="F1121" s="39"/>
      <c r="G1121" s="39"/>
      <c r="H1121" s="171"/>
    </row>
    <row r="1122" spans="1:8" ht="15.75" hidden="1" x14ac:dyDescent="0.3">
      <c r="A1122" s="99"/>
      <c r="B1122" s="99"/>
      <c r="C1122" s="169"/>
      <c r="D1122" s="170"/>
      <c r="E1122" s="44"/>
      <c r="F1122" s="39"/>
      <c r="G1122" s="39"/>
      <c r="H1122" s="171"/>
    </row>
    <row r="1123" spans="1:8" ht="15.75" hidden="1" x14ac:dyDescent="0.3">
      <c r="A1123" s="99"/>
      <c r="B1123" s="99"/>
      <c r="C1123" s="169"/>
      <c r="D1123" s="170"/>
      <c r="E1123" s="44"/>
      <c r="F1123" s="39"/>
      <c r="G1123" s="39"/>
      <c r="H1123" s="171"/>
    </row>
    <row r="1124" spans="1:8" ht="15.75" hidden="1" x14ac:dyDescent="0.3">
      <c r="A1124" s="99"/>
      <c r="B1124" s="99"/>
      <c r="C1124" s="169"/>
      <c r="D1124" s="170"/>
      <c r="E1124" s="44"/>
      <c r="F1124" s="39"/>
      <c r="G1124" s="39"/>
      <c r="H1124" s="171"/>
    </row>
    <row r="1125" spans="1:8" ht="15.75" hidden="1" x14ac:dyDescent="0.3">
      <c r="A1125" s="99"/>
      <c r="B1125" s="99"/>
      <c r="C1125" s="169"/>
      <c r="D1125" s="170"/>
      <c r="E1125" s="44"/>
      <c r="F1125" s="39"/>
      <c r="G1125" s="39"/>
      <c r="H1125" s="171"/>
    </row>
    <row r="1126" spans="1:8" ht="15.75" hidden="1" x14ac:dyDescent="0.3">
      <c r="A1126" s="99"/>
      <c r="B1126" s="99"/>
      <c r="C1126" s="169"/>
      <c r="D1126" s="170"/>
      <c r="E1126" s="44"/>
      <c r="F1126" s="39"/>
      <c r="G1126" s="39"/>
      <c r="H1126" s="171"/>
    </row>
    <row r="1127" spans="1:8" ht="15.75" hidden="1" x14ac:dyDescent="0.3">
      <c r="A1127" s="99"/>
      <c r="B1127" s="99"/>
      <c r="C1127" s="169"/>
      <c r="D1127" s="170"/>
      <c r="E1127" s="44"/>
      <c r="F1127" s="39"/>
      <c r="G1127" s="39"/>
      <c r="H1127" s="171"/>
    </row>
    <row r="1128" spans="1:8" ht="15.75" hidden="1" x14ac:dyDescent="0.3">
      <c r="A1128" s="99"/>
      <c r="B1128" s="99"/>
      <c r="C1128" s="169"/>
      <c r="D1128" s="170"/>
      <c r="E1128" s="44"/>
      <c r="F1128" s="39"/>
      <c r="G1128" s="39"/>
      <c r="H1128" s="171"/>
    </row>
    <row r="1129" spans="1:8" ht="15.75" hidden="1" x14ac:dyDescent="0.3">
      <c r="A1129" s="99"/>
      <c r="B1129" s="99"/>
      <c r="C1129" s="169"/>
      <c r="D1129" s="170"/>
      <c r="E1129" s="44"/>
      <c r="F1129" s="39"/>
      <c r="G1129" s="39"/>
      <c r="H1129" s="171"/>
    </row>
    <row r="1130" spans="1:8" ht="15.75" hidden="1" x14ac:dyDescent="0.3">
      <c r="A1130" s="99"/>
      <c r="B1130" s="99"/>
      <c r="C1130" s="169"/>
      <c r="D1130" s="170"/>
      <c r="E1130" s="44"/>
      <c r="F1130" s="39"/>
      <c r="G1130" s="39"/>
      <c r="H1130" s="171"/>
    </row>
    <row r="1131" spans="1:8" ht="15.75" hidden="1" x14ac:dyDescent="0.3">
      <c r="A1131" s="99"/>
      <c r="B1131" s="99"/>
      <c r="C1131" s="169"/>
      <c r="D1131" s="170"/>
      <c r="E1131" s="44"/>
      <c r="F1131" s="39"/>
      <c r="G1131" s="39"/>
      <c r="H1131" s="171"/>
    </row>
    <row r="1132" spans="1:8" ht="15.75" hidden="1" x14ac:dyDescent="0.3">
      <c r="A1132" s="99"/>
      <c r="B1132" s="99"/>
      <c r="C1132" s="169"/>
      <c r="D1132" s="170"/>
      <c r="E1132" s="44"/>
      <c r="F1132" s="39"/>
      <c r="G1132" s="39"/>
      <c r="H1132" s="171"/>
    </row>
    <row r="1133" spans="1:8" ht="15.75" hidden="1" x14ac:dyDescent="0.3">
      <c r="A1133" s="99"/>
      <c r="B1133" s="99"/>
      <c r="C1133" s="169"/>
      <c r="D1133" s="170"/>
      <c r="E1133" s="44"/>
      <c r="F1133" s="39"/>
      <c r="G1133" s="39"/>
      <c r="H1133" s="171"/>
    </row>
    <row r="1134" spans="1:8" ht="15.75" hidden="1" x14ac:dyDescent="0.3">
      <c r="A1134" s="99"/>
      <c r="B1134" s="99"/>
      <c r="C1134" s="169"/>
      <c r="D1134" s="170"/>
      <c r="E1134" s="44"/>
      <c r="F1134" s="39"/>
      <c r="G1134" s="39"/>
      <c r="H1134" s="171"/>
    </row>
    <row r="1135" spans="1:8" ht="15.75" hidden="1" x14ac:dyDescent="0.3">
      <c r="A1135" s="99"/>
      <c r="B1135" s="99"/>
      <c r="C1135" s="169"/>
      <c r="D1135" s="170"/>
      <c r="E1135" s="44"/>
      <c r="F1135" s="39"/>
      <c r="G1135" s="39"/>
      <c r="H1135" s="171"/>
    </row>
    <row r="1136" spans="1:8" ht="15.75" hidden="1" x14ac:dyDescent="0.3">
      <c r="A1136" s="99"/>
      <c r="B1136" s="99"/>
      <c r="C1136" s="169"/>
      <c r="D1136" s="170"/>
      <c r="E1136" s="44"/>
      <c r="F1136" s="39"/>
      <c r="G1136" s="39"/>
      <c r="H1136" s="171"/>
    </row>
    <row r="1137" spans="1:8" ht="15.75" hidden="1" x14ac:dyDescent="0.3">
      <c r="A1137" s="99"/>
      <c r="B1137" s="99"/>
      <c r="C1137" s="169"/>
      <c r="D1137" s="170"/>
      <c r="E1137" s="44"/>
      <c r="F1137" s="39"/>
      <c r="G1137" s="39"/>
      <c r="H1137" s="171"/>
    </row>
    <row r="1138" spans="1:8" ht="15.75" hidden="1" x14ac:dyDescent="0.3">
      <c r="A1138" s="99"/>
      <c r="B1138" s="99"/>
      <c r="C1138" s="169"/>
      <c r="D1138" s="170"/>
      <c r="E1138" s="44"/>
      <c r="F1138" s="39"/>
      <c r="G1138" s="39"/>
      <c r="H1138" s="171"/>
    </row>
    <row r="1139" spans="1:8" ht="15.75" hidden="1" x14ac:dyDescent="0.3">
      <c r="A1139" s="99"/>
      <c r="B1139" s="99"/>
      <c r="C1139" s="169"/>
      <c r="D1139" s="170"/>
      <c r="E1139" s="44"/>
      <c r="F1139" s="39"/>
      <c r="G1139" s="39"/>
      <c r="H1139" s="171"/>
    </row>
    <row r="1140" spans="1:8" ht="15.75" hidden="1" x14ac:dyDescent="0.3">
      <c r="A1140" s="99"/>
      <c r="B1140" s="99"/>
      <c r="C1140" s="169"/>
      <c r="D1140" s="170"/>
      <c r="E1140" s="44"/>
      <c r="F1140" s="39"/>
      <c r="G1140" s="39"/>
      <c r="H1140" s="171"/>
    </row>
    <row r="1141" spans="1:8" ht="15.75" hidden="1" x14ac:dyDescent="0.3">
      <c r="A1141" s="99"/>
      <c r="B1141" s="99"/>
      <c r="C1141" s="169"/>
      <c r="D1141" s="170"/>
      <c r="E1141" s="44"/>
      <c r="F1141" s="39"/>
      <c r="G1141" s="39"/>
      <c r="H1141" s="171"/>
    </row>
    <row r="1142" spans="1:8" ht="15.75" hidden="1" x14ac:dyDescent="0.3">
      <c r="A1142" s="99"/>
      <c r="B1142" s="99"/>
      <c r="C1142" s="169"/>
      <c r="D1142" s="170"/>
      <c r="E1142" s="44"/>
      <c r="F1142" s="39"/>
      <c r="G1142" s="39"/>
      <c r="H1142" s="171"/>
    </row>
    <row r="1143" spans="1:8" ht="15.75" hidden="1" x14ac:dyDescent="0.3">
      <c r="A1143" s="99"/>
      <c r="B1143" s="99"/>
      <c r="C1143" s="169"/>
      <c r="D1143" s="170"/>
      <c r="E1143" s="44"/>
      <c r="F1143" s="39"/>
      <c r="G1143" s="39"/>
      <c r="H1143" s="171"/>
    </row>
    <row r="1144" spans="1:8" ht="15.75" hidden="1" x14ac:dyDescent="0.3">
      <c r="A1144" s="99"/>
      <c r="B1144" s="99"/>
      <c r="C1144" s="169"/>
      <c r="D1144" s="170"/>
      <c r="E1144" s="44"/>
      <c r="F1144" s="39"/>
      <c r="G1144" s="39"/>
      <c r="H1144" s="171"/>
    </row>
    <row r="1145" spans="1:8" ht="15.75" hidden="1" x14ac:dyDescent="0.3">
      <c r="A1145" s="99"/>
      <c r="B1145" s="99"/>
      <c r="C1145" s="169"/>
      <c r="D1145" s="170"/>
      <c r="E1145" s="44"/>
      <c r="F1145" s="39"/>
      <c r="G1145" s="39"/>
      <c r="H1145" s="171"/>
    </row>
    <row r="1146" spans="1:8" ht="15.75" hidden="1" x14ac:dyDescent="0.3">
      <c r="A1146" s="99"/>
      <c r="B1146" s="99"/>
      <c r="C1146" s="169"/>
      <c r="D1146" s="170"/>
      <c r="E1146" s="44"/>
      <c r="F1146" s="39"/>
      <c r="G1146" s="39"/>
      <c r="H1146" s="171"/>
    </row>
    <row r="1147" spans="1:8" ht="15.75" hidden="1" x14ac:dyDescent="0.3">
      <c r="A1147" s="99"/>
      <c r="B1147" s="99"/>
      <c r="C1147" s="169"/>
      <c r="D1147" s="170"/>
      <c r="E1147" s="44"/>
      <c r="F1147" s="39"/>
      <c r="G1147" s="39"/>
      <c r="H1147" s="171"/>
    </row>
    <row r="1148" spans="1:8" ht="15.75" hidden="1" x14ac:dyDescent="0.3">
      <c r="A1148" s="99"/>
      <c r="B1148" s="99"/>
      <c r="C1148" s="169"/>
      <c r="D1148" s="170"/>
      <c r="E1148" s="44"/>
      <c r="F1148" s="39"/>
      <c r="G1148" s="39"/>
      <c r="H1148" s="171"/>
    </row>
    <row r="1149" spans="1:8" ht="15.75" hidden="1" x14ac:dyDescent="0.3">
      <c r="A1149" s="99"/>
      <c r="B1149" s="99"/>
      <c r="C1149" s="169"/>
      <c r="D1149" s="170"/>
      <c r="E1149" s="44"/>
      <c r="F1149" s="39"/>
      <c r="G1149" s="39"/>
      <c r="H1149" s="171"/>
    </row>
    <row r="1150" spans="1:8" ht="15.75" hidden="1" x14ac:dyDescent="0.3">
      <c r="A1150" s="99"/>
      <c r="B1150" s="99"/>
      <c r="C1150" s="169"/>
      <c r="D1150" s="170"/>
      <c r="E1150" s="44"/>
      <c r="F1150" s="39"/>
      <c r="G1150" s="39"/>
      <c r="H1150" s="171"/>
    </row>
    <row r="1151" spans="1:8" ht="15.75" hidden="1" x14ac:dyDescent="0.3">
      <c r="A1151" s="99"/>
      <c r="B1151" s="99"/>
      <c r="C1151" s="169"/>
      <c r="D1151" s="170"/>
      <c r="E1151" s="44"/>
      <c r="F1151" s="39"/>
      <c r="G1151" s="39"/>
      <c r="H1151" s="171"/>
    </row>
    <row r="1152" spans="1:8" ht="15.75" hidden="1" x14ac:dyDescent="0.3">
      <c r="A1152" s="99"/>
      <c r="B1152" s="99"/>
      <c r="C1152" s="169"/>
      <c r="D1152" s="170"/>
      <c r="E1152" s="44"/>
      <c r="F1152" s="39"/>
      <c r="G1152" s="39"/>
      <c r="H1152" s="171"/>
    </row>
    <row r="1153" spans="1:8" ht="15.75" hidden="1" x14ac:dyDescent="0.3">
      <c r="A1153" s="99"/>
      <c r="B1153" s="99"/>
      <c r="C1153" s="169"/>
      <c r="D1153" s="170"/>
      <c r="E1153" s="44"/>
      <c r="F1153" s="39"/>
      <c r="G1153" s="39"/>
      <c r="H1153" s="171"/>
    </row>
    <row r="1154" spans="1:8" ht="15.75" hidden="1" x14ac:dyDescent="0.3">
      <c r="A1154" s="99"/>
      <c r="B1154" s="99"/>
      <c r="C1154" s="169"/>
      <c r="D1154" s="170"/>
      <c r="E1154" s="44"/>
      <c r="F1154" s="39"/>
      <c r="G1154" s="39"/>
      <c r="H1154" s="171"/>
    </row>
    <row r="1155" spans="1:8" ht="15.75" hidden="1" x14ac:dyDescent="0.3">
      <c r="A1155" s="99"/>
      <c r="B1155" s="99"/>
      <c r="C1155" s="169"/>
      <c r="D1155" s="170"/>
      <c r="E1155" s="44"/>
      <c r="F1155" s="39"/>
      <c r="G1155" s="39"/>
      <c r="H1155" s="171"/>
    </row>
    <row r="1156" spans="1:8" ht="15.75" hidden="1" x14ac:dyDescent="0.3">
      <c r="A1156" s="99"/>
      <c r="B1156" s="99"/>
      <c r="C1156" s="169"/>
      <c r="D1156" s="170"/>
      <c r="E1156" s="44"/>
      <c r="F1156" s="39"/>
      <c r="G1156" s="39"/>
      <c r="H1156" s="171"/>
    </row>
    <row r="1157" spans="1:8" ht="15.75" hidden="1" x14ac:dyDescent="0.3">
      <c r="A1157" s="99"/>
      <c r="B1157" s="99"/>
      <c r="C1157" s="169"/>
      <c r="D1157" s="170"/>
      <c r="E1157" s="44"/>
      <c r="F1157" s="39"/>
      <c r="G1157" s="39"/>
      <c r="H1157" s="171"/>
    </row>
    <row r="1158" spans="1:8" ht="15.75" hidden="1" x14ac:dyDescent="0.3">
      <c r="A1158" s="99"/>
      <c r="B1158" s="99"/>
      <c r="C1158" s="169"/>
      <c r="D1158" s="170"/>
      <c r="E1158" s="44"/>
      <c r="F1158" s="39"/>
      <c r="G1158" s="39"/>
      <c r="H1158" s="171"/>
    </row>
    <row r="1159" spans="1:8" ht="15.75" hidden="1" x14ac:dyDescent="0.3">
      <c r="A1159" s="99"/>
      <c r="B1159" s="99"/>
      <c r="C1159" s="169"/>
      <c r="D1159" s="170"/>
      <c r="E1159" s="44"/>
      <c r="F1159" s="39"/>
      <c r="G1159" s="39"/>
      <c r="H1159" s="171"/>
    </row>
    <row r="1160" spans="1:8" ht="15.75" hidden="1" x14ac:dyDescent="0.3">
      <c r="A1160" s="99"/>
      <c r="B1160" s="99"/>
      <c r="C1160" s="169"/>
      <c r="D1160" s="170"/>
      <c r="E1160" s="44"/>
      <c r="F1160" s="39"/>
      <c r="G1160" s="39"/>
      <c r="H1160" s="171"/>
    </row>
    <row r="1161" spans="1:8" ht="15.75" hidden="1" x14ac:dyDescent="0.3">
      <c r="A1161" s="99"/>
      <c r="B1161" s="99"/>
      <c r="C1161" s="169"/>
      <c r="D1161" s="170"/>
      <c r="E1161" s="44"/>
      <c r="F1161" s="39"/>
      <c r="G1161" s="39"/>
      <c r="H1161" s="171"/>
    </row>
    <row r="1162" spans="1:8" ht="15.75" hidden="1" x14ac:dyDescent="0.3">
      <c r="A1162" s="99"/>
      <c r="B1162" s="99"/>
      <c r="C1162" s="169"/>
      <c r="D1162" s="170"/>
      <c r="E1162" s="44"/>
      <c r="F1162" s="39"/>
      <c r="G1162" s="39"/>
      <c r="H1162" s="171"/>
    </row>
    <row r="1163" spans="1:8" ht="15.75" hidden="1" x14ac:dyDescent="0.3">
      <c r="A1163" s="99"/>
      <c r="B1163" s="99"/>
      <c r="C1163" s="169"/>
      <c r="D1163" s="170"/>
      <c r="E1163" s="44"/>
      <c r="F1163" s="39"/>
      <c r="G1163" s="39"/>
      <c r="H1163" s="171"/>
    </row>
    <row r="1164" spans="1:8" ht="15.75" hidden="1" x14ac:dyDescent="0.3">
      <c r="A1164" s="99"/>
      <c r="B1164" s="99"/>
      <c r="C1164" s="169"/>
      <c r="D1164" s="170"/>
      <c r="E1164" s="44"/>
      <c r="F1164" s="39"/>
      <c r="G1164" s="39"/>
      <c r="H1164" s="171"/>
    </row>
    <row r="1165" spans="1:8" ht="15.75" hidden="1" x14ac:dyDescent="0.3">
      <c r="A1165" s="99"/>
      <c r="B1165" s="99"/>
      <c r="C1165" s="169"/>
      <c r="D1165" s="170"/>
      <c r="E1165" s="44"/>
      <c r="F1165" s="39"/>
      <c r="G1165" s="39"/>
      <c r="H1165" s="171"/>
    </row>
    <row r="1166" spans="1:8" ht="15.75" hidden="1" x14ac:dyDescent="0.3">
      <c r="A1166" s="99"/>
      <c r="B1166" s="99"/>
      <c r="C1166" s="169"/>
      <c r="D1166" s="170"/>
      <c r="E1166" s="44"/>
      <c r="F1166" s="39"/>
      <c r="G1166" s="39"/>
      <c r="H1166" s="171"/>
    </row>
    <row r="1167" spans="1:8" ht="15.75" hidden="1" x14ac:dyDescent="0.3">
      <c r="A1167" s="99"/>
      <c r="B1167" s="99"/>
      <c r="C1167" s="169"/>
      <c r="D1167" s="170"/>
      <c r="E1167" s="44"/>
      <c r="F1167" s="39"/>
      <c r="G1167" s="39"/>
      <c r="H1167" s="171"/>
    </row>
    <row r="1168" spans="1:8" ht="15.75" hidden="1" x14ac:dyDescent="0.3">
      <c r="A1168" s="99"/>
      <c r="B1168" s="99"/>
      <c r="C1168" s="169"/>
      <c r="D1168" s="170"/>
      <c r="E1168" s="44"/>
      <c r="F1168" s="39"/>
      <c r="G1168" s="39"/>
      <c r="H1168" s="171"/>
    </row>
    <row r="1169" spans="1:8" ht="15.75" hidden="1" x14ac:dyDescent="0.3">
      <c r="A1169" s="99"/>
      <c r="B1169" s="99"/>
      <c r="C1169" s="169"/>
      <c r="D1169" s="170"/>
      <c r="E1169" s="44"/>
      <c r="F1169" s="39"/>
      <c r="G1169" s="39"/>
      <c r="H1169" s="171"/>
    </row>
    <row r="1170" spans="1:8" ht="15.75" hidden="1" x14ac:dyDescent="0.3">
      <c r="A1170" s="99"/>
      <c r="B1170" s="99"/>
      <c r="C1170" s="169"/>
      <c r="D1170" s="170"/>
      <c r="E1170" s="44"/>
      <c r="F1170" s="39"/>
      <c r="G1170" s="39"/>
      <c r="H1170" s="171"/>
    </row>
    <row r="1171" spans="1:8" ht="15.75" hidden="1" x14ac:dyDescent="0.3">
      <c r="A1171" s="99"/>
      <c r="B1171" s="99"/>
      <c r="C1171" s="169"/>
      <c r="D1171" s="170"/>
      <c r="E1171" s="44"/>
      <c r="F1171" s="39"/>
      <c r="G1171" s="39"/>
      <c r="H1171" s="171"/>
    </row>
    <row r="1172" spans="1:8" ht="15.75" hidden="1" x14ac:dyDescent="0.3">
      <c r="A1172" s="99"/>
      <c r="B1172" s="99"/>
      <c r="C1172" s="169"/>
      <c r="D1172" s="170"/>
      <c r="E1172" s="44"/>
      <c r="F1172" s="39"/>
      <c r="G1172" s="39"/>
      <c r="H1172" s="171"/>
    </row>
    <row r="1173" spans="1:8" ht="15.75" hidden="1" x14ac:dyDescent="0.3">
      <c r="A1173" s="99"/>
      <c r="B1173" s="99"/>
      <c r="C1173" s="169"/>
      <c r="D1173" s="170"/>
      <c r="E1173" s="44"/>
      <c r="F1173" s="39"/>
      <c r="G1173" s="39"/>
      <c r="H1173" s="171"/>
    </row>
    <row r="1174" spans="1:8" ht="15.75" hidden="1" x14ac:dyDescent="0.3">
      <c r="A1174" s="99"/>
      <c r="B1174" s="99"/>
      <c r="C1174" s="169"/>
      <c r="D1174" s="170"/>
      <c r="E1174" s="44"/>
      <c r="F1174" s="39"/>
      <c r="G1174" s="39"/>
      <c r="H1174" s="171"/>
    </row>
    <row r="1175" spans="1:8" ht="15.75" hidden="1" x14ac:dyDescent="0.3">
      <c r="A1175" s="99"/>
      <c r="B1175" s="99"/>
      <c r="C1175" s="169"/>
      <c r="D1175" s="170"/>
      <c r="E1175" s="44"/>
      <c r="F1175" s="39"/>
      <c r="G1175" s="39"/>
      <c r="H1175" s="171"/>
    </row>
    <row r="1176" spans="1:8" ht="15.75" hidden="1" x14ac:dyDescent="0.3">
      <c r="A1176" s="99"/>
      <c r="B1176" s="99"/>
      <c r="C1176" s="169"/>
      <c r="D1176" s="170"/>
      <c r="E1176" s="44"/>
      <c r="F1176" s="39"/>
      <c r="G1176" s="39"/>
      <c r="H1176" s="171"/>
    </row>
    <row r="1177" spans="1:8" ht="15.75" hidden="1" x14ac:dyDescent="0.3">
      <c r="A1177" s="99"/>
      <c r="B1177" s="99"/>
      <c r="C1177" s="169"/>
      <c r="D1177" s="170"/>
      <c r="E1177" s="44"/>
      <c r="F1177" s="39"/>
      <c r="G1177" s="39"/>
      <c r="H1177" s="171"/>
    </row>
    <row r="1178" spans="1:8" ht="15.75" hidden="1" x14ac:dyDescent="0.3">
      <c r="A1178" s="99"/>
      <c r="B1178" s="99"/>
      <c r="C1178" s="169"/>
      <c r="D1178" s="170"/>
      <c r="E1178" s="44"/>
      <c r="F1178" s="39"/>
      <c r="G1178" s="39"/>
      <c r="H1178" s="171"/>
    </row>
    <row r="1179" spans="1:8" ht="15.75" hidden="1" x14ac:dyDescent="0.3">
      <c r="A1179" s="99"/>
      <c r="B1179" s="99"/>
      <c r="C1179" s="169"/>
      <c r="D1179" s="170"/>
      <c r="E1179" s="44"/>
      <c r="F1179" s="39"/>
      <c r="G1179" s="39"/>
      <c r="H1179" s="171"/>
    </row>
    <row r="1180" spans="1:8" ht="15.75" hidden="1" x14ac:dyDescent="0.3">
      <c r="A1180" s="99"/>
      <c r="B1180" s="99"/>
      <c r="C1180" s="169"/>
      <c r="D1180" s="170"/>
      <c r="E1180" s="44"/>
      <c r="F1180" s="39"/>
      <c r="G1180" s="39"/>
      <c r="H1180" s="171"/>
    </row>
    <row r="1181" spans="1:8" ht="15.75" hidden="1" x14ac:dyDescent="0.3">
      <c r="A1181" s="99"/>
      <c r="B1181" s="99"/>
      <c r="C1181" s="169"/>
      <c r="D1181" s="170"/>
      <c r="E1181" s="44"/>
      <c r="F1181" s="39"/>
      <c r="G1181" s="39"/>
      <c r="H1181" s="171"/>
    </row>
    <row r="1182" spans="1:8" ht="15.75" hidden="1" x14ac:dyDescent="0.3">
      <c r="A1182" s="99"/>
      <c r="B1182" s="99"/>
      <c r="C1182" s="169"/>
      <c r="D1182" s="170"/>
      <c r="E1182" s="44"/>
      <c r="F1182" s="39"/>
      <c r="G1182" s="39"/>
      <c r="H1182" s="171"/>
    </row>
    <row r="1183" spans="1:8" ht="15.75" hidden="1" x14ac:dyDescent="0.3">
      <c r="A1183" s="99"/>
      <c r="B1183" s="99"/>
      <c r="C1183" s="169"/>
      <c r="D1183" s="170"/>
      <c r="E1183" s="44"/>
      <c r="F1183" s="39"/>
      <c r="G1183" s="39"/>
      <c r="H1183" s="171"/>
    </row>
    <row r="1184" spans="1:8" ht="15.75" hidden="1" x14ac:dyDescent="0.3">
      <c r="A1184" s="99"/>
      <c r="B1184" s="99"/>
      <c r="C1184" s="169"/>
      <c r="D1184" s="170"/>
      <c r="E1184" s="44"/>
      <c r="F1184" s="39"/>
      <c r="G1184" s="39"/>
      <c r="H1184" s="171"/>
    </row>
    <row r="1185" spans="1:8" ht="15.75" hidden="1" x14ac:dyDescent="0.3">
      <c r="A1185" s="99"/>
      <c r="B1185" s="99"/>
      <c r="C1185" s="169"/>
      <c r="D1185" s="170"/>
      <c r="E1185" s="44"/>
      <c r="F1185" s="39"/>
      <c r="G1185" s="39"/>
      <c r="H1185" s="171"/>
    </row>
    <row r="1186" spans="1:8" ht="15.75" hidden="1" x14ac:dyDescent="0.3">
      <c r="A1186" s="99"/>
      <c r="B1186" s="99"/>
      <c r="C1186" s="169"/>
      <c r="D1186" s="170"/>
      <c r="E1186" s="44"/>
      <c r="F1186" s="39"/>
      <c r="G1186" s="39"/>
      <c r="H1186" s="171"/>
    </row>
    <row r="1187" spans="1:8" ht="15.75" hidden="1" x14ac:dyDescent="0.3">
      <c r="A1187" s="99"/>
      <c r="B1187" s="99"/>
      <c r="C1187" s="169"/>
      <c r="D1187" s="170"/>
      <c r="E1187" s="44"/>
      <c r="F1187" s="39"/>
      <c r="G1187" s="39"/>
      <c r="H1187" s="171"/>
    </row>
    <row r="1188" spans="1:8" ht="15.75" hidden="1" x14ac:dyDescent="0.3">
      <c r="A1188" s="99"/>
      <c r="B1188" s="99"/>
      <c r="C1188" s="169"/>
      <c r="D1188" s="170"/>
      <c r="E1188" s="44"/>
      <c r="F1188" s="39"/>
      <c r="G1188" s="39"/>
      <c r="H1188" s="171"/>
    </row>
    <row r="1189" spans="1:8" ht="15.75" hidden="1" x14ac:dyDescent="0.3">
      <c r="A1189" s="99"/>
      <c r="B1189" s="99"/>
      <c r="C1189" s="169"/>
      <c r="D1189" s="170"/>
      <c r="E1189" s="44"/>
      <c r="F1189" s="39"/>
      <c r="G1189" s="39"/>
      <c r="H1189" s="171"/>
    </row>
    <row r="1190" spans="1:8" ht="15.75" hidden="1" x14ac:dyDescent="0.3">
      <c r="A1190" s="99"/>
      <c r="B1190" s="99"/>
      <c r="C1190" s="169"/>
      <c r="D1190" s="170"/>
      <c r="E1190" s="44"/>
      <c r="F1190" s="39"/>
      <c r="G1190" s="39"/>
      <c r="H1190" s="171"/>
    </row>
    <row r="1191" spans="1:8" ht="15.75" hidden="1" x14ac:dyDescent="0.3">
      <c r="A1191" s="99"/>
      <c r="B1191" s="99"/>
      <c r="C1191" s="169"/>
      <c r="D1191" s="170"/>
      <c r="E1191" s="44"/>
      <c r="F1191" s="39"/>
      <c r="G1191" s="39"/>
      <c r="H1191" s="171"/>
    </row>
    <row r="1192" spans="1:8" ht="15.75" hidden="1" x14ac:dyDescent="0.3">
      <c r="A1192" s="99"/>
      <c r="B1192" s="99"/>
      <c r="C1192" s="169"/>
      <c r="D1192" s="170"/>
      <c r="E1192" s="44"/>
      <c r="F1192" s="39"/>
      <c r="G1192" s="39"/>
      <c r="H1192" s="171"/>
    </row>
    <row r="1193" spans="1:8" ht="15.75" hidden="1" x14ac:dyDescent="0.3">
      <c r="A1193" s="99"/>
      <c r="B1193" s="99"/>
      <c r="C1193" s="169"/>
      <c r="D1193" s="170"/>
      <c r="E1193" s="44"/>
      <c r="F1193" s="39"/>
      <c r="G1193" s="39"/>
      <c r="H1193" s="171"/>
    </row>
    <row r="1194" spans="1:8" ht="15.75" hidden="1" x14ac:dyDescent="0.3">
      <c r="A1194" s="99"/>
      <c r="B1194" s="99"/>
      <c r="C1194" s="169"/>
      <c r="D1194" s="170"/>
      <c r="E1194" s="44"/>
      <c r="F1194" s="39"/>
      <c r="G1194" s="39"/>
      <c r="H1194" s="171"/>
    </row>
    <row r="1195" spans="1:8" ht="15.75" hidden="1" x14ac:dyDescent="0.3">
      <c r="A1195" s="99"/>
      <c r="B1195" s="99"/>
      <c r="C1195" s="169"/>
      <c r="D1195" s="170"/>
      <c r="E1195" s="44"/>
      <c r="F1195" s="39"/>
      <c r="G1195" s="39"/>
      <c r="H1195" s="171"/>
    </row>
    <row r="1196" spans="1:8" ht="15.75" hidden="1" x14ac:dyDescent="0.3">
      <c r="A1196" s="99"/>
      <c r="B1196" s="99"/>
      <c r="C1196" s="169"/>
      <c r="D1196" s="170"/>
      <c r="E1196" s="44"/>
      <c r="F1196" s="39"/>
      <c r="G1196" s="39"/>
      <c r="H1196" s="171"/>
    </row>
    <row r="1197" spans="1:8" ht="15.75" hidden="1" x14ac:dyDescent="0.3">
      <c r="A1197" s="99"/>
      <c r="B1197" s="99"/>
      <c r="C1197" s="169"/>
      <c r="D1197" s="170"/>
      <c r="E1197" s="44"/>
      <c r="F1197" s="39"/>
      <c r="G1197" s="39"/>
      <c r="H1197" s="171"/>
    </row>
    <row r="1198" spans="1:8" ht="15.75" hidden="1" x14ac:dyDescent="0.3">
      <c r="A1198" s="99"/>
      <c r="B1198" s="99"/>
      <c r="C1198" s="169"/>
      <c r="D1198" s="170"/>
      <c r="E1198" s="44"/>
      <c r="F1198" s="39"/>
      <c r="G1198" s="39"/>
      <c r="H1198" s="171"/>
    </row>
    <row r="1199" spans="1:8" ht="15.75" hidden="1" x14ac:dyDescent="0.3">
      <c r="A1199" s="99"/>
      <c r="B1199" s="99"/>
      <c r="C1199" s="169"/>
      <c r="D1199" s="170"/>
      <c r="E1199" s="44"/>
      <c r="F1199" s="39"/>
      <c r="G1199" s="39"/>
      <c r="H1199" s="171"/>
    </row>
    <row r="1200" spans="1:8" ht="15.75" hidden="1" x14ac:dyDescent="0.3">
      <c r="A1200" s="99"/>
      <c r="B1200" s="99"/>
      <c r="C1200" s="169"/>
      <c r="D1200" s="170"/>
      <c r="E1200" s="44"/>
      <c r="F1200" s="39"/>
      <c r="G1200" s="39"/>
      <c r="H1200" s="171"/>
    </row>
    <row r="1201" spans="1:8" ht="15.75" hidden="1" x14ac:dyDescent="0.3">
      <c r="A1201" s="99"/>
      <c r="B1201" s="99"/>
      <c r="C1201" s="169"/>
      <c r="D1201" s="170"/>
      <c r="E1201" s="44"/>
      <c r="F1201" s="39"/>
      <c r="G1201" s="39"/>
      <c r="H1201" s="171"/>
    </row>
    <row r="1202" spans="1:8" ht="15.75" hidden="1" x14ac:dyDescent="0.3">
      <c r="A1202" s="99"/>
      <c r="B1202" s="99"/>
      <c r="C1202" s="169"/>
      <c r="D1202" s="170"/>
      <c r="E1202" s="44"/>
      <c r="F1202" s="39"/>
      <c r="G1202" s="39"/>
      <c r="H1202" s="171"/>
    </row>
    <row r="1203" spans="1:8" ht="15.75" hidden="1" x14ac:dyDescent="0.3">
      <c r="A1203" s="99"/>
      <c r="B1203" s="99"/>
      <c r="C1203" s="169"/>
      <c r="D1203" s="170"/>
      <c r="E1203" s="44"/>
      <c r="F1203" s="39"/>
      <c r="G1203" s="39"/>
      <c r="H1203" s="171"/>
    </row>
    <row r="1204" spans="1:8" ht="15.75" hidden="1" x14ac:dyDescent="0.3">
      <c r="A1204" s="99"/>
      <c r="B1204" s="99"/>
      <c r="C1204" s="169"/>
      <c r="D1204" s="170"/>
      <c r="E1204" s="44"/>
      <c r="F1204" s="39"/>
      <c r="G1204" s="39"/>
      <c r="H1204" s="171"/>
    </row>
    <row r="1205" spans="1:8" ht="15.75" hidden="1" x14ac:dyDescent="0.3">
      <c r="A1205" s="99"/>
      <c r="B1205" s="99"/>
      <c r="C1205" s="169"/>
      <c r="D1205" s="170"/>
      <c r="E1205" s="44"/>
      <c r="F1205" s="39"/>
      <c r="G1205" s="39"/>
      <c r="H1205" s="171"/>
    </row>
    <row r="1206" spans="1:8" ht="15.75" hidden="1" x14ac:dyDescent="0.3">
      <c r="A1206" s="99"/>
      <c r="B1206" s="99"/>
      <c r="C1206" s="169"/>
      <c r="D1206" s="170"/>
      <c r="E1206" s="44"/>
      <c r="F1206" s="39"/>
      <c r="G1206" s="39"/>
      <c r="H1206" s="171"/>
    </row>
    <row r="1207" spans="1:8" ht="15.75" hidden="1" x14ac:dyDescent="0.3">
      <c r="A1207" s="99"/>
      <c r="B1207" s="99"/>
      <c r="C1207" s="169"/>
      <c r="D1207" s="170"/>
      <c r="E1207" s="44"/>
      <c r="F1207" s="39"/>
      <c r="G1207" s="39"/>
      <c r="H1207" s="171"/>
    </row>
    <row r="1208" spans="1:8" ht="15.75" hidden="1" x14ac:dyDescent="0.3">
      <c r="A1208" s="99"/>
      <c r="B1208" s="99"/>
      <c r="C1208" s="169"/>
      <c r="D1208" s="170"/>
      <c r="E1208" s="44"/>
      <c r="F1208" s="39"/>
      <c r="G1208" s="39"/>
      <c r="H1208" s="171"/>
    </row>
    <row r="1209" spans="1:8" ht="15.75" hidden="1" x14ac:dyDescent="0.3">
      <c r="A1209" s="99"/>
      <c r="B1209" s="99"/>
      <c r="C1209" s="169"/>
      <c r="D1209" s="170"/>
      <c r="E1209" s="44"/>
      <c r="F1209" s="39"/>
      <c r="G1209" s="39"/>
      <c r="H1209" s="171"/>
    </row>
    <row r="1210" spans="1:8" ht="15.75" hidden="1" x14ac:dyDescent="0.3">
      <c r="A1210" s="99"/>
      <c r="B1210" s="99"/>
      <c r="C1210" s="169"/>
      <c r="D1210" s="170"/>
      <c r="E1210" s="44"/>
      <c r="F1210" s="39"/>
      <c r="G1210" s="39"/>
      <c r="H1210" s="171"/>
    </row>
    <row r="1211" spans="1:8" ht="15.75" hidden="1" x14ac:dyDescent="0.3">
      <c r="A1211" s="99"/>
      <c r="B1211" s="99"/>
      <c r="C1211" s="169"/>
      <c r="D1211" s="170"/>
      <c r="E1211" s="44"/>
      <c r="F1211" s="39"/>
      <c r="G1211" s="39"/>
      <c r="H1211" s="171"/>
    </row>
    <row r="1212" spans="1:8" ht="15.75" hidden="1" x14ac:dyDescent="0.3">
      <c r="A1212" s="99"/>
      <c r="B1212" s="99"/>
      <c r="C1212" s="169"/>
      <c r="D1212" s="170"/>
      <c r="E1212" s="44"/>
      <c r="F1212" s="39"/>
      <c r="G1212" s="39"/>
      <c r="H1212" s="171"/>
    </row>
    <row r="1213" spans="1:8" ht="15.75" hidden="1" x14ac:dyDescent="0.3">
      <c r="A1213" s="99"/>
      <c r="B1213" s="99"/>
      <c r="C1213" s="169"/>
      <c r="D1213" s="170"/>
      <c r="E1213" s="44"/>
      <c r="F1213" s="39"/>
      <c r="G1213" s="39"/>
      <c r="H1213" s="171"/>
    </row>
    <row r="1214" spans="1:8" ht="15.75" hidden="1" x14ac:dyDescent="0.3">
      <c r="A1214" s="99"/>
      <c r="B1214" s="99"/>
      <c r="C1214" s="169"/>
      <c r="D1214" s="170"/>
      <c r="E1214" s="44"/>
      <c r="F1214" s="39"/>
      <c r="G1214" s="39"/>
      <c r="H1214" s="171"/>
    </row>
    <row r="1215" spans="1:8" ht="15.75" hidden="1" x14ac:dyDescent="0.3">
      <c r="A1215" s="99"/>
      <c r="B1215" s="99"/>
      <c r="C1215" s="169"/>
      <c r="D1215" s="170"/>
      <c r="E1215" s="44"/>
      <c r="F1215" s="39"/>
      <c r="G1215" s="39"/>
      <c r="H1215" s="171"/>
    </row>
    <row r="1216" spans="1:8" ht="15.75" hidden="1" x14ac:dyDescent="0.3">
      <c r="A1216" s="99"/>
      <c r="B1216" s="99"/>
      <c r="C1216" s="169"/>
      <c r="D1216" s="170"/>
      <c r="E1216" s="44"/>
      <c r="F1216" s="39"/>
      <c r="G1216" s="39"/>
      <c r="H1216" s="171"/>
    </row>
    <row r="1217" spans="1:8" ht="15.75" hidden="1" x14ac:dyDescent="0.3">
      <c r="A1217" s="99"/>
      <c r="B1217" s="99"/>
      <c r="C1217" s="169"/>
      <c r="D1217" s="170"/>
      <c r="E1217" s="44"/>
      <c r="F1217" s="39"/>
      <c r="G1217" s="39"/>
      <c r="H1217" s="171"/>
    </row>
    <row r="1218" spans="1:8" ht="15.75" hidden="1" x14ac:dyDescent="0.3">
      <c r="A1218" s="99"/>
      <c r="B1218" s="99"/>
      <c r="C1218" s="169"/>
      <c r="D1218" s="170"/>
      <c r="E1218" s="44"/>
      <c r="F1218" s="39"/>
      <c r="G1218" s="39"/>
      <c r="H1218" s="171"/>
    </row>
    <row r="1219" spans="1:8" ht="15.75" hidden="1" x14ac:dyDescent="0.3">
      <c r="A1219" s="99"/>
      <c r="B1219" s="99"/>
      <c r="C1219" s="169"/>
      <c r="D1219" s="170"/>
      <c r="E1219" s="44"/>
      <c r="F1219" s="39"/>
      <c r="G1219" s="39"/>
      <c r="H1219" s="171"/>
    </row>
    <row r="1220" spans="1:8" ht="15.75" hidden="1" x14ac:dyDescent="0.3">
      <c r="A1220" s="99"/>
      <c r="B1220" s="99"/>
      <c r="C1220" s="169"/>
      <c r="D1220" s="170"/>
      <c r="E1220" s="44"/>
      <c r="F1220" s="39"/>
      <c r="G1220" s="39"/>
      <c r="H1220" s="171"/>
    </row>
    <row r="1221" spans="1:8" ht="15.75" hidden="1" x14ac:dyDescent="0.3">
      <c r="A1221" s="99"/>
      <c r="B1221" s="99"/>
      <c r="C1221" s="169"/>
      <c r="D1221" s="170"/>
      <c r="E1221" s="44"/>
      <c r="F1221" s="39"/>
      <c r="G1221" s="39"/>
      <c r="H1221" s="171"/>
    </row>
    <row r="1222" spans="1:8" ht="15.75" hidden="1" x14ac:dyDescent="0.3">
      <c r="A1222" s="99"/>
      <c r="B1222" s="99"/>
      <c r="C1222" s="169"/>
      <c r="D1222" s="170"/>
      <c r="E1222" s="44"/>
      <c r="F1222" s="39"/>
      <c r="G1222" s="39"/>
      <c r="H1222" s="171"/>
    </row>
    <row r="1223" spans="1:8" ht="15.75" hidden="1" x14ac:dyDescent="0.3">
      <c r="A1223" s="99"/>
      <c r="B1223" s="99"/>
      <c r="C1223" s="169"/>
      <c r="D1223" s="170"/>
      <c r="E1223" s="44"/>
      <c r="F1223" s="39"/>
      <c r="G1223" s="39"/>
      <c r="H1223" s="171"/>
    </row>
    <row r="1224" spans="1:8" ht="15.75" hidden="1" x14ac:dyDescent="0.3">
      <c r="A1224" s="99"/>
      <c r="B1224" s="99"/>
      <c r="C1224" s="169"/>
      <c r="D1224" s="170"/>
      <c r="E1224" s="44"/>
      <c r="F1224" s="39"/>
      <c r="G1224" s="39"/>
      <c r="H1224" s="171"/>
    </row>
    <row r="1225" spans="1:8" ht="15.75" hidden="1" x14ac:dyDescent="0.3">
      <c r="A1225" s="99"/>
      <c r="B1225" s="99"/>
      <c r="C1225" s="169"/>
      <c r="D1225" s="170"/>
      <c r="E1225" s="44"/>
      <c r="F1225" s="39"/>
      <c r="G1225" s="39"/>
      <c r="H1225" s="171"/>
    </row>
    <row r="1226" spans="1:8" ht="15.75" hidden="1" x14ac:dyDescent="0.3">
      <c r="A1226" s="99"/>
      <c r="B1226" s="99"/>
      <c r="C1226" s="169"/>
      <c r="D1226" s="170"/>
      <c r="E1226" s="44"/>
      <c r="F1226" s="39"/>
      <c r="G1226" s="39"/>
      <c r="H1226" s="171"/>
    </row>
    <row r="1227" spans="1:8" ht="15.75" hidden="1" x14ac:dyDescent="0.3">
      <c r="A1227" s="99"/>
      <c r="B1227" s="99"/>
      <c r="C1227" s="169"/>
      <c r="D1227" s="170"/>
      <c r="E1227" s="44"/>
      <c r="F1227" s="39"/>
      <c r="G1227" s="39"/>
      <c r="H1227" s="171"/>
    </row>
    <row r="1228" spans="1:8" ht="15.75" hidden="1" x14ac:dyDescent="0.3">
      <c r="A1228" s="99"/>
      <c r="B1228" s="99"/>
      <c r="C1228" s="169"/>
      <c r="D1228" s="170"/>
      <c r="E1228" s="44"/>
      <c r="F1228" s="39"/>
      <c r="G1228" s="39"/>
      <c r="H1228" s="171"/>
    </row>
    <row r="1229" spans="1:8" ht="15.75" hidden="1" x14ac:dyDescent="0.3">
      <c r="A1229" s="99"/>
      <c r="B1229" s="99"/>
      <c r="C1229" s="169"/>
      <c r="D1229" s="170"/>
      <c r="E1229" s="44"/>
      <c r="F1229" s="39"/>
      <c r="G1229" s="39"/>
      <c r="H1229" s="171"/>
    </row>
    <row r="1230" spans="1:8" ht="15.75" hidden="1" x14ac:dyDescent="0.3">
      <c r="A1230" s="99"/>
      <c r="B1230" s="99"/>
      <c r="C1230" s="169"/>
      <c r="D1230" s="170"/>
      <c r="E1230" s="44"/>
      <c r="F1230" s="39"/>
      <c r="G1230" s="39"/>
      <c r="H1230" s="171"/>
    </row>
    <row r="1231" spans="1:8" ht="15.75" hidden="1" x14ac:dyDescent="0.3">
      <c r="A1231" s="99"/>
      <c r="B1231" s="99"/>
      <c r="C1231" s="169"/>
      <c r="D1231" s="170"/>
      <c r="E1231" s="44"/>
      <c r="F1231" s="39"/>
      <c r="G1231" s="39"/>
      <c r="H1231" s="171"/>
    </row>
    <row r="1232" spans="1:8" ht="15.75" hidden="1" x14ac:dyDescent="0.3">
      <c r="A1232" s="99"/>
      <c r="B1232" s="99"/>
      <c r="C1232" s="169"/>
      <c r="D1232" s="170"/>
      <c r="E1232" s="44"/>
      <c r="F1232" s="39"/>
      <c r="G1232" s="39"/>
      <c r="H1232" s="171"/>
    </row>
    <row r="1233" spans="1:8" ht="15.75" hidden="1" x14ac:dyDescent="0.3">
      <c r="A1233" s="99"/>
      <c r="B1233" s="99"/>
      <c r="C1233" s="169"/>
      <c r="D1233" s="170"/>
      <c r="E1233" s="44"/>
      <c r="F1233" s="39"/>
      <c r="G1233" s="39"/>
      <c r="H1233" s="171"/>
    </row>
    <row r="1234" spans="1:8" ht="15.75" hidden="1" x14ac:dyDescent="0.3">
      <c r="A1234" s="99"/>
      <c r="B1234" s="99"/>
      <c r="C1234" s="169"/>
      <c r="D1234" s="170"/>
      <c r="E1234" s="44"/>
      <c r="F1234" s="39"/>
      <c r="G1234" s="39"/>
      <c r="H1234" s="171"/>
    </row>
    <row r="1235" spans="1:8" ht="15.75" hidden="1" x14ac:dyDescent="0.3">
      <c r="A1235" s="99"/>
      <c r="B1235" s="99"/>
      <c r="C1235" s="169"/>
      <c r="D1235" s="170"/>
      <c r="E1235" s="44"/>
      <c r="F1235" s="39"/>
      <c r="G1235" s="39"/>
      <c r="H1235" s="171"/>
    </row>
    <row r="1236" spans="1:8" ht="15.75" hidden="1" x14ac:dyDescent="0.3">
      <c r="A1236" s="99"/>
      <c r="B1236" s="99"/>
      <c r="C1236" s="169"/>
      <c r="D1236" s="170"/>
      <c r="E1236" s="44"/>
      <c r="F1236" s="39"/>
      <c r="G1236" s="39"/>
      <c r="H1236" s="171"/>
    </row>
    <row r="1237" spans="1:8" ht="15.75" hidden="1" x14ac:dyDescent="0.3">
      <c r="A1237" s="99"/>
      <c r="B1237" s="99"/>
      <c r="C1237" s="169"/>
      <c r="D1237" s="170"/>
      <c r="E1237" s="44"/>
      <c r="F1237" s="39"/>
      <c r="G1237" s="39"/>
      <c r="H1237" s="171"/>
    </row>
    <row r="1238" spans="1:8" ht="15.75" hidden="1" x14ac:dyDescent="0.3">
      <c r="A1238" s="99"/>
      <c r="B1238" s="99"/>
      <c r="C1238" s="169"/>
      <c r="D1238" s="170"/>
      <c r="E1238" s="44"/>
      <c r="F1238" s="39"/>
      <c r="G1238" s="39"/>
      <c r="H1238" s="171"/>
    </row>
    <row r="1239" spans="1:8" ht="15.75" hidden="1" x14ac:dyDescent="0.3">
      <c r="A1239" s="99"/>
      <c r="B1239" s="99"/>
      <c r="C1239" s="169"/>
      <c r="D1239" s="170"/>
      <c r="E1239" s="44"/>
      <c r="F1239" s="39"/>
      <c r="G1239" s="39"/>
      <c r="H1239" s="171"/>
    </row>
    <row r="1240" spans="1:8" ht="15.75" hidden="1" x14ac:dyDescent="0.3">
      <c r="A1240" s="99"/>
      <c r="B1240" s="99"/>
      <c r="C1240" s="169"/>
      <c r="D1240" s="170"/>
      <c r="E1240" s="44"/>
      <c r="F1240" s="39"/>
      <c r="G1240" s="39"/>
      <c r="H1240" s="171"/>
    </row>
    <row r="1241" spans="1:8" ht="15.75" hidden="1" x14ac:dyDescent="0.3">
      <c r="A1241" s="99"/>
      <c r="B1241" s="99"/>
      <c r="C1241" s="169"/>
      <c r="D1241" s="170"/>
      <c r="E1241" s="44"/>
      <c r="F1241" s="39"/>
      <c r="G1241" s="39"/>
      <c r="H1241" s="171"/>
    </row>
    <row r="1242" spans="1:8" ht="15.75" hidden="1" x14ac:dyDescent="0.3">
      <c r="A1242" s="99"/>
      <c r="B1242" s="99"/>
      <c r="C1242" s="169"/>
      <c r="D1242" s="170"/>
      <c r="E1242" s="44"/>
      <c r="F1242" s="39"/>
      <c r="G1242" s="39"/>
      <c r="H1242" s="171"/>
    </row>
    <row r="1243" spans="1:8" ht="15.75" hidden="1" x14ac:dyDescent="0.3">
      <c r="A1243" s="99"/>
      <c r="B1243" s="99"/>
      <c r="C1243" s="169"/>
      <c r="D1243" s="170"/>
      <c r="E1243" s="44"/>
      <c r="F1243" s="39"/>
      <c r="G1243" s="39"/>
      <c r="H1243" s="171"/>
    </row>
    <row r="1244" spans="1:8" ht="15.75" hidden="1" x14ac:dyDescent="0.3">
      <c r="A1244" s="99"/>
      <c r="B1244" s="99"/>
      <c r="C1244" s="169"/>
      <c r="D1244" s="170"/>
      <c r="E1244" s="44"/>
      <c r="F1244" s="39"/>
      <c r="G1244" s="39"/>
      <c r="H1244" s="171"/>
    </row>
    <row r="1245" spans="1:8" ht="15.75" hidden="1" x14ac:dyDescent="0.3">
      <c r="A1245" s="99"/>
      <c r="B1245" s="99"/>
      <c r="C1245" s="169"/>
      <c r="D1245" s="170"/>
      <c r="E1245" s="44"/>
      <c r="F1245" s="39"/>
      <c r="G1245" s="39"/>
      <c r="H1245" s="171"/>
    </row>
    <row r="1246" spans="1:8" ht="15.75" hidden="1" x14ac:dyDescent="0.3">
      <c r="A1246" s="99"/>
      <c r="B1246" s="99"/>
      <c r="C1246" s="169"/>
      <c r="D1246" s="170"/>
      <c r="E1246" s="44"/>
      <c r="F1246" s="39"/>
      <c r="G1246" s="39"/>
      <c r="H1246" s="171"/>
    </row>
    <row r="1247" spans="1:8" ht="15.75" hidden="1" x14ac:dyDescent="0.3">
      <c r="A1247" s="99"/>
      <c r="B1247" s="99"/>
      <c r="C1247" s="169"/>
      <c r="D1247" s="170"/>
      <c r="E1247" s="44"/>
      <c r="F1247" s="39"/>
      <c r="G1247" s="39"/>
      <c r="H1247" s="171"/>
    </row>
    <row r="1248" spans="1:8" ht="15.75" hidden="1" x14ac:dyDescent="0.3">
      <c r="A1248" s="99"/>
      <c r="B1248" s="99"/>
      <c r="C1248" s="169"/>
      <c r="D1248" s="170"/>
      <c r="E1248" s="44"/>
      <c r="F1248" s="39"/>
      <c r="G1248" s="39"/>
      <c r="H1248" s="171"/>
    </row>
    <row r="1249" spans="1:8" ht="15.75" hidden="1" x14ac:dyDescent="0.3">
      <c r="A1249" s="99"/>
      <c r="B1249" s="99"/>
      <c r="C1249" s="169"/>
      <c r="D1249" s="170"/>
      <c r="E1249" s="44"/>
      <c r="F1249" s="39"/>
      <c r="G1249" s="39"/>
      <c r="H1249" s="171"/>
    </row>
    <row r="1250" spans="1:8" ht="15.75" hidden="1" x14ac:dyDescent="0.3">
      <c r="A1250" s="99"/>
      <c r="B1250" s="99"/>
      <c r="C1250" s="169"/>
      <c r="D1250" s="170"/>
      <c r="E1250" s="44"/>
      <c r="F1250" s="39"/>
      <c r="G1250" s="39"/>
      <c r="H1250" s="171"/>
    </row>
    <row r="1251" spans="1:8" ht="15.75" hidden="1" x14ac:dyDescent="0.3">
      <c r="A1251" s="99"/>
      <c r="B1251" s="99"/>
      <c r="C1251" s="169"/>
      <c r="D1251" s="170"/>
      <c r="E1251" s="44"/>
      <c r="F1251" s="39"/>
      <c r="G1251" s="39"/>
      <c r="H1251" s="171"/>
    </row>
    <row r="1252" spans="1:8" ht="15.75" hidden="1" x14ac:dyDescent="0.3">
      <c r="A1252" s="99"/>
      <c r="B1252" s="99"/>
      <c r="C1252" s="169"/>
      <c r="D1252" s="170"/>
      <c r="E1252" s="44"/>
      <c r="F1252" s="39"/>
      <c r="G1252" s="39"/>
      <c r="H1252" s="171"/>
    </row>
    <row r="1253" spans="1:8" ht="15.75" hidden="1" x14ac:dyDescent="0.3">
      <c r="A1253" s="99"/>
      <c r="B1253" s="99"/>
      <c r="C1253" s="169"/>
      <c r="D1253" s="170"/>
      <c r="E1253" s="44"/>
      <c r="F1253" s="39"/>
      <c r="G1253" s="39"/>
      <c r="H1253" s="171"/>
    </row>
    <row r="1254" spans="1:8" ht="15.75" hidden="1" x14ac:dyDescent="0.3">
      <c r="A1254" s="99"/>
      <c r="B1254" s="99"/>
      <c r="C1254" s="169"/>
      <c r="D1254" s="170"/>
      <c r="E1254" s="44"/>
      <c r="F1254" s="39"/>
      <c r="G1254" s="39"/>
      <c r="H1254" s="171"/>
    </row>
    <row r="1255" spans="1:8" ht="15.75" hidden="1" x14ac:dyDescent="0.3">
      <c r="A1255" s="99"/>
      <c r="B1255" s="99"/>
      <c r="C1255" s="169"/>
      <c r="D1255" s="170"/>
      <c r="E1255" s="44"/>
      <c r="F1255" s="39"/>
      <c r="G1255" s="39"/>
      <c r="H1255" s="171"/>
    </row>
    <row r="1256" spans="1:8" ht="15.75" hidden="1" x14ac:dyDescent="0.3">
      <c r="A1256" s="99"/>
      <c r="B1256" s="99"/>
      <c r="C1256" s="169"/>
      <c r="D1256" s="170"/>
      <c r="E1256" s="44"/>
      <c r="F1256" s="39"/>
      <c r="G1256" s="39"/>
      <c r="H1256" s="171"/>
    </row>
    <row r="1257" spans="1:8" ht="15.75" hidden="1" x14ac:dyDescent="0.3">
      <c r="A1257" s="99"/>
      <c r="B1257" s="99"/>
      <c r="C1257" s="169"/>
      <c r="D1257" s="170"/>
      <c r="E1257" s="44"/>
      <c r="F1257" s="39"/>
      <c r="G1257" s="39"/>
      <c r="H1257" s="171"/>
    </row>
    <row r="1258" spans="1:8" ht="15.75" hidden="1" x14ac:dyDescent="0.3">
      <c r="A1258" s="99"/>
      <c r="B1258" s="99"/>
      <c r="C1258" s="169"/>
      <c r="D1258" s="170"/>
      <c r="E1258" s="44"/>
      <c r="F1258" s="39"/>
      <c r="G1258" s="39"/>
      <c r="H1258" s="171"/>
    </row>
    <row r="1259" spans="1:8" ht="15.75" hidden="1" x14ac:dyDescent="0.3">
      <c r="A1259" s="99"/>
      <c r="B1259" s="99"/>
      <c r="C1259" s="169"/>
      <c r="D1259" s="170"/>
      <c r="E1259" s="44"/>
      <c r="F1259" s="39"/>
      <c r="G1259" s="39"/>
      <c r="H1259" s="171"/>
    </row>
    <row r="1260" spans="1:8" ht="15.75" hidden="1" x14ac:dyDescent="0.3">
      <c r="A1260" s="99"/>
      <c r="B1260" s="99"/>
      <c r="C1260" s="169"/>
      <c r="D1260" s="170"/>
      <c r="E1260" s="44"/>
      <c r="F1260" s="39"/>
      <c r="G1260" s="39"/>
      <c r="H1260" s="171"/>
    </row>
    <row r="1261" spans="1:8" ht="15.75" hidden="1" x14ac:dyDescent="0.3">
      <c r="A1261" s="99"/>
      <c r="B1261" s="99"/>
      <c r="C1261" s="169"/>
      <c r="D1261" s="170"/>
      <c r="E1261" s="44"/>
      <c r="F1261" s="39"/>
      <c r="G1261" s="39"/>
      <c r="H1261" s="171"/>
    </row>
    <row r="1262" spans="1:8" ht="15.75" hidden="1" x14ac:dyDescent="0.3">
      <c r="A1262" s="99"/>
      <c r="B1262" s="99"/>
      <c r="C1262" s="169"/>
      <c r="D1262" s="170"/>
      <c r="E1262" s="44"/>
      <c r="F1262" s="39"/>
      <c r="G1262" s="39"/>
      <c r="H1262" s="171"/>
    </row>
    <row r="1263" spans="1:8" ht="15.75" hidden="1" x14ac:dyDescent="0.3">
      <c r="A1263" s="99"/>
      <c r="B1263" s="99"/>
      <c r="C1263" s="169"/>
      <c r="D1263" s="170"/>
      <c r="E1263" s="44"/>
      <c r="F1263" s="39"/>
      <c r="G1263" s="39"/>
      <c r="H1263" s="171"/>
    </row>
    <row r="1264" spans="1:8" ht="15.75" hidden="1" x14ac:dyDescent="0.3">
      <c r="A1264" s="99"/>
      <c r="B1264" s="99"/>
      <c r="C1264" s="169"/>
      <c r="D1264" s="170"/>
      <c r="E1264" s="44"/>
      <c r="F1264" s="39"/>
      <c r="G1264" s="39"/>
      <c r="H1264" s="171"/>
    </row>
    <row r="1265" spans="1:8" ht="15.75" hidden="1" x14ac:dyDescent="0.3">
      <c r="A1265" s="99"/>
      <c r="B1265" s="99"/>
      <c r="C1265" s="169"/>
      <c r="D1265" s="170"/>
      <c r="E1265" s="44"/>
      <c r="F1265" s="39"/>
      <c r="G1265" s="39"/>
      <c r="H1265" s="171"/>
    </row>
    <row r="1266" spans="1:8" ht="15.75" hidden="1" x14ac:dyDescent="0.3">
      <c r="A1266" s="99"/>
      <c r="B1266" s="99"/>
      <c r="C1266" s="169"/>
      <c r="D1266" s="170"/>
      <c r="E1266" s="44"/>
      <c r="F1266" s="39"/>
      <c r="G1266" s="39"/>
      <c r="H1266" s="171"/>
    </row>
    <row r="1267" spans="1:8" ht="15.75" hidden="1" x14ac:dyDescent="0.3">
      <c r="A1267" s="99"/>
      <c r="B1267" s="99"/>
      <c r="C1267" s="169"/>
      <c r="D1267" s="170"/>
      <c r="E1267" s="44"/>
      <c r="F1267" s="39"/>
      <c r="G1267" s="39"/>
      <c r="H1267" s="171"/>
    </row>
    <row r="1268" spans="1:8" ht="15.75" hidden="1" x14ac:dyDescent="0.3">
      <c r="A1268" s="99"/>
      <c r="B1268" s="99"/>
      <c r="C1268" s="169"/>
      <c r="D1268" s="170"/>
      <c r="E1268" s="44"/>
      <c r="F1268" s="39"/>
      <c r="G1268" s="39"/>
      <c r="H1268" s="171"/>
    </row>
    <row r="1269" spans="1:8" ht="15.75" hidden="1" x14ac:dyDescent="0.3">
      <c r="A1269" s="99"/>
      <c r="B1269" s="99"/>
      <c r="C1269" s="169"/>
      <c r="D1269" s="170"/>
      <c r="E1269" s="44"/>
      <c r="F1269" s="39"/>
      <c r="G1269" s="39"/>
      <c r="H1269" s="171"/>
    </row>
    <row r="1270" spans="1:8" ht="15.75" hidden="1" x14ac:dyDescent="0.3">
      <c r="A1270" s="99"/>
      <c r="B1270" s="99"/>
      <c r="C1270" s="169"/>
      <c r="D1270" s="170"/>
      <c r="E1270" s="44"/>
      <c r="F1270" s="39"/>
      <c r="G1270" s="39"/>
      <c r="H1270" s="171"/>
    </row>
    <row r="1271" spans="1:8" ht="15.75" hidden="1" x14ac:dyDescent="0.3">
      <c r="A1271" s="99"/>
      <c r="B1271" s="99"/>
      <c r="C1271" s="169"/>
      <c r="D1271" s="170"/>
      <c r="E1271" s="44"/>
      <c r="F1271" s="39"/>
      <c r="G1271" s="39"/>
      <c r="H1271" s="171"/>
    </row>
    <row r="1272" spans="1:8" ht="15.75" hidden="1" x14ac:dyDescent="0.3">
      <c r="A1272" s="99"/>
      <c r="B1272" s="99"/>
      <c r="C1272" s="169"/>
      <c r="D1272" s="170"/>
      <c r="E1272" s="44"/>
      <c r="F1272" s="39"/>
      <c r="G1272" s="39"/>
      <c r="H1272" s="171"/>
    </row>
    <row r="1273" spans="1:8" ht="15.75" hidden="1" x14ac:dyDescent="0.3">
      <c r="A1273" s="99"/>
      <c r="B1273" s="99"/>
      <c r="C1273" s="169"/>
      <c r="D1273" s="170"/>
      <c r="E1273" s="44"/>
      <c r="F1273" s="39"/>
      <c r="G1273" s="39"/>
      <c r="H1273" s="171"/>
    </row>
    <row r="1274" spans="1:8" ht="15.75" hidden="1" x14ac:dyDescent="0.3">
      <c r="A1274" s="99"/>
      <c r="B1274" s="99"/>
      <c r="C1274" s="169"/>
      <c r="D1274" s="170"/>
      <c r="E1274" s="44"/>
      <c r="F1274" s="39"/>
      <c r="G1274" s="39"/>
      <c r="H1274" s="171"/>
    </row>
    <row r="1275" spans="1:8" ht="15.75" hidden="1" x14ac:dyDescent="0.3">
      <c r="A1275" s="99"/>
      <c r="B1275" s="99"/>
      <c r="C1275" s="169"/>
      <c r="D1275" s="170"/>
      <c r="E1275" s="44"/>
      <c r="F1275" s="39"/>
      <c r="G1275" s="39"/>
      <c r="H1275" s="171"/>
    </row>
    <row r="1276" spans="1:8" ht="15.75" hidden="1" x14ac:dyDescent="0.3">
      <c r="A1276" s="99"/>
      <c r="B1276" s="99"/>
      <c r="C1276" s="169"/>
      <c r="D1276" s="170"/>
      <c r="E1276" s="44"/>
      <c r="F1276" s="39"/>
      <c r="G1276" s="39"/>
      <c r="H1276" s="171"/>
    </row>
    <row r="1277" spans="1:8" ht="15.75" hidden="1" x14ac:dyDescent="0.3">
      <c r="A1277" s="99"/>
      <c r="B1277" s="99"/>
      <c r="C1277" s="169"/>
      <c r="D1277" s="170"/>
      <c r="E1277" s="44"/>
      <c r="F1277" s="39"/>
      <c r="G1277" s="39"/>
      <c r="H1277" s="171"/>
    </row>
    <row r="1278" spans="1:8" ht="15.75" hidden="1" x14ac:dyDescent="0.3">
      <c r="A1278" s="99"/>
      <c r="B1278" s="99"/>
      <c r="C1278" s="169"/>
      <c r="D1278" s="170"/>
      <c r="E1278" s="44"/>
      <c r="F1278" s="39"/>
      <c r="G1278" s="39"/>
      <c r="H1278" s="171"/>
    </row>
    <row r="1279" spans="1:8" ht="15.75" hidden="1" x14ac:dyDescent="0.3">
      <c r="A1279" s="99"/>
      <c r="B1279" s="99"/>
      <c r="C1279" s="169"/>
      <c r="D1279" s="170"/>
      <c r="E1279" s="44"/>
      <c r="F1279" s="39"/>
      <c r="G1279" s="39"/>
      <c r="H1279" s="171"/>
    </row>
    <row r="1280" spans="1:8" ht="15.75" hidden="1" x14ac:dyDescent="0.3">
      <c r="A1280" s="99"/>
      <c r="B1280" s="99"/>
      <c r="C1280" s="169"/>
      <c r="D1280" s="170"/>
      <c r="E1280" s="44"/>
      <c r="F1280" s="39"/>
      <c r="G1280" s="39"/>
      <c r="H1280" s="171"/>
    </row>
    <row r="1281" spans="1:8" ht="15.75" hidden="1" x14ac:dyDescent="0.3">
      <c r="A1281" s="99"/>
      <c r="B1281" s="99"/>
      <c r="C1281" s="169"/>
      <c r="D1281" s="170"/>
      <c r="E1281" s="44"/>
      <c r="F1281" s="39"/>
      <c r="G1281" s="39"/>
      <c r="H1281" s="171"/>
    </row>
    <row r="1282" spans="1:8" ht="15.75" hidden="1" x14ac:dyDescent="0.3">
      <c r="A1282" s="99"/>
      <c r="B1282" s="99"/>
      <c r="C1282" s="169"/>
      <c r="D1282" s="170"/>
      <c r="E1282" s="44"/>
      <c r="F1282" s="39"/>
      <c r="G1282" s="39"/>
      <c r="H1282" s="171"/>
    </row>
    <row r="1283" spans="1:8" ht="15.75" hidden="1" x14ac:dyDescent="0.3">
      <c r="A1283" s="99"/>
      <c r="B1283" s="99"/>
      <c r="C1283" s="169"/>
      <c r="D1283" s="170"/>
      <c r="E1283" s="44"/>
      <c r="F1283" s="39"/>
      <c r="G1283" s="39"/>
      <c r="H1283" s="171"/>
    </row>
    <row r="1284" spans="1:8" ht="15.75" hidden="1" x14ac:dyDescent="0.3">
      <c r="A1284" s="99"/>
      <c r="B1284" s="99"/>
      <c r="C1284" s="169"/>
      <c r="D1284" s="170"/>
      <c r="E1284" s="44"/>
      <c r="F1284" s="39"/>
      <c r="G1284" s="39"/>
      <c r="H1284" s="171"/>
    </row>
    <row r="1285" spans="1:8" ht="15.75" hidden="1" x14ac:dyDescent="0.3">
      <c r="A1285" s="99"/>
      <c r="B1285" s="99"/>
      <c r="C1285" s="169"/>
      <c r="D1285" s="170"/>
      <c r="E1285" s="44"/>
      <c r="F1285" s="39"/>
      <c r="G1285" s="39"/>
      <c r="H1285" s="171"/>
    </row>
    <row r="1286" spans="1:8" ht="15.75" hidden="1" x14ac:dyDescent="0.3">
      <c r="A1286" s="99"/>
      <c r="B1286" s="99"/>
      <c r="C1286" s="169"/>
      <c r="D1286" s="170"/>
      <c r="E1286" s="44"/>
      <c r="F1286" s="39"/>
      <c r="G1286" s="39"/>
      <c r="H1286" s="171"/>
    </row>
    <row r="1287" spans="1:8" ht="15.75" hidden="1" x14ac:dyDescent="0.3">
      <c r="A1287" s="99"/>
      <c r="B1287" s="99"/>
      <c r="C1287" s="169"/>
      <c r="D1287" s="170"/>
      <c r="E1287" s="44"/>
      <c r="F1287" s="39"/>
      <c r="G1287" s="39"/>
      <c r="H1287" s="171"/>
    </row>
    <row r="1288" spans="1:8" ht="15.75" hidden="1" x14ac:dyDescent="0.3">
      <c r="A1288" s="99"/>
      <c r="B1288" s="99"/>
      <c r="C1288" s="169"/>
      <c r="D1288" s="170"/>
      <c r="E1288" s="44"/>
      <c r="F1288" s="39"/>
      <c r="G1288" s="39"/>
      <c r="H1288" s="171"/>
    </row>
    <row r="1289" spans="1:8" ht="15.75" hidden="1" x14ac:dyDescent="0.3">
      <c r="A1289" s="99"/>
      <c r="B1289" s="99"/>
      <c r="C1289" s="169"/>
      <c r="D1289" s="170"/>
      <c r="E1289" s="44"/>
      <c r="F1289" s="39"/>
      <c r="G1289" s="39"/>
      <c r="H1289" s="171"/>
    </row>
    <row r="1290" spans="1:8" ht="15.75" hidden="1" x14ac:dyDescent="0.3">
      <c r="A1290" s="99"/>
      <c r="B1290" s="99"/>
      <c r="C1290" s="169"/>
      <c r="D1290" s="170"/>
      <c r="E1290" s="44"/>
      <c r="F1290" s="39"/>
      <c r="G1290" s="39"/>
      <c r="H1290" s="171"/>
    </row>
    <row r="1291" spans="1:8" ht="15.75" hidden="1" x14ac:dyDescent="0.3">
      <c r="A1291" s="99"/>
      <c r="B1291" s="99"/>
      <c r="C1291" s="169"/>
      <c r="D1291" s="170"/>
      <c r="E1291" s="44"/>
      <c r="F1291" s="39"/>
      <c r="G1291" s="39"/>
      <c r="H1291" s="171"/>
    </row>
    <row r="1292" spans="1:8" ht="15.75" hidden="1" x14ac:dyDescent="0.3">
      <c r="A1292" s="99"/>
      <c r="B1292" s="99"/>
      <c r="C1292" s="169"/>
      <c r="D1292" s="170"/>
      <c r="E1292" s="44"/>
      <c r="F1292" s="39"/>
      <c r="G1292" s="39"/>
      <c r="H1292" s="171"/>
    </row>
    <row r="1293" spans="1:8" ht="15.75" hidden="1" x14ac:dyDescent="0.3">
      <c r="A1293" s="99"/>
      <c r="B1293" s="99"/>
      <c r="C1293" s="169"/>
      <c r="D1293" s="170"/>
      <c r="E1293" s="44"/>
      <c r="F1293" s="39"/>
      <c r="G1293" s="39"/>
      <c r="H1293" s="171"/>
    </row>
    <row r="1294" spans="1:8" ht="15.75" hidden="1" x14ac:dyDescent="0.3">
      <c r="A1294" s="99"/>
      <c r="B1294" s="99"/>
      <c r="C1294" s="169"/>
      <c r="D1294" s="170"/>
      <c r="E1294" s="44"/>
      <c r="F1294" s="39"/>
      <c r="G1294" s="39"/>
      <c r="H1294" s="171"/>
    </row>
    <row r="1295" spans="1:8" ht="15.75" hidden="1" x14ac:dyDescent="0.3">
      <c r="A1295" s="99"/>
      <c r="B1295" s="99"/>
      <c r="C1295" s="169"/>
      <c r="D1295" s="170"/>
      <c r="E1295" s="44"/>
      <c r="F1295" s="39"/>
      <c r="G1295" s="39"/>
      <c r="H1295" s="171"/>
    </row>
    <row r="1296" spans="1:8" ht="15.75" hidden="1" x14ac:dyDescent="0.3">
      <c r="A1296" s="99"/>
      <c r="B1296" s="99"/>
      <c r="C1296" s="169"/>
      <c r="D1296" s="170"/>
      <c r="E1296" s="44"/>
      <c r="F1296" s="39"/>
      <c r="G1296" s="39"/>
      <c r="H1296" s="171"/>
    </row>
    <row r="1297" spans="1:8" ht="15.75" hidden="1" x14ac:dyDescent="0.3">
      <c r="A1297" s="99"/>
      <c r="B1297" s="99"/>
      <c r="C1297" s="169"/>
      <c r="D1297" s="170"/>
      <c r="E1297" s="44"/>
      <c r="F1297" s="39"/>
      <c r="G1297" s="39"/>
      <c r="H1297" s="171"/>
    </row>
    <row r="1298" spans="1:8" ht="15.75" hidden="1" x14ac:dyDescent="0.3">
      <c r="A1298" s="99"/>
      <c r="B1298" s="99"/>
      <c r="C1298" s="169"/>
      <c r="D1298" s="170"/>
      <c r="E1298" s="44"/>
      <c r="F1298" s="39"/>
      <c r="G1298" s="39"/>
      <c r="H1298" s="171"/>
    </row>
    <row r="1299" spans="1:8" ht="15.75" hidden="1" x14ac:dyDescent="0.3">
      <c r="A1299" s="99"/>
      <c r="B1299" s="99"/>
      <c r="C1299" s="169"/>
      <c r="D1299" s="170"/>
      <c r="E1299" s="44"/>
      <c r="F1299" s="39"/>
      <c r="G1299" s="39"/>
      <c r="H1299" s="171"/>
    </row>
    <row r="1300" spans="1:8" ht="15.75" hidden="1" x14ac:dyDescent="0.3">
      <c r="A1300" s="99"/>
      <c r="B1300" s="99"/>
      <c r="C1300" s="169"/>
      <c r="D1300" s="170"/>
      <c r="E1300" s="44"/>
      <c r="F1300" s="39"/>
      <c r="G1300" s="39"/>
      <c r="H1300" s="171"/>
    </row>
    <row r="1301" spans="1:8" ht="15.75" hidden="1" x14ac:dyDescent="0.3">
      <c r="A1301" s="99"/>
      <c r="B1301" s="99"/>
      <c r="C1301" s="169"/>
      <c r="D1301" s="170"/>
      <c r="E1301" s="44"/>
      <c r="F1301" s="39"/>
      <c r="G1301" s="39"/>
      <c r="H1301" s="171"/>
    </row>
    <row r="1302" spans="1:8" ht="15.75" hidden="1" x14ac:dyDescent="0.3">
      <c r="A1302" s="99"/>
      <c r="B1302" s="99"/>
      <c r="C1302" s="169"/>
      <c r="D1302" s="170"/>
      <c r="E1302" s="44"/>
      <c r="F1302" s="39"/>
      <c r="G1302" s="39"/>
      <c r="H1302" s="171"/>
    </row>
    <row r="1303" spans="1:8" ht="15.75" hidden="1" x14ac:dyDescent="0.3">
      <c r="A1303" s="99"/>
      <c r="B1303" s="99"/>
      <c r="C1303" s="169"/>
      <c r="D1303" s="170"/>
      <c r="E1303" s="44"/>
      <c r="F1303" s="39"/>
      <c r="G1303" s="39"/>
      <c r="H1303" s="171"/>
    </row>
    <row r="1304" spans="1:8" ht="15.75" hidden="1" x14ac:dyDescent="0.3">
      <c r="A1304" s="99"/>
      <c r="B1304" s="99"/>
      <c r="C1304" s="169"/>
      <c r="D1304" s="170"/>
      <c r="E1304" s="44"/>
      <c r="F1304" s="39"/>
      <c r="G1304" s="39"/>
      <c r="H1304" s="171"/>
    </row>
    <row r="1305" spans="1:8" ht="15.75" hidden="1" x14ac:dyDescent="0.3">
      <c r="A1305" s="99"/>
      <c r="B1305" s="99"/>
      <c r="C1305" s="169"/>
      <c r="D1305" s="170"/>
      <c r="E1305" s="44"/>
      <c r="F1305" s="39"/>
      <c r="G1305" s="39"/>
      <c r="H1305" s="171"/>
    </row>
    <row r="1306" spans="1:8" ht="15.75" hidden="1" x14ac:dyDescent="0.3">
      <c r="A1306" s="99"/>
      <c r="B1306" s="99"/>
      <c r="C1306" s="169"/>
      <c r="D1306" s="170"/>
      <c r="E1306" s="44"/>
      <c r="F1306" s="39"/>
      <c r="G1306" s="39"/>
      <c r="H1306" s="171"/>
    </row>
    <row r="1307" spans="1:8" ht="15.75" hidden="1" x14ac:dyDescent="0.3">
      <c r="A1307" s="99"/>
      <c r="B1307" s="99"/>
      <c r="C1307" s="169"/>
      <c r="D1307" s="170"/>
      <c r="E1307" s="44"/>
      <c r="F1307" s="39"/>
      <c r="G1307" s="39"/>
      <c r="H1307" s="171"/>
    </row>
    <row r="1308" spans="1:8" s="124" customFormat="1" ht="15.75" hidden="1" x14ac:dyDescent="0.3">
      <c r="A1308" s="172" t="s">
        <v>968</v>
      </c>
      <c r="B1308" s="172"/>
      <c r="C1308" s="173"/>
      <c r="D1308" s="174"/>
      <c r="E1308" s="175"/>
      <c r="F1308" s="176"/>
      <c r="G1308" s="176"/>
      <c r="H1308" s="177"/>
    </row>
    <row r="1309" spans="1:8" ht="93.6" x14ac:dyDescent="0.3">
      <c r="A1309" s="101">
        <v>1</v>
      </c>
      <c r="B1309" s="101">
        <v>2</v>
      </c>
      <c r="C1309" s="146" t="s">
        <v>10</v>
      </c>
      <c r="D1309" s="27" t="s">
        <v>65</v>
      </c>
      <c r="E1309" s="32" t="s">
        <v>2175</v>
      </c>
      <c r="F1309" s="26" t="s">
        <v>51</v>
      </c>
      <c r="G1309" s="26" t="s">
        <v>75</v>
      </c>
      <c r="H1309" s="138" t="s">
        <v>2176</v>
      </c>
    </row>
    <row r="1310" spans="1:8" ht="93.6" x14ac:dyDescent="0.3">
      <c r="A1310" s="101">
        <v>1</v>
      </c>
      <c r="B1310" s="101">
        <v>2</v>
      </c>
      <c r="C1310" s="146" t="s">
        <v>10</v>
      </c>
      <c r="D1310" s="27" t="s">
        <v>1</v>
      </c>
      <c r="E1310" s="32" t="s">
        <v>2177</v>
      </c>
      <c r="F1310" s="26" t="s">
        <v>51</v>
      </c>
      <c r="G1310" s="26">
        <v>5</v>
      </c>
      <c r="H1310" s="138" t="s">
        <v>2178</v>
      </c>
    </row>
    <row r="1311" spans="1:8" ht="93.6" x14ac:dyDescent="0.3">
      <c r="A1311" s="101">
        <v>1</v>
      </c>
      <c r="B1311" s="101">
        <v>2</v>
      </c>
      <c r="C1311" s="146" t="s">
        <v>10</v>
      </c>
      <c r="D1311" s="27" t="s">
        <v>1</v>
      </c>
      <c r="E1311" s="32" t="s">
        <v>2179</v>
      </c>
      <c r="F1311" s="26" t="s">
        <v>63</v>
      </c>
      <c r="G1311" s="26">
        <v>9</v>
      </c>
      <c r="H1311" s="138" t="s">
        <v>2180</v>
      </c>
    </row>
    <row r="1312" spans="1:8" ht="109.2" x14ac:dyDescent="0.3">
      <c r="A1312" s="101">
        <v>1</v>
      </c>
      <c r="B1312" s="101">
        <v>2</v>
      </c>
      <c r="C1312" s="146" t="s">
        <v>10</v>
      </c>
      <c r="D1312" s="27" t="s">
        <v>1713</v>
      </c>
      <c r="E1312" s="32" t="s">
        <v>2181</v>
      </c>
      <c r="F1312" s="26" t="s">
        <v>63</v>
      </c>
      <c r="G1312" s="26">
        <v>10</v>
      </c>
      <c r="H1312" s="138" t="s">
        <v>2182</v>
      </c>
    </row>
    <row r="1313" spans="1:8" ht="156" x14ac:dyDescent="0.3">
      <c r="A1313" s="101">
        <v>1</v>
      </c>
      <c r="B1313" s="101">
        <v>2</v>
      </c>
      <c r="C1313" s="146" t="s">
        <v>10</v>
      </c>
      <c r="D1313" s="27" t="s">
        <v>65</v>
      </c>
      <c r="E1313" s="32" t="s">
        <v>2183</v>
      </c>
      <c r="F1313" s="26" t="s">
        <v>63</v>
      </c>
      <c r="G1313" s="26">
        <v>11</v>
      </c>
      <c r="H1313" s="138" t="s">
        <v>2184</v>
      </c>
    </row>
    <row r="1314" spans="1:8" ht="109.2" x14ac:dyDescent="0.3">
      <c r="A1314" s="233">
        <v>1</v>
      </c>
      <c r="B1314" s="233">
        <v>2</v>
      </c>
      <c r="C1314" s="234" t="s">
        <v>10</v>
      </c>
      <c r="D1314" s="235" t="s">
        <v>1</v>
      </c>
      <c r="E1314" s="104" t="s">
        <v>2185</v>
      </c>
      <c r="F1314" s="102" t="s">
        <v>63</v>
      </c>
      <c r="G1314" s="102">
        <v>103</v>
      </c>
      <c r="H1314" s="236" t="s">
        <v>2186</v>
      </c>
    </row>
    <row r="1315" spans="1:8" ht="62.4" x14ac:dyDescent="0.3">
      <c r="A1315" s="101">
        <v>2</v>
      </c>
      <c r="B1315" s="101">
        <v>2</v>
      </c>
      <c r="C1315" s="146" t="s">
        <v>11</v>
      </c>
      <c r="D1315" s="27" t="s">
        <v>0</v>
      </c>
      <c r="E1315" s="32" t="s">
        <v>2187</v>
      </c>
      <c r="F1315" s="26" t="s">
        <v>51</v>
      </c>
      <c r="G1315" s="26">
        <v>9</v>
      </c>
      <c r="H1315" s="138" t="s">
        <v>2188</v>
      </c>
    </row>
    <row r="1316" spans="1:8" ht="62.4" x14ac:dyDescent="0.3">
      <c r="A1316" s="101">
        <v>2</v>
      </c>
      <c r="B1316" s="101">
        <v>2</v>
      </c>
      <c r="C1316" s="146" t="s">
        <v>11</v>
      </c>
      <c r="D1316" s="27" t="s">
        <v>0</v>
      </c>
      <c r="E1316" s="32" t="s">
        <v>2189</v>
      </c>
      <c r="F1316" s="26" t="s">
        <v>51</v>
      </c>
      <c r="G1316" s="26">
        <v>25</v>
      </c>
      <c r="H1316" s="138" t="s">
        <v>2190</v>
      </c>
    </row>
    <row r="1317" spans="1:8" ht="62.4" x14ac:dyDescent="0.3">
      <c r="A1317" s="101">
        <v>2</v>
      </c>
      <c r="B1317" s="101">
        <v>2</v>
      </c>
      <c r="C1317" s="146" t="s">
        <v>11</v>
      </c>
      <c r="D1317" s="27" t="s">
        <v>1</v>
      </c>
      <c r="E1317" s="32" t="s">
        <v>2191</v>
      </c>
      <c r="F1317" s="26" t="s">
        <v>51</v>
      </c>
      <c r="G1317" s="26">
        <v>30</v>
      </c>
      <c r="H1317" s="138" t="s">
        <v>2192</v>
      </c>
    </row>
    <row r="1318" spans="1:8" ht="62.4" x14ac:dyDescent="0.3">
      <c r="A1318" s="101">
        <v>2</v>
      </c>
      <c r="B1318" s="101">
        <v>2</v>
      </c>
      <c r="C1318" s="146" t="s">
        <v>11</v>
      </c>
      <c r="D1318" s="27" t="s">
        <v>1</v>
      </c>
      <c r="E1318" s="32" t="s">
        <v>2193</v>
      </c>
      <c r="F1318" s="26" t="s">
        <v>51</v>
      </c>
      <c r="G1318" s="26">
        <v>33</v>
      </c>
      <c r="H1318" s="138" t="s">
        <v>2194</v>
      </c>
    </row>
    <row r="1319" spans="1:8" ht="62.4" x14ac:dyDescent="0.3">
      <c r="A1319" s="101">
        <v>2</v>
      </c>
      <c r="B1319" s="101">
        <v>2</v>
      </c>
      <c r="C1319" s="146" t="s">
        <v>11</v>
      </c>
      <c r="D1319" s="27" t="s">
        <v>1</v>
      </c>
      <c r="E1319" s="32" t="s">
        <v>2195</v>
      </c>
      <c r="F1319" s="26" t="s">
        <v>51</v>
      </c>
      <c r="G1319" s="26">
        <v>21</v>
      </c>
      <c r="H1319" s="138" t="s">
        <v>2196</v>
      </c>
    </row>
    <row r="1320" spans="1:8" ht="62.4" x14ac:dyDescent="0.3">
      <c r="A1320" s="101">
        <v>2</v>
      </c>
      <c r="B1320" s="101">
        <v>2</v>
      </c>
      <c r="C1320" s="146" t="s">
        <v>11</v>
      </c>
      <c r="D1320" s="27" t="s">
        <v>1</v>
      </c>
      <c r="E1320" s="32" t="s">
        <v>2197</v>
      </c>
      <c r="F1320" s="26" t="s">
        <v>51</v>
      </c>
      <c r="G1320" s="26">
        <v>31</v>
      </c>
      <c r="H1320" s="138" t="s">
        <v>2198</v>
      </c>
    </row>
    <row r="1321" spans="1:8" ht="62.4" x14ac:dyDescent="0.3">
      <c r="A1321" s="101">
        <v>2</v>
      </c>
      <c r="B1321" s="101">
        <v>2</v>
      </c>
      <c r="C1321" s="146" t="s">
        <v>11</v>
      </c>
      <c r="D1321" s="27" t="s">
        <v>1</v>
      </c>
      <c r="E1321" s="32" t="s">
        <v>2199</v>
      </c>
      <c r="F1321" s="26" t="s">
        <v>51</v>
      </c>
      <c r="G1321" s="26">
        <v>82</v>
      </c>
      <c r="H1321" s="138" t="s">
        <v>2200</v>
      </c>
    </row>
    <row r="1322" spans="1:8" ht="62.4" x14ac:dyDescent="0.3">
      <c r="A1322" s="101">
        <v>2</v>
      </c>
      <c r="B1322" s="101">
        <v>2</v>
      </c>
      <c r="C1322" s="146" t="s">
        <v>11</v>
      </c>
      <c r="D1322" s="27" t="s">
        <v>1</v>
      </c>
      <c r="E1322" s="32" t="s">
        <v>2201</v>
      </c>
      <c r="F1322" s="26" t="s">
        <v>51</v>
      </c>
      <c r="G1322" s="26">
        <v>31</v>
      </c>
      <c r="H1322" s="138" t="s">
        <v>2202</v>
      </c>
    </row>
    <row r="1323" spans="1:8" ht="62.4" x14ac:dyDescent="0.3">
      <c r="A1323" s="101">
        <v>2</v>
      </c>
      <c r="B1323" s="101">
        <v>2</v>
      </c>
      <c r="C1323" s="146" t="s">
        <v>11</v>
      </c>
      <c r="D1323" s="27" t="s">
        <v>1</v>
      </c>
      <c r="E1323" s="32" t="s">
        <v>2203</v>
      </c>
      <c r="F1323" s="26" t="s">
        <v>51</v>
      </c>
      <c r="G1323" s="26">
        <v>75</v>
      </c>
      <c r="H1323" s="138" t="s">
        <v>2204</v>
      </c>
    </row>
    <row r="1324" spans="1:8" ht="46.8" x14ac:dyDescent="0.3">
      <c r="A1324" s="101">
        <v>2</v>
      </c>
      <c r="B1324" s="101">
        <v>2</v>
      </c>
      <c r="C1324" s="146" t="s">
        <v>11</v>
      </c>
      <c r="D1324" s="27" t="s">
        <v>119</v>
      </c>
      <c r="E1324" s="32" t="s">
        <v>2205</v>
      </c>
      <c r="F1324" s="26" t="s">
        <v>51</v>
      </c>
      <c r="G1324" s="26">
        <v>86</v>
      </c>
      <c r="H1324" s="138" t="s">
        <v>2206</v>
      </c>
    </row>
    <row r="1325" spans="1:8" ht="46.8" x14ac:dyDescent="0.3">
      <c r="A1325" s="101">
        <v>2</v>
      </c>
      <c r="B1325" s="101">
        <v>2</v>
      </c>
      <c r="C1325" s="146" t="s">
        <v>11</v>
      </c>
      <c r="D1325" s="27" t="s">
        <v>119</v>
      </c>
      <c r="E1325" s="32" t="s">
        <v>2207</v>
      </c>
      <c r="F1325" s="26" t="s">
        <v>51</v>
      </c>
      <c r="G1325" s="26">
        <v>3</v>
      </c>
      <c r="H1325" s="138" t="s">
        <v>2208</v>
      </c>
    </row>
    <row r="1326" spans="1:8" ht="46.8" x14ac:dyDescent="0.3">
      <c r="A1326" s="101">
        <v>2</v>
      </c>
      <c r="B1326" s="101">
        <v>2</v>
      </c>
      <c r="C1326" s="146" t="s">
        <v>11</v>
      </c>
      <c r="D1326" s="27" t="s">
        <v>541</v>
      </c>
      <c r="E1326" s="32" t="s">
        <v>2209</v>
      </c>
      <c r="F1326" s="26" t="s">
        <v>51</v>
      </c>
      <c r="G1326" s="26">
        <v>1</v>
      </c>
      <c r="H1326" s="138" t="s">
        <v>2210</v>
      </c>
    </row>
    <row r="1327" spans="1:8" ht="62.4" x14ac:dyDescent="0.3">
      <c r="A1327" s="101">
        <v>2</v>
      </c>
      <c r="B1327" s="101">
        <v>2</v>
      </c>
      <c r="C1327" s="146" t="s">
        <v>11</v>
      </c>
      <c r="D1327" s="27" t="s">
        <v>65</v>
      </c>
      <c r="E1327" s="32" t="s">
        <v>2211</v>
      </c>
      <c r="F1327" s="26" t="s">
        <v>51</v>
      </c>
      <c r="G1327" s="26">
        <v>14</v>
      </c>
      <c r="H1327" s="138" t="s">
        <v>2212</v>
      </c>
    </row>
    <row r="1328" spans="1:8" ht="78" x14ac:dyDescent="0.3">
      <c r="A1328" s="101">
        <v>2</v>
      </c>
      <c r="B1328" s="101">
        <v>2</v>
      </c>
      <c r="C1328" s="146" t="s">
        <v>11</v>
      </c>
      <c r="D1328" s="27" t="s">
        <v>65</v>
      </c>
      <c r="E1328" s="32" t="s">
        <v>2213</v>
      </c>
      <c r="F1328" s="26" t="s">
        <v>51</v>
      </c>
      <c r="G1328" s="26">
        <v>11</v>
      </c>
      <c r="H1328" s="138" t="s">
        <v>2214</v>
      </c>
    </row>
    <row r="1329" spans="1:8" ht="109.2" x14ac:dyDescent="0.3">
      <c r="A1329" s="101">
        <v>2</v>
      </c>
      <c r="B1329" s="101">
        <v>2</v>
      </c>
      <c r="C1329" s="146" t="s">
        <v>11</v>
      </c>
      <c r="D1329" s="27" t="s">
        <v>65</v>
      </c>
      <c r="E1329" s="32" t="s">
        <v>2215</v>
      </c>
      <c r="F1329" s="26" t="s">
        <v>51</v>
      </c>
      <c r="G1329" s="26">
        <v>21</v>
      </c>
      <c r="H1329" s="138" t="s">
        <v>2216</v>
      </c>
    </row>
    <row r="1330" spans="1:8" ht="62.4" x14ac:dyDescent="0.3">
      <c r="A1330" s="101">
        <v>2</v>
      </c>
      <c r="B1330" s="101">
        <v>2</v>
      </c>
      <c r="C1330" s="146" t="s">
        <v>11</v>
      </c>
      <c r="D1330" s="27" t="s">
        <v>65</v>
      </c>
      <c r="E1330" s="32" t="s">
        <v>2217</v>
      </c>
      <c r="F1330" s="26" t="s">
        <v>51</v>
      </c>
      <c r="G1330" s="26" t="s">
        <v>394</v>
      </c>
      <c r="H1330" s="138" t="s">
        <v>1750</v>
      </c>
    </row>
    <row r="1331" spans="1:8" ht="62.4" x14ac:dyDescent="0.3">
      <c r="A1331" s="233">
        <v>2</v>
      </c>
      <c r="B1331" s="233">
        <v>2</v>
      </c>
      <c r="C1331" s="234" t="s">
        <v>11</v>
      </c>
      <c r="D1331" s="235" t="s">
        <v>1713</v>
      </c>
      <c r="E1331" s="104" t="s">
        <v>2218</v>
      </c>
      <c r="F1331" s="102" t="s">
        <v>51</v>
      </c>
      <c r="G1331" s="102">
        <v>2</v>
      </c>
      <c r="H1331" s="236" t="s">
        <v>2219</v>
      </c>
    </row>
    <row r="1332" spans="1:8" ht="93.6" x14ac:dyDescent="0.3">
      <c r="A1332" s="101">
        <v>3</v>
      </c>
      <c r="B1332" s="101">
        <v>2</v>
      </c>
      <c r="C1332" s="146" t="s">
        <v>12</v>
      </c>
      <c r="D1332" s="27" t="s">
        <v>65</v>
      </c>
      <c r="E1332" s="32" t="s">
        <v>2220</v>
      </c>
      <c r="F1332" s="26" t="s">
        <v>51</v>
      </c>
      <c r="G1332" s="26" t="s">
        <v>75</v>
      </c>
      <c r="H1332" s="138" t="s">
        <v>88</v>
      </c>
    </row>
    <row r="1333" spans="1:8" ht="93.6" x14ac:dyDescent="0.3">
      <c r="A1333" s="101">
        <v>3</v>
      </c>
      <c r="B1333" s="101">
        <v>2</v>
      </c>
      <c r="C1333" s="146" t="s">
        <v>12</v>
      </c>
      <c r="D1333" s="27" t="s">
        <v>0</v>
      </c>
      <c r="E1333" s="32" t="s">
        <v>2221</v>
      </c>
      <c r="F1333" s="26" t="s">
        <v>51</v>
      </c>
      <c r="G1333" s="26" t="s">
        <v>394</v>
      </c>
      <c r="H1333" s="138" t="s">
        <v>88</v>
      </c>
    </row>
    <row r="1334" spans="1:8" ht="202.8" x14ac:dyDescent="0.3">
      <c r="A1334" s="101">
        <v>3</v>
      </c>
      <c r="B1334" s="101">
        <v>2</v>
      </c>
      <c r="C1334" s="146" t="s">
        <v>12</v>
      </c>
      <c r="D1334" s="27" t="s">
        <v>0</v>
      </c>
      <c r="E1334" s="32" t="s">
        <v>2222</v>
      </c>
      <c r="F1334" s="26" t="s">
        <v>51</v>
      </c>
      <c r="G1334" s="26">
        <v>39</v>
      </c>
      <c r="H1334" s="138" t="s">
        <v>2223</v>
      </c>
    </row>
    <row r="1335" spans="1:8" ht="62.4" x14ac:dyDescent="0.3">
      <c r="A1335" s="101">
        <v>3</v>
      </c>
      <c r="B1335" s="101">
        <v>2</v>
      </c>
      <c r="C1335" s="146" t="s">
        <v>12</v>
      </c>
      <c r="D1335" s="27" t="s">
        <v>1</v>
      </c>
      <c r="E1335" s="32" t="s">
        <v>2224</v>
      </c>
      <c r="F1335" s="26" t="s">
        <v>51</v>
      </c>
      <c r="G1335" s="26">
        <v>9</v>
      </c>
      <c r="H1335" s="138" t="s">
        <v>2225</v>
      </c>
    </row>
    <row r="1336" spans="1:8" ht="78" x14ac:dyDescent="0.3">
      <c r="A1336" s="101">
        <v>3</v>
      </c>
      <c r="B1336" s="101">
        <v>2</v>
      </c>
      <c r="C1336" s="146" t="s">
        <v>12</v>
      </c>
      <c r="D1336" s="27" t="s">
        <v>1</v>
      </c>
      <c r="E1336" s="32" t="s">
        <v>2226</v>
      </c>
      <c r="F1336" s="26" t="s">
        <v>51</v>
      </c>
      <c r="G1336" s="26">
        <v>73</v>
      </c>
      <c r="H1336" s="138" t="s">
        <v>2227</v>
      </c>
    </row>
    <row r="1337" spans="1:8" ht="93.6" x14ac:dyDescent="0.3">
      <c r="A1337" s="101">
        <v>3</v>
      </c>
      <c r="B1337" s="101">
        <v>2</v>
      </c>
      <c r="C1337" s="146" t="s">
        <v>12</v>
      </c>
      <c r="D1337" s="27" t="s">
        <v>65</v>
      </c>
      <c r="E1337" s="32" t="s">
        <v>2228</v>
      </c>
      <c r="F1337" s="26" t="s">
        <v>51</v>
      </c>
      <c r="G1337" s="26" t="s">
        <v>394</v>
      </c>
      <c r="H1337" s="138" t="s">
        <v>2229</v>
      </c>
    </row>
    <row r="1338" spans="1:8" ht="62.4" x14ac:dyDescent="0.3">
      <c r="A1338" s="101">
        <v>3</v>
      </c>
      <c r="B1338" s="101">
        <v>2</v>
      </c>
      <c r="C1338" s="146" t="s">
        <v>12</v>
      </c>
      <c r="D1338" s="27" t="s">
        <v>1</v>
      </c>
      <c r="E1338" s="32" t="s">
        <v>2230</v>
      </c>
      <c r="F1338" s="26" t="s">
        <v>51</v>
      </c>
      <c r="G1338" s="26">
        <v>52</v>
      </c>
      <c r="H1338" s="138" t="s">
        <v>2231</v>
      </c>
    </row>
    <row r="1339" spans="1:8" ht="62.4" x14ac:dyDescent="0.3">
      <c r="A1339" s="101">
        <v>3</v>
      </c>
      <c r="B1339" s="101">
        <v>2</v>
      </c>
      <c r="C1339" s="146" t="s">
        <v>12</v>
      </c>
      <c r="D1339" s="27" t="s">
        <v>65</v>
      </c>
      <c r="E1339" s="32" t="s">
        <v>2145</v>
      </c>
      <c r="F1339" s="26" t="s">
        <v>51</v>
      </c>
      <c r="G1339" s="26" t="s">
        <v>75</v>
      </c>
      <c r="H1339" s="138" t="s">
        <v>2232</v>
      </c>
    </row>
    <row r="1340" spans="1:8" ht="124.8" x14ac:dyDescent="0.3">
      <c r="A1340" s="101">
        <v>3</v>
      </c>
      <c r="B1340" s="101">
        <v>2</v>
      </c>
      <c r="C1340" s="146" t="s">
        <v>12</v>
      </c>
      <c r="D1340" s="27" t="s">
        <v>65</v>
      </c>
      <c r="E1340" s="32" t="s">
        <v>2233</v>
      </c>
      <c r="F1340" s="26" t="s">
        <v>51</v>
      </c>
      <c r="G1340" s="26">
        <v>76</v>
      </c>
      <c r="H1340" s="138" t="s">
        <v>2234</v>
      </c>
    </row>
    <row r="1341" spans="1:8" ht="62.4" x14ac:dyDescent="0.3">
      <c r="A1341" s="101">
        <v>3</v>
      </c>
      <c r="B1341" s="101">
        <v>2</v>
      </c>
      <c r="C1341" s="146" t="s">
        <v>12</v>
      </c>
      <c r="D1341" s="27" t="s">
        <v>65</v>
      </c>
      <c r="E1341" s="32" t="s">
        <v>2235</v>
      </c>
      <c r="F1341" s="26" t="s">
        <v>63</v>
      </c>
      <c r="G1341" s="26">
        <v>4</v>
      </c>
      <c r="H1341" s="138" t="s">
        <v>2236</v>
      </c>
    </row>
    <row r="1342" spans="1:8" ht="93.6" x14ac:dyDescent="0.3">
      <c r="A1342" s="233">
        <v>3</v>
      </c>
      <c r="B1342" s="233">
        <v>2</v>
      </c>
      <c r="C1342" s="234" t="s">
        <v>12</v>
      </c>
      <c r="D1342" s="235" t="s">
        <v>65</v>
      </c>
      <c r="E1342" s="104" t="s">
        <v>2237</v>
      </c>
      <c r="F1342" s="102" t="s">
        <v>51</v>
      </c>
      <c r="G1342" s="102">
        <v>17</v>
      </c>
      <c r="H1342" s="236" t="s">
        <v>2238</v>
      </c>
    </row>
    <row r="1343" spans="1:8" ht="78" x14ac:dyDescent="0.3">
      <c r="A1343" s="101">
        <v>4</v>
      </c>
      <c r="B1343" s="101">
        <v>2</v>
      </c>
      <c r="C1343" s="146" t="s">
        <v>13</v>
      </c>
      <c r="D1343" s="27" t="s">
        <v>0</v>
      </c>
      <c r="E1343" s="32" t="s">
        <v>2239</v>
      </c>
      <c r="F1343" s="26" t="s">
        <v>51</v>
      </c>
      <c r="G1343" s="26">
        <v>18</v>
      </c>
      <c r="H1343" s="138" t="s">
        <v>2240</v>
      </c>
    </row>
    <row r="1344" spans="1:8" ht="140.4" x14ac:dyDescent="0.3">
      <c r="A1344" s="101">
        <v>4</v>
      </c>
      <c r="B1344" s="101">
        <v>2</v>
      </c>
      <c r="C1344" s="146" t="s">
        <v>13</v>
      </c>
      <c r="D1344" s="27" t="s">
        <v>0</v>
      </c>
      <c r="E1344" s="32" t="s">
        <v>2241</v>
      </c>
      <c r="F1344" s="26" t="s">
        <v>51</v>
      </c>
      <c r="G1344" s="26">
        <v>75</v>
      </c>
      <c r="H1344" s="138" t="s">
        <v>2242</v>
      </c>
    </row>
    <row r="1345" spans="1:8" ht="78" x14ac:dyDescent="0.3">
      <c r="A1345" s="101">
        <v>4</v>
      </c>
      <c r="B1345" s="101">
        <v>2</v>
      </c>
      <c r="C1345" s="146" t="s">
        <v>13</v>
      </c>
      <c r="D1345" s="27" t="s">
        <v>1</v>
      </c>
      <c r="E1345" s="32" t="s">
        <v>2243</v>
      </c>
      <c r="F1345" s="26" t="s">
        <v>51</v>
      </c>
      <c r="G1345" s="26">
        <v>35</v>
      </c>
      <c r="H1345" s="138" t="s">
        <v>2244</v>
      </c>
    </row>
    <row r="1346" spans="1:8" ht="62.4" x14ac:dyDescent="0.3">
      <c r="A1346" s="101">
        <v>4</v>
      </c>
      <c r="B1346" s="101">
        <v>2</v>
      </c>
      <c r="C1346" s="146" t="s">
        <v>13</v>
      </c>
      <c r="D1346" s="27" t="s">
        <v>1</v>
      </c>
      <c r="E1346" s="32" t="s">
        <v>2245</v>
      </c>
      <c r="F1346" s="26" t="s">
        <v>51</v>
      </c>
      <c r="G1346" s="26">
        <v>16</v>
      </c>
      <c r="H1346" s="138" t="s">
        <v>2246</v>
      </c>
    </row>
    <row r="1347" spans="1:8" ht="140.4" x14ac:dyDescent="0.3">
      <c r="A1347" s="101">
        <v>4</v>
      </c>
      <c r="B1347" s="101">
        <v>2</v>
      </c>
      <c r="C1347" s="146" t="s">
        <v>13</v>
      </c>
      <c r="D1347" s="27" t="s">
        <v>1</v>
      </c>
      <c r="E1347" s="32" t="s">
        <v>2247</v>
      </c>
      <c r="F1347" s="26" t="s">
        <v>51</v>
      </c>
      <c r="G1347" s="26">
        <v>159</v>
      </c>
      <c r="H1347" s="138" t="s">
        <v>2248</v>
      </c>
    </row>
    <row r="1348" spans="1:8" ht="156" x14ac:dyDescent="0.3">
      <c r="A1348" s="101">
        <v>4</v>
      </c>
      <c r="B1348" s="101">
        <v>2</v>
      </c>
      <c r="C1348" s="146" t="s">
        <v>13</v>
      </c>
      <c r="D1348" s="27" t="s">
        <v>1</v>
      </c>
      <c r="E1348" s="32" t="s">
        <v>2249</v>
      </c>
      <c r="F1348" s="26" t="s">
        <v>51</v>
      </c>
      <c r="G1348" s="26">
        <v>707</v>
      </c>
      <c r="H1348" s="138" t="s">
        <v>2250</v>
      </c>
    </row>
    <row r="1349" spans="1:8" ht="140.4" x14ac:dyDescent="0.3">
      <c r="A1349" s="101">
        <v>4</v>
      </c>
      <c r="B1349" s="101">
        <v>2</v>
      </c>
      <c r="C1349" s="146" t="s">
        <v>13</v>
      </c>
      <c r="D1349" s="27" t="s">
        <v>1</v>
      </c>
      <c r="E1349" s="32" t="s">
        <v>2251</v>
      </c>
      <c r="F1349" s="26" t="s">
        <v>51</v>
      </c>
      <c r="G1349" s="26">
        <v>105</v>
      </c>
      <c r="H1349" s="138" t="s">
        <v>2252</v>
      </c>
    </row>
    <row r="1350" spans="1:8" ht="140.4" x14ac:dyDescent="0.3">
      <c r="A1350" s="101">
        <v>4</v>
      </c>
      <c r="B1350" s="101">
        <v>2</v>
      </c>
      <c r="C1350" s="146" t="s">
        <v>13</v>
      </c>
      <c r="D1350" s="27" t="s">
        <v>1</v>
      </c>
      <c r="E1350" s="32" t="s">
        <v>2253</v>
      </c>
      <c r="F1350" s="26" t="s">
        <v>51</v>
      </c>
      <c r="G1350" s="26">
        <v>4</v>
      </c>
      <c r="H1350" s="138" t="s">
        <v>2254</v>
      </c>
    </row>
    <row r="1351" spans="1:8" ht="78" x14ac:dyDescent="0.3">
      <c r="A1351" s="101">
        <v>4</v>
      </c>
      <c r="B1351" s="101">
        <v>2</v>
      </c>
      <c r="C1351" s="146" t="s">
        <v>13</v>
      </c>
      <c r="D1351" s="27" t="s">
        <v>1</v>
      </c>
      <c r="E1351" s="32" t="s">
        <v>2255</v>
      </c>
      <c r="F1351" s="26" t="s">
        <v>51</v>
      </c>
      <c r="G1351" s="26">
        <v>206</v>
      </c>
      <c r="H1351" s="138" t="s">
        <v>2256</v>
      </c>
    </row>
    <row r="1352" spans="1:8" ht="93.6" x14ac:dyDescent="0.3">
      <c r="A1352" s="101">
        <v>4</v>
      </c>
      <c r="B1352" s="101">
        <v>2</v>
      </c>
      <c r="C1352" s="146" t="s">
        <v>13</v>
      </c>
      <c r="D1352" s="27" t="s">
        <v>65</v>
      </c>
      <c r="E1352" s="32" t="s">
        <v>2257</v>
      </c>
      <c r="F1352" s="26" t="s">
        <v>51</v>
      </c>
      <c r="G1352" s="26">
        <v>166</v>
      </c>
      <c r="H1352" s="138" t="s">
        <v>2258</v>
      </c>
    </row>
    <row r="1353" spans="1:8" ht="140.4" x14ac:dyDescent="0.3">
      <c r="A1353" s="101">
        <v>4</v>
      </c>
      <c r="B1353" s="101">
        <v>2</v>
      </c>
      <c r="C1353" s="146" t="s">
        <v>13</v>
      </c>
      <c r="D1353" s="27" t="s">
        <v>65</v>
      </c>
      <c r="E1353" s="32" t="s">
        <v>2259</v>
      </c>
      <c r="F1353" s="26" t="s">
        <v>51</v>
      </c>
      <c r="G1353" s="26" t="s">
        <v>75</v>
      </c>
      <c r="H1353" s="138" t="s">
        <v>2260</v>
      </c>
    </row>
    <row r="1354" spans="1:8" ht="124.8" x14ac:dyDescent="0.3">
      <c r="A1354" s="101">
        <v>4</v>
      </c>
      <c r="B1354" s="101">
        <v>2</v>
      </c>
      <c r="C1354" s="146" t="s">
        <v>13</v>
      </c>
      <c r="D1354" s="27" t="s">
        <v>65</v>
      </c>
      <c r="E1354" s="32" t="s">
        <v>2261</v>
      </c>
      <c r="F1354" s="26" t="s">
        <v>51</v>
      </c>
      <c r="G1354" s="26">
        <v>8</v>
      </c>
      <c r="H1354" s="138" t="s">
        <v>2262</v>
      </c>
    </row>
    <row r="1355" spans="1:8" ht="109.2" x14ac:dyDescent="0.3">
      <c r="A1355" s="101">
        <v>4</v>
      </c>
      <c r="B1355" s="101">
        <v>2</v>
      </c>
      <c r="C1355" s="146" t="s">
        <v>13</v>
      </c>
      <c r="D1355" s="27" t="s">
        <v>65</v>
      </c>
      <c r="E1355" s="32" t="s">
        <v>2263</v>
      </c>
      <c r="F1355" s="26" t="s">
        <v>51</v>
      </c>
      <c r="G1355" s="26">
        <v>16</v>
      </c>
      <c r="H1355" s="138" t="s">
        <v>2264</v>
      </c>
    </row>
    <row r="1356" spans="1:8" ht="93.6" x14ac:dyDescent="0.3">
      <c r="A1356" s="101">
        <v>4</v>
      </c>
      <c r="B1356" s="101">
        <v>2</v>
      </c>
      <c r="C1356" s="146" t="s">
        <v>13</v>
      </c>
      <c r="D1356" s="27" t="s">
        <v>65</v>
      </c>
      <c r="E1356" s="32" t="s">
        <v>2265</v>
      </c>
      <c r="F1356" s="26" t="s">
        <v>51</v>
      </c>
      <c r="G1356" s="26">
        <v>93</v>
      </c>
      <c r="H1356" s="138" t="s">
        <v>2266</v>
      </c>
    </row>
    <row r="1357" spans="1:8" ht="93.6" x14ac:dyDescent="0.3">
      <c r="A1357" s="101">
        <v>4</v>
      </c>
      <c r="B1357" s="101">
        <v>2</v>
      </c>
      <c r="C1357" s="146" t="s">
        <v>13</v>
      </c>
      <c r="D1357" s="27" t="s">
        <v>65</v>
      </c>
      <c r="E1357" s="32" t="s">
        <v>2267</v>
      </c>
      <c r="F1357" s="26" t="s">
        <v>51</v>
      </c>
      <c r="G1357" s="26" t="s">
        <v>75</v>
      </c>
      <c r="H1357" s="138" t="s">
        <v>2268</v>
      </c>
    </row>
    <row r="1358" spans="1:8" ht="78" x14ac:dyDescent="0.3">
      <c r="A1358" s="233">
        <v>4</v>
      </c>
      <c r="B1358" s="233">
        <v>2</v>
      </c>
      <c r="C1358" s="234" t="s">
        <v>13</v>
      </c>
      <c r="D1358" s="235" t="s">
        <v>1713</v>
      </c>
      <c r="E1358" s="104" t="s">
        <v>2269</v>
      </c>
      <c r="F1358" s="102" t="s">
        <v>51</v>
      </c>
      <c r="G1358" s="102">
        <v>1355</v>
      </c>
      <c r="H1358" s="236" t="s">
        <v>2270</v>
      </c>
    </row>
    <row r="1359" spans="1:8" ht="93.6" x14ac:dyDescent="0.3">
      <c r="A1359" s="101">
        <v>5</v>
      </c>
      <c r="B1359" s="101">
        <v>2</v>
      </c>
      <c r="C1359" s="146" t="s">
        <v>95</v>
      </c>
      <c r="D1359" s="27" t="s">
        <v>1</v>
      </c>
      <c r="E1359" s="32" t="s">
        <v>2271</v>
      </c>
      <c r="F1359" s="26" t="s">
        <v>51</v>
      </c>
      <c r="G1359" s="26">
        <v>4</v>
      </c>
      <c r="H1359" s="138" t="s">
        <v>2272</v>
      </c>
    </row>
    <row r="1360" spans="1:8" ht="187.2" x14ac:dyDescent="0.3">
      <c r="A1360" s="101">
        <v>5</v>
      </c>
      <c r="B1360" s="101">
        <v>2</v>
      </c>
      <c r="C1360" s="146" t="s">
        <v>95</v>
      </c>
      <c r="D1360" s="27" t="s">
        <v>1713</v>
      </c>
      <c r="E1360" s="32" t="s">
        <v>2273</v>
      </c>
      <c r="F1360" s="26" t="s">
        <v>51</v>
      </c>
      <c r="G1360" s="26">
        <v>689</v>
      </c>
      <c r="H1360" s="138" t="s">
        <v>2274</v>
      </c>
    </row>
    <row r="1361" spans="1:8" ht="78" x14ac:dyDescent="0.3">
      <c r="A1361" s="101">
        <v>5</v>
      </c>
      <c r="B1361" s="101">
        <v>2</v>
      </c>
      <c r="C1361" s="146" t="s">
        <v>95</v>
      </c>
      <c r="D1361" s="27" t="s">
        <v>1</v>
      </c>
      <c r="E1361" s="32" t="s">
        <v>2275</v>
      </c>
      <c r="F1361" s="26" t="s">
        <v>51</v>
      </c>
      <c r="G1361" s="26">
        <v>22</v>
      </c>
      <c r="H1361" s="138" t="s">
        <v>2276</v>
      </c>
    </row>
    <row r="1362" spans="1:8" ht="62.4" x14ac:dyDescent="0.3">
      <c r="A1362" s="101">
        <v>5</v>
      </c>
      <c r="B1362" s="101">
        <v>2</v>
      </c>
      <c r="C1362" s="146" t="s">
        <v>95</v>
      </c>
      <c r="D1362" s="27" t="s">
        <v>1</v>
      </c>
      <c r="E1362" s="32" t="s">
        <v>2277</v>
      </c>
      <c r="F1362" s="26" t="s">
        <v>51</v>
      </c>
      <c r="G1362" s="26">
        <v>47</v>
      </c>
      <c r="H1362" s="138" t="s">
        <v>2278</v>
      </c>
    </row>
    <row r="1363" spans="1:8" ht="124.8" x14ac:dyDescent="0.3">
      <c r="A1363" s="101">
        <v>5</v>
      </c>
      <c r="B1363" s="101">
        <v>2</v>
      </c>
      <c r="C1363" s="146" t="s">
        <v>95</v>
      </c>
      <c r="D1363" s="27" t="s">
        <v>1</v>
      </c>
      <c r="E1363" s="32" t="s">
        <v>2279</v>
      </c>
      <c r="F1363" s="26" t="s">
        <v>51</v>
      </c>
      <c r="G1363" s="26">
        <v>142</v>
      </c>
      <c r="H1363" s="138" t="s">
        <v>2280</v>
      </c>
    </row>
    <row r="1364" spans="1:8" ht="109.2" x14ac:dyDescent="0.3">
      <c r="A1364" s="101">
        <v>5</v>
      </c>
      <c r="B1364" s="101">
        <v>2</v>
      </c>
      <c r="C1364" s="146" t="s">
        <v>95</v>
      </c>
      <c r="D1364" s="27" t="s">
        <v>541</v>
      </c>
      <c r="E1364" s="32" t="s">
        <v>2281</v>
      </c>
      <c r="F1364" s="26" t="s">
        <v>51</v>
      </c>
      <c r="G1364" s="26">
        <v>2</v>
      </c>
      <c r="H1364" s="138" t="s">
        <v>2282</v>
      </c>
    </row>
    <row r="1365" spans="1:8" ht="124.8" x14ac:dyDescent="0.3">
      <c r="A1365" s="101">
        <v>5</v>
      </c>
      <c r="B1365" s="101">
        <v>2</v>
      </c>
      <c r="C1365" s="146" t="s">
        <v>95</v>
      </c>
      <c r="D1365" s="27" t="s">
        <v>65</v>
      </c>
      <c r="E1365" s="32" t="s">
        <v>2283</v>
      </c>
      <c r="F1365" s="26" t="s">
        <v>51</v>
      </c>
      <c r="G1365" s="26">
        <v>437</v>
      </c>
      <c r="H1365" s="138" t="s">
        <v>2284</v>
      </c>
    </row>
    <row r="1366" spans="1:8" ht="78" x14ac:dyDescent="0.3">
      <c r="A1366" s="101">
        <v>5</v>
      </c>
      <c r="B1366" s="101">
        <v>2</v>
      </c>
      <c r="C1366" s="146" t="s">
        <v>95</v>
      </c>
      <c r="D1366" s="27" t="s">
        <v>65</v>
      </c>
      <c r="E1366" s="32" t="s">
        <v>2285</v>
      </c>
      <c r="F1366" s="26" t="s">
        <v>51</v>
      </c>
      <c r="G1366" s="26">
        <v>9</v>
      </c>
      <c r="H1366" s="138" t="s">
        <v>2286</v>
      </c>
    </row>
    <row r="1367" spans="1:8" ht="171.6" x14ac:dyDescent="0.3">
      <c r="A1367" s="101">
        <v>5</v>
      </c>
      <c r="B1367" s="101">
        <v>2</v>
      </c>
      <c r="C1367" s="146" t="s">
        <v>95</v>
      </c>
      <c r="D1367" s="27" t="s">
        <v>65</v>
      </c>
      <c r="E1367" s="32" t="s">
        <v>2287</v>
      </c>
      <c r="F1367" s="26" t="s">
        <v>51</v>
      </c>
      <c r="G1367" s="26" t="s">
        <v>394</v>
      </c>
      <c r="H1367" s="138" t="s">
        <v>2288</v>
      </c>
    </row>
    <row r="1368" spans="1:8" ht="109.2" x14ac:dyDescent="0.3">
      <c r="A1368" s="101">
        <v>5</v>
      </c>
      <c r="B1368" s="101">
        <v>2</v>
      </c>
      <c r="C1368" s="146" t="s">
        <v>95</v>
      </c>
      <c r="D1368" s="27" t="s">
        <v>65</v>
      </c>
      <c r="E1368" s="32" t="s">
        <v>2289</v>
      </c>
      <c r="F1368" s="26" t="s">
        <v>51</v>
      </c>
      <c r="G1368" s="26">
        <v>100</v>
      </c>
      <c r="H1368" s="138" t="s">
        <v>2290</v>
      </c>
    </row>
    <row r="1369" spans="1:8" ht="78" x14ac:dyDescent="0.3">
      <c r="A1369" s="233">
        <v>5</v>
      </c>
      <c r="B1369" s="233">
        <v>2</v>
      </c>
      <c r="C1369" s="234" t="s">
        <v>95</v>
      </c>
      <c r="D1369" s="235" t="s">
        <v>0</v>
      </c>
      <c r="E1369" s="104" t="s">
        <v>2291</v>
      </c>
      <c r="F1369" s="102" t="s">
        <v>51</v>
      </c>
      <c r="G1369" s="102" t="s">
        <v>394</v>
      </c>
      <c r="H1369" s="236" t="s">
        <v>2292</v>
      </c>
    </row>
    <row r="1370" spans="1:8" ht="62.4" x14ac:dyDescent="0.3">
      <c r="A1370" s="101">
        <v>6</v>
      </c>
      <c r="B1370" s="101">
        <v>2</v>
      </c>
      <c r="C1370" s="146" t="s">
        <v>99</v>
      </c>
      <c r="D1370" s="27" t="s">
        <v>1</v>
      </c>
      <c r="E1370" s="32" t="s">
        <v>2293</v>
      </c>
      <c r="F1370" s="26" t="s">
        <v>51</v>
      </c>
      <c r="G1370" s="26">
        <v>230</v>
      </c>
      <c r="H1370" s="138" t="s">
        <v>2294</v>
      </c>
    </row>
    <row r="1371" spans="1:8" ht="62.4" x14ac:dyDescent="0.3">
      <c r="A1371" s="101">
        <v>6</v>
      </c>
      <c r="B1371" s="101">
        <v>2</v>
      </c>
      <c r="C1371" s="146" t="s">
        <v>99</v>
      </c>
      <c r="D1371" s="27" t="s">
        <v>1</v>
      </c>
      <c r="E1371" s="32" t="s">
        <v>2295</v>
      </c>
      <c r="F1371" s="26" t="s">
        <v>63</v>
      </c>
      <c r="G1371" s="26">
        <v>60</v>
      </c>
      <c r="H1371" s="138" t="s">
        <v>2294</v>
      </c>
    </row>
    <row r="1372" spans="1:8" ht="62.4" x14ac:dyDescent="0.3">
      <c r="A1372" s="101">
        <v>6</v>
      </c>
      <c r="B1372" s="101">
        <v>2</v>
      </c>
      <c r="C1372" s="146" t="s">
        <v>99</v>
      </c>
      <c r="D1372" s="27" t="s">
        <v>1</v>
      </c>
      <c r="E1372" s="32" t="s">
        <v>2296</v>
      </c>
      <c r="F1372" s="26" t="s">
        <v>51</v>
      </c>
      <c r="G1372" s="26">
        <v>437</v>
      </c>
      <c r="H1372" s="138" t="s">
        <v>2297</v>
      </c>
    </row>
    <row r="1373" spans="1:8" ht="62.4" x14ac:dyDescent="0.3">
      <c r="A1373" s="101">
        <v>6</v>
      </c>
      <c r="B1373" s="101">
        <v>2</v>
      </c>
      <c r="C1373" s="146" t="s">
        <v>99</v>
      </c>
      <c r="D1373" s="27" t="s">
        <v>1</v>
      </c>
      <c r="E1373" s="32" t="s">
        <v>2298</v>
      </c>
      <c r="F1373" s="26" t="s">
        <v>51</v>
      </c>
      <c r="G1373" s="26">
        <v>31</v>
      </c>
      <c r="H1373" s="138" t="s">
        <v>2299</v>
      </c>
    </row>
    <row r="1374" spans="1:8" ht="62.4" x14ac:dyDescent="0.3">
      <c r="A1374" s="101">
        <v>6</v>
      </c>
      <c r="B1374" s="101">
        <v>2</v>
      </c>
      <c r="C1374" s="146" t="s">
        <v>99</v>
      </c>
      <c r="D1374" s="27" t="s">
        <v>65</v>
      </c>
      <c r="E1374" s="32" t="s">
        <v>2300</v>
      </c>
      <c r="F1374" s="26" t="s">
        <v>51</v>
      </c>
      <c r="G1374" s="26">
        <v>4</v>
      </c>
      <c r="H1374" s="138" t="s">
        <v>2301</v>
      </c>
    </row>
    <row r="1375" spans="1:8" ht="62.4" x14ac:dyDescent="0.3">
      <c r="A1375" s="101">
        <v>6</v>
      </c>
      <c r="B1375" s="101">
        <v>2</v>
      </c>
      <c r="C1375" s="146" t="s">
        <v>99</v>
      </c>
      <c r="D1375" s="27" t="s">
        <v>1</v>
      </c>
      <c r="E1375" s="32" t="s">
        <v>2302</v>
      </c>
      <c r="F1375" s="26" t="s">
        <v>51</v>
      </c>
      <c r="G1375" s="26">
        <v>46</v>
      </c>
      <c r="H1375" s="138" t="s">
        <v>2303</v>
      </c>
    </row>
    <row r="1376" spans="1:8" ht="62.4" x14ac:dyDescent="0.3">
      <c r="A1376" s="101">
        <v>6</v>
      </c>
      <c r="B1376" s="101">
        <v>2</v>
      </c>
      <c r="C1376" s="146" t="s">
        <v>99</v>
      </c>
      <c r="D1376" s="27" t="s">
        <v>1</v>
      </c>
      <c r="E1376" s="32" t="s">
        <v>2304</v>
      </c>
      <c r="F1376" s="26" t="s">
        <v>51</v>
      </c>
      <c r="G1376" s="26">
        <v>76</v>
      </c>
      <c r="H1376" s="138" t="s">
        <v>2305</v>
      </c>
    </row>
    <row r="1377" spans="1:8" ht="62.4" x14ac:dyDescent="0.3">
      <c r="A1377" s="101">
        <v>6</v>
      </c>
      <c r="B1377" s="101">
        <v>2</v>
      </c>
      <c r="C1377" s="146" t="s">
        <v>99</v>
      </c>
      <c r="D1377" s="27" t="s">
        <v>119</v>
      </c>
      <c r="E1377" s="32" t="s">
        <v>2306</v>
      </c>
      <c r="F1377" s="26" t="s">
        <v>51</v>
      </c>
      <c r="G1377" s="26">
        <v>92</v>
      </c>
      <c r="H1377" s="138" t="s">
        <v>2307</v>
      </c>
    </row>
    <row r="1378" spans="1:8" ht="46.8" x14ac:dyDescent="0.3">
      <c r="A1378" s="101">
        <v>6</v>
      </c>
      <c r="B1378" s="101">
        <v>2</v>
      </c>
      <c r="C1378" s="146" t="s">
        <v>99</v>
      </c>
      <c r="D1378" s="27" t="s">
        <v>119</v>
      </c>
      <c r="E1378" s="32" t="s">
        <v>2308</v>
      </c>
      <c r="F1378" s="26" t="s">
        <v>51</v>
      </c>
      <c r="G1378" s="26">
        <v>40</v>
      </c>
      <c r="H1378" s="138" t="s">
        <v>2309</v>
      </c>
    </row>
    <row r="1379" spans="1:8" ht="62.4" x14ac:dyDescent="0.3">
      <c r="A1379" s="101">
        <v>6</v>
      </c>
      <c r="B1379" s="101">
        <v>2</v>
      </c>
      <c r="C1379" s="146" t="s">
        <v>99</v>
      </c>
      <c r="D1379" s="27" t="s">
        <v>65</v>
      </c>
      <c r="E1379" s="32" t="s">
        <v>2310</v>
      </c>
      <c r="F1379" s="26" t="s">
        <v>51</v>
      </c>
      <c r="G1379" s="26">
        <v>12</v>
      </c>
      <c r="H1379" s="138" t="s">
        <v>2311</v>
      </c>
    </row>
    <row r="1380" spans="1:8" ht="62.4" x14ac:dyDescent="0.3">
      <c r="A1380" s="101">
        <v>6</v>
      </c>
      <c r="B1380" s="101">
        <v>2</v>
      </c>
      <c r="C1380" s="146" t="s">
        <v>99</v>
      </c>
      <c r="D1380" s="27" t="s">
        <v>0</v>
      </c>
      <c r="E1380" s="32" t="s">
        <v>2312</v>
      </c>
      <c r="F1380" s="26" t="s">
        <v>51</v>
      </c>
      <c r="G1380" s="26">
        <v>437</v>
      </c>
      <c r="H1380" s="138" t="s">
        <v>2313</v>
      </c>
    </row>
    <row r="1381" spans="1:8" ht="62.4" x14ac:dyDescent="0.3">
      <c r="A1381" s="101">
        <v>6</v>
      </c>
      <c r="B1381" s="101">
        <v>2</v>
      </c>
      <c r="C1381" s="146" t="s">
        <v>99</v>
      </c>
      <c r="D1381" s="27" t="s">
        <v>0</v>
      </c>
      <c r="E1381" s="32" t="s">
        <v>2314</v>
      </c>
      <c r="F1381" s="26" t="s">
        <v>63</v>
      </c>
      <c r="G1381" s="26">
        <v>20</v>
      </c>
      <c r="H1381" s="138" t="s">
        <v>2315</v>
      </c>
    </row>
    <row r="1382" spans="1:8" ht="62.4" x14ac:dyDescent="0.3">
      <c r="A1382" s="101">
        <v>6</v>
      </c>
      <c r="B1382" s="101">
        <v>2</v>
      </c>
      <c r="C1382" s="146" t="s">
        <v>99</v>
      </c>
      <c r="D1382" s="27" t="s">
        <v>4</v>
      </c>
      <c r="E1382" s="32" t="s">
        <v>2316</v>
      </c>
      <c r="F1382" s="26" t="s">
        <v>51</v>
      </c>
      <c r="G1382" s="26">
        <v>4</v>
      </c>
      <c r="H1382" s="138" t="s">
        <v>2317</v>
      </c>
    </row>
    <row r="1383" spans="1:8" ht="109.2" x14ac:dyDescent="0.3">
      <c r="A1383" s="101">
        <v>6</v>
      </c>
      <c r="B1383" s="101">
        <v>2</v>
      </c>
      <c r="C1383" s="146" t="s">
        <v>99</v>
      </c>
      <c r="D1383" s="27" t="s">
        <v>1713</v>
      </c>
      <c r="E1383" s="32" t="s">
        <v>2318</v>
      </c>
      <c r="F1383" s="26" t="s">
        <v>51</v>
      </c>
      <c r="G1383" s="26">
        <v>16</v>
      </c>
      <c r="H1383" s="138" t="s">
        <v>2319</v>
      </c>
    </row>
    <row r="1384" spans="1:8" ht="93.6" x14ac:dyDescent="0.3">
      <c r="A1384" s="101">
        <v>6</v>
      </c>
      <c r="B1384" s="101">
        <v>2</v>
      </c>
      <c r="C1384" s="146" t="s">
        <v>99</v>
      </c>
      <c r="D1384" s="27" t="s">
        <v>1</v>
      </c>
      <c r="E1384" s="32" t="s">
        <v>2320</v>
      </c>
      <c r="F1384" s="26" t="s">
        <v>51</v>
      </c>
      <c r="G1384" s="26" t="s">
        <v>75</v>
      </c>
      <c r="H1384" s="138" t="s">
        <v>2321</v>
      </c>
    </row>
    <row r="1385" spans="1:8" ht="93.6" x14ac:dyDescent="0.3">
      <c r="A1385" s="101">
        <v>6</v>
      </c>
      <c r="B1385" s="101">
        <v>2</v>
      </c>
      <c r="C1385" s="146" t="s">
        <v>99</v>
      </c>
      <c r="D1385" s="27" t="s">
        <v>65</v>
      </c>
      <c r="E1385" s="32" t="s">
        <v>2322</v>
      </c>
      <c r="F1385" s="26" t="s">
        <v>51</v>
      </c>
      <c r="G1385" s="26" t="s">
        <v>75</v>
      </c>
      <c r="H1385" s="138" t="s">
        <v>2323</v>
      </c>
    </row>
    <row r="1386" spans="1:8" ht="78" x14ac:dyDescent="0.3">
      <c r="A1386" s="101">
        <v>6</v>
      </c>
      <c r="B1386" s="101">
        <v>2</v>
      </c>
      <c r="C1386" s="146" t="s">
        <v>99</v>
      </c>
      <c r="D1386" s="27" t="s">
        <v>0</v>
      </c>
      <c r="E1386" s="32" t="s">
        <v>2324</v>
      </c>
      <c r="F1386" s="26" t="s">
        <v>51</v>
      </c>
      <c r="G1386" s="26" t="s">
        <v>75</v>
      </c>
      <c r="H1386" s="138" t="s">
        <v>2325</v>
      </c>
    </row>
    <row r="1387" spans="1:8" ht="62.4" x14ac:dyDescent="0.3">
      <c r="A1387" s="101">
        <v>6</v>
      </c>
      <c r="B1387" s="101">
        <v>2</v>
      </c>
      <c r="C1387" s="146" t="s">
        <v>99</v>
      </c>
      <c r="D1387" s="27" t="s">
        <v>4</v>
      </c>
      <c r="E1387" s="32" t="s">
        <v>2326</v>
      </c>
      <c r="F1387" s="26" t="s">
        <v>51</v>
      </c>
      <c r="G1387" s="26" t="s">
        <v>75</v>
      </c>
      <c r="H1387" s="138" t="s">
        <v>2327</v>
      </c>
    </row>
    <row r="1388" spans="1:8" ht="78" x14ac:dyDescent="0.3">
      <c r="A1388" s="101">
        <v>6</v>
      </c>
      <c r="B1388" s="101">
        <v>2</v>
      </c>
      <c r="C1388" s="146" t="s">
        <v>99</v>
      </c>
      <c r="D1388" s="27" t="s">
        <v>541</v>
      </c>
      <c r="E1388" s="32" t="s">
        <v>2328</v>
      </c>
      <c r="F1388" s="26" t="s">
        <v>51</v>
      </c>
      <c r="G1388" s="26" t="s">
        <v>75</v>
      </c>
      <c r="H1388" s="138" t="s">
        <v>2325</v>
      </c>
    </row>
    <row r="1389" spans="1:8" ht="109.2" x14ac:dyDescent="0.3">
      <c r="A1389" s="101">
        <v>6</v>
      </c>
      <c r="B1389" s="101">
        <v>2</v>
      </c>
      <c r="C1389" s="146" t="s">
        <v>99</v>
      </c>
      <c r="D1389" s="27" t="s">
        <v>65</v>
      </c>
      <c r="E1389" s="32" t="s">
        <v>2329</v>
      </c>
      <c r="F1389" s="26" t="s">
        <v>51</v>
      </c>
      <c r="G1389" s="26">
        <v>45</v>
      </c>
      <c r="H1389" s="138" t="s">
        <v>2330</v>
      </c>
    </row>
    <row r="1390" spans="1:8" ht="109.2" x14ac:dyDescent="0.3">
      <c r="A1390" s="101">
        <v>6</v>
      </c>
      <c r="B1390" s="101">
        <v>2</v>
      </c>
      <c r="C1390" s="146" t="s">
        <v>99</v>
      </c>
      <c r="D1390" s="27" t="s">
        <v>1713</v>
      </c>
      <c r="E1390" s="32" t="s">
        <v>2331</v>
      </c>
      <c r="F1390" s="26" t="s">
        <v>51</v>
      </c>
      <c r="G1390" s="26" t="s">
        <v>75</v>
      </c>
      <c r="H1390" s="138" t="s">
        <v>2325</v>
      </c>
    </row>
    <row r="1391" spans="1:8" ht="109.2" x14ac:dyDescent="0.3">
      <c r="A1391" s="101">
        <v>6</v>
      </c>
      <c r="B1391" s="101">
        <v>2</v>
      </c>
      <c r="C1391" s="146" t="s">
        <v>99</v>
      </c>
      <c r="D1391" s="27" t="s">
        <v>65</v>
      </c>
      <c r="E1391" s="32" t="s">
        <v>2332</v>
      </c>
      <c r="F1391" s="26" t="s">
        <v>51</v>
      </c>
      <c r="G1391" s="26" t="s">
        <v>394</v>
      </c>
      <c r="H1391" s="138" t="s">
        <v>2325</v>
      </c>
    </row>
    <row r="1392" spans="1:8" ht="46.8" x14ac:dyDescent="0.3">
      <c r="A1392" s="233">
        <v>6</v>
      </c>
      <c r="B1392" s="233">
        <v>2</v>
      </c>
      <c r="C1392" s="234" t="s">
        <v>99</v>
      </c>
      <c r="D1392" s="235" t="s">
        <v>65</v>
      </c>
      <c r="E1392" s="104" t="s">
        <v>2333</v>
      </c>
      <c r="F1392" s="102" t="s">
        <v>51</v>
      </c>
      <c r="G1392" s="102" t="s">
        <v>394</v>
      </c>
      <c r="H1392" s="236" t="s">
        <v>2334</v>
      </c>
    </row>
    <row r="1393" spans="1:8" ht="78" x14ac:dyDescent="0.3">
      <c r="A1393" s="101">
        <v>7</v>
      </c>
      <c r="B1393" s="101">
        <v>2</v>
      </c>
      <c r="C1393" s="146" t="s">
        <v>1840</v>
      </c>
      <c r="D1393" s="27" t="s">
        <v>65</v>
      </c>
      <c r="E1393" s="32" t="s">
        <v>2335</v>
      </c>
      <c r="F1393" s="26" t="s">
        <v>51</v>
      </c>
      <c r="G1393" s="26" t="s">
        <v>394</v>
      </c>
      <c r="H1393" s="138" t="s">
        <v>2336</v>
      </c>
    </row>
    <row r="1394" spans="1:8" ht="109.2" x14ac:dyDescent="0.3">
      <c r="A1394" s="101">
        <v>7</v>
      </c>
      <c r="B1394" s="101">
        <v>2</v>
      </c>
      <c r="C1394" s="146" t="s">
        <v>1840</v>
      </c>
      <c r="D1394" s="27" t="s">
        <v>1</v>
      </c>
      <c r="E1394" s="32" t="s">
        <v>2337</v>
      </c>
      <c r="F1394" s="26" t="s">
        <v>63</v>
      </c>
      <c r="G1394" s="26">
        <v>17</v>
      </c>
      <c r="H1394" s="138" t="s">
        <v>2338</v>
      </c>
    </row>
    <row r="1395" spans="1:8" ht="78" x14ac:dyDescent="0.3">
      <c r="A1395" s="101">
        <v>7</v>
      </c>
      <c r="B1395" s="101">
        <v>2</v>
      </c>
      <c r="C1395" s="146" t="s">
        <v>1840</v>
      </c>
      <c r="D1395" s="27" t="s">
        <v>1713</v>
      </c>
      <c r="E1395" s="32" t="s">
        <v>2339</v>
      </c>
      <c r="F1395" s="26" t="s">
        <v>63</v>
      </c>
      <c r="G1395" s="26">
        <v>60</v>
      </c>
      <c r="H1395" s="138" t="s">
        <v>2340</v>
      </c>
    </row>
    <row r="1396" spans="1:8" ht="93.6" x14ac:dyDescent="0.3">
      <c r="A1396" s="101">
        <v>7</v>
      </c>
      <c r="B1396" s="101">
        <v>2</v>
      </c>
      <c r="C1396" s="146" t="s">
        <v>1840</v>
      </c>
      <c r="D1396" s="27" t="s">
        <v>1</v>
      </c>
      <c r="E1396" s="32" t="s">
        <v>2341</v>
      </c>
      <c r="F1396" s="26" t="s">
        <v>63</v>
      </c>
      <c r="G1396" s="26">
        <v>170</v>
      </c>
      <c r="H1396" s="138" t="s">
        <v>2342</v>
      </c>
    </row>
    <row r="1397" spans="1:8" ht="46.8" x14ac:dyDescent="0.3">
      <c r="A1397" s="101">
        <v>7</v>
      </c>
      <c r="B1397" s="101">
        <v>2</v>
      </c>
      <c r="C1397" s="146" t="s">
        <v>1840</v>
      </c>
      <c r="D1397" s="27" t="s">
        <v>65</v>
      </c>
      <c r="E1397" s="32" t="s">
        <v>2343</v>
      </c>
      <c r="F1397" s="26" t="s">
        <v>63</v>
      </c>
      <c r="G1397" s="26">
        <v>1</v>
      </c>
      <c r="H1397" s="138" t="s">
        <v>2344</v>
      </c>
    </row>
    <row r="1398" spans="1:8" ht="93.6" x14ac:dyDescent="0.3">
      <c r="A1398" s="101">
        <v>7</v>
      </c>
      <c r="B1398" s="101">
        <v>2</v>
      </c>
      <c r="C1398" s="146" t="s">
        <v>1840</v>
      </c>
      <c r="D1398" s="27" t="s">
        <v>1</v>
      </c>
      <c r="E1398" s="32" t="s">
        <v>2345</v>
      </c>
      <c r="F1398" s="26" t="s">
        <v>63</v>
      </c>
      <c r="G1398" s="26">
        <v>170</v>
      </c>
      <c r="H1398" s="138" t="s">
        <v>2346</v>
      </c>
    </row>
    <row r="1399" spans="1:8" ht="78" x14ac:dyDescent="0.3">
      <c r="A1399" s="101">
        <v>7</v>
      </c>
      <c r="B1399" s="101">
        <v>2</v>
      </c>
      <c r="C1399" s="146" t="s">
        <v>1840</v>
      </c>
      <c r="D1399" s="27" t="s">
        <v>1</v>
      </c>
      <c r="E1399" s="32" t="s">
        <v>2347</v>
      </c>
      <c r="F1399" s="26" t="s">
        <v>51</v>
      </c>
      <c r="G1399" s="26">
        <v>697</v>
      </c>
      <c r="H1399" s="138" t="s">
        <v>2348</v>
      </c>
    </row>
    <row r="1400" spans="1:8" ht="93.6" x14ac:dyDescent="0.3">
      <c r="A1400" s="101">
        <v>7</v>
      </c>
      <c r="B1400" s="101">
        <v>2</v>
      </c>
      <c r="C1400" s="146" t="s">
        <v>1840</v>
      </c>
      <c r="D1400" s="27" t="s">
        <v>1</v>
      </c>
      <c r="E1400" s="32" t="s">
        <v>2349</v>
      </c>
      <c r="F1400" s="26" t="s">
        <v>63</v>
      </c>
      <c r="G1400" s="26">
        <v>39</v>
      </c>
      <c r="H1400" s="138" t="s">
        <v>2350</v>
      </c>
    </row>
    <row r="1401" spans="1:8" ht="109.2" x14ac:dyDescent="0.3">
      <c r="A1401" s="101">
        <v>7</v>
      </c>
      <c r="B1401" s="101">
        <v>2</v>
      </c>
      <c r="C1401" s="146" t="s">
        <v>1840</v>
      </c>
      <c r="D1401" s="27" t="s">
        <v>1</v>
      </c>
      <c r="E1401" s="32" t="s">
        <v>2351</v>
      </c>
      <c r="F1401" s="26" t="s">
        <v>63</v>
      </c>
      <c r="G1401" s="26">
        <v>50</v>
      </c>
      <c r="H1401" s="138" t="s">
        <v>2352</v>
      </c>
    </row>
    <row r="1402" spans="1:8" ht="78" x14ac:dyDescent="0.3">
      <c r="A1402" s="101">
        <v>7</v>
      </c>
      <c r="B1402" s="101">
        <v>2</v>
      </c>
      <c r="C1402" s="146" t="s">
        <v>1840</v>
      </c>
      <c r="D1402" s="27" t="s">
        <v>1</v>
      </c>
      <c r="E1402" s="32" t="s">
        <v>2353</v>
      </c>
      <c r="F1402" s="26" t="s">
        <v>63</v>
      </c>
      <c r="G1402" s="26">
        <v>90</v>
      </c>
      <c r="H1402" s="138" t="s">
        <v>2354</v>
      </c>
    </row>
    <row r="1403" spans="1:8" ht="78" x14ac:dyDescent="0.3">
      <c r="A1403" s="233">
        <v>7</v>
      </c>
      <c r="B1403" s="233">
        <v>2</v>
      </c>
      <c r="C1403" s="234" t="s">
        <v>1840</v>
      </c>
      <c r="D1403" s="235" t="s">
        <v>0</v>
      </c>
      <c r="E1403" s="104" t="s">
        <v>2355</v>
      </c>
      <c r="F1403" s="102" t="s">
        <v>63</v>
      </c>
      <c r="G1403" s="102">
        <v>60</v>
      </c>
      <c r="H1403" s="236" t="s">
        <v>2356</v>
      </c>
    </row>
    <row r="1404" spans="1:8" ht="46.8" x14ac:dyDescent="0.3">
      <c r="A1404" s="101">
        <v>8</v>
      </c>
      <c r="B1404" s="101">
        <v>2</v>
      </c>
      <c r="C1404" s="146" t="s">
        <v>17</v>
      </c>
      <c r="D1404" s="27" t="s">
        <v>119</v>
      </c>
      <c r="E1404" s="32" t="s">
        <v>2357</v>
      </c>
      <c r="F1404" s="26" t="s">
        <v>51</v>
      </c>
      <c r="G1404" s="26">
        <v>1</v>
      </c>
      <c r="H1404" s="138" t="s">
        <v>2358</v>
      </c>
    </row>
    <row r="1405" spans="1:8" ht="46.8" x14ac:dyDescent="0.3">
      <c r="A1405" s="101">
        <v>8</v>
      </c>
      <c r="B1405" s="101">
        <v>2</v>
      </c>
      <c r="C1405" s="146" t="s">
        <v>17</v>
      </c>
      <c r="D1405" s="27" t="s">
        <v>0</v>
      </c>
      <c r="E1405" s="32" t="s">
        <v>2359</v>
      </c>
      <c r="F1405" s="26" t="s">
        <v>51</v>
      </c>
      <c r="G1405" s="26">
        <v>4</v>
      </c>
      <c r="H1405" s="138" t="s">
        <v>2360</v>
      </c>
    </row>
    <row r="1406" spans="1:8" ht="46.8" x14ac:dyDescent="0.3">
      <c r="A1406" s="101">
        <v>8</v>
      </c>
      <c r="B1406" s="101">
        <v>2</v>
      </c>
      <c r="C1406" s="146" t="s">
        <v>17</v>
      </c>
      <c r="D1406" s="27" t="s">
        <v>0</v>
      </c>
      <c r="E1406" s="32" t="s">
        <v>1868</v>
      </c>
      <c r="F1406" s="26" t="s">
        <v>51</v>
      </c>
      <c r="G1406" s="26">
        <v>9</v>
      </c>
      <c r="H1406" s="138" t="s">
        <v>2361</v>
      </c>
    </row>
    <row r="1407" spans="1:8" ht="46.8" x14ac:dyDescent="0.3">
      <c r="A1407" s="101">
        <v>8</v>
      </c>
      <c r="B1407" s="101">
        <v>2</v>
      </c>
      <c r="C1407" s="146" t="s">
        <v>17</v>
      </c>
      <c r="D1407" s="27" t="s">
        <v>0</v>
      </c>
      <c r="E1407" s="32" t="s">
        <v>2362</v>
      </c>
      <c r="F1407" s="26" t="s">
        <v>51</v>
      </c>
      <c r="G1407" s="26">
        <v>11</v>
      </c>
      <c r="H1407" s="138" t="s">
        <v>2363</v>
      </c>
    </row>
    <row r="1408" spans="1:8" ht="46.8" x14ac:dyDescent="0.3">
      <c r="A1408" s="101">
        <v>8</v>
      </c>
      <c r="B1408" s="101">
        <v>2</v>
      </c>
      <c r="C1408" s="146" t="s">
        <v>17</v>
      </c>
      <c r="D1408" s="27" t="s">
        <v>1</v>
      </c>
      <c r="E1408" s="32" t="s">
        <v>2364</v>
      </c>
      <c r="F1408" s="26" t="s">
        <v>51</v>
      </c>
      <c r="G1408" s="26">
        <v>454</v>
      </c>
      <c r="H1408" s="138" t="s">
        <v>2365</v>
      </c>
    </row>
    <row r="1409" spans="1:8" ht="46.8" x14ac:dyDescent="0.3">
      <c r="A1409" s="101">
        <v>8</v>
      </c>
      <c r="B1409" s="101">
        <v>2</v>
      </c>
      <c r="C1409" s="146" t="s">
        <v>17</v>
      </c>
      <c r="D1409" s="27" t="s">
        <v>1</v>
      </c>
      <c r="E1409" s="32" t="s">
        <v>2366</v>
      </c>
      <c r="F1409" s="26" t="s">
        <v>51</v>
      </c>
      <c r="G1409" s="26">
        <v>60</v>
      </c>
      <c r="H1409" s="138" t="s">
        <v>2367</v>
      </c>
    </row>
    <row r="1410" spans="1:8" ht="46.8" x14ac:dyDescent="0.3">
      <c r="A1410" s="101">
        <v>8</v>
      </c>
      <c r="B1410" s="101">
        <v>2</v>
      </c>
      <c r="C1410" s="146" t="s">
        <v>17</v>
      </c>
      <c r="D1410" s="27" t="s">
        <v>1</v>
      </c>
      <c r="E1410" s="32" t="s">
        <v>1876</v>
      </c>
      <c r="F1410" s="26" t="s">
        <v>51</v>
      </c>
      <c r="G1410" s="26">
        <v>1</v>
      </c>
      <c r="H1410" s="138" t="s">
        <v>2368</v>
      </c>
    </row>
    <row r="1411" spans="1:8" ht="46.8" x14ac:dyDescent="0.3">
      <c r="A1411" s="101">
        <v>8</v>
      </c>
      <c r="B1411" s="101">
        <v>2</v>
      </c>
      <c r="C1411" s="146" t="s">
        <v>17</v>
      </c>
      <c r="D1411" s="27" t="s">
        <v>65</v>
      </c>
      <c r="E1411" s="32" t="s">
        <v>2369</v>
      </c>
      <c r="F1411" s="26" t="s">
        <v>51</v>
      </c>
      <c r="G1411" s="26">
        <v>9</v>
      </c>
      <c r="H1411" s="138" t="s">
        <v>2370</v>
      </c>
    </row>
    <row r="1412" spans="1:8" ht="46.8" x14ac:dyDescent="0.3">
      <c r="A1412" s="101">
        <v>8</v>
      </c>
      <c r="B1412" s="101">
        <v>2</v>
      </c>
      <c r="C1412" s="146" t="s">
        <v>17</v>
      </c>
      <c r="D1412" s="27" t="s">
        <v>65</v>
      </c>
      <c r="E1412" s="32" t="s">
        <v>2371</v>
      </c>
      <c r="F1412" s="26" t="s">
        <v>51</v>
      </c>
      <c r="G1412" s="26">
        <v>12</v>
      </c>
      <c r="H1412" s="138" t="s">
        <v>2372</v>
      </c>
    </row>
    <row r="1413" spans="1:8" ht="46.8" x14ac:dyDescent="0.3">
      <c r="A1413" s="101">
        <v>8</v>
      </c>
      <c r="B1413" s="101">
        <v>2</v>
      </c>
      <c r="C1413" s="146" t="s">
        <v>17</v>
      </c>
      <c r="D1413" s="27" t="s">
        <v>65</v>
      </c>
      <c r="E1413" s="32" t="s">
        <v>2373</v>
      </c>
      <c r="F1413" s="26" t="s">
        <v>51</v>
      </c>
      <c r="G1413" s="26">
        <v>12</v>
      </c>
      <c r="H1413" s="138" t="s">
        <v>1883</v>
      </c>
    </row>
    <row r="1414" spans="1:8" ht="62.4" x14ac:dyDescent="0.3">
      <c r="A1414" s="101">
        <v>8</v>
      </c>
      <c r="B1414" s="101">
        <v>2</v>
      </c>
      <c r="C1414" s="146" t="s">
        <v>17</v>
      </c>
      <c r="D1414" s="27" t="s">
        <v>65</v>
      </c>
      <c r="E1414" s="32" t="s">
        <v>2374</v>
      </c>
      <c r="F1414" s="26" t="s">
        <v>51</v>
      </c>
      <c r="G1414" s="26">
        <v>8</v>
      </c>
      <c r="H1414" s="138" t="s">
        <v>2375</v>
      </c>
    </row>
    <row r="1415" spans="1:8" ht="62.4" x14ac:dyDescent="0.3">
      <c r="A1415" s="101">
        <v>8</v>
      </c>
      <c r="B1415" s="101">
        <v>2</v>
      </c>
      <c r="C1415" s="146" t="s">
        <v>17</v>
      </c>
      <c r="D1415" s="27" t="s">
        <v>65</v>
      </c>
      <c r="E1415" s="32" t="s">
        <v>2376</v>
      </c>
      <c r="F1415" s="26" t="s">
        <v>51</v>
      </c>
      <c r="G1415" s="26" t="s">
        <v>394</v>
      </c>
      <c r="H1415" s="138" t="s">
        <v>1887</v>
      </c>
    </row>
    <row r="1416" spans="1:8" ht="46.8" x14ac:dyDescent="0.3">
      <c r="A1416" s="101">
        <v>8</v>
      </c>
      <c r="B1416" s="101">
        <v>2</v>
      </c>
      <c r="C1416" s="146" t="s">
        <v>17</v>
      </c>
      <c r="D1416" s="27" t="s">
        <v>119</v>
      </c>
      <c r="E1416" s="32" t="s">
        <v>2377</v>
      </c>
      <c r="F1416" s="26" t="s">
        <v>51</v>
      </c>
      <c r="G1416" s="26">
        <v>2</v>
      </c>
      <c r="H1416" s="138" t="s">
        <v>2378</v>
      </c>
    </row>
    <row r="1417" spans="1:8" ht="62.4" x14ac:dyDescent="0.3">
      <c r="A1417" s="101">
        <v>8</v>
      </c>
      <c r="B1417" s="101">
        <v>2</v>
      </c>
      <c r="C1417" s="146" t="s">
        <v>17</v>
      </c>
      <c r="D1417" s="27" t="s">
        <v>1713</v>
      </c>
      <c r="E1417" s="32" t="s">
        <v>2379</v>
      </c>
      <c r="F1417" s="26" t="s">
        <v>51</v>
      </c>
      <c r="G1417" s="26">
        <v>520</v>
      </c>
      <c r="H1417" s="138" t="s">
        <v>2380</v>
      </c>
    </row>
    <row r="1418" spans="1:8" ht="62.4" x14ac:dyDescent="0.3">
      <c r="A1418" s="233">
        <v>8</v>
      </c>
      <c r="B1418" s="233">
        <v>2</v>
      </c>
      <c r="C1418" s="234" t="s">
        <v>17</v>
      </c>
      <c r="D1418" s="235" t="s">
        <v>65</v>
      </c>
      <c r="E1418" s="104" t="s">
        <v>2381</v>
      </c>
      <c r="F1418" s="102" t="s">
        <v>51</v>
      </c>
      <c r="G1418" s="102">
        <v>11</v>
      </c>
      <c r="H1418" s="236" t="s">
        <v>2382</v>
      </c>
    </row>
    <row r="1419" spans="1:8" ht="109.2" x14ac:dyDescent="0.3">
      <c r="A1419" s="101">
        <v>9</v>
      </c>
      <c r="B1419" s="101">
        <v>2</v>
      </c>
      <c r="C1419" s="146" t="s">
        <v>18</v>
      </c>
      <c r="D1419" s="27" t="s">
        <v>65</v>
      </c>
      <c r="E1419" s="32" t="s">
        <v>2383</v>
      </c>
      <c r="F1419" s="26" t="s">
        <v>51</v>
      </c>
      <c r="G1419" s="26" t="s">
        <v>75</v>
      </c>
      <c r="H1419" s="138" t="s">
        <v>2384</v>
      </c>
    </row>
    <row r="1420" spans="1:8" ht="46.8" x14ac:dyDescent="0.3">
      <c r="A1420" s="233">
        <v>9</v>
      </c>
      <c r="B1420" s="233">
        <v>2</v>
      </c>
      <c r="C1420" s="234" t="s">
        <v>18</v>
      </c>
      <c r="D1420" s="235" t="s">
        <v>65</v>
      </c>
      <c r="E1420" s="104" t="s">
        <v>2385</v>
      </c>
      <c r="F1420" s="102" t="s">
        <v>63</v>
      </c>
      <c r="G1420" s="102">
        <v>5</v>
      </c>
      <c r="H1420" s="236" t="s">
        <v>2386</v>
      </c>
    </row>
    <row r="1421" spans="1:8" ht="93.6" x14ac:dyDescent="0.3">
      <c r="A1421" s="233">
        <v>10</v>
      </c>
      <c r="B1421" s="233">
        <v>2</v>
      </c>
      <c r="C1421" s="234" t="s">
        <v>19</v>
      </c>
      <c r="D1421" s="235" t="s">
        <v>1</v>
      </c>
      <c r="E1421" s="104" t="s">
        <v>2678</v>
      </c>
      <c r="F1421" s="102" t="s">
        <v>51</v>
      </c>
      <c r="G1421" s="102">
        <v>42</v>
      </c>
      <c r="H1421" s="236" t="s">
        <v>2679</v>
      </c>
    </row>
    <row r="1422" spans="1:8" ht="109.2" x14ac:dyDescent="0.3">
      <c r="A1422" s="233">
        <v>10</v>
      </c>
      <c r="B1422" s="233">
        <v>2</v>
      </c>
      <c r="C1422" s="234" t="s">
        <v>19</v>
      </c>
      <c r="D1422" s="235" t="s">
        <v>1</v>
      </c>
      <c r="E1422" s="104" t="s">
        <v>2680</v>
      </c>
      <c r="F1422" s="102" t="s">
        <v>51</v>
      </c>
      <c r="G1422" s="102">
        <v>12</v>
      </c>
      <c r="H1422" s="236" t="s">
        <v>2681</v>
      </c>
    </row>
    <row r="1423" spans="1:8" ht="109.2" x14ac:dyDescent="0.3">
      <c r="A1423" s="233">
        <v>10</v>
      </c>
      <c r="B1423" s="233">
        <v>2</v>
      </c>
      <c r="C1423" s="234" t="s">
        <v>19</v>
      </c>
      <c r="D1423" s="235" t="s">
        <v>1</v>
      </c>
      <c r="E1423" s="104" t="s">
        <v>2682</v>
      </c>
      <c r="F1423" s="102" t="s">
        <v>63</v>
      </c>
      <c r="G1423" s="102">
        <v>11</v>
      </c>
      <c r="H1423" s="236" t="s">
        <v>2683</v>
      </c>
    </row>
    <row r="1424" spans="1:8" ht="109.2" x14ac:dyDescent="0.3">
      <c r="A1424" s="233">
        <v>10</v>
      </c>
      <c r="B1424" s="233">
        <v>2</v>
      </c>
      <c r="C1424" s="234" t="s">
        <v>19</v>
      </c>
      <c r="D1424" s="235" t="s">
        <v>1</v>
      </c>
      <c r="E1424" s="104" t="s">
        <v>2684</v>
      </c>
      <c r="F1424" s="102" t="s">
        <v>51</v>
      </c>
      <c r="G1424" s="102">
        <v>46</v>
      </c>
      <c r="H1424" s="236" t="s">
        <v>2685</v>
      </c>
    </row>
    <row r="1425" spans="1:8" ht="93.6" x14ac:dyDescent="0.3">
      <c r="A1425" s="233">
        <v>10</v>
      </c>
      <c r="B1425" s="233">
        <v>2</v>
      </c>
      <c r="C1425" s="234" t="s">
        <v>19</v>
      </c>
      <c r="D1425" s="27" t="s">
        <v>1</v>
      </c>
      <c r="E1425" s="32" t="s">
        <v>2686</v>
      </c>
      <c r="F1425" s="26" t="s">
        <v>63</v>
      </c>
      <c r="G1425" s="26">
        <v>19</v>
      </c>
      <c r="H1425" s="138" t="s">
        <v>2687</v>
      </c>
    </row>
    <row r="1426" spans="1:8" ht="78" x14ac:dyDescent="0.3">
      <c r="A1426" s="233">
        <v>10</v>
      </c>
      <c r="B1426" s="233">
        <v>2</v>
      </c>
      <c r="C1426" s="234" t="s">
        <v>19</v>
      </c>
      <c r="D1426" s="27" t="s">
        <v>1</v>
      </c>
      <c r="E1426" s="32" t="s">
        <v>2688</v>
      </c>
      <c r="F1426" s="26" t="s">
        <v>51</v>
      </c>
      <c r="G1426" s="26">
        <v>42</v>
      </c>
      <c r="H1426" s="138" t="s">
        <v>2679</v>
      </c>
    </row>
    <row r="1427" spans="1:8" ht="78" x14ac:dyDescent="0.3">
      <c r="A1427" s="233">
        <v>10</v>
      </c>
      <c r="B1427" s="233">
        <v>2</v>
      </c>
      <c r="C1427" s="234" t="s">
        <v>19</v>
      </c>
      <c r="D1427" s="27" t="s">
        <v>1</v>
      </c>
      <c r="E1427" s="32" t="s">
        <v>2689</v>
      </c>
      <c r="F1427" s="26" t="s">
        <v>51</v>
      </c>
      <c r="G1427" s="26">
        <v>46</v>
      </c>
      <c r="H1427" s="138" t="s">
        <v>2690</v>
      </c>
    </row>
    <row r="1428" spans="1:8" ht="78" x14ac:dyDescent="0.3">
      <c r="A1428" s="233">
        <v>10</v>
      </c>
      <c r="B1428" s="233">
        <v>2</v>
      </c>
      <c r="C1428" s="234" t="s">
        <v>19</v>
      </c>
      <c r="D1428" s="27" t="s">
        <v>1</v>
      </c>
      <c r="E1428" s="32" t="s">
        <v>2691</v>
      </c>
      <c r="F1428" s="26" t="s">
        <v>51</v>
      </c>
      <c r="G1428" s="26">
        <v>46</v>
      </c>
      <c r="H1428" s="138" t="s">
        <v>2692</v>
      </c>
    </row>
    <row r="1429" spans="1:8" ht="140.4" x14ac:dyDescent="0.3">
      <c r="A1429" s="233">
        <v>10</v>
      </c>
      <c r="B1429" s="233">
        <v>2</v>
      </c>
      <c r="C1429" s="234" t="s">
        <v>19</v>
      </c>
      <c r="D1429" s="27" t="s">
        <v>65</v>
      </c>
      <c r="E1429" s="32" t="s">
        <v>2693</v>
      </c>
      <c r="F1429" s="26" t="s">
        <v>51</v>
      </c>
      <c r="G1429" s="26">
        <v>64</v>
      </c>
      <c r="H1429" s="138" t="s">
        <v>2694</v>
      </c>
    </row>
    <row r="1430" spans="1:8" ht="109.2" x14ac:dyDescent="0.3">
      <c r="A1430" s="233">
        <v>10</v>
      </c>
      <c r="B1430" s="233">
        <v>2</v>
      </c>
      <c r="C1430" s="234" t="s">
        <v>19</v>
      </c>
      <c r="D1430" s="235" t="s">
        <v>65</v>
      </c>
      <c r="E1430" s="104" t="s">
        <v>2695</v>
      </c>
      <c r="F1430" s="102" t="s">
        <v>51</v>
      </c>
      <c r="G1430" s="102">
        <v>120</v>
      </c>
      <c r="H1430" s="236" t="s">
        <v>2696</v>
      </c>
    </row>
    <row r="1431" spans="1:8" ht="93.6" x14ac:dyDescent="0.3">
      <c r="A1431" s="233">
        <v>10</v>
      </c>
      <c r="B1431" s="233">
        <v>2</v>
      </c>
      <c r="C1431" s="234" t="s">
        <v>19</v>
      </c>
      <c r="D1431" s="235" t="s">
        <v>65</v>
      </c>
      <c r="E1431" s="104" t="s">
        <v>2697</v>
      </c>
      <c r="F1431" s="102" t="s">
        <v>51</v>
      </c>
      <c r="G1431" s="102">
        <v>20</v>
      </c>
      <c r="H1431" s="236" t="s">
        <v>2698</v>
      </c>
    </row>
    <row r="1432" spans="1:8" ht="109.2" x14ac:dyDescent="0.3">
      <c r="A1432" s="233">
        <v>10</v>
      </c>
      <c r="B1432" s="233">
        <v>2</v>
      </c>
      <c r="C1432" s="234" t="s">
        <v>19</v>
      </c>
      <c r="D1432" s="235" t="s">
        <v>65</v>
      </c>
      <c r="E1432" s="104" t="s">
        <v>2699</v>
      </c>
      <c r="F1432" s="102" t="s">
        <v>51</v>
      </c>
      <c r="G1432" s="102" t="s">
        <v>394</v>
      </c>
      <c r="H1432" s="236" t="s">
        <v>2700</v>
      </c>
    </row>
    <row r="1433" spans="1:8" ht="93.6" x14ac:dyDescent="0.3">
      <c r="A1433" s="233">
        <v>10</v>
      </c>
      <c r="B1433" s="233">
        <v>2</v>
      </c>
      <c r="C1433" s="234" t="s">
        <v>19</v>
      </c>
      <c r="D1433" s="235" t="s">
        <v>65</v>
      </c>
      <c r="E1433" s="104" t="s">
        <v>2701</v>
      </c>
      <c r="F1433" s="102" t="s">
        <v>51</v>
      </c>
      <c r="G1433" s="102" t="s">
        <v>394</v>
      </c>
      <c r="H1433" s="236" t="s">
        <v>2702</v>
      </c>
    </row>
    <row r="1434" spans="1:8" ht="78" x14ac:dyDescent="0.3">
      <c r="A1434" s="233">
        <v>10</v>
      </c>
      <c r="B1434" s="233">
        <v>2</v>
      </c>
      <c r="C1434" s="234" t="s">
        <v>19</v>
      </c>
      <c r="D1434" s="235" t="s">
        <v>65</v>
      </c>
      <c r="E1434" s="104" t="s">
        <v>2703</v>
      </c>
      <c r="F1434" s="102" t="s">
        <v>51</v>
      </c>
      <c r="G1434" s="102">
        <v>2</v>
      </c>
      <c r="H1434" s="236" t="s">
        <v>2704</v>
      </c>
    </row>
    <row r="1435" spans="1:8" ht="46.8" x14ac:dyDescent="0.3">
      <c r="A1435" s="101">
        <v>11</v>
      </c>
      <c r="B1435" s="101">
        <v>2</v>
      </c>
      <c r="C1435" s="146" t="s">
        <v>20</v>
      </c>
      <c r="D1435" s="27" t="s">
        <v>119</v>
      </c>
      <c r="E1435" s="32" t="s">
        <v>2387</v>
      </c>
      <c r="F1435" s="26" t="s">
        <v>51</v>
      </c>
      <c r="G1435" s="26">
        <v>40</v>
      </c>
      <c r="H1435" s="138" t="s">
        <v>2388</v>
      </c>
    </row>
    <row r="1436" spans="1:8" ht="46.8" x14ac:dyDescent="0.3">
      <c r="A1436" s="101">
        <v>11</v>
      </c>
      <c r="B1436" s="101">
        <v>2</v>
      </c>
      <c r="C1436" s="146" t="s">
        <v>20</v>
      </c>
      <c r="D1436" s="27" t="s">
        <v>119</v>
      </c>
      <c r="E1436" s="32" t="s">
        <v>2389</v>
      </c>
      <c r="F1436" s="26" t="s">
        <v>51</v>
      </c>
      <c r="G1436" s="26">
        <v>5</v>
      </c>
      <c r="H1436" s="138" t="s">
        <v>2390</v>
      </c>
    </row>
    <row r="1437" spans="1:8" ht="78" x14ac:dyDescent="0.3">
      <c r="A1437" s="101">
        <v>11</v>
      </c>
      <c r="B1437" s="101">
        <v>2</v>
      </c>
      <c r="C1437" s="146" t="s">
        <v>20</v>
      </c>
      <c r="D1437" s="27" t="s">
        <v>0</v>
      </c>
      <c r="E1437" s="32" t="s">
        <v>2391</v>
      </c>
      <c r="F1437" s="26" t="s">
        <v>51</v>
      </c>
      <c r="G1437" s="26">
        <v>207</v>
      </c>
      <c r="H1437" s="138" t="s">
        <v>2392</v>
      </c>
    </row>
    <row r="1438" spans="1:8" ht="62.4" x14ac:dyDescent="0.3">
      <c r="A1438" s="101">
        <v>11</v>
      </c>
      <c r="B1438" s="101">
        <v>2</v>
      </c>
      <c r="C1438" s="146" t="s">
        <v>20</v>
      </c>
      <c r="D1438" s="27" t="s">
        <v>0</v>
      </c>
      <c r="E1438" s="32" t="s">
        <v>2393</v>
      </c>
      <c r="F1438" s="26" t="s">
        <v>51</v>
      </c>
      <c r="G1438" s="26">
        <v>1</v>
      </c>
      <c r="H1438" s="138" t="s">
        <v>2394</v>
      </c>
    </row>
    <row r="1439" spans="1:8" ht="62.4" x14ac:dyDescent="0.3">
      <c r="A1439" s="101">
        <v>11</v>
      </c>
      <c r="B1439" s="101">
        <v>2</v>
      </c>
      <c r="C1439" s="146" t="s">
        <v>20</v>
      </c>
      <c r="D1439" s="27" t="s">
        <v>1713</v>
      </c>
      <c r="E1439" s="32" t="s">
        <v>2395</v>
      </c>
      <c r="F1439" s="26" t="s">
        <v>51</v>
      </c>
      <c r="G1439" s="26">
        <v>27</v>
      </c>
      <c r="H1439" s="138" t="s">
        <v>2396</v>
      </c>
    </row>
    <row r="1440" spans="1:8" ht="46.8" x14ac:dyDescent="0.3">
      <c r="A1440" s="101">
        <v>11</v>
      </c>
      <c r="B1440" s="101">
        <v>2</v>
      </c>
      <c r="C1440" s="146" t="s">
        <v>20</v>
      </c>
      <c r="D1440" s="27" t="s">
        <v>65</v>
      </c>
      <c r="E1440" s="32" t="s">
        <v>2397</v>
      </c>
      <c r="F1440" s="26" t="s">
        <v>51</v>
      </c>
      <c r="G1440" s="26">
        <v>6</v>
      </c>
      <c r="H1440" s="138" t="s">
        <v>2398</v>
      </c>
    </row>
    <row r="1441" spans="1:8" ht="62.4" x14ac:dyDescent="0.3">
      <c r="A1441" s="101">
        <v>11</v>
      </c>
      <c r="B1441" s="101">
        <v>2</v>
      </c>
      <c r="C1441" s="146" t="s">
        <v>20</v>
      </c>
      <c r="D1441" s="27" t="s">
        <v>65</v>
      </c>
      <c r="E1441" s="32" t="s">
        <v>2399</v>
      </c>
      <c r="F1441" s="26" t="s">
        <v>51</v>
      </c>
      <c r="G1441" s="26">
        <v>7</v>
      </c>
      <c r="H1441" s="138" t="s">
        <v>2400</v>
      </c>
    </row>
    <row r="1442" spans="1:8" ht="62.4" x14ac:dyDescent="0.3">
      <c r="A1442" s="101">
        <v>11</v>
      </c>
      <c r="B1442" s="101">
        <v>2</v>
      </c>
      <c r="C1442" s="146" t="s">
        <v>20</v>
      </c>
      <c r="D1442" s="27" t="s">
        <v>1</v>
      </c>
      <c r="E1442" s="32" t="s">
        <v>2401</v>
      </c>
      <c r="F1442" s="26" t="s">
        <v>51</v>
      </c>
      <c r="G1442" s="26">
        <v>431</v>
      </c>
      <c r="H1442" s="138" t="s">
        <v>2402</v>
      </c>
    </row>
    <row r="1443" spans="1:8" ht="46.8" x14ac:dyDescent="0.3">
      <c r="A1443" s="233">
        <v>11</v>
      </c>
      <c r="B1443" s="233">
        <v>2</v>
      </c>
      <c r="C1443" s="234" t="s">
        <v>20</v>
      </c>
      <c r="D1443" s="235" t="s">
        <v>65</v>
      </c>
      <c r="E1443" s="104" t="s">
        <v>2403</v>
      </c>
      <c r="F1443" s="102" t="s">
        <v>51</v>
      </c>
      <c r="G1443" s="102" t="s">
        <v>75</v>
      </c>
      <c r="H1443" s="236" t="s">
        <v>2404</v>
      </c>
    </row>
    <row r="1444" spans="1:8" ht="46.8" x14ac:dyDescent="0.3">
      <c r="A1444" s="101">
        <v>12</v>
      </c>
      <c r="B1444" s="101">
        <v>2</v>
      </c>
      <c r="C1444" s="146" t="s">
        <v>21</v>
      </c>
      <c r="D1444" s="27" t="s">
        <v>65</v>
      </c>
      <c r="E1444" s="32" t="s">
        <v>1935</v>
      </c>
      <c r="F1444" s="26" t="s">
        <v>51</v>
      </c>
      <c r="G1444" s="26">
        <v>3</v>
      </c>
      <c r="H1444" s="138" t="s">
        <v>2405</v>
      </c>
    </row>
    <row r="1445" spans="1:8" ht="124.8" x14ac:dyDescent="0.3">
      <c r="A1445" s="101">
        <v>12</v>
      </c>
      <c r="B1445" s="101">
        <v>2</v>
      </c>
      <c r="C1445" s="146" t="s">
        <v>21</v>
      </c>
      <c r="D1445" s="27" t="s">
        <v>65</v>
      </c>
      <c r="E1445" s="32" t="s">
        <v>2406</v>
      </c>
      <c r="F1445" s="26" t="s">
        <v>51</v>
      </c>
      <c r="G1445" s="26">
        <v>3</v>
      </c>
      <c r="H1445" s="138" t="s">
        <v>88</v>
      </c>
    </row>
    <row r="1446" spans="1:8" ht="78" x14ac:dyDescent="0.3">
      <c r="A1446" s="101">
        <v>12</v>
      </c>
      <c r="B1446" s="101">
        <v>2</v>
      </c>
      <c r="C1446" s="146" t="s">
        <v>21</v>
      </c>
      <c r="D1446" s="27" t="s">
        <v>0</v>
      </c>
      <c r="E1446" s="32" t="s">
        <v>2407</v>
      </c>
      <c r="F1446" s="26" t="s">
        <v>51</v>
      </c>
      <c r="G1446" s="26">
        <v>3</v>
      </c>
      <c r="H1446" s="138" t="s">
        <v>2408</v>
      </c>
    </row>
    <row r="1447" spans="1:8" ht="62.4" x14ac:dyDescent="0.3">
      <c r="A1447" s="101">
        <v>12</v>
      </c>
      <c r="B1447" s="101">
        <v>2</v>
      </c>
      <c r="C1447" s="146" t="s">
        <v>21</v>
      </c>
      <c r="D1447" s="27" t="s">
        <v>1</v>
      </c>
      <c r="E1447" s="32" t="s">
        <v>2409</v>
      </c>
      <c r="F1447" s="26" t="s">
        <v>51</v>
      </c>
      <c r="G1447" s="26">
        <v>7</v>
      </c>
      <c r="H1447" s="138" t="s">
        <v>2410</v>
      </c>
    </row>
    <row r="1448" spans="1:8" ht="93.6" x14ac:dyDescent="0.3">
      <c r="A1448" s="101">
        <v>12</v>
      </c>
      <c r="B1448" s="101">
        <v>2</v>
      </c>
      <c r="C1448" s="146" t="s">
        <v>21</v>
      </c>
      <c r="D1448" s="27" t="s">
        <v>1</v>
      </c>
      <c r="E1448" s="32" t="s">
        <v>2411</v>
      </c>
      <c r="F1448" s="26" t="s">
        <v>51</v>
      </c>
      <c r="G1448" s="26">
        <v>31</v>
      </c>
      <c r="H1448" s="138" t="s">
        <v>88</v>
      </c>
    </row>
    <row r="1449" spans="1:8" ht="78" x14ac:dyDescent="0.3">
      <c r="A1449" s="101">
        <v>12</v>
      </c>
      <c r="B1449" s="101">
        <v>2</v>
      </c>
      <c r="C1449" s="146" t="s">
        <v>21</v>
      </c>
      <c r="D1449" s="27" t="s">
        <v>0</v>
      </c>
      <c r="E1449" s="32" t="s">
        <v>2412</v>
      </c>
      <c r="F1449" s="26" t="s">
        <v>51</v>
      </c>
      <c r="G1449" s="26">
        <v>9</v>
      </c>
      <c r="H1449" s="138" t="s">
        <v>88</v>
      </c>
    </row>
    <row r="1450" spans="1:8" ht="62.4" x14ac:dyDescent="0.3">
      <c r="A1450" s="101">
        <v>12</v>
      </c>
      <c r="B1450" s="101">
        <v>2</v>
      </c>
      <c r="C1450" s="146" t="s">
        <v>21</v>
      </c>
      <c r="D1450" s="27" t="s">
        <v>65</v>
      </c>
      <c r="E1450" s="32" t="s">
        <v>2413</v>
      </c>
      <c r="F1450" s="26" t="s">
        <v>51</v>
      </c>
      <c r="G1450" s="26">
        <v>8</v>
      </c>
      <c r="H1450" s="138" t="s">
        <v>88</v>
      </c>
    </row>
    <row r="1451" spans="1:8" ht="78" x14ac:dyDescent="0.3">
      <c r="A1451" s="233">
        <v>12</v>
      </c>
      <c r="B1451" s="233">
        <v>2</v>
      </c>
      <c r="C1451" s="234" t="s">
        <v>21</v>
      </c>
      <c r="D1451" s="235" t="s">
        <v>119</v>
      </c>
      <c r="E1451" s="104" t="s">
        <v>2414</v>
      </c>
      <c r="F1451" s="102" t="s">
        <v>63</v>
      </c>
      <c r="G1451" s="102">
        <v>50</v>
      </c>
      <c r="H1451" s="236" t="s">
        <v>2415</v>
      </c>
    </row>
    <row r="1452" spans="1:8" ht="93.6" x14ac:dyDescent="0.3">
      <c r="A1452" s="101">
        <v>13</v>
      </c>
      <c r="B1452" s="101">
        <v>2</v>
      </c>
      <c r="C1452" s="146" t="s">
        <v>22</v>
      </c>
      <c r="D1452" s="27" t="s">
        <v>1</v>
      </c>
      <c r="E1452" s="32" t="s">
        <v>2416</v>
      </c>
      <c r="F1452" s="26" t="s">
        <v>63</v>
      </c>
      <c r="G1452" s="26">
        <v>28</v>
      </c>
      <c r="H1452" s="138" t="s">
        <v>2417</v>
      </c>
    </row>
    <row r="1453" spans="1:8" ht="93.6" x14ac:dyDescent="0.3">
      <c r="A1453" s="101">
        <v>13</v>
      </c>
      <c r="B1453" s="101">
        <v>2</v>
      </c>
      <c r="C1453" s="146" t="s">
        <v>22</v>
      </c>
      <c r="D1453" s="27" t="s">
        <v>1</v>
      </c>
      <c r="E1453" s="32" t="s">
        <v>2418</v>
      </c>
      <c r="F1453" s="26" t="s">
        <v>63</v>
      </c>
      <c r="G1453" s="26">
        <v>5</v>
      </c>
      <c r="H1453" s="138" t="s">
        <v>2419</v>
      </c>
    </row>
    <row r="1454" spans="1:8" ht="93.6" x14ac:dyDescent="0.3">
      <c r="A1454" s="101">
        <v>13</v>
      </c>
      <c r="B1454" s="101">
        <v>2</v>
      </c>
      <c r="C1454" s="146" t="s">
        <v>22</v>
      </c>
      <c r="D1454" s="27" t="s">
        <v>1</v>
      </c>
      <c r="E1454" s="32" t="s">
        <v>2420</v>
      </c>
      <c r="F1454" s="26" t="s">
        <v>63</v>
      </c>
      <c r="G1454" s="26">
        <v>19</v>
      </c>
      <c r="H1454" s="138" t="s">
        <v>2421</v>
      </c>
    </row>
    <row r="1455" spans="1:8" ht="93.6" x14ac:dyDescent="0.3">
      <c r="A1455" s="101">
        <v>13</v>
      </c>
      <c r="B1455" s="101">
        <v>2</v>
      </c>
      <c r="C1455" s="146" t="s">
        <v>22</v>
      </c>
      <c r="D1455" s="27" t="s">
        <v>1</v>
      </c>
      <c r="E1455" s="32" t="s">
        <v>2422</v>
      </c>
      <c r="F1455" s="26" t="s">
        <v>63</v>
      </c>
      <c r="G1455" s="26">
        <v>44</v>
      </c>
      <c r="H1455" s="138" t="s">
        <v>2423</v>
      </c>
    </row>
    <row r="1456" spans="1:8" ht="93.6" x14ac:dyDescent="0.3">
      <c r="A1456" s="101">
        <v>13</v>
      </c>
      <c r="B1456" s="101">
        <v>2</v>
      </c>
      <c r="C1456" s="146" t="s">
        <v>22</v>
      </c>
      <c r="D1456" s="27" t="s">
        <v>1</v>
      </c>
      <c r="E1456" s="32" t="s">
        <v>2424</v>
      </c>
      <c r="F1456" s="26" t="s">
        <v>63</v>
      </c>
      <c r="G1456" s="26">
        <v>17</v>
      </c>
      <c r="H1456" s="138" t="s">
        <v>2421</v>
      </c>
    </row>
    <row r="1457" spans="1:8" ht="93.6" x14ac:dyDescent="0.3">
      <c r="A1457" s="101">
        <v>13</v>
      </c>
      <c r="B1457" s="101">
        <v>2</v>
      </c>
      <c r="C1457" s="146" t="s">
        <v>22</v>
      </c>
      <c r="D1457" s="27" t="s">
        <v>1</v>
      </c>
      <c r="E1457" s="32" t="s">
        <v>2425</v>
      </c>
      <c r="F1457" s="26" t="s">
        <v>63</v>
      </c>
      <c r="G1457" s="26">
        <v>17</v>
      </c>
      <c r="H1457" s="138" t="s">
        <v>2421</v>
      </c>
    </row>
    <row r="1458" spans="1:8" ht="93.6" x14ac:dyDescent="0.3">
      <c r="A1458" s="101">
        <v>13</v>
      </c>
      <c r="B1458" s="101">
        <v>2</v>
      </c>
      <c r="C1458" s="146" t="s">
        <v>22</v>
      </c>
      <c r="D1458" s="27" t="s">
        <v>1</v>
      </c>
      <c r="E1458" s="32" t="s">
        <v>2426</v>
      </c>
      <c r="F1458" s="26" t="s">
        <v>63</v>
      </c>
      <c r="G1458" s="26">
        <v>7</v>
      </c>
      <c r="H1458" s="138" t="s">
        <v>2427</v>
      </c>
    </row>
    <row r="1459" spans="1:8" ht="93.6" x14ac:dyDescent="0.3">
      <c r="A1459" s="101">
        <v>13</v>
      </c>
      <c r="B1459" s="101">
        <v>2</v>
      </c>
      <c r="C1459" s="146" t="s">
        <v>22</v>
      </c>
      <c r="D1459" s="27" t="s">
        <v>1</v>
      </c>
      <c r="E1459" s="32" t="s">
        <v>2428</v>
      </c>
      <c r="F1459" s="26" t="s">
        <v>63</v>
      </c>
      <c r="G1459" s="26">
        <v>8</v>
      </c>
      <c r="H1459" s="138" t="s">
        <v>2427</v>
      </c>
    </row>
    <row r="1460" spans="1:8" ht="93.6" x14ac:dyDescent="0.3">
      <c r="A1460" s="101">
        <v>13</v>
      </c>
      <c r="B1460" s="101">
        <v>2</v>
      </c>
      <c r="C1460" s="146" t="s">
        <v>22</v>
      </c>
      <c r="D1460" s="27" t="s">
        <v>1</v>
      </c>
      <c r="E1460" s="32" t="s">
        <v>2429</v>
      </c>
      <c r="F1460" s="26" t="s">
        <v>63</v>
      </c>
      <c r="G1460" s="26">
        <v>7</v>
      </c>
      <c r="H1460" s="138" t="s">
        <v>2430</v>
      </c>
    </row>
    <row r="1461" spans="1:8" ht="93.6" x14ac:dyDescent="0.3">
      <c r="A1461" s="101">
        <v>13</v>
      </c>
      <c r="B1461" s="101">
        <v>2</v>
      </c>
      <c r="C1461" s="146" t="s">
        <v>22</v>
      </c>
      <c r="D1461" s="27" t="s">
        <v>1</v>
      </c>
      <c r="E1461" s="32" t="s">
        <v>2431</v>
      </c>
      <c r="F1461" s="26" t="s">
        <v>63</v>
      </c>
      <c r="G1461" s="26">
        <v>29</v>
      </c>
      <c r="H1461" s="138" t="s">
        <v>2430</v>
      </c>
    </row>
    <row r="1462" spans="1:8" ht="93.6" x14ac:dyDescent="0.3">
      <c r="A1462" s="101">
        <v>13</v>
      </c>
      <c r="B1462" s="101">
        <v>2</v>
      </c>
      <c r="C1462" s="146" t="s">
        <v>22</v>
      </c>
      <c r="D1462" s="27" t="s">
        <v>1</v>
      </c>
      <c r="E1462" s="32" t="s">
        <v>2432</v>
      </c>
      <c r="F1462" s="26" t="s">
        <v>63</v>
      </c>
      <c r="G1462" s="26">
        <v>23</v>
      </c>
      <c r="H1462" s="138" t="s">
        <v>2433</v>
      </c>
    </row>
    <row r="1463" spans="1:8" ht="62.4" x14ac:dyDescent="0.3">
      <c r="A1463" s="101">
        <v>13</v>
      </c>
      <c r="B1463" s="101">
        <v>2</v>
      </c>
      <c r="C1463" s="146" t="s">
        <v>22</v>
      </c>
      <c r="D1463" s="27" t="s">
        <v>119</v>
      </c>
      <c r="E1463" s="32" t="s">
        <v>2434</v>
      </c>
      <c r="F1463" s="26" t="s">
        <v>51</v>
      </c>
      <c r="G1463" s="26">
        <v>65</v>
      </c>
      <c r="H1463" s="138" t="s">
        <v>2435</v>
      </c>
    </row>
    <row r="1464" spans="1:8" ht="124.8" x14ac:dyDescent="0.3">
      <c r="A1464" s="101">
        <v>13</v>
      </c>
      <c r="B1464" s="101">
        <v>2</v>
      </c>
      <c r="C1464" s="146" t="s">
        <v>22</v>
      </c>
      <c r="D1464" s="27" t="s">
        <v>65</v>
      </c>
      <c r="E1464" s="32" t="s">
        <v>2436</v>
      </c>
      <c r="F1464" s="26" t="s">
        <v>51</v>
      </c>
      <c r="G1464" s="26" t="s">
        <v>75</v>
      </c>
      <c r="H1464" s="138" t="s">
        <v>2437</v>
      </c>
    </row>
    <row r="1465" spans="1:8" ht="124.8" x14ac:dyDescent="0.3">
      <c r="A1465" s="101">
        <v>13</v>
      </c>
      <c r="B1465" s="101">
        <v>2</v>
      </c>
      <c r="C1465" s="146" t="s">
        <v>22</v>
      </c>
      <c r="D1465" s="27" t="s">
        <v>65</v>
      </c>
      <c r="E1465" s="32" t="s">
        <v>2438</v>
      </c>
      <c r="F1465" s="26" t="s">
        <v>51</v>
      </c>
      <c r="G1465" s="26">
        <v>18</v>
      </c>
      <c r="H1465" s="138" t="s">
        <v>2439</v>
      </c>
    </row>
    <row r="1466" spans="1:8" ht="124.8" x14ac:dyDescent="0.3">
      <c r="A1466" s="101">
        <v>13</v>
      </c>
      <c r="B1466" s="101">
        <v>2</v>
      </c>
      <c r="C1466" s="146" t="s">
        <v>22</v>
      </c>
      <c r="D1466" s="27" t="s">
        <v>65</v>
      </c>
      <c r="E1466" s="32" t="s">
        <v>2440</v>
      </c>
      <c r="F1466" s="26" t="s">
        <v>51</v>
      </c>
      <c r="G1466" s="26">
        <v>17</v>
      </c>
      <c r="H1466" s="138" t="s">
        <v>2441</v>
      </c>
    </row>
    <row r="1467" spans="1:8" ht="78" x14ac:dyDescent="0.3">
      <c r="A1467" s="101">
        <v>13</v>
      </c>
      <c r="B1467" s="101">
        <v>2</v>
      </c>
      <c r="C1467" s="146" t="s">
        <v>22</v>
      </c>
      <c r="D1467" s="27" t="s">
        <v>1</v>
      </c>
      <c r="E1467" s="32" t="s">
        <v>2442</v>
      </c>
      <c r="F1467" s="26" t="s">
        <v>51</v>
      </c>
      <c r="G1467" s="26">
        <v>11</v>
      </c>
      <c r="H1467" s="138" t="s">
        <v>2443</v>
      </c>
    </row>
    <row r="1468" spans="1:8" ht="109.2" x14ac:dyDescent="0.3">
      <c r="A1468" s="233">
        <v>13</v>
      </c>
      <c r="B1468" s="233">
        <v>2</v>
      </c>
      <c r="C1468" s="234" t="s">
        <v>22</v>
      </c>
      <c r="D1468" s="235" t="s">
        <v>4</v>
      </c>
      <c r="E1468" s="104" t="s">
        <v>2444</v>
      </c>
      <c r="F1468" s="102" t="s">
        <v>63</v>
      </c>
      <c r="G1468" s="102">
        <v>4</v>
      </c>
      <c r="H1468" s="236" t="s">
        <v>2445</v>
      </c>
    </row>
    <row r="1469" spans="1:8" ht="93.6" x14ac:dyDescent="0.3">
      <c r="A1469" s="101">
        <v>14</v>
      </c>
      <c r="B1469" s="101">
        <v>2</v>
      </c>
      <c r="C1469" s="146" t="s">
        <v>23</v>
      </c>
      <c r="D1469" s="27" t="s">
        <v>1</v>
      </c>
      <c r="E1469" s="32" t="s">
        <v>2446</v>
      </c>
      <c r="F1469" s="26" t="s">
        <v>51</v>
      </c>
      <c r="G1469" s="26">
        <v>602</v>
      </c>
      <c r="H1469" s="138" t="s">
        <v>2447</v>
      </c>
    </row>
    <row r="1470" spans="1:8" ht="78" x14ac:dyDescent="0.3">
      <c r="A1470" s="101">
        <v>14</v>
      </c>
      <c r="B1470" s="101">
        <v>2</v>
      </c>
      <c r="C1470" s="146" t="s">
        <v>23</v>
      </c>
      <c r="D1470" s="27" t="s">
        <v>1</v>
      </c>
      <c r="E1470" s="32" t="s">
        <v>2448</v>
      </c>
      <c r="F1470" s="26" t="s">
        <v>51</v>
      </c>
      <c r="G1470" s="26">
        <v>396</v>
      </c>
      <c r="H1470" s="138" t="s">
        <v>2449</v>
      </c>
    </row>
    <row r="1471" spans="1:8" ht="78" x14ac:dyDescent="0.3">
      <c r="A1471" s="101">
        <v>14</v>
      </c>
      <c r="B1471" s="101">
        <v>2</v>
      </c>
      <c r="C1471" s="146" t="s">
        <v>23</v>
      </c>
      <c r="D1471" s="27" t="s">
        <v>119</v>
      </c>
      <c r="E1471" s="32" t="s">
        <v>2450</v>
      </c>
      <c r="F1471" s="26" t="s">
        <v>51</v>
      </c>
      <c r="G1471" s="26">
        <v>149</v>
      </c>
      <c r="H1471" s="138" t="s">
        <v>2451</v>
      </c>
    </row>
    <row r="1472" spans="1:8" ht="62.4" x14ac:dyDescent="0.3">
      <c r="A1472" s="101">
        <v>14</v>
      </c>
      <c r="B1472" s="101">
        <v>2</v>
      </c>
      <c r="C1472" s="146" t="s">
        <v>23</v>
      </c>
      <c r="D1472" s="27" t="s">
        <v>1</v>
      </c>
      <c r="E1472" s="32" t="s">
        <v>2452</v>
      </c>
      <c r="F1472" s="26" t="s">
        <v>51</v>
      </c>
      <c r="G1472" s="26">
        <v>99</v>
      </c>
      <c r="H1472" s="138" t="s">
        <v>2453</v>
      </c>
    </row>
    <row r="1473" spans="1:8" ht="78" x14ac:dyDescent="0.3">
      <c r="A1473" s="101">
        <v>14</v>
      </c>
      <c r="B1473" s="101">
        <v>2</v>
      </c>
      <c r="C1473" s="146" t="s">
        <v>23</v>
      </c>
      <c r="D1473" s="27" t="s">
        <v>1</v>
      </c>
      <c r="E1473" s="32" t="s">
        <v>2454</v>
      </c>
      <c r="F1473" s="26" t="s">
        <v>51</v>
      </c>
      <c r="G1473" s="26">
        <v>20</v>
      </c>
      <c r="H1473" s="138" t="s">
        <v>2455</v>
      </c>
    </row>
    <row r="1474" spans="1:8" ht="93.6" x14ac:dyDescent="0.3">
      <c r="A1474" s="101">
        <v>14</v>
      </c>
      <c r="B1474" s="101">
        <v>2</v>
      </c>
      <c r="C1474" s="146" t="s">
        <v>23</v>
      </c>
      <c r="D1474" s="27" t="s">
        <v>1</v>
      </c>
      <c r="E1474" s="32" t="s">
        <v>2456</v>
      </c>
      <c r="F1474" s="26" t="s">
        <v>51</v>
      </c>
      <c r="G1474" s="26">
        <v>10</v>
      </c>
      <c r="H1474" s="138" t="s">
        <v>2457</v>
      </c>
    </row>
    <row r="1475" spans="1:8" ht="78" x14ac:dyDescent="0.3">
      <c r="A1475" s="101">
        <v>14</v>
      </c>
      <c r="B1475" s="101">
        <v>2</v>
      </c>
      <c r="C1475" s="146" t="s">
        <v>23</v>
      </c>
      <c r="D1475" s="27" t="s">
        <v>541</v>
      </c>
      <c r="E1475" s="32" t="s">
        <v>2458</v>
      </c>
      <c r="F1475" s="26" t="s">
        <v>51</v>
      </c>
      <c r="G1475" s="26">
        <v>14</v>
      </c>
      <c r="H1475" s="138" t="s">
        <v>2459</v>
      </c>
    </row>
    <row r="1476" spans="1:8" ht="93.6" x14ac:dyDescent="0.3">
      <c r="A1476" s="101">
        <v>14</v>
      </c>
      <c r="B1476" s="101">
        <v>2</v>
      </c>
      <c r="C1476" s="146" t="s">
        <v>23</v>
      </c>
      <c r="D1476" s="27" t="s">
        <v>65</v>
      </c>
      <c r="E1476" s="32" t="s">
        <v>2460</v>
      </c>
      <c r="F1476" s="26" t="s">
        <v>51</v>
      </c>
      <c r="G1476" s="26">
        <v>114</v>
      </c>
      <c r="H1476" s="138" t="s">
        <v>2461</v>
      </c>
    </row>
    <row r="1477" spans="1:8" ht="78" x14ac:dyDescent="0.3">
      <c r="A1477" s="101">
        <v>14</v>
      </c>
      <c r="B1477" s="101">
        <v>2</v>
      </c>
      <c r="C1477" s="146" t="s">
        <v>23</v>
      </c>
      <c r="D1477" s="27" t="s">
        <v>65</v>
      </c>
      <c r="E1477" s="32" t="s">
        <v>2462</v>
      </c>
      <c r="F1477" s="26" t="s">
        <v>51</v>
      </c>
      <c r="G1477" s="26" t="s">
        <v>75</v>
      </c>
      <c r="H1477" s="138" t="s">
        <v>2463</v>
      </c>
    </row>
    <row r="1478" spans="1:8" ht="93.6" x14ac:dyDescent="0.3">
      <c r="A1478" s="101">
        <v>14</v>
      </c>
      <c r="B1478" s="101">
        <v>2</v>
      </c>
      <c r="C1478" s="146" t="s">
        <v>23</v>
      </c>
      <c r="D1478" s="27" t="s">
        <v>65</v>
      </c>
      <c r="E1478" s="32" t="s">
        <v>2464</v>
      </c>
      <c r="F1478" s="26" t="s">
        <v>51</v>
      </c>
      <c r="G1478" s="26">
        <v>11</v>
      </c>
      <c r="H1478" s="138" t="s">
        <v>2465</v>
      </c>
    </row>
    <row r="1479" spans="1:8" ht="93.6" x14ac:dyDescent="0.3">
      <c r="A1479" s="101">
        <v>14</v>
      </c>
      <c r="B1479" s="101">
        <v>2</v>
      </c>
      <c r="C1479" s="146" t="s">
        <v>23</v>
      </c>
      <c r="D1479" s="27" t="s">
        <v>65</v>
      </c>
      <c r="E1479" s="32" t="s">
        <v>2466</v>
      </c>
      <c r="F1479" s="26" t="s">
        <v>51</v>
      </c>
      <c r="G1479" s="26">
        <v>3</v>
      </c>
      <c r="H1479" s="138" t="s">
        <v>2467</v>
      </c>
    </row>
    <row r="1480" spans="1:8" ht="78" x14ac:dyDescent="0.3">
      <c r="A1480" s="101">
        <v>14</v>
      </c>
      <c r="B1480" s="101">
        <v>2</v>
      </c>
      <c r="C1480" s="146" t="s">
        <v>23</v>
      </c>
      <c r="D1480" s="27" t="s">
        <v>0</v>
      </c>
      <c r="E1480" s="32" t="s">
        <v>2468</v>
      </c>
      <c r="F1480" s="26" t="s">
        <v>51</v>
      </c>
      <c r="G1480" s="26">
        <v>68</v>
      </c>
      <c r="H1480" s="138" t="s">
        <v>2469</v>
      </c>
    </row>
    <row r="1481" spans="1:8" ht="78" x14ac:dyDescent="0.3">
      <c r="A1481" s="233">
        <v>14</v>
      </c>
      <c r="B1481" s="233">
        <v>2</v>
      </c>
      <c r="C1481" s="234" t="s">
        <v>23</v>
      </c>
      <c r="D1481" s="235" t="s">
        <v>0</v>
      </c>
      <c r="E1481" s="104" t="s">
        <v>2470</v>
      </c>
      <c r="F1481" s="102" t="s">
        <v>63</v>
      </c>
      <c r="G1481" s="102">
        <v>32</v>
      </c>
      <c r="H1481" s="236" t="s">
        <v>2471</v>
      </c>
    </row>
    <row r="1482" spans="1:8" ht="187.2" x14ac:dyDescent="0.3">
      <c r="A1482" s="233">
        <v>15</v>
      </c>
      <c r="B1482" s="233">
        <v>2</v>
      </c>
      <c r="C1482" s="234" t="s">
        <v>24</v>
      </c>
      <c r="D1482" s="235" t="s">
        <v>0</v>
      </c>
      <c r="E1482" s="104" t="s">
        <v>2713</v>
      </c>
      <c r="F1482" s="102" t="s">
        <v>51</v>
      </c>
      <c r="G1482" s="102">
        <v>57</v>
      </c>
      <c r="H1482" s="236" t="s">
        <v>2708</v>
      </c>
    </row>
    <row r="1483" spans="1:8" ht="78" x14ac:dyDescent="0.3">
      <c r="A1483" s="233">
        <v>15</v>
      </c>
      <c r="B1483" s="233">
        <v>2</v>
      </c>
      <c r="C1483" s="234" t="s">
        <v>24</v>
      </c>
      <c r="D1483" s="27" t="s">
        <v>0</v>
      </c>
      <c r="E1483" s="32" t="s">
        <v>2714</v>
      </c>
      <c r="F1483" s="26" t="s">
        <v>51</v>
      </c>
      <c r="G1483" s="26">
        <v>6</v>
      </c>
      <c r="H1483" s="138" t="s">
        <v>2708</v>
      </c>
    </row>
    <row r="1484" spans="1:8" ht="109.2" x14ac:dyDescent="0.3">
      <c r="A1484" s="233">
        <v>15</v>
      </c>
      <c r="B1484" s="233">
        <v>2</v>
      </c>
      <c r="C1484" s="234" t="s">
        <v>24</v>
      </c>
      <c r="D1484" s="27" t="s">
        <v>119</v>
      </c>
      <c r="E1484" s="32" t="s">
        <v>2715</v>
      </c>
      <c r="F1484" s="26" t="s">
        <v>51</v>
      </c>
      <c r="G1484" s="26">
        <v>11</v>
      </c>
      <c r="H1484" s="138" t="s">
        <v>2709</v>
      </c>
    </row>
    <row r="1485" spans="1:8" ht="124.8" x14ac:dyDescent="0.3">
      <c r="A1485" s="233">
        <v>15</v>
      </c>
      <c r="B1485" s="233">
        <v>2</v>
      </c>
      <c r="C1485" s="234" t="s">
        <v>24</v>
      </c>
      <c r="D1485" s="27" t="s">
        <v>1</v>
      </c>
      <c r="E1485" s="32" t="s">
        <v>2716</v>
      </c>
      <c r="F1485" s="26" t="s">
        <v>1981</v>
      </c>
      <c r="G1485" s="26">
        <v>165</v>
      </c>
      <c r="H1485" s="138" t="s">
        <v>2717</v>
      </c>
    </row>
    <row r="1486" spans="1:8" ht="249.6" x14ac:dyDescent="0.3">
      <c r="A1486" s="233">
        <v>15</v>
      </c>
      <c r="B1486" s="233">
        <v>2</v>
      </c>
      <c r="C1486" s="234" t="s">
        <v>24</v>
      </c>
      <c r="D1486" s="235" t="s">
        <v>1</v>
      </c>
      <c r="E1486" s="104" t="s">
        <v>2718</v>
      </c>
      <c r="F1486" s="102" t="s">
        <v>51</v>
      </c>
      <c r="G1486" s="102">
        <v>122</v>
      </c>
      <c r="H1486" s="236" t="s">
        <v>2719</v>
      </c>
    </row>
    <row r="1487" spans="1:8" ht="93.6" x14ac:dyDescent="0.3">
      <c r="A1487" s="233">
        <v>15</v>
      </c>
      <c r="B1487" s="233">
        <v>2</v>
      </c>
      <c r="C1487" s="234" t="s">
        <v>24</v>
      </c>
      <c r="D1487" s="235" t="s">
        <v>1</v>
      </c>
      <c r="E1487" s="104" t="s">
        <v>2720</v>
      </c>
      <c r="F1487" s="102" t="s">
        <v>51</v>
      </c>
      <c r="G1487" s="102">
        <v>17</v>
      </c>
      <c r="H1487" s="236" t="s">
        <v>2710</v>
      </c>
    </row>
    <row r="1488" spans="1:8" ht="78" x14ac:dyDescent="0.3">
      <c r="A1488" s="233">
        <v>15</v>
      </c>
      <c r="B1488" s="233">
        <v>2</v>
      </c>
      <c r="C1488" s="234" t="s">
        <v>24</v>
      </c>
      <c r="D1488" s="235" t="s">
        <v>1</v>
      </c>
      <c r="E1488" s="104" t="s">
        <v>2721</v>
      </c>
      <c r="F1488" s="102" t="s">
        <v>51</v>
      </c>
      <c r="G1488" s="102">
        <v>18</v>
      </c>
      <c r="H1488" s="236" t="s">
        <v>2711</v>
      </c>
    </row>
    <row r="1489" spans="1:8" ht="78" x14ac:dyDescent="0.3">
      <c r="A1489" s="233">
        <v>15</v>
      </c>
      <c r="B1489" s="233">
        <v>2</v>
      </c>
      <c r="C1489" s="234" t="s">
        <v>24</v>
      </c>
      <c r="D1489" s="235" t="s">
        <v>4</v>
      </c>
      <c r="E1489" s="104" t="s">
        <v>2722</v>
      </c>
      <c r="F1489" s="102" t="s">
        <v>51</v>
      </c>
      <c r="G1489" s="102">
        <v>8</v>
      </c>
      <c r="H1489" s="236" t="s">
        <v>2712</v>
      </c>
    </row>
    <row r="1490" spans="1:8" ht="156" x14ac:dyDescent="0.3">
      <c r="A1490" s="233">
        <v>15</v>
      </c>
      <c r="B1490" s="233">
        <v>2</v>
      </c>
      <c r="C1490" s="234" t="s">
        <v>24</v>
      </c>
      <c r="D1490" s="235" t="s">
        <v>65</v>
      </c>
      <c r="E1490" s="104" t="s">
        <v>1983</v>
      </c>
      <c r="F1490" s="102" t="s">
        <v>51</v>
      </c>
      <c r="G1490" s="102" t="s">
        <v>75</v>
      </c>
      <c r="H1490" s="236" t="s">
        <v>1984</v>
      </c>
    </row>
    <row r="1491" spans="1:8" ht="109.2" x14ac:dyDescent="0.3">
      <c r="A1491" s="233">
        <v>15</v>
      </c>
      <c r="B1491" s="233">
        <v>2</v>
      </c>
      <c r="C1491" s="234" t="s">
        <v>24</v>
      </c>
      <c r="D1491" s="235" t="s">
        <v>65</v>
      </c>
      <c r="E1491" s="104" t="s">
        <v>2723</v>
      </c>
      <c r="F1491" s="102" t="s">
        <v>51</v>
      </c>
      <c r="G1491" s="102">
        <v>9</v>
      </c>
      <c r="H1491" s="236" t="s">
        <v>2724</v>
      </c>
    </row>
    <row r="1492" spans="1:8" ht="15.6" customHeight="1" x14ac:dyDescent="0.3">
      <c r="A1492" s="233">
        <v>15</v>
      </c>
      <c r="B1492" s="233">
        <v>2</v>
      </c>
      <c r="C1492" s="234" t="s">
        <v>24</v>
      </c>
      <c r="D1492" s="235" t="s">
        <v>1</v>
      </c>
      <c r="E1492" s="104" t="s">
        <v>2725</v>
      </c>
      <c r="F1492" s="102" t="s">
        <v>51</v>
      </c>
      <c r="G1492" s="102">
        <v>12</v>
      </c>
      <c r="H1492" s="236" t="s">
        <v>2708</v>
      </c>
    </row>
    <row r="1493" spans="1:8" ht="171.6" x14ac:dyDescent="0.3">
      <c r="A1493" s="233">
        <v>15</v>
      </c>
      <c r="B1493" s="233">
        <v>2</v>
      </c>
      <c r="C1493" s="234" t="s">
        <v>24</v>
      </c>
      <c r="D1493" s="235" t="s">
        <v>65</v>
      </c>
      <c r="E1493" s="104" t="s">
        <v>2726</v>
      </c>
      <c r="F1493" s="102" t="s">
        <v>51</v>
      </c>
      <c r="G1493" s="102">
        <v>10</v>
      </c>
      <c r="H1493" s="236" t="s">
        <v>2727</v>
      </c>
    </row>
    <row r="1494" spans="1:8" ht="109.2" x14ac:dyDescent="0.3">
      <c r="A1494" s="233">
        <v>15</v>
      </c>
      <c r="B1494" s="233">
        <v>2</v>
      </c>
      <c r="C1494" s="234" t="s">
        <v>24</v>
      </c>
      <c r="D1494" s="235" t="s">
        <v>1713</v>
      </c>
      <c r="E1494" s="104" t="s">
        <v>2728</v>
      </c>
      <c r="F1494" s="102" t="s">
        <v>51</v>
      </c>
      <c r="G1494" s="102">
        <v>27</v>
      </c>
      <c r="H1494" s="236" t="s">
        <v>2711</v>
      </c>
    </row>
    <row r="1495" spans="1:8" ht="93.6" x14ac:dyDescent="0.3">
      <c r="A1495" s="101">
        <v>16</v>
      </c>
      <c r="B1495" s="101">
        <v>2</v>
      </c>
      <c r="C1495" s="146" t="s">
        <v>25</v>
      </c>
      <c r="D1495" s="27" t="s">
        <v>1</v>
      </c>
      <c r="E1495" s="32" t="s">
        <v>2472</v>
      </c>
      <c r="F1495" s="26" t="s">
        <v>51</v>
      </c>
      <c r="G1495" s="26">
        <v>69</v>
      </c>
      <c r="H1495" s="138" t="s">
        <v>2473</v>
      </c>
    </row>
    <row r="1496" spans="1:8" ht="109.2" x14ac:dyDescent="0.3">
      <c r="A1496" s="101">
        <v>16</v>
      </c>
      <c r="B1496" s="101">
        <v>2</v>
      </c>
      <c r="C1496" s="146" t="s">
        <v>25</v>
      </c>
      <c r="D1496" s="27" t="s">
        <v>1</v>
      </c>
      <c r="E1496" s="32" t="s">
        <v>2474</v>
      </c>
      <c r="F1496" s="26" t="s">
        <v>51</v>
      </c>
      <c r="G1496" s="26">
        <v>33</v>
      </c>
      <c r="H1496" s="138" t="s">
        <v>2475</v>
      </c>
    </row>
    <row r="1497" spans="1:8" ht="62.4" x14ac:dyDescent="0.3">
      <c r="A1497" s="101">
        <v>16</v>
      </c>
      <c r="B1497" s="101">
        <v>2</v>
      </c>
      <c r="C1497" s="146" t="s">
        <v>25</v>
      </c>
      <c r="D1497" s="27" t="s">
        <v>1</v>
      </c>
      <c r="E1497" s="32" t="s">
        <v>2476</v>
      </c>
      <c r="F1497" s="26" t="s">
        <v>51</v>
      </c>
      <c r="G1497" s="26">
        <v>9</v>
      </c>
      <c r="H1497" s="138" t="s">
        <v>2477</v>
      </c>
    </row>
    <row r="1498" spans="1:8" ht="62.4" x14ac:dyDescent="0.3">
      <c r="A1498" s="101">
        <v>16</v>
      </c>
      <c r="B1498" s="101">
        <v>2</v>
      </c>
      <c r="C1498" s="146" t="s">
        <v>25</v>
      </c>
      <c r="D1498" s="27" t="s">
        <v>65</v>
      </c>
      <c r="E1498" s="32" t="s">
        <v>2478</v>
      </c>
      <c r="F1498" s="26" t="s">
        <v>51</v>
      </c>
      <c r="G1498" s="26">
        <v>35</v>
      </c>
      <c r="H1498" s="138" t="s">
        <v>2479</v>
      </c>
    </row>
    <row r="1499" spans="1:8" ht="124.8" x14ac:dyDescent="0.3">
      <c r="A1499" s="233">
        <v>16</v>
      </c>
      <c r="B1499" s="233">
        <v>2</v>
      </c>
      <c r="C1499" s="234" t="s">
        <v>25</v>
      </c>
      <c r="D1499" s="235" t="s">
        <v>65</v>
      </c>
      <c r="E1499" s="104" t="s">
        <v>2480</v>
      </c>
      <c r="F1499" s="102" t="s">
        <v>51</v>
      </c>
      <c r="G1499" s="102">
        <v>5</v>
      </c>
      <c r="H1499" s="236" t="s">
        <v>2481</v>
      </c>
    </row>
    <row r="1500" spans="1:8" ht="93.6" x14ac:dyDescent="0.3">
      <c r="A1500" s="101">
        <v>17</v>
      </c>
      <c r="B1500" s="101">
        <v>2</v>
      </c>
      <c r="C1500" s="146" t="s">
        <v>26</v>
      </c>
      <c r="D1500" s="27" t="s">
        <v>65</v>
      </c>
      <c r="E1500" s="32" t="s">
        <v>2482</v>
      </c>
      <c r="F1500" s="26" t="s">
        <v>51</v>
      </c>
      <c r="G1500" s="26" t="s">
        <v>394</v>
      </c>
      <c r="H1500" s="138" t="s">
        <v>1996</v>
      </c>
    </row>
    <row r="1501" spans="1:8" ht="46.8" x14ac:dyDescent="0.3">
      <c r="A1501" s="101">
        <v>17</v>
      </c>
      <c r="B1501" s="101">
        <v>2</v>
      </c>
      <c r="C1501" s="146" t="s">
        <v>26</v>
      </c>
      <c r="D1501" s="27" t="s">
        <v>119</v>
      </c>
      <c r="E1501" s="32" t="s">
        <v>2483</v>
      </c>
      <c r="F1501" s="26" t="s">
        <v>51</v>
      </c>
      <c r="G1501" s="26">
        <v>43</v>
      </c>
      <c r="H1501" s="138" t="s">
        <v>2484</v>
      </c>
    </row>
    <row r="1502" spans="1:8" ht="62.4" x14ac:dyDescent="0.3">
      <c r="A1502" s="101">
        <v>17</v>
      </c>
      <c r="B1502" s="101">
        <v>2</v>
      </c>
      <c r="C1502" s="146" t="s">
        <v>26</v>
      </c>
      <c r="D1502" s="27" t="s">
        <v>1</v>
      </c>
      <c r="E1502" s="32" t="s">
        <v>2485</v>
      </c>
      <c r="F1502" s="26" t="s">
        <v>63</v>
      </c>
      <c r="G1502" s="26">
        <v>94</v>
      </c>
      <c r="H1502" s="138" t="s">
        <v>2486</v>
      </c>
    </row>
    <row r="1503" spans="1:8" ht="46.8" x14ac:dyDescent="0.3">
      <c r="A1503" s="101">
        <v>17</v>
      </c>
      <c r="B1503" s="101">
        <v>2</v>
      </c>
      <c r="C1503" s="146" t="s">
        <v>26</v>
      </c>
      <c r="D1503" s="27" t="s">
        <v>1</v>
      </c>
      <c r="E1503" s="32" t="s">
        <v>2487</v>
      </c>
      <c r="F1503" s="26" t="s">
        <v>51</v>
      </c>
      <c r="G1503" s="26">
        <v>20</v>
      </c>
      <c r="H1503" s="138" t="s">
        <v>2488</v>
      </c>
    </row>
    <row r="1504" spans="1:8" ht="109.2" x14ac:dyDescent="0.3">
      <c r="A1504" s="101">
        <v>17</v>
      </c>
      <c r="B1504" s="101">
        <v>2</v>
      </c>
      <c r="C1504" s="146" t="s">
        <v>26</v>
      </c>
      <c r="D1504" s="27" t="s">
        <v>1</v>
      </c>
      <c r="E1504" s="32" t="s">
        <v>2489</v>
      </c>
      <c r="F1504" s="26" t="s">
        <v>63</v>
      </c>
      <c r="G1504" s="26">
        <v>21</v>
      </c>
      <c r="H1504" s="138" t="s">
        <v>2490</v>
      </c>
    </row>
    <row r="1505" spans="1:8" ht="93.6" x14ac:dyDescent="0.3">
      <c r="A1505" s="101">
        <v>17</v>
      </c>
      <c r="B1505" s="101">
        <v>2</v>
      </c>
      <c r="C1505" s="146" t="s">
        <v>26</v>
      </c>
      <c r="D1505" s="27" t="s">
        <v>65</v>
      </c>
      <c r="E1505" s="32" t="s">
        <v>2491</v>
      </c>
      <c r="F1505" s="26" t="s">
        <v>51</v>
      </c>
      <c r="G1505" s="26">
        <v>15</v>
      </c>
      <c r="H1505" s="138" t="s">
        <v>2492</v>
      </c>
    </row>
    <row r="1506" spans="1:8" ht="78" x14ac:dyDescent="0.3">
      <c r="A1506" s="101">
        <v>17</v>
      </c>
      <c r="B1506" s="101">
        <v>2</v>
      </c>
      <c r="C1506" s="146" t="s">
        <v>26</v>
      </c>
      <c r="D1506" s="27" t="s">
        <v>0</v>
      </c>
      <c r="E1506" s="32" t="s">
        <v>2493</v>
      </c>
      <c r="F1506" s="26" t="s">
        <v>51</v>
      </c>
      <c r="G1506" s="26">
        <v>5</v>
      </c>
      <c r="H1506" s="138" t="s">
        <v>2494</v>
      </c>
    </row>
    <row r="1507" spans="1:8" ht="62.4" x14ac:dyDescent="0.3">
      <c r="A1507" s="101">
        <v>17</v>
      </c>
      <c r="B1507" s="101">
        <v>2</v>
      </c>
      <c r="C1507" s="146" t="s">
        <v>26</v>
      </c>
      <c r="D1507" s="27" t="s">
        <v>1</v>
      </c>
      <c r="E1507" s="32" t="s">
        <v>2495</v>
      </c>
      <c r="F1507" s="26" t="s">
        <v>63</v>
      </c>
      <c r="G1507" s="26">
        <v>33</v>
      </c>
      <c r="H1507" s="138" t="s">
        <v>2496</v>
      </c>
    </row>
    <row r="1508" spans="1:8" ht="78" x14ac:dyDescent="0.3">
      <c r="A1508" s="101">
        <v>17</v>
      </c>
      <c r="B1508" s="101">
        <v>2</v>
      </c>
      <c r="C1508" s="146" t="s">
        <v>26</v>
      </c>
      <c r="D1508" s="27" t="s">
        <v>0</v>
      </c>
      <c r="E1508" s="32" t="s">
        <v>2497</v>
      </c>
      <c r="F1508" s="26" t="s">
        <v>63</v>
      </c>
      <c r="G1508" s="26">
        <v>13</v>
      </c>
      <c r="H1508" s="138" t="s">
        <v>2498</v>
      </c>
    </row>
    <row r="1509" spans="1:8" ht="93.6" x14ac:dyDescent="0.3">
      <c r="A1509" s="101">
        <v>17</v>
      </c>
      <c r="B1509" s="101">
        <v>2</v>
      </c>
      <c r="C1509" s="146" t="s">
        <v>26</v>
      </c>
      <c r="D1509" s="27" t="s">
        <v>65</v>
      </c>
      <c r="E1509" s="32" t="s">
        <v>2499</v>
      </c>
      <c r="F1509" s="26" t="s">
        <v>63</v>
      </c>
      <c r="G1509" s="26">
        <v>32</v>
      </c>
      <c r="H1509" s="138" t="s">
        <v>2500</v>
      </c>
    </row>
    <row r="1510" spans="1:8" ht="62.4" x14ac:dyDescent="0.3">
      <c r="A1510" s="101">
        <v>17</v>
      </c>
      <c r="B1510" s="101">
        <v>2</v>
      </c>
      <c r="C1510" s="146" t="s">
        <v>26</v>
      </c>
      <c r="D1510" s="27" t="s">
        <v>1</v>
      </c>
      <c r="E1510" s="32" t="s">
        <v>2501</v>
      </c>
      <c r="F1510" s="26" t="s">
        <v>51</v>
      </c>
      <c r="G1510" s="26">
        <v>3</v>
      </c>
      <c r="H1510" s="138" t="s">
        <v>2502</v>
      </c>
    </row>
    <row r="1511" spans="1:8" ht="109.2" x14ac:dyDescent="0.3">
      <c r="A1511" s="233">
        <v>17</v>
      </c>
      <c r="B1511" s="233">
        <v>2</v>
      </c>
      <c r="C1511" s="234" t="s">
        <v>26</v>
      </c>
      <c r="D1511" s="235" t="s">
        <v>65</v>
      </c>
      <c r="E1511" s="104" t="s">
        <v>2503</v>
      </c>
      <c r="F1511" s="102" t="s">
        <v>63</v>
      </c>
      <c r="G1511" s="102">
        <v>78</v>
      </c>
      <c r="H1511" s="236" t="s">
        <v>2504</v>
      </c>
    </row>
    <row r="1512" spans="1:8" ht="78" x14ac:dyDescent="0.3">
      <c r="A1512" s="101">
        <v>18</v>
      </c>
      <c r="B1512" s="101">
        <v>2</v>
      </c>
      <c r="C1512" s="146" t="s">
        <v>243</v>
      </c>
      <c r="D1512" s="27" t="s">
        <v>0</v>
      </c>
      <c r="E1512" s="32" t="s">
        <v>2505</v>
      </c>
      <c r="F1512" s="26" t="s">
        <v>63</v>
      </c>
      <c r="G1512" s="26">
        <v>110</v>
      </c>
      <c r="H1512" s="138" t="s">
        <v>2506</v>
      </c>
    </row>
    <row r="1513" spans="1:8" ht="93.6" x14ac:dyDescent="0.3">
      <c r="A1513" s="101">
        <v>18</v>
      </c>
      <c r="B1513" s="101">
        <v>2</v>
      </c>
      <c r="C1513" s="146" t="s">
        <v>243</v>
      </c>
      <c r="D1513" s="27" t="s">
        <v>0</v>
      </c>
      <c r="E1513" s="32" t="s">
        <v>2507</v>
      </c>
      <c r="F1513" s="26" t="s">
        <v>63</v>
      </c>
      <c r="G1513" s="26">
        <v>6</v>
      </c>
      <c r="H1513" s="138" t="s">
        <v>2508</v>
      </c>
    </row>
    <row r="1514" spans="1:8" ht="78" x14ac:dyDescent="0.3">
      <c r="A1514" s="101">
        <v>18</v>
      </c>
      <c r="B1514" s="101">
        <v>2</v>
      </c>
      <c r="C1514" s="146" t="s">
        <v>243</v>
      </c>
      <c r="D1514" s="27" t="s">
        <v>1</v>
      </c>
      <c r="E1514" s="32" t="s">
        <v>2509</v>
      </c>
      <c r="F1514" s="26" t="s">
        <v>63</v>
      </c>
      <c r="G1514" s="26">
        <v>56</v>
      </c>
      <c r="H1514" s="138" t="s">
        <v>2510</v>
      </c>
    </row>
    <row r="1515" spans="1:8" ht="93.6" x14ac:dyDescent="0.3">
      <c r="A1515" s="101">
        <v>18</v>
      </c>
      <c r="B1515" s="101">
        <v>2</v>
      </c>
      <c r="C1515" s="146" t="s">
        <v>243</v>
      </c>
      <c r="D1515" s="27" t="s">
        <v>1</v>
      </c>
      <c r="E1515" s="32" t="s">
        <v>2511</v>
      </c>
      <c r="F1515" s="26" t="s">
        <v>63</v>
      </c>
      <c r="G1515" s="26">
        <v>319</v>
      </c>
      <c r="H1515" s="138" t="s">
        <v>2512</v>
      </c>
    </row>
    <row r="1516" spans="1:8" ht="171.6" x14ac:dyDescent="0.3">
      <c r="A1516" s="101">
        <v>18</v>
      </c>
      <c r="B1516" s="101">
        <v>2</v>
      </c>
      <c r="C1516" s="146" t="s">
        <v>243</v>
      </c>
      <c r="D1516" s="27" t="s">
        <v>1</v>
      </c>
      <c r="E1516" s="32" t="s">
        <v>2513</v>
      </c>
      <c r="F1516" s="26" t="s">
        <v>63</v>
      </c>
      <c r="G1516" s="26">
        <v>14</v>
      </c>
      <c r="H1516" s="138" t="s">
        <v>2514</v>
      </c>
    </row>
    <row r="1517" spans="1:8" ht="140.4" x14ac:dyDescent="0.3">
      <c r="A1517" s="101">
        <v>18</v>
      </c>
      <c r="B1517" s="101">
        <v>2</v>
      </c>
      <c r="C1517" s="146" t="s">
        <v>243</v>
      </c>
      <c r="D1517" s="27" t="s">
        <v>1713</v>
      </c>
      <c r="E1517" s="32" t="s">
        <v>2515</v>
      </c>
      <c r="F1517" s="26" t="s">
        <v>63</v>
      </c>
      <c r="G1517" s="26">
        <v>1</v>
      </c>
      <c r="H1517" s="138" t="s">
        <v>2516</v>
      </c>
    </row>
    <row r="1518" spans="1:8" ht="109.2" x14ac:dyDescent="0.3">
      <c r="A1518" s="101">
        <v>18</v>
      </c>
      <c r="B1518" s="101">
        <v>2</v>
      </c>
      <c r="C1518" s="146" t="s">
        <v>243</v>
      </c>
      <c r="D1518" s="27" t="s">
        <v>65</v>
      </c>
      <c r="E1518" s="32" t="s">
        <v>2517</v>
      </c>
      <c r="F1518" s="26" t="s">
        <v>63</v>
      </c>
      <c r="G1518" s="26">
        <v>11</v>
      </c>
      <c r="H1518" s="138" t="s">
        <v>2518</v>
      </c>
    </row>
    <row r="1519" spans="1:8" ht="15.6" customHeight="1" x14ac:dyDescent="0.3">
      <c r="A1519" s="101">
        <v>18</v>
      </c>
      <c r="B1519" s="101">
        <v>2</v>
      </c>
      <c r="C1519" s="146" t="s">
        <v>243</v>
      </c>
      <c r="D1519" s="27" t="s">
        <v>65</v>
      </c>
      <c r="E1519" s="32" t="s">
        <v>2519</v>
      </c>
      <c r="F1519" s="26" t="s">
        <v>63</v>
      </c>
      <c r="G1519" s="26">
        <v>15</v>
      </c>
      <c r="H1519" s="138" t="s">
        <v>2520</v>
      </c>
    </row>
    <row r="1520" spans="1:8" ht="62.4" x14ac:dyDescent="0.3">
      <c r="A1520" s="101">
        <v>18</v>
      </c>
      <c r="B1520" s="101">
        <v>2</v>
      </c>
      <c r="C1520" s="146" t="s">
        <v>243</v>
      </c>
      <c r="D1520" s="27" t="s">
        <v>65</v>
      </c>
      <c r="E1520" s="32" t="s">
        <v>2521</v>
      </c>
      <c r="F1520" s="26" t="s">
        <v>51</v>
      </c>
      <c r="G1520" s="26">
        <v>7</v>
      </c>
      <c r="H1520" s="138" t="s">
        <v>2522</v>
      </c>
    </row>
    <row r="1521" spans="1:8" ht="140.4" x14ac:dyDescent="0.3">
      <c r="A1521" s="101">
        <v>18</v>
      </c>
      <c r="B1521" s="101">
        <v>2</v>
      </c>
      <c r="C1521" s="146" t="s">
        <v>243</v>
      </c>
      <c r="D1521" s="27" t="s">
        <v>65</v>
      </c>
      <c r="E1521" s="32" t="s">
        <v>2523</v>
      </c>
      <c r="F1521" s="26" t="s">
        <v>51</v>
      </c>
      <c r="G1521" s="26">
        <v>11</v>
      </c>
      <c r="H1521" s="138" t="s">
        <v>2524</v>
      </c>
    </row>
    <row r="1522" spans="1:8" ht="124.8" x14ac:dyDescent="0.3">
      <c r="A1522" s="101">
        <v>18</v>
      </c>
      <c r="B1522" s="101">
        <v>2</v>
      </c>
      <c r="C1522" s="146" t="s">
        <v>243</v>
      </c>
      <c r="D1522" s="27" t="s">
        <v>4</v>
      </c>
      <c r="E1522" s="32" t="s">
        <v>2525</v>
      </c>
      <c r="F1522" s="26" t="s">
        <v>63</v>
      </c>
      <c r="G1522" s="26">
        <v>10</v>
      </c>
      <c r="H1522" s="138" t="s">
        <v>2526</v>
      </c>
    </row>
    <row r="1523" spans="1:8" ht="78" x14ac:dyDescent="0.3">
      <c r="A1523" s="101">
        <v>18</v>
      </c>
      <c r="B1523" s="101">
        <v>2</v>
      </c>
      <c r="C1523" s="146" t="s">
        <v>243</v>
      </c>
      <c r="D1523" s="27" t="s">
        <v>1</v>
      </c>
      <c r="E1523" s="32" t="s">
        <v>2527</v>
      </c>
      <c r="F1523" s="26" t="s">
        <v>51</v>
      </c>
      <c r="G1523" s="26">
        <v>7</v>
      </c>
      <c r="H1523" s="138" t="s">
        <v>2528</v>
      </c>
    </row>
    <row r="1524" spans="1:8" ht="156" x14ac:dyDescent="0.3">
      <c r="A1524" s="101">
        <v>18</v>
      </c>
      <c r="B1524" s="101">
        <v>2</v>
      </c>
      <c r="C1524" s="146" t="s">
        <v>243</v>
      </c>
      <c r="D1524" s="27" t="s">
        <v>65</v>
      </c>
      <c r="E1524" s="32" t="s">
        <v>2529</v>
      </c>
      <c r="F1524" s="26" t="s">
        <v>51</v>
      </c>
      <c r="G1524" s="26">
        <v>27</v>
      </c>
      <c r="H1524" s="138" t="s">
        <v>2530</v>
      </c>
    </row>
    <row r="1525" spans="1:8" ht="140.4" x14ac:dyDescent="0.3">
      <c r="A1525" s="101">
        <v>18</v>
      </c>
      <c r="B1525" s="101">
        <v>2</v>
      </c>
      <c r="C1525" s="146" t="s">
        <v>243</v>
      </c>
      <c r="D1525" s="27" t="s">
        <v>65</v>
      </c>
      <c r="E1525" s="32" t="s">
        <v>2531</v>
      </c>
      <c r="F1525" s="26" t="s">
        <v>51</v>
      </c>
      <c r="G1525" s="26">
        <v>6</v>
      </c>
      <c r="H1525" s="138" t="s">
        <v>88</v>
      </c>
    </row>
    <row r="1526" spans="1:8" ht="124.8" x14ac:dyDescent="0.3">
      <c r="A1526" s="101">
        <v>18</v>
      </c>
      <c r="B1526" s="101">
        <v>2</v>
      </c>
      <c r="C1526" s="146" t="s">
        <v>243</v>
      </c>
      <c r="D1526" s="27" t="s">
        <v>65</v>
      </c>
      <c r="E1526" s="32" t="s">
        <v>2532</v>
      </c>
      <c r="F1526" s="26" t="s">
        <v>51</v>
      </c>
      <c r="G1526" s="26">
        <v>10</v>
      </c>
      <c r="H1526" s="138" t="s">
        <v>2533</v>
      </c>
    </row>
    <row r="1527" spans="1:8" ht="93.6" x14ac:dyDescent="0.3">
      <c r="A1527" s="101">
        <v>18</v>
      </c>
      <c r="B1527" s="101">
        <v>2</v>
      </c>
      <c r="C1527" s="146" t="s">
        <v>243</v>
      </c>
      <c r="D1527" s="27" t="s">
        <v>65</v>
      </c>
      <c r="E1527" s="32" t="s">
        <v>2534</v>
      </c>
      <c r="F1527" s="26" t="s">
        <v>51</v>
      </c>
      <c r="G1527" s="26"/>
      <c r="H1527" s="138" t="s">
        <v>2535</v>
      </c>
    </row>
    <row r="1528" spans="1:8" ht="93.6" x14ac:dyDescent="0.3">
      <c r="A1528" s="101">
        <v>18</v>
      </c>
      <c r="B1528" s="101">
        <v>2</v>
      </c>
      <c r="C1528" s="146" t="s">
        <v>243</v>
      </c>
      <c r="D1528" s="27" t="s">
        <v>65</v>
      </c>
      <c r="E1528" s="32" t="s">
        <v>2536</v>
      </c>
      <c r="F1528" s="26" t="s">
        <v>51</v>
      </c>
      <c r="G1528" s="26" t="s">
        <v>75</v>
      </c>
      <c r="H1528" s="138" t="s">
        <v>2537</v>
      </c>
    </row>
    <row r="1529" spans="1:8" ht="93.6" x14ac:dyDescent="0.3">
      <c r="A1529" s="233">
        <v>18</v>
      </c>
      <c r="B1529" s="233">
        <v>2</v>
      </c>
      <c r="C1529" s="234" t="s">
        <v>243</v>
      </c>
      <c r="D1529" s="235" t="s">
        <v>119</v>
      </c>
      <c r="E1529" s="104" t="s">
        <v>2538</v>
      </c>
      <c r="F1529" s="102" t="s">
        <v>63</v>
      </c>
      <c r="G1529" s="102">
        <v>25</v>
      </c>
      <c r="H1529" s="236" t="s">
        <v>2539</v>
      </c>
    </row>
    <row r="1530" spans="1:8" ht="62.4" x14ac:dyDescent="0.3">
      <c r="A1530" s="101">
        <v>19</v>
      </c>
      <c r="B1530" s="101">
        <v>2</v>
      </c>
      <c r="C1530" s="146" t="s">
        <v>28</v>
      </c>
      <c r="D1530" s="27" t="s">
        <v>1</v>
      </c>
      <c r="E1530" s="32" t="s">
        <v>2540</v>
      </c>
      <c r="F1530" s="26" t="s">
        <v>51</v>
      </c>
      <c r="G1530" s="26">
        <v>30</v>
      </c>
      <c r="H1530" s="138" t="s">
        <v>2541</v>
      </c>
    </row>
    <row r="1531" spans="1:8" ht="62.4" x14ac:dyDescent="0.3">
      <c r="A1531" s="101">
        <v>19</v>
      </c>
      <c r="B1531" s="101">
        <v>2</v>
      </c>
      <c r="C1531" s="146" t="s">
        <v>28</v>
      </c>
      <c r="D1531" s="27" t="s">
        <v>1</v>
      </c>
      <c r="E1531" s="32" t="s">
        <v>2542</v>
      </c>
      <c r="F1531" s="26" t="s">
        <v>51</v>
      </c>
      <c r="G1531" s="26">
        <v>44</v>
      </c>
      <c r="H1531" s="138" t="s">
        <v>2543</v>
      </c>
    </row>
    <row r="1532" spans="1:8" ht="62.4" x14ac:dyDescent="0.3">
      <c r="A1532" s="101">
        <v>19</v>
      </c>
      <c r="B1532" s="101">
        <v>2</v>
      </c>
      <c r="C1532" s="146" t="s">
        <v>28</v>
      </c>
      <c r="D1532" s="27" t="s">
        <v>1713</v>
      </c>
      <c r="E1532" s="32" t="s">
        <v>2544</v>
      </c>
      <c r="F1532" s="26" t="s">
        <v>63</v>
      </c>
      <c r="G1532" s="26">
        <v>112</v>
      </c>
      <c r="H1532" s="138" t="s">
        <v>2545</v>
      </c>
    </row>
    <row r="1533" spans="1:8" ht="46.8" x14ac:dyDescent="0.3">
      <c r="A1533" s="233">
        <v>19</v>
      </c>
      <c r="B1533" s="233">
        <v>2</v>
      </c>
      <c r="C1533" s="234" t="s">
        <v>28</v>
      </c>
      <c r="D1533" s="235" t="s">
        <v>65</v>
      </c>
      <c r="E1533" s="104" t="s">
        <v>2546</v>
      </c>
      <c r="F1533" s="102" t="s">
        <v>51</v>
      </c>
      <c r="G1533" s="102" t="s">
        <v>75</v>
      </c>
      <c r="H1533" s="236" t="s">
        <v>2547</v>
      </c>
    </row>
    <row r="1534" spans="1:8" ht="46.8" x14ac:dyDescent="0.3">
      <c r="A1534" s="101">
        <v>20</v>
      </c>
      <c r="B1534" s="101">
        <v>2</v>
      </c>
      <c r="C1534" s="146" t="s">
        <v>29</v>
      </c>
      <c r="D1534" s="27" t="s">
        <v>1</v>
      </c>
      <c r="E1534" s="32" t="s">
        <v>2548</v>
      </c>
      <c r="F1534" s="26" t="s">
        <v>130</v>
      </c>
      <c r="G1534" s="26">
        <v>5</v>
      </c>
      <c r="H1534" s="138" t="s">
        <v>2549</v>
      </c>
    </row>
    <row r="1535" spans="1:8" ht="109.2" x14ac:dyDescent="0.3">
      <c r="A1535" s="101">
        <v>20</v>
      </c>
      <c r="B1535" s="101">
        <v>2</v>
      </c>
      <c r="C1535" s="146" t="s">
        <v>29</v>
      </c>
      <c r="D1535" s="27" t="s">
        <v>1</v>
      </c>
      <c r="E1535" s="32" t="s">
        <v>2550</v>
      </c>
      <c r="F1535" s="26" t="s">
        <v>130</v>
      </c>
      <c r="G1535" s="26">
        <v>1349</v>
      </c>
      <c r="H1535" s="138" t="s">
        <v>2551</v>
      </c>
    </row>
    <row r="1536" spans="1:8" ht="78" x14ac:dyDescent="0.3">
      <c r="A1536" s="101">
        <v>20</v>
      </c>
      <c r="B1536" s="101">
        <v>2</v>
      </c>
      <c r="C1536" s="146" t="s">
        <v>29</v>
      </c>
      <c r="D1536" s="27" t="s">
        <v>2552</v>
      </c>
      <c r="E1536" s="32" t="s">
        <v>2553</v>
      </c>
      <c r="F1536" s="26" t="s">
        <v>130</v>
      </c>
      <c r="G1536" s="26">
        <v>46</v>
      </c>
      <c r="H1536" s="138" t="s">
        <v>2554</v>
      </c>
    </row>
    <row r="1537" spans="1:8" ht="78" x14ac:dyDescent="0.3">
      <c r="A1537" s="101">
        <v>20</v>
      </c>
      <c r="B1537" s="101">
        <v>2</v>
      </c>
      <c r="C1537" s="146" t="s">
        <v>29</v>
      </c>
      <c r="D1537" s="27" t="s">
        <v>541</v>
      </c>
      <c r="E1537" s="32" t="s">
        <v>2555</v>
      </c>
      <c r="F1537" s="26" t="s">
        <v>130</v>
      </c>
      <c r="G1537" s="26">
        <v>1</v>
      </c>
      <c r="H1537" s="138" t="s">
        <v>2556</v>
      </c>
    </row>
    <row r="1538" spans="1:8" ht="62.4" x14ac:dyDescent="0.3">
      <c r="A1538" s="101">
        <v>20</v>
      </c>
      <c r="B1538" s="101">
        <v>2</v>
      </c>
      <c r="C1538" s="146" t="s">
        <v>29</v>
      </c>
      <c r="D1538" s="27" t="s">
        <v>65</v>
      </c>
      <c r="E1538" s="32" t="s">
        <v>2557</v>
      </c>
      <c r="F1538" s="26" t="s">
        <v>130</v>
      </c>
      <c r="G1538" s="26" t="s">
        <v>394</v>
      </c>
      <c r="H1538" s="138" t="s">
        <v>2034</v>
      </c>
    </row>
    <row r="1539" spans="1:8" ht="62.4" x14ac:dyDescent="0.3">
      <c r="A1539" s="101">
        <v>20</v>
      </c>
      <c r="B1539" s="101">
        <v>2</v>
      </c>
      <c r="C1539" s="146" t="s">
        <v>29</v>
      </c>
      <c r="D1539" s="27" t="s">
        <v>65</v>
      </c>
      <c r="E1539" s="32" t="s">
        <v>2558</v>
      </c>
      <c r="F1539" s="26" t="s">
        <v>130</v>
      </c>
      <c r="G1539" s="26">
        <v>135</v>
      </c>
      <c r="H1539" s="138" t="s">
        <v>2559</v>
      </c>
    </row>
    <row r="1540" spans="1:8" ht="62.4" x14ac:dyDescent="0.3">
      <c r="A1540" s="101">
        <v>20</v>
      </c>
      <c r="B1540" s="101">
        <v>2</v>
      </c>
      <c r="C1540" s="146" t="s">
        <v>29</v>
      </c>
      <c r="D1540" s="27" t="s">
        <v>0</v>
      </c>
      <c r="E1540" s="32" t="s">
        <v>2560</v>
      </c>
      <c r="F1540" s="26" t="s">
        <v>130</v>
      </c>
      <c r="G1540" s="26">
        <v>41</v>
      </c>
      <c r="H1540" s="138" t="s">
        <v>2561</v>
      </c>
    </row>
    <row r="1541" spans="1:8" ht="78" x14ac:dyDescent="0.3">
      <c r="A1541" s="233">
        <v>20</v>
      </c>
      <c r="B1541" s="233">
        <v>2</v>
      </c>
      <c r="C1541" s="234" t="s">
        <v>29</v>
      </c>
      <c r="D1541" s="235" t="s">
        <v>1713</v>
      </c>
      <c r="E1541" s="104" t="s">
        <v>2562</v>
      </c>
      <c r="F1541" s="102" t="s">
        <v>130</v>
      </c>
      <c r="G1541" s="102">
        <v>50</v>
      </c>
      <c r="H1541" s="236" t="s">
        <v>2563</v>
      </c>
    </row>
    <row r="1542" spans="1:8" ht="124.8" x14ac:dyDescent="0.3">
      <c r="A1542" s="233">
        <v>21</v>
      </c>
      <c r="B1542" s="233">
        <v>2</v>
      </c>
      <c r="C1542" s="234" t="s">
        <v>30</v>
      </c>
      <c r="D1542" s="235" t="s">
        <v>65</v>
      </c>
      <c r="E1542" s="104" t="s">
        <v>2705</v>
      </c>
      <c r="F1542" s="102" t="s">
        <v>51</v>
      </c>
      <c r="G1542" s="102">
        <v>8</v>
      </c>
      <c r="H1542" s="236" t="s">
        <v>2706</v>
      </c>
    </row>
    <row r="1543" spans="1:8" ht="46.8" x14ac:dyDescent="0.3">
      <c r="A1543" s="233">
        <v>21</v>
      </c>
      <c r="B1543" s="233">
        <v>2</v>
      </c>
      <c r="C1543" s="234" t="s">
        <v>30</v>
      </c>
      <c r="D1543" s="235" t="s">
        <v>65</v>
      </c>
      <c r="E1543" s="104" t="s">
        <v>2041</v>
      </c>
      <c r="F1543" s="102" t="s">
        <v>51</v>
      </c>
      <c r="G1543" s="102" t="s">
        <v>75</v>
      </c>
      <c r="H1543" s="236" t="s">
        <v>2707</v>
      </c>
    </row>
    <row r="1544" spans="1:8" ht="43.35" hidden="1" customHeight="1" x14ac:dyDescent="0.3">
      <c r="A1544" s="233">
        <v>21</v>
      </c>
      <c r="B1544" s="233"/>
      <c r="C1544" s="234"/>
      <c r="D1544" s="235"/>
      <c r="E1544" s="104"/>
      <c r="F1544" s="102"/>
      <c r="G1544" s="102"/>
      <c r="H1544" s="236"/>
    </row>
    <row r="1545" spans="1:8" ht="15.6" hidden="1" customHeight="1" x14ac:dyDescent="0.3">
      <c r="A1545" s="233">
        <v>21</v>
      </c>
      <c r="B1545" s="233"/>
      <c r="C1545" s="234"/>
      <c r="D1545" s="235"/>
      <c r="E1545" s="104"/>
      <c r="F1545" s="102"/>
      <c r="G1545" s="102"/>
      <c r="H1545" s="236"/>
    </row>
    <row r="1546" spans="1:8" ht="15.6" hidden="1" customHeight="1" x14ac:dyDescent="0.3">
      <c r="A1546" s="233">
        <v>21</v>
      </c>
      <c r="B1546" s="233"/>
      <c r="C1546" s="234"/>
      <c r="D1546" s="235"/>
      <c r="E1546" s="104"/>
      <c r="F1546" s="102"/>
      <c r="G1546" s="102"/>
      <c r="H1546" s="236"/>
    </row>
    <row r="1547" spans="1:8" ht="15.6" hidden="1" customHeight="1" x14ac:dyDescent="0.3">
      <c r="A1547" s="233">
        <v>21</v>
      </c>
      <c r="B1547" s="233"/>
      <c r="C1547" s="234"/>
      <c r="D1547" s="235"/>
      <c r="E1547" s="104"/>
      <c r="F1547" s="102"/>
      <c r="G1547" s="102"/>
      <c r="H1547" s="236"/>
    </row>
    <row r="1548" spans="1:8" ht="43.35" hidden="1" customHeight="1" x14ac:dyDescent="0.3">
      <c r="A1548" s="233">
        <v>21</v>
      </c>
      <c r="B1548" s="233"/>
      <c r="C1548" s="234"/>
      <c r="D1548" s="235"/>
      <c r="E1548" s="104"/>
      <c r="F1548" s="102"/>
      <c r="G1548" s="102"/>
      <c r="H1548" s="236"/>
    </row>
    <row r="1549" spans="1:8" ht="15.6" hidden="1" customHeight="1" x14ac:dyDescent="0.3">
      <c r="A1549" s="233">
        <v>21</v>
      </c>
      <c r="B1549" s="233"/>
      <c r="C1549" s="234"/>
      <c r="D1549" s="235"/>
      <c r="E1549" s="104"/>
      <c r="F1549" s="102"/>
      <c r="G1549" s="102"/>
      <c r="H1549" s="236"/>
    </row>
    <row r="1550" spans="1:8" ht="15.6" hidden="1" customHeight="1" x14ac:dyDescent="0.3">
      <c r="A1550" s="233">
        <v>21</v>
      </c>
      <c r="B1550" s="233"/>
      <c r="C1550" s="234"/>
      <c r="D1550" s="235"/>
      <c r="E1550" s="104"/>
      <c r="F1550" s="102"/>
      <c r="G1550" s="102"/>
      <c r="H1550" s="236"/>
    </row>
    <row r="1551" spans="1:8" ht="109.2" x14ac:dyDescent="0.3">
      <c r="A1551" s="101">
        <v>22</v>
      </c>
      <c r="B1551" s="101">
        <v>2</v>
      </c>
      <c r="C1551" s="146" t="s">
        <v>31</v>
      </c>
      <c r="D1551" s="27" t="s">
        <v>65</v>
      </c>
      <c r="E1551" s="32" t="s">
        <v>2564</v>
      </c>
      <c r="F1551" s="26" t="s">
        <v>51</v>
      </c>
      <c r="G1551" s="26" t="s">
        <v>75</v>
      </c>
      <c r="H1551" s="138" t="s">
        <v>2565</v>
      </c>
    </row>
    <row r="1552" spans="1:8" ht="78" x14ac:dyDescent="0.3">
      <c r="A1552" s="101">
        <v>22</v>
      </c>
      <c r="B1552" s="101">
        <v>2</v>
      </c>
      <c r="C1552" s="146" t="s">
        <v>31</v>
      </c>
      <c r="D1552" s="27" t="s">
        <v>65</v>
      </c>
      <c r="E1552" s="32" t="s">
        <v>2566</v>
      </c>
      <c r="F1552" s="26" t="s">
        <v>51</v>
      </c>
      <c r="G1552" s="26">
        <v>6</v>
      </c>
      <c r="H1552" s="138" t="s">
        <v>2567</v>
      </c>
    </row>
    <row r="1553" spans="1:8" ht="109.2" x14ac:dyDescent="0.3">
      <c r="A1553" s="101">
        <v>22</v>
      </c>
      <c r="B1553" s="101">
        <v>2</v>
      </c>
      <c r="C1553" s="146" t="s">
        <v>31</v>
      </c>
      <c r="D1553" s="27" t="s">
        <v>1</v>
      </c>
      <c r="E1553" s="32" t="s">
        <v>2568</v>
      </c>
      <c r="F1553" s="26" t="s">
        <v>51</v>
      </c>
      <c r="G1553" s="26">
        <v>36</v>
      </c>
      <c r="H1553" s="138" t="s">
        <v>2569</v>
      </c>
    </row>
    <row r="1554" spans="1:8" ht="109.2" x14ac:dyDescent="0.3">
      <c r="A1554" s="233">
        <v>22</v>
      </c>
      <c r="B1554" s="233">
        <v>2</v>
      </c>
      <c r="C1554" s="234" t="s">
        <v>31</v>
      </c>
      <c r="D1554" s="235" t="s">
        <v>1</v>
      </c>
      <c r="E1554" s="104" t="s">
        <v>2570</v>
      </c>
      <c r="F1554" s="102" t="s">
        <v>51</v>
      </c>
      <c r="G1554" s="102">
        <v>30</v>
      </c>
      <c r="H1554" s="236" t="s">
        <v>2571</v>
      </c>
    </row>
    <row r="1555" spans="1:8" ht="93.6" x14ac:dyDescent="0.3">
      <c r="A1555" s="101">
        <v>23</v>
      </c>
      <c r="B1555" s="101">
        <v>2</v>
      </c>
      <c r="C1555" s="146" t="s">
        <v>32</v>
      </c>
      <c r="D1555" s="27" t="s">
        <v>1713</v>
      </c>
      <c r="E1555" s="32" t="s">
        <v>2572</v>
      </c>
      <c r="F1555" s="26" t="s">
        <v>51</v>
      </c>
      <c r="G1555" s="26">
        <v>567</v>
      </c>
      <c r="H1555" s="138" t="s">
        <v>2573</v>
      </c>
    </row>
    <row r="1556" spans="1:8" ht="93.6" x14ac:dyDescent="0.3">
      <c r="A1556" s="101">
        <v>23</v>
      </c>
      <c r="B1556" s="101">
        <v>2</v>
      </c>
      <c r="C1556" s="146" t="s">
        <v>32</v>
      </c>
      <c r="D1556" s="27" t="s">
        <v>1</v>
      </c>
      <c r="E1556" s="32" t="s">
        <v>2574</v>
      </c>
      <c r="F1556" s="26" t="s">
        <v>51</v>
      </c>
      <c r="G1556" s="26">
        <v>398</v>
      </c>
      <c r="H1556" s="138" t="s">
        <v>2575</v>
      </c>
    </row>
    <row r="1557" spans="1:8" ht="78" x14ac:dyDescent="0.3">
      <c r="A1557" s="101">
        <v>23</v>
      </c>
      <c r="B1557" s="101">
        <v>2</v>
      </c>
      <c r="C1557" s="146" t="s">
        <v>32</v>
      </c>
      <c r="D1557" s="27" t="s">
        <v>1</v>
      </c>
      <c r="E1557" s="32" t="s">
        <v>2576</v>
      </c>
      <c r="F1557" s="26" t="s">
        <v>51</v>
      </c>
      <c r="G1557" s="26">
        <v>68</v>
      </c>
      <c r="H1557" s="138" t="s">
        <v>2575</v>
      </c>
    </row>
    <row r="1558" spans="1:8" ht="78" x14ac:dyDescent="0.3">
      <c r="A1558" s="101">
        <v>23</v>
      </c>
      <c r="B1558" s="101">
        <v>2</v>
      </c>
      <c r="C1558" s="146" t="s">
        <v>32</v>
      </c>
      <c r="D1558" s="27" t="s">
        <v>1</v>
      </c>
      <c r="E1558" s="32" t="s">
        <v>2577</v>
      </c>
      <c r="F1558" s="26" t="s">
        <v>51</v>
      </c>
      <c r="G1558" s="26">
        <v>84</v>
      </c>
      <c r="H1558" s="138" t="s">
        <v>2575</v>
      </c>
    </row>
    <row r="1559" spans="1:8" ht="93.6" x14ac:dyDescent="0.3">
      <c r="A1559" s="101">
        <v>23</v>
      </c>
      <c r="B1559" s="101">
        <v>2</v>
      </c>
      <c r="C1559" s="146" t="s">
        <v>32</v>
      </c>
      <c r="D1559" s="27" t="s">
        <v>1</v>
      </c>
      <c r="E1559" s="32" t="s">
        <v>2578</v>
      </c>
      <c r="F1559" s="26" t="s">
        <v>51</v>
      </c>
      <c r="G1559" s="26">
        <v>129</v>
      </c>
      <c r="H1559" s="138" t="s">
        <v>2575</v>
      </c>
    </row>
    <row r="1560" spans="1:8" ht="171.6" x14ac:dyDescent="0.3">
      <c r="A1560" s="101">
        <v>23</v>
      </c>
      <c r="B1560" s="101">
        <v>2</v>
      </c>
      <c r="C1560" s="146" t="s">
        <v>32</v>
      </c>
      <c r="D1560" s="27" t="s">
        <v>1</v>
      </c>
      <c r="E1560" s="32" t="s">
        <v>2579</v>
      </c>
      <c r="F1560" s="26" t="s">
        <v>51</v>
      </c>
      <c r="G1560" s="26">
        <v>54</v>
      </c>
      <c r="H1560" s="138" t="s">
        <v>2575</v>
      </c>
    </row>
    <row r="1561" spans="1:8" ht="156" x14ac:dyDescent="0.3">
      <c r="A1561" s="101">
        <v>23</v>
      </c>
      <c r="B1561" s="101">
        <v>2</v>
      </c>
      <c r="C1561" s="146" t="s">
        <v>32</v>
      </c>
      <c r="D1561" s="27" t="s">
        <v>1</v>
      </c>
      <c r="E1561" s="32" t="s">
        <v>2580</v>
      </c>
      <c r="F1561" s="26" t="s">
        <v>51</v>
      </c>
      <c r="G1561" s="26">
        <v>103</v>
      </c>
      <c r="H1561" s="138" t="s">
        <v>2575</v>
      </c>
    </row>
    <row r="1562" spans="1:8" ht="124.8" x14ac:dyDescent="0.3">
      <c r="A1562" s="101">
        <v>23</v>
      </c>
      <c r="B1562" s="101">
        <v>2</v>
      </c>
      <c r="C1562" s="146" t="s">
        <v>32</v>
      </c>
      <c r="D1562" s="27" t="s">
        <v>1</v>
      </c>
      <c r="E1562" s="32" t="s">
        <v>2581</v>
      </c>
      <c r="F1562" s="26" t="s">
        <v>51</v>
      </c>
      <c r="G1562" s="26">
        <v>15</v>
      </c>
      <c r="H1562" s="138" t="s">
        <v>2582</v>
      </c>
    </row>
    <row r="1563" spans="1:8" ht="140.4" x14ac:dyDescent="0.3">
      <c r="A1563" s="101">
        <v>23</v>
      </c>
      <c r="B1563" s="101">
        <v>2</v>
      </c>
      <c r="C1563" s="146" t="s">
        <v>32</v>
      </c>
      <c r="D1563" s="27" t="s">
        <v>1</v>
      </c>
      <c r="E1563" s="32" t="s">
        <v>2583</v>
      </c>
      <c r="F1563" s="26" t="s">
        <v>51</v>
      </c>
      <c r="G1563" s="26">
        <v>95</v>
      </c>
      <c r="H1563" s="138" t="s">
        <v>2575</v>
      </c>
    </row>
    <row r="1564" spans="1:8" ht="109.2" x14ac:dyDescent="0.3">
      <c r="A1564" s="101">
        <v>23</v>
      </c>
      <c r="B1564" s="101">
        <v>2</v>
      </c>
      <c r="C1564" s="146" t="s">
        <v>32</v>
      </c>
      <c r="D1564" s="27" t="s">
        <v>65</v>
      </c>
      <c r="E1564" s="32" t="s">
        <v>2584</v>
      </c>
      <c r="F1564" s="26" t="s">
        <v>51</v>
      </c>
      <c r="G1564" s="26">
        <v>62</v>
      </c>
      <c r="H1564" s="138" t="s">
        <v>2585</v>
      </c>
    </row>
    <row r="1565" spans="1:8" ht="109.2" x14ac:dyDescent="0.3">
      <c r="A1565" s="101">
        <v>23</v>
      </c>
      <c r="B1565" s="101">
        <v>2</v>
      </c>
      <c r="C1565" s="146" t="s">
        <v>32</v>
      </c>
      <c r="D1565" s="27" t="s">
        <v>65</v>
      </c>
      <c r="E1565" s="32" t="s">
        <v>2586</v>
      </c>
      <c r="F1565" s="26" t="s">
        <v>51</v>
      </c>
      <c r="G1565" s="26">
        <v>7200</v>
      </c>
      <c r="H1565" s="138" t="s">
        <v>2587</v>
      </c>
    </row>
    <row r="1566" spans="1:8" ht="78" x14ac:dyDescent="0.3">
      <c r="A1566" s="101">
        <v>23</v>
      </c>
      <c r="B1566" s="101">
        <v>2</v>
      </c>
      <c r="C1566" s="146" t="s">
        <v>32</v>
      </c>
      <c r="D1566" s="27" t="s">
        <v>65</v>
      </c>
      <c r="E1566" s="32" t="s">
        <v>2588</v>
      </c>
      <c r="F1566" s="26" t="s">
        <v>63</v>
      </c>
      <c r="G1566" s="26">
        <v>20</v>
      </c>
      <c r="H1566" s="138" t="s">
        <v>2589</v>
      </c>
    </row>
    <row r="1567" spans="1:8" ht="93.6" x14ac:dyDescent="0.3">
      <c r="A1567" s="101">
        <v>23</v>
      </c>
      <c r="B1567" s="101">
        <v>2</v>
      </c>
      <c r="C1567" s="146" t="s">
        <v>32</v>
      </c>
      <c r="D1567" s="27" t="s">
        <v>65</v>
      </c>
      <c r="E1567" s="32" t="s">
        <v>2590</v>
      </c>
      <c r="F1567" s="26" t="s">
        <v>51</v>
      </c>
      <c r="G1567" s="26">
        <v>117</v>
      </c>
      <c r="H1567" s="138" t="s">
        <v>2591</v>
      </c>
    </row>
    <row r="1568" spans="1:8" ht="62.4" x14ac:dyDescent="0.3">
      <c r="A1568" s="233">
        <v>23</v>
      </c>
      <c r="B1568" s="233">
        <v>2</v>
      </c>
      <c r="C1568" s="234" t="s">
        <v>32</v>
      </c>
      <c r="D1568" s="235" t="s">
        <v>65</v>
      </c>
      <c r="E1568" s="104" t="s">
        <v>2592</v>
      </c>
      <c r="F1568" s="102" t="s">
        <v>51</v>
      </c>
      <c r="G1568" s="102" t="s">
        <v>394</v>
      </c>
      <c r="H1568" s="236" t="s">
        <v>2593</v>
      </c>
    </row>
    <row r="1569" spans="1:8" ht="109.2" x14ac:dyDescent="0.3">
      <c r="A1569" s="233">
        <v>24</v>
      </c>
      <c r="B1569" s="233">
        <v>2</v>
      </c>
      <c r="C1569" s="234" t="s">
        <v>33</v>
      </c>
      <c r="D1569" s="235" t="s">
        <v>65</v>
      </c>
      <c r="E1569" s="104" t="s">
        <v>2664</v>
      </c>
      <c r="F1569" s="102" t="s">
        <v>51</v>
      </c>
      <c r="G1569" s="102" t="s">
        <v>75</v>
      </c>
      <c r="H1569" s="236" t="s">
        <v>2665</v>
      </c>
    </row>
    <row r="1570" spans="1:8" ht="109.2" x14ac:dyDescent="0.3">
      <c r="A1570" s="233">
        <v>24</v>
      </c>
      <c r="B1570" s="233">
        <v>2</v>
      </c>
      <c r="C1570" s="234" t="s">
        <v>33</v>
      </c>
      <c r="D1570" s="235" t="s">
        <v>65</v>
      </c>
      <c r="E1570" s="104" t="s">
        <v>2666</v>
      </c>
      <c r="F1570" s="102" t="s">
        <v>63</v>
      </c>
      <c r="G1570" s="102">
        <v>4</v>
      </c>
      <c r="H1570" s="236" t="s">
        <v>2667</v>
      </c>
    </row>
    <row r="1571" spans="1:8" ht="78" x14ac:dyDescent="0.3">
      <c r="A1571" s="233">
        <v>24</v>
      </c>
      <c r="B1571" s="233">
        <v>2</v>
      </c>
      <c r="C1571" s="234" t="s">
        <v>33</v>
      </c>
      <c r="D1571" s="235" t="s">
        <v>0</v>
      </c>
      <c r="E1571" s="104" t="s">
        <v>2668</v>
      </c>
      <c r="F1571" s="102" t="s">
        <v>51</v>
      </c>
      <c r="G1571" s="102">
        <v>109</v>
      </c>
      <c r="H1571" s="236" t="s">
        <v>2669</v>
      </c>
    </row>
    <row r="1572" spans="1:8" ht="156" x14ac:dyDescent="0.3">
      <c r="A1572" s="233">
        <v>24</v>
      </c>
      <c r="B1572" s="233">
        <v>2</v>
      </c>
      <c r="C1572" s="234" t="s">
        <v>33</v>
      </c>
      <c r="D1572" s="235" t="s">
        <v>0</v>
      </c>
      <c r="E1572" s="104" t="s">
        <v>2670</v>
      </c>
      <c r="F1572" s="102" t="s">
        <v>51</v>
      </c>
      <c r="G1572" s="102">
        <v>215</v>
      </c>
      <c r="H1572" s="236" t="s">
        <v>2671</v>
      </c>
    </row>
    <row r="1573" spans="1:8" ht="140.4" x14ac:dyDescent="0.3">
      <c r="A1573" s="233">
        <v>24</v>
      </c>
      <c r="B1573" s="233">
        <v>2</v>
      </c>
      <c r="C1573" s="234" t="s">
        <v>33</v>
      </c>
      <c r="D1573" s="235" t="s">
        <v>1</v>
      </c>
      <c r="E1573" s="104" t="s">
        <v>2672</v>
      </c>
      <c r="F1573" s="102" t="s">
        <v>63</v>
      </c>
      <c r="G1573" s="102">
        <v>165</v>
      </c>
      <c r="H1573" s="236" t="s">
        <v>2673</v>
      </c>
    </row>
    <row r="1574" spans="1:8" ht="78" x14ac:dyDescent="0.3">
      <c r="A1574" s="233">
        <v>24</v>
      </c>
      <c r="B1574" s="233">
        <v>2</v>
      </c>
      <c r="C1574" s="234" t="s">
        <v>33</v>
      </c>
      <c r="D1574" s="235" t="s">
        <v>1</v>
      </c>
      <c r="E1574" s="104" t="s">
        <v>2674</v>
      </c>
      <c r="F1574" s="102" t="s">
        <v>51</v>
      </c>
      <c r="G1574" s="102">
        <v>159</v>
      </c>
      <c r="H1574" s="236" t="s">
        <v>2675</v>
      </c>
    </row>
    <row r="1575" spans="1:8" ht="93.6" x14ac:dyDescent="0.3">
      <c r="A1575" s="233">
        <v>24</v>
      </c>
      <c r="B1575" s="233">
        <v>2</v>
      </c>
      <c r="C1575" s="234" t="s">
        <v>33</v>
      </c>
      <c r="D1575" s="235" t="s">
        <v>65</v>
      </c>
      <c r="E1575" s="104" t="s">
        <v>2676</v>
      </c>
      <c r="F1575" s="102" t="s">
        <v>51</v>
      </c>
      <c r="G1575" s="102">
        <v>10</v>
      </c>
      <c r="H1575" s="236" t="s">
        <v>2677</v>
      </c>
    </row>
    <row r="1576" spans="1:8" ht="15.75" hidden="1" x14ac:dyDescent="0.3">
      <c r="A1576" s="233">
        <v>24</v>
      </c>
      <c r="B1576" s="233"/>
      <c r="C1576" s="234"/>
      <c r="D1576" s="235"/>
      <c r="E1576" s="104"/>
      <c r="F1576" s="102"/>
      <c r="G1576" s="102"/>
      <c r="H1576" s="236"/>
    </row>
    <row r="1577" spans="1:8" ht="15.75" hidden="1" x14ac:dyDescent="0.3">
      <c r="A1577" s="233">
        <v>24</v>
      </c>
      <c r="B1577" s="233"/>
      <c r="C1577" s="234"/>
      <c r="D1577" s="235"/>
      <c r="E1577" s="104"/>
      <c r="F1577" s="102"/>
      <c r="G1577" s="102"/>
      <c r="H1577" s="236"/>
    </row>
    <row r="1578" spans="1:8" ht="109.2" x14ac:dyDescent="0.3">
      <c r="A1578" s="101">
        <v>25</v>
      </c>
      <c r="B1578" s="101">
        <v>2</v>
      </c>
      <c r="C1578" s="146" t="s">
        <v>34</v>
      </c>
      <c r="D1578" s="27" t="s">
        <v>65</v>
      </c>
      <c r="E1578" s="32" t="s">
        <v>2594</v>
      </c>
      <c r="F1578" s="26" t="s">
        <v>51</v>
      </c>
      <c r="G1578" s="26" t="s">
        <v>75</v>
      </c>
      <c r="H1578" s="138" t="s">
        <v>2078</v>
      </c>
    </row>
    <row r="1579" spans="1:8" ht="78" x14ac:dyDescent="0.3">
      <c r="A1579" s="101">
        <v>25</v>
      </c>
      <c r="B1579" s="101">
        <v>2</v>
      </c>
      <c r="C1579" s="146" t="s">
        <v>34</v>
      </c>
      <c r="D1579" s="27" t="s">
        <v>65</v>
      </c>
      <c r="E1579" s="32" t="s">
        <v>2595</v>
      </c>
      <c r="F1579" s="26" t="s">
        <v>51</v>
      </c>
      <c r="G1579" s="26">
        <v>9</v>
      </c>
      <c r="H1579" s="138" t="s">
        <v>2746</v>
      </c>
    </row>
    <row r="1580" spans="1:8" ht="93.6" x14ac:dyDescent="0.3">
      <c r="A1580" s="101">
        <v>25</v>
      </c>
      <c r="B1580" s="101">
        <v>2</v>
      </c>
      <c r="C1580" s="146" t="s">
        <v>34</v>
      </c>
      <c r="D1580" s="27" t="s">
        <v>65</v>
      </c>
      <c r="E1580" s="32" t="s">
        <v>2596</v>
      </c>
      <c r="F1580" s="26" t="s">
        <v>51</v>
      </c>
      <c r="G1580" s="26">
        <v>2</v>
      </c>
      <c r="H1580" s="138" t="s">
        <v>2597</v>
      </c>
    </row>
    <row r="1581" spans="1:8" ht="93.6" x14ac:dyDescent="0.3">
      <c r="A1581" s="101">
        <v>25</v>
      </c>
      <c r="B1581" s="101">
        <v>2</v>
      </c>
      <c r="C1581" s="146" t="s">
        <v>34</v>
      </c>
      <c r="D1581" s="27" t="s">
        <v>1</v>
      </c>
      <c r="E1581" s="32" t="s">
        <v>2598</v>
      </c>
      <c r="F1581" s="26" t="s">
        <v>51</v>
      </c>
      <c r="G1581" s="26">
        <v>25</v>
      </c>
      <c r="H1581" s="138" t="s">
        <v>2599</v>
      </c>
    </row>
    <row r="1582" spans="1:8" ht="93.6" x14ac:dyDescent="0.3">
      <c r="A1582" s="101">
        <v>25</v>
      </c>
      <c r="B1582" s="101">
        <v>2</v>
      </c>
      <c r="C1582" s="146" t="s">
        <v>34</v>
      </c>
      <c r="D1582" s="27" t="s">
        <v>1</v>
      </c>
      <c r="E1582" s="32" t="s">
        <v>2600</v>
      </c>
      <c r="F1582" s="26" t="s">
        <v>51</v>
      </c>
      <c r="G1582" s="26">
        <v>21</v>
      </c>
      <c r="H1582" s="138" t="s">
        <v>2601</v>
      </c>
    </row>
    <row r="1583" spans="1:8" ht="93.6" x14ac:dyDescent="0.3">
      <c r="A1583" s="101">
        <v>25</v>
      </c>
      <c r="B1583" s="101">
        <v>2</v>
      </c>
      <c r="C1583" s="146" t="s">
        <v>34</v>
      </c>
      <c r="D1583" s="27" t="s">
        <v>1</v>
      </c>
      <c r="E1583" s="32" t="s">
        <v>2602</v>
      </c>
      <c r="F1583" s="26" t="s">
        <v>63</v>
      </c>
      <c r="G1583" s="26">
        <v>25</v>
      </c>
      <c r="H1583" s="138" t="s">
        <v>2599</v>
      </c>
    </row>
    <row r="1584" spans="1:8" ht="93.6" x14ac:dyDescent="0.3">
      <c r="A1584" s="101">
        <v>25</v>
      </c>
      <c r="B1584" s="101">
        <v>2</v>
      </c>
      <c r="C1584" s="146" t="s">
        <v>34</v>
      </c>
      <c r="D1584" s="27" t="s">
        <v>1</v>
      </c>
      <c r="E1584" s="32" t="s">
        <v>2603</v>
      </c>
      <c r="F1584" s="26" t="s">
        <v>51</v>
      </c>
      <c r="G1584" s="26">
        <v>29</v>
      </c>
      <c r="H1584" s="138" t="s">
        <v>2604</v>
      </c>
    </row>
    <row r="1585" spans="1:8" ht="109.2" x14ac:dyDescent="0.3">
      <c r="A1585" s="101">
        <v>25</v>
      </c>
      <c r="B1585" s="101">
        <v>2</v>
      </c>
      <c r="C1585" s="146" t="s">
        <v>34</v>
      </c>
      <c r="D1585" s="27" t="s">
        <v>1</v>
      </c>
      <c r="E1585" s="32" t="s">
        <v>2605</v>
      </c>
      <c r="F1585" s="26" t="s">
        <v>51</v>
      </c>
      <c r="G1585" s="26">
        <v>9</v>
      </c>
      <c r="H1585" s="138" t="s">
        <v>2606</v>
      </c>
    </row>
    <row r="1586" spans="1:8" ht="93.6" x14ac:dyDescent="0.3">
      <c r="A1586" s="101">
        <v>25</v>
      </c>
      <c r="B1586" s="101">
        <v>2</v>
      </c>
      <c r="C1586" s="146" t="s">
        <v>34</v>
      </c>
      <c r="D1586" s="27" t="s">
        <v>1</v>
      </c>
      <c r="E1586" s="32" t="s">
        <v>2607</v>
      </c>
      <c r="F1586" s="26" t="s">
        <v>51</v>
      </c>
      <c r="G1586" s="26">
        <v>1</v>
      </c>
      <c r="H1586" s="138" t="s">
        <v>2088</v>
      </c>
    </row>
    <row r="1587" spans="1:8" ht="93.6" x14ac:dyDescent="0.3">
      <c r="A1587" s="101">
        <v>25</v>
      </c>
      <c r="B1587" s="101">
        <v>2</v>
      </c>
      <c r="C1587" s="146" t="s">
        <v>34</v>
      </c>
      <c r="D1587" s="27" t="s">
        <v>1</v>
      </c>
      <c r="E1587" s="32" t="s">
        <v>2608</v>
      </c>
      <c r="F1587" s="26" t="s">
        <v>51</v>
      </c>
      <c r="G1587" s="26">
        <v>12</v>
      </c>
      <c r="H1587" s="138" t="s">
        <v>2609</v>
      </c>
    </row>
    <row r="1588" spans="1:8" ht="93.6" x14ac:dyDescent="0.3">
      <c r="A1588" s="101">
        <v>25</v>
      </c>
      <c r="B1588" s="101">
        <v>2</v>
      </c>
      <c r="C1588" s="146" t="s">
        <v>34</v>
      </c>
      <c r="D1588" s="27" t="s">
        <v>65</v>
      </c>
      <c r="E1588" s="32" t="s">
        <v>2747</v>
      </c>
      <c r="F1588" s="26" t="s">
        <v>51</v>
      </c>
      <c r="G1588" s="26">
        <v>11</v>
      </c>
      <c r="H1588" s="138" t="s">
        <v>2610</v>
      </c>
    </row>
    <row r="1589" spans="1:8" ht="109.2" x14ac:dyDescent="0.3">
      <c r="A1589" s="101">
        <v>25</v>
      </c>
      <c r="B1589" s="101">
        <v>2</v>
      </c>
      <c r="C1589" s="146" t="s">
        <v>34</v>
      </c>
      <c r="D1589" s="27" t="s">
        <v>65</v>
      </c>
      <c r="E1589" s="32" t="s">
        <v>2611</v>
      </c>
      <c r="F1589" s="26" t="s">
        <v>63</v>
      </c>
      <c r="G1589" s="26">
        <v>30</v>
      </c>
      <c r="H1589" s="138" t="s">
        <v>2612</v>
      </c>
    </row>
    <row r="1590" spans="1:8" ht="62.4" x14ac:dyDescent="0.3">
      <c r="A1590" s="233">
        <v>25</v>
      </c>
      <c r="B1590" s="233">
        <v>2</v>
      </c>
      <c r="C1590" s="234" t="s">
        <v>34</v>
      </c>
      <c r="D1590" s="235" t="s">
        <v>119</v>
      </c>
      <c r="E1590" s="104" t="s">
        <v>2089</v>
      </c>
      <c r="F1590" s="102" t="s">
        <v>51</v>
      </c>
      <c r="G1590" s="102">
        <v>11</v>
      </c>
      <c r="H1590" s="236" t="s">
        <v>2088</v>
      </c>
    </row>
    <row r="1591" spans="1:8" ht="78" x14ac:dyDescent="0.3">
      <c r="A1591" s="101">
        <v>26</v>
      </c>
      <c r="B1591" s="101">
        <v>2</v>
      </c>
      <c r="C1591" s="146" t="s">
        <v>35</v>
      </c>
      <c r="D1591" s="27" t="s">
        <v>119</v>
      </c>
      <c r="E1591" s="32" t="s">
        <v>2613</v>
      </c>
      <c r="F1591" s="26" t="s">
        <v>63</v>
      </c>
      <c r="G1591" s="26">
        <v>26</v>
      </c>
      <c r="H1591" s="138" t="s">
        <v>2614</v>
      </c>
    </row>
    <row r="1592" spans="1:8" ht="62.4" x14ac:dyDescent="0.3">
      <c r="A1592" s="101">
        <v>26</v>
      </c>
      <c r="B1592" s="101">
        <v>2</v>
      </c>
      <c r="C1592" s="146" t="s">
        <v>35</v>
      </c>
      <c r="D1592" s="27" t="s">
        <v>541</v>
      </c>
      <c r="E1592" s="32" t="s">
        <v>2108</v>
      </c>
      <c r="F1592" s="26" t="s">
        <v>51</v>
      </c>
      <c r="G1592" s="26">
        <v>7</v>
      </c>
      <c r="H1592" s="138" t="s">
        <v>2615</v>
      </c>
    </row>
    <row r="1593" spans="1:8" ht="62.4" x14ac:dyDescent="0.3">
      <c r="A1593" s="101">
        <v>26</v>
      </c>
      <c r="B1593" s="101">
        <v>2</v>
      </c>
      <c r="C1593" s="146" t="s">
        <v>35</v>
      </c>
      <c r="D1593" s="27" t="s">
        <v>65</v>
      </c>
      <c r="E1593" s="32" t="s">
        <v>2616</v>
      </c>
      <c r="F1593" s="26" t="s">
        <v>51</v>
      </c>
      <c r="G1593" s="26" t="s">
        <v>75</v>
      </c>
      <c r="H1593" s="138" t="s">
        <v>2103</v>
      </c>
    </row>
    <row r="1594" spans="1:8" ht="93.6" x14ac:dyDescent="0.3">
      <c r="A1594" s="101">
        <v>26</v>
      </c>
      <c r="B1594" s="101">
        <v>2</v>
      </c>
      <c r="C1594" s="146" t="s">
        <v>35</v>
      </c>
      <c r="D1594" s="27" t="s">
        <v>65</v>
      </c>
      <c r="E1594" s="32" t="s">
        <v>2617</v>
      </c>
      <c r="F1594" s="26" t="s">
        <v>51</v>
      </c>
      <c r="G1594" s="26">
        <v>195</v>
      </c>
      <c r="H1594" s="138" t="s">
        <v>2618</v>
      </c>
    </row>
    <row r="1595" spans="1:8" ht="62.4" x14ac:dyDescent="0.3">
      <c r="A1595" s="101">
        <v>26</v>
      </c>
      <c r="B1595" s="101">
        <v>2</v>
      </c>
      <c r="C1595" s="146" t="s">
        <v>35</v>
      </c>
      <c r="D1595" s="27" t="s">
        <v>65</v>
      </c>
      <c r="E1595" s="32" t="s">
        <v>2619</v>
      </c>
      <c r="F1595" s="26" t="s">
        <v>63</v>
      </c>
      <c r="G1595" s="26">
        <v>100</v>
      </c>
      <c r="H1595" s="138" t="s">
        <v>2620</v>
      </c>
    </row>
    <row r="1596" spans="1:8" ht="46.8" x14ac:dyDescent="0.3">
      <c r="A1596" s="101">
        <v>26</v>
      </c>
      <c r="B1596" s="101">
        <v>2</v>
      </c>
      <c r="C1596" s="146" t="s">
        <v>35</v>
      </c>
      <c r="D1596" s="27" t="s">
        <v>65</v>
      </c>
      <c r="E1596" s="32" t="s">
        <v>2621</v>
      </c>
      <c r="F1596" s="26" t="s">
        <v>63</v>
      </c>
      <c r="G1596" s="26">
        <v>31</v>
      </c>
      <c r="H1596" s="138" t="s">
        <v>2622</v>
      </c>
    </row>
    <row r="1597" spans="1:8" ht="109.2" x14ac:dyDescent="0.3">
      <c r="A1597" s="101">
        <v>26</v>
      </c>
      <c r="B1597" s="101">
        <v>2</v>
      </c>
      <c r="C1597" s="146" t="s">
        <v>35</v>
      </c>
      <c r="D1597" s="27" t="s">
        <v>65</v>
      </c>
      <c r="E1597" s="32" t="s">
        <v>2623</v>
      </c>
      <c r="F1597" s="26" t="s">
        <v>63</v>
      </c>
      <c r="G1597" s="26">
        <v>10</v>
      </c>
      <c r="H1597" s="138" t="s">
        <v>2624</v>
      </c>
    </row>
    <row r="1598" spans="1:8" ht="93.6" x14ac:dyDescent="0.3">
      <c r="A1598" s="101">
        <v>26</v>
      </c>
      <c r="B1598" s="101">
        <v>2</v>
      </c>
      <c r="C1598" s="146" t="s">
        <v>35</v>
      </c>
      <c r="D1598" s="27" t="s">
        <v>0</v>
      </c>
      <c r="E1598" s="32" t="s">
        <v>2625</v>
      </c>
      <c r="F1598" s="26" t="s">
        <v>51</v>
      </c>
      <c r="G1598" s="26">
        <v>168</v>
      </c>
      <c r="H1598" s="138" t="s">
        <v>2626</v>
      </c>
    </row>
    <row r="1599" spans="1:8" ht="93.6" x14ac:dyDescent="0.3">
      <c r="A1599" s="101">
        <v>26</v>
      </c>
      <c r="B1599" s="101">
        <v>2</v>
      </c>
      <c r="C1599" s="146" t="s">
        <v>35</v>
      </c>
      <c r="D1599" s="27" t="s">
        <v>0</v>
      </c>
      <c r="E1599" s="32" t="s">
        <v>2627</v>
      </c>
      <c r="F1599" s="26" t="s">
        <v>51</v>
      </c>
      <c r="G1599" s="26">
        <v>44</v>
      </c>
      <c r="H1599" s="138" t="s">
        <v>2537</v>
      </c>
    </row>
    <row r="1600" spans="1:8" ht="109.2" x14ac:dyDescent="0.3">
      <c r="A1600" s="101">
        <v>26</v>
      </c>
      <c r="B1600" s="101">
        <v>2</v>
      </c>
      <c r="C1600" s="146" t="s">
        <v>35</v>
      </c>
      <c r="D1600" s="27" t="s">
        <v>0</v>
      </c>
      <c r="E1600" s="32" t="s">
        <v>2628</v>
      </c>
      <c r="F1600" s="26" t="s">
        <v>63</v>
      </c>
      <c r="G1600" s="26">
        <v>139</v>
      </c>
      <c r="H1600" s="138" t="s">
        <v>2629</v>
      </c>
    </row>
    <row r="1601" spans="1:8" ht="78" x14ac:dyDescent="0.3">
      <c r="A1601" s="101">
        <v>26</v>
      </c>
      <c r="B1601" s="101">
        <v>2</v>
      </c>
      <c r="C1601" s="146" t="s">
        <v>35</v>
      </c>
      <c r="D1601" s="27" t="s">
        <v>1</v>
      </c>
      <c r="E1601" s="32" t="s">
        <v>2630</v>
      </c>
      <c r="F1601" s="26" t="s">
        <v>51</v>
      </c>
      <c r="G1601" s="26">
        <v>124</v>
      </c>
      <c r="H1601" s="138" t="s">
        <v>2631</v>
      </c>
    </row>
    <row r="1602" spans="1:8" ht="109.2" x14ac:dyDescent="0.3">
      <c r="A1602" s="101">
        <v>26</v>
      </c>
      <c r="B1602" s="101">
        <v>2</v>
      </c>
      <c r="C1602" s="146" t="s">
        <v>35</v>
      </c>
      <c r="D1602" s="27" t="s">
        <v>1</v>
      </c>
      <c r="E1602" s="32" t="s">
        <v>2632</v>
      </c>
      <c r="F1602" s="26" t="s">
        <v>51</v>
      </c>
      <c r="G1602" s="26">
        <v>0</v>
      </c>
      <c r="H1602" s="138" t="s">
        <v>2633</v>
      </c>
    </row>
    <row r="1603" spans="1:8" ht="62.4" x14ac:dyDescent="0.3">
      <c r="A1603" s="101">
        <v>26</v>
      </c>
      <c r="B1603" s="101">
        <v>2</v>
      </c>
      <c r="C1603" s="146" t="s">
        <v>35</v>
      </c>
      <c r="D1603" s="27" t="s">
        <v>1</v>
      </c>
      <c r="E1603" s="32" t="s">
        <v>2634</v>
      </c>
      <c r="F1603" s="26" t="s">
        <v>51</v>
      </c>
      <c r="G1603" s="26">
        <v>125</v>
      </c>
      <c r="H1603" s="138" t="s">
        <v>2635</v>
      </c>
    </row>
    <row r="1604" spans="1:8" ht="78" x14ac:dyDescent="0.3">
      <c r="A1604" s="101">
        <v>26</v>
      </c>
      <c r="B1604" s="101">
        <v>2</v>
      </c>
      <c r="C1604" s="146" t="s">
        <v>35</v>
      </c>
      <c r="D1604" s="27" t="s">
        <v>1</v>
      </c>
      <c r="E1604" s="32" t="s">
        <v>2636</v>
      </c>
      <c r="F1604" s="26" t="s">
        <v>63</v>
      </c>
      <c r="G1604" s="26">
        <v>2</v>
      </c>
      <c r="H1604" s="138" t="s">
        <v>2637</v>
      </c>
    </row>
    <row r="1605" spans="1:8" ht="62.4" x14ac:dyDescent="0.3">
      <c r="A1605" s="101">
        <v>26</v>
      </c>
      <c r="B1605" s="101">
        <v>2</v>
      </c>
      <c r="C1605" s="146" t="s">
        <v>35</v>
      </c>
      <c r="D1605" s="27" t="s">
        <v>1</v>
      </c>
      <c r="E1605" s="32" t="s">
        <v>2638</v>
      </c>
      <c r="F1605" s="26" t="s">
        <v>51</v>
      </c>
      <c r="G1605" s="26">
        <v>114</v>
      </c>
      <c r="H1605" s="138" t="s">
        <v>2639</v>
      </c>
    </row>
    <row r="1606" spans="1:8" ht="78" x14ac:dyDescent="0.3">
      <c r="A1606" s="233">
        <v>26</v>
      </c>
      <c r="B1606" s="233">
        <v>2</v>
      </c>
      <c r="C1606" s="234" t="s">
        <v>35</v>
      </c>
      <c r="D1606" s="235" t="s">
        <v>0</v>
      </c>
      <c r="E1606" s="104" t="s">
        <v>2640</v>
      </c>
      <c r="F1606" s="102" t="s">
        <v>63</v>
      </c>
      <c r="G1606" s="102">
        <v>139</v>
      </c>
      <c r="H1606" s="236" t="s">
        <v>2641</v>
      </c>
    </row>
    <row r="1607" spans="1:8" ht="46.8" x14ac:dyDescent="0.3">
      <c r="A1607" s="233">
        <v>27</v>
      </c>
      <c r="B1607" s="233">
        <v>2</v>
      </c>
      <c r="C1607" s="234" t="s">
        <v>36</v>
      </c>
      <c r="D1607" s="235" t="s">
        <v>65</v>
      </c>
      <c r="E1607" s="104" t="s">
        <v>2133</v>
      </c>
      <c r="F1607" s="102" t="s">
        <v>51</v>
      </c>
      <c r="G1607" s="102" t="s">
        <v>394</v>
      </c>
      <c r="H1607" s="236" t="s">
        <v>2729</v>
      </c>
    </row>
    <row r="1608" spans="1:8" ht="62.4" x14ac:dyDescent="0.3">
      <c r="A1608" s="233">
        <v>27</v>
      </c>
      <c r="B1608" s="233">
        <v>2</v>
      </c>
      <c r="C1608" s="234" t="s">
        <v>36</v>
      </c>
      <c r="D1608" s="27" t="s">
        <v>1</v>
      </c>
      <c r="E1608" s="32" t="s">
        <v>2730</v>
      </c>
      <c r="F1608" s="26" t="s">
        <v>51</v>
      </c>
      <c r="G1608" s="26">
        <v>66</v>
      </c>
      <c r="H1608" s="138" t="s">
        <v>88</v>
      </c>
    </row>
    <row r="1609" spans="1:8" ht="62.4" x14ac:dyDescent="0.3">
      <c r="A1609" s="233">
        <v>27</v>
      </c>
      <c r="B1609" s="233">
        <v>2</v>
      </c>
      <c r="C1609" s="234" t="s">
        <v>36</v>
      </c>
      <c r="D1609" s="27" t="s">
        <v>119</v>
      </c>
      <c r="E1609" s="32" t="s">
        <v>2731</v>
      </c>
      <c r="F1609" s="26" t="s">
        <v>51</v>
      </c>
      <c r="G1609" s="26">
        <v>45</v>
      </c>
      <c r="H1609" s="138" t="s">
        <v>88</v>
      </c>
    </row>
    <row r="1610" spans="1:8" ht="62.4" x14ac:dyDescent="0.3">
      <c r="A1610" s="233">
        <v>27</v>
      </c>
      <c r="B1610" s="233">
        <v>2</v>
      </c>
      <c r="C1610" s="234" t="s">
        <v>36</v>
      </c>
      <c r="D1610" s="27" t="s">
        <v>1</v>
      </c>
      <c r="E1610" s="32" t="s">
        <v>2732</v>
      </c>
      <c r="F1610" s="26" t="s">
        <v>51</v>
      </c>
      <c r="G1610" s="26">
        <v>61</v>
      </c>
      <c r="H1610" s="138" t="s">
        <v>88</v>
      </c>
    </row>
    <row r="1611" spans="1:8" ht="62.4" x14ac:dyDescent="0.3">
      <c r="A1611" s="233">
        <v>27</v>
      </c>
      <c r="B1611" s="233">
        <v>2</v>
      </c>
      <c r="C1611" s="234" t="s">
        <v>36</v>
      </c>
      <c r="D1611" s="27" t="s">
        <v>1</v>
      </c>
      <c r="E1611" s="32" t="s">
        <v>2733</v>
      </c>
      <c r="F1611" s="26" t="s">
        <v>51</v>
      </c>
      <c r="G1611" s="26">
        <v>43</v>
      </c>
      <c r="H1611" s="138" t="s">
        <v>88</v>
      </c>
    </row>
    <row r="1612" spans="1:8" ht="62.4" x14ac:dyDescent="0.3">
      <c r="A1612" s="233">
        <v>27</v>
      </c>
      <c r="B1612" s="233">
        <v>2</v>
      </c>
      <c r="C1612" s="234" t="s">
        <v>36</v>
      </c>
      <c r="D1612" s="27" t="s">
        <v>1</v>
      </c>
      <c r="E1612" s="32" t="s">
        <v>2734</v>
      </c>
      <c r="F1612" s="26" t="s">
        <v>51</v>
      </c>
      <c r="G1612" s="26">
        <v>79</v>
      </c>
      <c r="H1612" s="138" t="s">
        <v>88</v>
      </c>
    </row>
    <row r="1613" spans="1:8" ht="62.4" x14ac:dyDescent="0.3">
      <c r="A1613" s="233">
        <v>27</v>
      </c>
      <c r="B1613" s="233">
        <v>2</v>
      </c>
      <c r="C1613" s="234" t="s">
        <v>36</v>
      </c>
      <c r="D1613" s="27" t="s">
        <v>1</v>
      </c>
      <c r="E1613" s="32" t="s">
        <v>2735</v>
      </c>
      <c r="F1613" s="26" t="s">
        <v>51</v>
      </c>
      <c r="G1613" s="26">
        <v>54</v>
      </c>
      <c r="H1613" s="138" t="s">
        <v>88</v>
      </c>
    </row>
    <row r="1614" spans="1:8" ht="62.4" x14ac:dyDescent="0.3">
      <c r="A1614" s="233">
        <v>27</v>
      </c>
      <c r="B1614" s="233">
        <v>2</v>
      </c>
      <c r="C1614" s="234" t="s">
        <v>36</v>
      </c>
      <c r="D1614" s="27" t="s">
        <v>1</v>
      </c>
      <c r="E1614" s="32" t="s">
        <v>2736</v>
      </c>
      <c r="F1614" s="26" t="s">
        <v>51</v>
      </c>
      <c r="G1614" s="26">
        <v>41</v>
      </c>
      <c r="H1614" s="138" t="s">
        <v>88</v>
      </c>
    </row>
    <row r="1615" spans="1:8" ht="62.4" x14ac:dyDescent="0.3">
      <c r="A1615" s="233">
        <v>27</v>
      </c>
      <c r="B1615" s="233">
        <v>2</v>
      </c>
      <c r="C1615" s="234" t="s">
        <v>36</v>
      </c>
      <c r="D1615" s="27" t="s">
        <v>1</v>
      </c>
      <c r="E1615" s="32" t="s">
        <v>2737</v>
      </c>
      <c r="F1615" s="26" t="s">
        <v>51</v>
      </c>
      <c r="G1615" s="26">
        <v>67</v>
      </c>
      <c r="H1615" s="138" t="s">
        <v>88</v>
      </c>
    </row>
    <row r="1616" spans="1:8" ht="62.4" x14ac:dyDescent="0.3">
      <c r="A1616" s="233">
        <v>27</v>
      </c>
      <c r="B1616" s="233">
        <v>2</v>
      </c>
      <c r="C1616" s="234" t="s">
        <v>36</v>
      </c>
      <c r="D1616" s="27" t="s">
        <v>1</v>
      </c>
      <c r="E1616" s="32" t="s">
        <v>2738</v>
      </c>
      <c r="F1616" s="26" t="s">
        <v>51</v>
      </c>
      <c r="G1616" s="26">
        <v>6</v>
      </c>
      <c r="H1616" s="138" t="s">
        <v>88</v>
      </c>
    </row>
    <row r="1617" spans="1:8" ht="62.4" x14ac:dyDescent="0.3">
      <c r="A1617" s="233">
        <v>27</v>
      </c>
      <c r="B1617" s="233">
        <v>2</v>
      </c>
      <c r="C1617" s="234" t="s">
        <v>36</v>
      </c>
      <c r="D1617" s="235" t="s">
        <v>0</v>
      </c>
      <c r="E1617" s="104" t="s">
        <v>2739</v>
      </c>
      <c r="F1617" s="102" t="s">
        <v>51</v>
      </c>
      <c r="G1617" s="102">
        <v>12</v>
      </c>
      <c r="H1617" s="236" t="s">
        <v>88</v>
      </c>
    </row>
    <row r="1618" spans="1:8" ht="62.4" x14ac:dyDescent="0.3">
      <c r="A1618" s="233">
        <v>27</v>
      </c>
      <c r="B1618" s="233">
        <v>2</v>
      </c>
      <c r="C1618" s="234" t="s">
        <v>36</v>
      </c>
      <c r="D1618" s="235" t="s">
        <v>1</v>
      </c>
      <c r="E1618" s="104" t="s">
        <v>2740</v>
      </c>
      <c r="F1618" s="102" t="s">
        <v>51</v>
      </c>
      <c r="G1618" s="102">
        <v>4</v>
      </c>
      <c r="H1618" s="236" t="s">
        <v>2741</v>
      </c>
    </row>
    <row r="1619" spans="1:8" ht="62.4" x14ac:dyDescent="0.3">
      <c r="A1619" s="233">
        <v>27</v>
      </c>
      <c r="B1619" s="233">
        <v>2</v>
      </c>
      <c r="C1619" s="234" t="s">
        <v>36</v>
      </c>
      <c r="D1619" s="235" t="s">
        <v>1</v>
      </c>
      <c r="E1619" s="104" t="s">
        <v>2742</v>
      </c>
      <c r="F1619" s="102" t="s">
        <v>51</v>
      </c>
      <c r="G1619" s="102">
        <v>23</v>
      </c>
      <c r="H1619" s="236" t="s">
        <v>1848</v>
      </c>
    </row>
    <row r="1620" spans="1:8" ht="62.4" x14ac:dyDescent="0.3">
      <c r="A1620" s="233">
        <v>27</v>
      </c>
      <c r="B1620" s="233">
        <v>2</v>
      </c>
      <c r="C1620" s="234" t="s">
        <v>36</v>
      </c>
      <c r="D1620" s="235" t="s">
        <v>1</v>
      </c>
      <c r="E1620" s="104" t="s">
        <v>2743</v>
      </c>
      <c r="F1620" s="102" t="s">
        <v>51</v>
      </c>
      <c r="G1620" s="102">
        <v>77</v>
      </c>
      <c r="H1620" s="236" t="s">
        <v>88</v>
      </c>
    </row>
    <row r="1621" spans="1:8" ht="62.4" x14ac:dyDescent="0.3">
      <c r="A1621" s="233">
        <v>27</v>
      </c>
      <c r="B1621" s="233">
        <v>2</v>
      </c>
      <c r="C1621" s="234" t="s">
        <v>36</v>
      </c>
      <c r="D1621" s="235" t="s">
        <v>0</v>
      </c>
      <c r="E1621" s="104" t="s">
        <v>2744</v>
      </c>
      <c r="F1621" s="102" t="s">
        <v>51</v>
      </c>
      <c r="G1621" s="102">
        <v>58</v>
      </c>
      <c r="H1621" s="236" t="s">
        <v>88</v>
      </c>
    </row>
    <row r="1622" spans="1:8" ht="46.8" x14ac:dyDescent="0.3">
      <c r="A1622" s="233">
        <v>27</v>
      </c>
      <c r="B1622" s="233">
        <v>2</v>
      </c>
      <c r="C1622" s="234" t="s">
        <v>36</v>
      </c>
      <c r="D1622" s="235" t="s">
        <v>1</v>
      </c>
      <c r="E1622" s="104" t="s">
        <v>2745</v>
      </c>
      <c r="F1622" s="102" t="s">
        <v>51</v>
      </c>
      <c r="G1622" s="102">
        <v>47</v>
      </c>
      <c r="H1622" s="236" t="s">
        <v>88</v>
      </c>
    </row>
    <row r="1623" spans="1:8" ht="93.6" x14ac:dyDescent="0.3">
      <c r="A1623" s="101">
        <v>28</v>
      </c>
      <c r="B1623" s="101">
        <v>2</v>
      </c>
      <c r="C1623" s="146" t="s">
        <v>37</v>
      </c>
      <c r="D1623" s="27" t="s">
        <v>0</v>
      </c>
      <c r="E1623" s="32" t="s">
        <v>2642</v>
      </c>
      <c r="F1623" s="26" t="s">
        <v>51</v>
      </c>
      <c r="G1623" s="26">
        <v>240</v>
      </c>
      <c r="H1623" s="138" t="s">
        <v>2643</v>
      </c>
    </row>
    <row r="1624" spans="1:8" ht="124.8" x14ac:dyDescent="0.3">
      <c r="A1624" s="101">
        <v>28</v>
      </c>
      <c r="B1624" s="101">
        <v>2</v>
      </c>
      <c r="C1624" s="146" t="s">
        <v>37</v>
      </c>
      <c r="D1624" s="27" t="s">
        <v>1</v>
      </c>
      <c r="E1624" s="32" t="s">
        <v>2644</v>
      </c>
      <c r="F1624" s="26" t="s">
        <v>51</v>
      </c>
      <c r="G1624" s="26">
        <v>242</v>
      </c>
      <c r="H1624" s="138" t="s">
        <v>2645</v>
      </c>
    </row>
    <row r="1625" spans="1:8" ht="62.4" x14ac:dyDescent="0.3">
      <c r="A1625" s="101">
        <v>28</v>
      </c>
      <c r="B1625" s="101">
        <v>2</v>
      </c>
      <c r="C1625" s="146" t="s">
        <v>37</v>
      </c>
      <c r="D1625" s="27" t="s">
        <v>1</v>
      </c>
      <c r="E1625" s="32" t="s">
        <v>2646</v>
      </c>
      <c r="F1625" s="26" t="s">
        <v>63</v>
      </c>
      <c r="G1625" s="26">
        <v>250</v>
      </c>
      <c r="H1625" s="138" t="s">
        <v>2647</v>
      </c>
    </row>
    <row r="1626" spans="1:8" ht="140.4" x14ac:dyDescent="0.3">
      <c r="A1626" s="101">
        <v>28</v>
      </c>
      <c r="B1626" s="101">
        <v>2</v>
      </c>
      <c r="C1626" s="146" t="s">
        <v>37</v>
      </c>
      <c r="D1626" s="27" t="s">
        <v>65</v>
      </c>
      <c r="E1626" s="32" t="s">
        <v>2648</v>
      </c>
      <c r="F1626" s="26" t="s">
        <v>51</v>
      </c>
      <c r="G1626" s="26">
        <v>338</v>
      </c>
      <c r="H1626" s="138" t="s">
        <v>2649</v>
      </c>
    </row>
    <row r="1627" spans="1:8" ht="62.4" x14ac:dyDescent="0.3">
      <c r="A1627" s="101">
        <v>28</v>
      </c>
      <c r="B1627" s="101">
        <v>2</v>
      </c>
      <c r="C1627" s="146" t="s">
        <v>37</v>
      </c>
      <c r="D1627" s="27" t="s">
        <v>65</v>
      </c>
      <c r="E1627" s="32" t="s">
        <v>2650</v>
      </c>
      <c r="F1627" s="26" t="s">
        <v>51</v>
      </c>
      <c r="G1627" s="26" t="s">
        <v>394</v>
      </c>
      <c r="H1627" s="138" t="s">
        <v>2651</v>
      </c>
    </row>
    <row r="1628" spans="1:8" ht="78" x14ac:dyDescent="0.3">
      <c r="A1628" s="101">
        <v>28</v>
      </c>
      <c r="B1628" s="101">
        <v>2</v>
      </c>
      <c r="C1628" s="146" t="s">
        <v>37</v>
      </c>
      <c r="D1628" s="27" t="s">
        <v>65</v>
      </c>
      <c r="E1628" s="32" t="s">
        <v>2652</v>
      </c>
      <c r="F1628" s="26" t="s">
        <v>51</v>
      </c>
      <c r="G1628" s="26">
        <v>488</v>
      </c>
      <c r="H1628" s="138" t="s">
        <v>2653</v>
      </c>
    </row>
    <row r="1629" spans="1:8" ht="109.2" x14ac:dyDescent="0.3">
      <c r="A1629" s="101">
        <v>28</v>
      </c>
      <c r="B1629" s="101">
        <v>2</v>
      </c>
      <c r="C1629" s="146" t="s">
        <v>37</v>
      </c>
      <c r="D1629" s="27" t="s">
        <v>1</v>
      </c>
      <c r="E1629" s="32" t="s">
        <v>2654</v>
      </c>
      <c r="F1629" s="26" t="s">
        <v>63</v>
      </c>
      <c r="G1629" s="26">
        <v>800</v>
      </c>
      <c r="H1629" s="138" t="s">
        <v>2655</v>
      </c>
    </row>
    <row r="1630" spans="1:8" ht="78" x14ac:dyDescent="0.3">
      <c r="A1630" s="101">
        <v>28</v>
      </c>
      <c r="B1630" s="101">
        <v>2</v>
      </c>
      <c r="C1630" s="146" t="s">
        <v>37</v>
      </c>
      <c r="D1630" s="27" t="s">
        <v>1713</v>
      </c>
      <c r="E1630" s="32" t="s">
        <v>2656</v>
      </c>
      <c r="F1630" s="26" t="s">
        <v>63</v>
      </c>
      <c r="G1630" s="26">
        <v>34</v>
      </c>
      <c r="H1630" s="138" t="s">
        <v>2657</v>
      </c>
    </row>
    <row r="1631" spans="1:8" ht="140.4" x14ac:dyDescent="0.3">
      <c r="A1631" s="101">
        <v>28</v>
      </c>
      <c r="B1631" s="101">
        <v>2</v>
      </c>
      <c r="C1631" s="146" t="s">
        <v>37</v>
      </c>
      <c r="D1631" s="27" t="s">
        <v>1713</v>
      </c>
      <c r="E1631" s="32" t="s">
        <v>2658</v>
      </c>
      <c r="F1631" s="26" t="s">
        <v>51</v>
      </c>
      <c r="G1631" s="26">
        <v>26</v>
      </c>
      <c r="H1631" s="138" t="s">
        <v>2659</v>
      </c>
    </row>
    <row r="1632" spans="1:8" ht="62.4" x14ac:dyDescent="0.3">
      <c r="A1632" s="101">
        <v>28</v>
      </c>
      <c r="B1632" s="101">
        <v>2</v>
      </c>
      <c r="C1632" s="146" t="s">
        <v>37</v>
      </c>
      <c r="D1632" s="27" t="s">
        <v>541</v>
      </c>
      <c r="E1632" s="32" t="s">
        <v>2660</v>
      </c>
      <c r="F1632" s="26" t="s">
        <v>51</v>
      </c>
      <c r="G1632" s="26">
        <v>18</v>
      </c>
      <c r="H1632" s="138" t="s">
        <v>2661</v>
      </c>
    </row>
    <row r="1633" spans="1:8" ht="62.4" x14ac:dyDescent="0.3">
      <c r="A1633" s="233">
        <v>28</v>
      </c>
      <c r="B1633" s="233">
        <v>2</v>
      </c>
      <c r="C1633" s="234" t="s">
        <v>37</v>
      </c>
      <c r="D1633" s="235" t="s">
        <v>1713</v>
      </c>
      <c r="E1633" s="104" t="s">
        <v>2662</v>
      </c>
      <c r="F1633" s="102" t="s">
        <v>63</v>
      </c>
      <c r="G1633" s="102">
        <v>50</v>
      </c>
      <c r="H1633" s="236" t="s">
        <v>2663</v>
      </c>
    </row>
    <row r="1634" spans="1:8" s="239" customFormat="1" ht="93.6" x14ac:dyDescent="0.3">
      <c r="A1634" s="263">
        <v>1</v>
      </c>
      <c r="B1634" s="263">
        <v>3</v>
      </c>
      <c r="C1634" s="264" t="s">
        <v>10</v>
      </c>
      <c r="D1634" s="265" t="s">
        <v>65</v>
      </c>
      <c r="E1634" s="103" t="s">
        <v>2175</v>
      </c>
      <c r="F1634" s="100" t="s">
        <v>51</v>
      </c>
      <c r="G1634" s="100" t="s">
        <v>75</v>
      </c>
      <c r="H1634" s="266" t="s">
        <v>2176</v>
      </c>
    </row>
    <row r="1635" spans="1:8" s="239" customFormat="1" ht="109.2" x14ac:dyDescent="0.3">
      <c r="A1635" s="263">
        <v>1</v>
      </c>
      <c r="B1635" s="263">
        <v>3</v>
      </c>
      <c r="C1635" s="264" t="s">
        <v>10</v>
      </c>
      <c r="D1635" s="267" t="s">
        <v>0</v>
      </c>
      <c r="E1635" s="58" t="s">
        <v>3002</v>
      </c>
      <c r="F1635" s="57" t="s">
        <v>63</v>
      </c>
      <c r="G1635" s="57">
        <v>13</v>
      </c>
      <c r="H1635" s="268" t="s">
        <v>3003</v>
      </c>
    </row>
    <row r="1636" spans="1:8" s="239" customFormat="1" ht="109.2" x14ac:dyDescent="0.3">
      <c r="A1636" s="263">
        <v>1</v>
      </c>
      <c r="B1636" s="263">
        <v>3</v>
      </c>
      <c r="C1636" s="264" t="s">
        <v>10</v>
      </c>
      <c r="D1636" s="267" t="s">
        <v>0</v>
      </c>
      <c r="E1636" s="58" t="s">
        <v>3004</v>
      </c>
      <c r="F1636" s="57" t="s">
        <v>63</v>
      </c>
      <c r="G1636" s="57">
        <v>60</v>
      </c>
      <c r="H1636" s="268" t="s">
        <v>3005</v>
      </c>
    </row>
    <row r="1637" spans="1:8" s="239" customFormat="1" ht="109.2" x14ac:dyDescent="0.3">
      <c r="A1637" s="263">
        <v>1</v>
      </c>
      <c r="B1637" s="263">
        <v>3</v>
      </c>
      <c r="C1637" s="264" t="s">
        <v>10</v>
      </c>
      <c r="D1637" s="267" t="s">
        <v>0</v>
      </c>
      <c r="E1637" s="58" t="s">
        <v>3006</v>
      </c>
      <c r="F1637" s="57" t="s">
        <v>63</v>
      </c>
      <c r="G1637" s="57">
        <v>34</v>
      </c>
      <c r="H1637" s="268" t="s">
        <v>3007</v>
      </c>
    </row>
    <row r="1638" spans="1:8" s="239" customFormat="1" ht="78" x14ac:dyDescent="0.3">
      <c r="A1638" s="263">
        <v>1</v>
      </c>
      <c r="B1638" s="263">
        <v>3</v>
      </c>
      <c r="C1638" s="264" t="s">
        <v>10</v>
      </c>
      <c r="D1638" s="267" t="s">
        <v>0</v>
      </c>
      <c r="E1638" s="58" t="s">
        <v>3008</v>
      </c>
      <c r="F1638" s="57" t="s">
        <v>63</v>
      </c>
      <c r="G1638" s="57">
        <v>28</v>
      </c>
      <c r="H1638" s="268" t="s">
        <v>3009</v>
      </c>
    </row>
    <row r="1639" spans="1:8" s="239" customFormat="1" ht="109.2" x14ac:dyDescent="0.3">
      <c r="A1639" s="263">
        <v>1</v>
      </c>
      <c r="B1639" s="263">
        <v>3</v>
      </c>
      <c r="C1639" s="264" t="s">
        <v>10</v>
      </c>
      <c r="D1639" s="267" t="s">
        <v>0</v>
      </c>
      <c r="E1639" s="58" t="s">
        <v>3010</v>
      </c>
      <c r="F1639" s="57" t="s">
        <v>63</v>
      </c>
      <c r="G1639" s="57">
        <v>10</v>
      </c>
      <c r="H1639" s="268" t="s">
        <v>3011</v>
      </c>
    </row>
    <row r="1640" spans="1:8" s="239" customFormat="1" ht="78" x14ac:dyDescent="0.3">
      <c r="A1640" s="263">
        <v>1</v>
      </c>
      <c r="B1640" s="263">
        <v>3</v>
      </c>
      <c r="C1640" s="264" t="s">
        <v>10</v>
      </c>
      <c r="D1640" s="267" t="s">
        <v>0</v>
      </c>
      <c r="E1640" s="58" t="s">
        <v>3012</v>
      </c>
      <c r="F1640" s="57" t="s">
        <v>63</v>
      </c>
      <c r="G1640" s="57">
        <v>3</v>
      </c>
      <c r="H1640" s="268" t="s">
        <v>3013</v>
      </c>
    </row>
    <row r="1641" spans="1:8" s="239" customFormat="1" ht="78" x14ac:dyDescent="0.3">
      <c r="A1641" s="263">
        <v>1</v>
      </c>
      <c r="B1641" s="263">
        <v>3</v>
      </c>
      <c r="C1641" s="264" t="s">
        <v>10</v>
      </c>
      <c r="D1641" s="267" t="s">
        <v>1</v>
      </c>
      <c r="E1641" s="58" t="s">
        <v>3014</v>
      </c>
      <c r="F1641" s="57" t="s">
        <v>51</v>
      </c>
      <c r="G1641" s="57">
        <v>14</v>
      </c>
      <c r="H1641" s="268" t="s">
        <v>3015</v>
      </c>
    </row>
    <row r="1642" spans="1:8" s="239" customFormat="1" ht="78" x14ac:dyDescent="0.3">
      <c r="A1642" s="263">
        <v>1</v>
      </c>
      <c r="B1642" s="263">
        <v>3</v>
      </c>
      <c r="C1642" s="264" t="s">
        <v>10</v>
      </c>
      <c r="D1642" s="267" t="s">
        <v>1</v>
      </c>
      <c r="E1642" s="58" t="s">
        <v>3016</v>
      </c>
      <c r="F1642" s="57" t="s">
        <v>63</v>
      </c>
      <c r="G1642" s="57">
        <v>44</v>
      </c>
      <c r="H1642" s="268" t="s">
        <v>3017</v>
      </c>
    </row>
    <row r="1643" spans="1:8" s="239" customFormat="1" ht="124.8" x14ac:dyDescent="0.3">
      <c r="A1643" s="263">
        <v>1</v>
      </c>
      <c r="B1643" s="263">
        <v>3</v>
      </c>
      <c r="C1643" s="264" t="s">
        <v>10</v>
      </c>
      <c r="D1643" s="267" t="s">
        <v>1</v>
      </c>
      <c r="E1643" s="58" t="s">
        <v>3018</v>
      </c>
      <c r="F1643" s="57" t="s">
        <v>63</v>
      </c>
      <c r="G1643" s="57">
        <v>28</v>
      </c>
      <c r="H1643" s="268" t="s">
        <v>3019</v>
      </c>
    </row>
    <row r="1644" spans="1:8" s="239" customFormat="1" ht="109.2" x14ac:dyDescent="0.3">
      <c r="A1644" s="263">
        <v>1</v>
      </c>
      <c r="B1644" s="263">
        <v>3</v>
      </c>
      <c r="C1644" s="264" t="s">
        <v>10</v>
      </c>
      <c r="D1644" s="267" t="s">
        <v>1</v>
      </c>
      <c r="E1644" s="58" t="s">
        <v>3020</v>
      </c>
      <c r="F1644" s="57" t="s">
        <v>63</v>
      </c>
      <c r="G1644" s="57">
        <v>52</v>
      </c>
      <c r="H1644" s="268" t="s">
        <v>3021</v>
      </c>
    </row>
    <row r="1645" spans="1:8" s="239" customFormat="1" ht="109.2" x14ac:dyDescent="0.3">
      <c r="A1645" s="263">
        <v>1</v>
      </c>
      <c r="B1645" s="263">
        <v>3</v>
      </c>
      <c r="C1645" s="264" t="s">
        <v>10</v>
      </c>
      <c r="D1645" s="267" t="s">
        <v>65</v>
      </c>
      <c r="E1645" s="58" t="s">
        <v>3022</v>
      </c>
      <c r="F1645" s="57" t="s">
        <v>63</v>
      </c>
      <c r="G1645" s="57">
        <v>15</v>
      </c>
      <c r="H1645" s="268" t="s">
        <v>3023</v>
      </c>
    </row>
    <row r="1646" spans="1:8" s="239" customFormat="1" ht="124.8" x14ac:dyDescent="0.3">
      <c r="A1646" s="263">
        <v>1</v>
      </c>
      <c r="B1646" s="263">
        <v>3</v>
      </c>
      <c r="C1646" s="264" t="s">
        <v>10</v>
      </c>
      <c r="D1646" s="267" t="s">
        <v>65</v>
      </c>
      <c r="E1646" s="58" t="s">
        <v>3024</v>
      </c>
      <c r="F1646" s="57" t="s">
        <v>51</v>
      </c>
      <c r="G1646" s="57">
        <v>8</v>
      </c>
      <c r="H1646" s="268" t="s">
        <v>3025</v>
      </c>
    </row>
    <row r="1647" spans="1:8" s="239" customFormat="1" ht="93.6" x14ac:dyDescent="0.3">
      <c r="A1647" s="263">
        <v>1</v>
      </c>
      <c r="B1647" s="263">
        <v>3</v>
      </c>
      <c r="C1647" s="264" t="s">
        <v>10</v>
      </c>
      <c r="D1647" s="267" t="s">
        <v>65</v>
      </c>
      <c r="E1647" s="58" t="s">
        <v>3026</v>
      </c>
      <c r="F1647" s="57" t="s">
        <v>63</v>
      </c>
      <c r="G1647" s="57">
        <v>4</v>
      </c>
      <c r="H1647" s="268" t="s">
        <v>3027</v>
      </c>
    </row>
    <row r="1648" spans="1:8" s="239" customFormat="1" ht="109.2" x14ac:dyDescent="0.3">
      <c r="A1648" s="263">
        <v>1</v>
      </c>
      <c r="B1648" s="263">
        <v>3</v>
      </c>
      <c r="C1648" s="264" t="s">
        <v>10</v>
      </c>
      <c r="D1648" s="267" t="s">
        <v>65</v>
      </c>
      <c r="E1648" s="58" t="s">
        <v>3028</v>
      </c>
      <c r="F1648" s="57" t="s">
        <v>63</v>
      </c>
      <c r="G1648" s="57">
        <v>7</v>
      </c>
      <c r="H1648" s="268" t="s">
        <v>3029</v>
      </c>
    </row>
    <row r="1649" spans="1:8" s="239" customFormat="1" ht="78" x14ac:dyDescent="0.3">
      <c r="A1649" s="263">
        <v>1</v>
      </c>
      <c r="B1649" s="263">
        <v>3</v>
      </c>
      <c r="C1649" s="264" t="s">
        <v>10</v>
      </c>
      <c r="D1649" s="267" t="s">
        <v>65</v>
      </c>
      <c r="E1649" s="58" t="s">
        <v>3030</v>
      </c>
      <c r="F1649" s="57" t="s">
        <v>63</v>
      </c>
      <c r="G1649" s="57">
        <v>32</v>
      </c>
      <c r="H1649" s="268" t="s">
        <v>3031</v>
      </c>
    </row>
    <row r="1650" spans="1:8" s="239" customFormat="1" ht="62.4" x14ac:dyDescent="0.3">
      <c r="A1650" s="87">
        <v>2</v>
      </c>
      <c r="B1650" s="263">
        <v>3</v>
      </c>
      <c r="C1650" s="269" t="s">
        <v>11</v>
      </c>
      <c r="D1650" s="58" t="s">
        <v>0</v>
      </c>
      <c r="E1650" s="58" t="s">
        <v>3057</v>
      </c>
      <c r="F1650" s="59" t="s">
        <v>51</v>
      </c>
      <c r="G1650" s="59">
        <v>3</v>
      </c>
      <c r="H1650" s="268" t="s">
        <v>3058</v>
      </c>
    </row>
    <row r="1651" spans="1:8" s="239" customFormat="1" ht="62.4" x14ac:dyDescent="0.3">
      <c r="A1651" s="87">
        <v>2</v>
      </c>
      <c r="B1651" s="263">
        <v>3</v>
      </c>
      <c r="C1651" s="269" t="s">
        <v>11</v>
      </c>
      <c r="D1651" s="58" t="s">
        <v>0</v>
      </c>
      <c r="E1651" s="58" t="s">
        <v>3059</v>
      </c>
      <c r="F1651" s="59" t="s">
        <v>51</v>
      </c>
      <c r="G1651" s="59">
        <v>7</v>
      </c>
      <c r="H1651" s="268" t="s">
        <v>3060</v>
      </c>
    </row>
    <row r="1652" spans="1:8" s="239" customFormat="1" ht="62.4" x14ac:dyDescent="0.3">
      <c r="A1652" s="87">
        <v>2</v>
      </c>
      <c r="B1652" s="263">
        <v>3</v>
      </c>
      <c r="C1652" s="269" t="s">
        <v>11</v>
      </c>
      <c r="D1652" s="58" t="s">
        <v>0</v>
      </c>
      <c r="E1652" s="58" t="s">
        <v>3061</v>
      </c>
      <c r="F1652" s="59" t="s">
        <v>51</v>
      </c>
      <c r="G1652" s="59">
        <v>57</v>
      </c>
      <c r="H1652" s="268" t="s">
        <v>3062</v>
      </c>
    </row>
    <row r="1653" spans="1:8" s="239" customFormat="1" ht="62.4" x14ac:dyDescent="0.3">
      <c r="A1653" s="87">
        <v>2</v>
      </c>
      <c r="B1653" s="263">
        <v>3</v>
      </c>
      <c r="C1653" s="269" t="s">
        <v>11</v>
      </c>
      <c r="D1653" s="58" t="s">
        <v>1</v>
      </c>
      <c r="E1653" s="58" t="s">
        <v>3063</v>
      </c>
      <c r="F1653" s="59" t="s">
        <v>51</v>
      </c>
      <c r="G1653" s="59">
        <v>35</v>
      </c>
      <c r="H1653" s="268" t="s">
        <v>3064</v>
      </c>
    </row>
    <row r="1654" spans="1:8" s="239" customFormat="1" ht="62.4" x14ac:dyDescent="0.3">
      <c r="A1654" s="87">
        <v>2</v>
      </c>
      <c r="B1654" s="263">
        <v>3</v>
      </c>
      <c r="C1654" s="269" t="s">
        <v>11</v>
      </c>
      <c r="D1654" s="58" t="s">
        <v>1</v>
      </c>
      <c r="E1654" s="58" t="s">
        <v>3065</v>
      </c>
      <c r="F1654" s="59" t="s">
        <v>51</v>
      </c>
      <c r="G1654" s="59">
        <v>61</v>
      </c>
      <c r="H1654" s="268" t="s">
        <v>3066</v>
      </c>
    </row>
    <row r="1655" spans="1:8" s="239" customFormat="1" ht="62.4" x14ac:dyDescent="0.3">
      <c r="A1655" s="87">
        <v>2</v>
      </c>
      <c r="B1655" s="263">
        <v>3</v>
      </c>
      <c r="C1655" s="269" t="s">
        <v>11</v>
      </c>
      <c r="D1655" s="58" t="s">
        <v>1</v>
      </c>
      <c r="E1655" s="58" t="s">
        <v>3067</v>
      </c>
      <c r="F1655" s="59" t="s">
        <v>51</v>
      </c>
      <c r="G1655" s="59">
        <v>18</v>
      </c>
      <c r="H1655" s="268" t="s">
        <v>3068</v>
      </c>
    </row>
    <row r="1656" spans="1:8" s="239" customFormat="1" ht="62.4" x14ac:dyDescent="0.3">
      <c r="A1656" s="87">
        <v>2</v>
      </c>
      <c r="B1656" s="263">
        <v>3</v>
      </c>
      <c r="C1656" s="269" t="s">
        <v>11</v>
      </c>
      <c r="D1656" s="58" t="s">
        <v>1</v>
      </c>
      <c r="E1656" s="58" t="s">
        <v>3069</v>
      </c>
      <c r="F1656" s="59" t="s">
        <v>51</v>
      </c>
      <c r="G1656" s="59">
        <v>15</v>
      </c>
      <c r="H1656" s="268" t="s">
        <v>3070</v>
      </c>
    </row>
    <row r="1657" spans="1:8" s="239" customFormat="1" ht="46.8" x14ac:dyDescent="0.3">
      <c r="A1657" s="87">
        <v>2</v>
      </c>
      <c r="B1657" s="263">
        <v>3</v>
      </c>
      <c r="C1657" s="269" t="s">
        <v>11</v>
      </c>
      <c r="D1657" s="58" t="s">
        <v>1</v>
      </c>
      <c r="E1657" s="58" t="s">
        <v>3071</v>
      </c>
      <c r="F1657" s="59" t="s">
        <v>51</v>
      </c>
      <c r="G1657" s="59">
        <v>3</v>
      </c>
      <c r="H1657" s="268" t="s">
        <v>3072</v>
      </c>
    </row>
    <row r="1658" spans="1:8" s="239" customFormat="1" ht="62.4" x14ac:dyDescent="0.3">
      <c r="A1658" s="87">
        <v>2</v>
      </c>
      <c r="B1658" s="263">
        <v>3</v>
      </c>
      <c r="C1658" s="269" t="s">
        <v>11</v>
      </c>
      <c r="D1658" s="58" t="s">
        <v>1</v>
      </c>
      <c r="E1658" s="58" t="s">
        <v>3073</v>
      </c>
      <c r="F1658" s="59" t="s">
        <v>51</v>
      </c>
      <c r="G1658" s="59">
        <v>13</v>
      </c>
      <c r="H1658" s="268" t="s">
        <v>3074</v>
      </c>
    </row>
    <row r="1659" spans="1:8" s="239" customFormat="1" ht="62.4" x14ac:dyDescent="0.3">
      <c r="A1659" s="87">
        <v>2</v>
      </c>
      <c r="B1659" s="263">
        <v>3</v>
      </c>
      <c r="C1659" s="269" t="s">
        <v>11</v>
      </c>
      <c r="D1659" s="58" t="s">
        <v>1</v>
      </c>
      <c r="E1659" s="58" t="s">
        <v>3075</v>
      </c>
      <c r="F1659" s="59" t="s">
        <v>51</v>
      </c>
      <c r="G1659" s="59">
        <v>13</v>
      </c>
      <c r="H1659" s="268" t="s">
        <v>3076</v>
      </c>
    </row>
    <row r="1660" spans="1:8" s="239" customFormat="1" ht="46.8" x14ac:dyDescent="0.3">
      <c r="A1660" s="87">
        <v>2</v>
      </c>
      <c r="B1660" s="263">
        <v>3</v>
      </c>
      <c r="C1660" s="269" t="s">
        <v>11</v>
      </c>
      <c r="D1660" s="58" t="s">
        <v>119</v>
      </c>
      <c r="E1660" s="58" t="s">
        <v>3077</v>
      </c>
      <c r="F1660" s="59" t="s">
        <v>51</v>
      </c>
      <c r="G1660" s="59">
        <v>3</v>
      </c>
      <c r="H1660" s="268" t="s">
        <v>3078</v>
      </c>
    </row>
    <row r="1661" spans="1:8" s="239" customFormat="1" ht="46.8" x14ac:dyDescent="0.3">
      <c r="A1661" s="87">
        <v>2</v>
      </c>
      <c r="B1661" s="263">
        <v>3</v>
      </c>
      <c r="C1661" s="269" t="s">
        <v>11</v>
      </c>
      <c r="D1661" s="58" t="s">
        <v>119</v>
      </c>
      <c r="E1661" s="58" t="s">
        <v>3079</v>
      </c>
      <c r="F1661" s="59" t="s">
        <v>51</v>
      </c>
      <c r="G1661" s="59">
        <v>148</v>
      </c>
      <c r="H1661" s="268" t="s">
        <v>3080</v>
      </c>
    </row>
    <row r="1662" spans="1:8" s="239" customFormat="1" ht="62.4" x14ac:dyDescent="0.3">
      <c r="A1662" s="87">
        <v>2</v>
      </c>
      <c r="B1662" s="263">
        <v>3</v>
      </c>
      <c r="C1662" s="269" t="s">
        <v>11</v>
      </c>
      <c r="D1662" s="58" t="s">
        <v>119</v>
      </c>
      <c r="E1662" s="58" t="s">
        <v>3081</v>
      </c>
      <c r="F1662" s="59" t="s">
        <v>63</v>
      </c>
      <c r="G1662" s="59">
        <v>117</v>
      </c>
      <c r="H1662" s="268" t="s">
        <v>3082</v>
      </c>
    </row>
    <row r="1663" spans="1:8" s="239" customFormat="1" ht="62.4" x14ac:dyDescent="0.3">
      <c r="A1663" s="87">
        <v>2</v>
      </c>
      <c r="B1663" s="263">
        <v>3</v>
      </c>
      <c r="C1663" s="269" t="s">
        <v>11</v>
      </c>
      <c r="D1663" s="58" t="s">
        <v>65</v>
      </c>
      <c r="E1663" s="58" t="s">
        <v>3083</v>
      </c>
      <c r="F1663" s="59" t="s">
        <v>51</v>
      </c>
      <c r="G1663" s="59">
        <v>7</v>
      </c>
      <c r="H1663" s="268" t="s">
        <v>3084</v>
      </c>
    </row>
    <row r="1664" spans="1:8" s="239" customFormat="1" ht="62.4" x14ac:dyDescent="0.3">
      <c r="A1664" s="87">
        <v>2</v>
      </c>
      <c r="B1664" s="263">
        <v>3</v>
      </c>
      <c r="C1664" s="269" t="s">
        <v>11</v>
      </c>
      <c r="D1664" s="58" t="s">
        <v>65</v>
      </c>
      <c r="E1664" s="58" t="s">
        <v>3085</v>
      </c>
      <c r="F1664" s="59" t="s">
        <v>51</v>
      </c>
      <c r="G1664" s="59">
        <v>9</v>
      </c>
      <c r="H1664" s="268" t="s">
        <v>3086</v>
      </c>
    </row>
    <row r="1665" spans="1:8" s="239" customFormat="1" ht="62.4" x14ac:dyDescent="0.3">
      <c r="A1665" s="87">
        <v>2</v>
      </c>
      <c r="B1665" s="263">
        <v>3</v>
      </c>
      <c r="C1665" s="269" t="s">
        <v>11</v>
      </c>
      <c r="D1665" s="58" t="s">
        <v>65</v>
      </c>
      <c r="E1665" s="58" t="s">
        <v>3087</v>
      </c>
      <c r="F1665" s="59" t="s">
        <v>51</v>
      </c>
      <c r="G1665" s="59">
        <v>7</v>
      </c>
      <c r="H1665" s="268" t="s">
        <v>3088</v>
      </c>
    </row>
    <row r="1666" spans="1:8" s="239" customFormat="1" ht="62.4" x14ac:dyDescent="0.3">
      <c r="A1666" s="87">
        <v>2</v>
      </c>
      <c r="B1666" s="87">
        <v>3</v>
      </c>
      <c r="C1666" s="269" t="s">
        <v>11</v>
      </c>
      <c r="D1666" s="58" t="s">
        <v>65</v>
      </c>
      <c r="E1666" s="58" t="s">
        <v>3089</v>
      </c>
      <c r="F1666" s="59" t="s">
        <v>51</v>
      </c>
      <c r="G1666" s="59">
        <v>21</v>
      </c>
      <c r="H1666" s="268" t="s">
        <v>3090</v>
      </c>
    </row>
    <row r="1667" spans="1:8" s="239" customFormat="1" ht="78" x14ac:dyDescent="0.3">
      <c r="A1667" s="87">
        <v>2</v>
      </c>
      <c r="B1667" s="87">
        <v>3</v>
      </c>
      <c r="C1667" s="269" t="s">
        <v>11</v>
      </c>
      <c r="D1667" s="58" t="s">
        <v>65</v>
      </c>
      <c r="E1667" s="58" t="s">
        <v>3091</v>
      </c>
      <c r="F1667" s="59" t="s">
        <v>51</v>
      </c>
      <c r="G1667" s="59">
        <v>133</v>
      </c>
      <c r="H1667" s="268" t="s">
        <v>3092</v>
      </c>
    </row>
    <row r="1668" spans="1:8" s="239" customFormat="1" ht="93.6" x14ac:dyDescent="0.3">
      <c r="A1668" s="87">
        <v>2</v>
      </c>
      <c r="B1668" s="87">
        <v>3</v>
      </c>
      <c r="C1668" s="269" t="s">
        <v>11</v>
      </c>
      <c r="D1668" s="58" t="s">
        <v>65</v>
      </c>
      <c r="E1668" s="58" t="s">
        <v>3093</v>
      </c>
      <c r="F1668" s="59" t="s">
        <v>51</v>
      </c>
      <c r="G1668" s="59">
        <v>21</v>
      </c>
      <c r="H1668" s="268" t="s">
        <v>3094</v>
      </c>
    </row>
    <row r="1669" spans="1:8" s="239" customFormat="1" ht="78" x14ac:dyDescent="0.3">
      <c r="A1669" s="87">
        <v>2</v>
      </c>
      <c r="B1669" s="87">
        <v>3</v>
      </c>
      <c r="C1669" s="269" t="s">
        <v>11</v>
      </c>
      <c r="D1669" s="58" t="s">
        <v>65</v>
      </c>
      <c r="E1669" s="58" t="s">
        <v>3095</v>
      </c>
      <c r="F1669" s="59" t="s">
        <v>51</v>
      </c>
      <c r="G1669" s="59">
        <v>51</v>
      </c>
      <c r="H1669" s="268" t="s">
        <v>3094</v>
      </c>
    </row>
    <row r="1670" spans="1:8" s="239" customFormat="1" ht="62.4" x14ac:dyDescent="0.3">
      <c r="A1670" s="87">
        <v>2</v>
      </c>
      <c r="B1670" s="87">
        <v>3</v>
      </c>
      <c r="C1670" s="269" t="s">
        <v>11</v>
      </c>
      <c r="D1670" s="267" t="s">
        <v>65</v>
      </c>
      <c r="E1670" s="58" t="s">
        <v>3096</v>
      </c>
      <c r="F1670" s="57" t="s">
        <v>51</v>
      </c>
      <c r="G1670" s="57" t="s">
        <v>75</v>
      </c>
      <c r="H1670" s="268" t="s">
        <v>1750</v>
      </c>
    </row>
    <row r="1671" spans="1:8" s="239" customFormat="1" ht="62.4" x14ac:dyDescent="0.3">
      <c r="A1671" s="87">
        <v>3</v>
      </c>
      <c r="B1671" s="87">
        <v>3</v>
      </c>
      <c r="C1671" s="269" t="s">
        <v>12</v>
      </c>
      <c r="D1671" s="58" t="s">
        <v>65</v>
      </c>
      <c r="E1671" s="58" t="s">
        <v>3096</v>
      </c>
      <c r="F1671" s="59" t="s">
        <v>51</v>
      </c>
      <c r="G1671" s="59" t="s">
        <v>75</v>
      </c>
      <c r="H1671" s="268" t="s">
        <v>1750</v>
      </c>
    </row>
    <row r="1672" spans="1:8" s="239" customFormat="1" ht="265.2" x14ac:dyDescent="0.3">
      <c r="A1672" s="87">
        <v>3</v>
      </c>
      <c r="B1672" s="87">
        <v>3</v>
      </c>
      <c r="C1672" s="269" t="s">
        <v>12</v>
      </c>
      <c r="D1672" s="267" t="s">
        <v>0</v>
      </c>
      <c r="E1672" s="58" t="s">
        <v>2984</v>
      </c>
      <c r="F1672" s="57" t="s">
        <v>51</v>
      </c>
      <c r="G1672" s="57">
        <v>80</v>
      </c>
      <c r="H1672" s="268" t="s">
        <v>3390</v>
      </c>
    </row>
    <row r="1673" spans="1:8" s="239" customFormat="1" ht="62.4" x14ac:dyDescent="0.3">
      <c r="A1673" s="87">
        <v>3</v>
      </c>
      <c r="B1673" s="87">
        <v>3</v>
      </c>
      <c r="C1673" s="269" t="s">
        <v>12</v>
      </c>
      <c r="D1673" s="267" t="s">
        <v>1</v>
      </c>
      <c r="E1673" s="58" t="s">
        <v>2985</v>
      </c>
      <c r="F1673" s="57" t="s">
        <v>51</v>
      </c>
      <c r="G1673" s="57">
        <v>12</v>
      </c>
      <c r="H1673" s="268" t="s">
        <v>2986</v>
      </c>
    </row>
    <row r="1674" spans="1:8" s="239" customFormat="1" ht="109.2" x14ac:dyDescent="0.3">
      <c r="A1674" s="87">
        <v>3</v>
      </c>
      <c r="B1674" s="87">
        <v>3</v>
      </c>
      <c r="C1674" s="269" t="s">
        <v>12</v>
      </c>
      <c r="D1674" s="267" t="s">
        <v>1</v>
      </c>
      <c r="E1674" s="58" t="s">
        <v>2987</v>
      </c>
      <c r="F1674" s="57" t="s">
        <v>51</v>
      </c>
      <c r="G1674" s="57">
        <v>61</v>
      </c>
      <c r="H1674" s="268" t="s">
        <v>2988</v>
      </c>
    </row>
    <row r="1675" spans="1:8" s="239" customFormat="1" ht="62.4" x14ac:dyDescent="0.3">
      <c r="A1675" s="87">
        <v>3</v>
      </c>
      <c r="B1675" s="87">
        <v>3</v>
      </c>
      <c r="C1675" s="269" t="s">
        <v>12</v>
      </c>
      <c r="D1675" s="267" t="s">
        <v>1</v>
      </c>
      <c r="E1675" s="58" t="s">
        <v>2989</v>
      </c>
      <c r="F1675" s="57" t="s">
        <v>63</v>
      </c>
      <c r="G1675" s="57">
        <v>99</v>
      </c>
      <c r="H1675" s="268" t="s">
        <v>2990</v>
      </c>
    </row>
    <row r="1676" spans="1:8" s="239" customFormat="1" ht="78" x14ac:dyDescent="0.3">
      <c r="A1676" s="87">
        <v>3</v>
      </c>
      <c r="B1676" s="87">
        <v>3</v>
      </c>
      <c r="C1676" s="269" t="s">
        <v>12</v>
      </c>
      <c r="D1676" s="267" t="s">
        <v>65</v>
      </c>
      <c r="E1676" s="58" t="s">
        <v>2991</v>
      </c>
      <c r="F1676" s="57" t="s">
        <v>51</v>
      </c>
      <c r="G1676" s="57" t="s">
        <v>394</v>
      </c>
      <c r="H1676" s="268" t="s">
        <v>2983</v>
      </c>
    </row>
    <row r="1677" spans="1:8" s="239" customFormat="1" ht="93.6" x14ac:dyDescent="0.3">
      <c r="A1677" s="87">
        <v>3</v>
      </c>
      <c r="B1677" s="87">
        <v>3</v>
      </c>
      <c r="C1677" s="269" t="s">
        <v>12</v>
      </c>
      <c r="D1677" s="267" t="s">
        <v>65</v>
      </c>
      <c r="E1677" s="58" t="s">
        <v>2992</v>
      </c>
      <c r="F1677" s="57" t="s">
        <v>51</v>
      </c>
      <c r="G1677" s="57">
        <v>133</v>
      </c>
      <c r="H1677" s="268" t="s">
        <v>2993</v>
      </c>
    </row>
    <row r="1678" spans="1:8" s="239" customFormat="1" ht="62.4" x14ac:dyDescent="0.3">
      <c r="A1678" s="87">
        <v>3</v>
      </c>
      <c r="B1678" s="87">
        <v>3</v>
      </c>
      <c r="C1678" s="269" t="s">
        <v>12</v>
      </c>
      <c r="D1678" s="267" t="s">
        <v>65</v>
      </c>
      <c r="E1678" s="58" t="s">
        <v>2994</v>
      </c>
      <c r="F1678" s="57" t="s">
        <v>51</v>
      </c>
      <c r="G1678" s="57" t="s">
        <v>394</v>
      </c>
      <c r="H1678" s="268" t="s">
        <v>2995</v>
      </c>
    </row>
    <row r="1679" spans="1:8" s="239" customFormat="1" ht="62.4" x14ac:dyDescent="0.3">
      <c r="A1679" s="87">
        <v>3</v>
      </c>
      <c r="B1679" s="87">
        <v>3</v>
      </c>
      <c r="C1679" s="269" t="s">
        <v>12</v>
      </c>
      <c r="D1679" s="267" t="s">
        <v>65</v>
      </c>
      <c r="E1679" s="58" t="s">
        <v>2996</v>
      </c>
      <c r="F1679" s="57" t="s">
        <v>63</v>
      </c>
      <c r="G1679" s="57">
        <v>2</v>
      </c>
      <c r="H1679" s="268" t="s">
        <v>2997</v>
      </c>
    </row>
    <row r="1680" spans="1:8" s="239" customFormat="1" ht="78" x14ac:dyDescent="0.3">
      <c r="A1680" s="87">
        <v>3</v>
      </c>
      <c r="B1680" s="87">
        <v>3</v>
      </c>
      <c r="C1680" s="269" t="s">
        <v>12</v>
      </c>
      <c r="D1680" s="267" t="s">
        <v>65</v>
      </c>
      <c r="E1680" s="58" t="s">
        <v>2998</v>
      </c>
      <c r="F1680" s="57" t="s">
        <v>51</v>
      </c>
      <c r="G1680" s="57">
        <v>25</v>
      </c>
      <c r="H1680" s="268" t="s">
        <v>2999</v>
      </c>
    </row>
    <row r="1681" spans="1:8" s="239" customFormat="1" ht="62.4" x14ac:dyDescent="0.3">
      <c r="A1681" s="87">
        <v>3</v>
      </c>
      <c r="B1681" s="87">
        <v>3</v>
      </c>
      <c r="C1681" s="269" t="s">
        <v>12</v>
      </c>
      <c r="D1681" s="267" t="s">
        <v>65</v>
      </c>
      <c r="E1681" s="58" t="s">
        <v>3000</v>
      </c>
      <c r="F1681" s="57" t="s">
        <v>63</v>
      </c>
      <c r="G1681" s="57">
        <v>43</v>
      </c>
      <c r="H1681" s="268" t="s">
        <v>3001</v>
      </c>
    </row>
    <row r="1682" spans="1:8" s="239" customFormat="1" ht="78" x14ac:dyDescent="0.3">
      <c r="A1682" s="87">
        <v>4</v>
      </c>
      <c r="B1682" s="87">
        <v>3</v>
      </c>
      <c r="C1682" s="269" t="s">
        <v>13</v>
      </c>
      <c r="D1682" s="267" t="s">
        <v>0</v>
      </c>
      <c r="E1682" s="58" t="s">
        <v>2945</v>
      </c>
      <c r="F1682" s="57" t="s">
        <v>51</v>
      </c>
      <c r="G1682" s="57">
        <v>23</v>
      </c>
      <c r="H1682" s="268" t="s">
        <v>2946</v>
      </c>
    </row>
    <row r="1683" spans="1:8" s="239" customFormat="1" ht="93.6" x14ac:dyDescent="0.3">
      <c r="A1683" s="87">
        <v>4</v>
      </c>
      <c r="B1683" s="87">
        <v>3</v>
      </c>
      <c r="C1683" s="269" t="s">
        <v>13</v>
      </c>
      <c r="D1683" s="267" t="s">
        <v>0</v>
      </c>
      <c r="E1683" s="58" t="s">
        <v>2947</v>
      </c>
      <c r="F1683" s="57" t="s">
        <v>63</v>
      </c>
      <c r="G1683" s="57">
        <v>3</v>
      </c>
      <c r="H1683" s="268" t="s">
        <v>2948</v>
      </c>
    </row>
    <row r="1684" spans="1:8" s="239" customFormat="1" ht="109.2" x14ac:dyDescent="0.3">
      <c r="A1684" s="87">
        <v>4</v>
      </c>
      <c r="B1684" s="87">
        <v>3</v>
      </c>
      <c r="C1684" s="269" t="s">
        <v>13</v>
      </c>
      <c r="D1684" s="267" t="s">
        <v>0</v>
      </c>
      <c r="E1684" s="58" t="s">
        <v>2949</v>
      </c>
      <c r="F1684" s="57" t="s">
        <v>51</v>
      </c>
      <c r="G1684" s="57">
        <v>35</v>
      </c>
      <c r="H1684" s="268" t="s">
        <v>2950</v>
      </c>
    </row>
    <row r="1685" spans="1:8" s="239" customFormat="1" ht="78" x14ac:dyDescent="0.3">
      <c r="A1685" s="87">
        <v>4</v>
      </c>
      <c r="B1685" s="87">
        <v>3</v>
      </c>
      <c r="C1685" s="269" t="s">
        <v>13</v>
      </c>
      <c r="D1685" s="267" t="s">
        <v>1</v>
      </c>
      <c r="E1685" s="58" t="s">
        <v>2951</v>
      </c>
      <c r="F1685" s="57" t="s">
        <v>51</v>
      </c>
      <c r="G1685" s="57">
        <v>33</v>
      </c>
      <c r="H1685" s="268" t="s">
        <v>2952</v>
      </c>
    </row>
    <row r="1686" spans="1:8" s="239" customFormat="1" ht="78" x14ac:dyDescent="0.3">
      <c r="A1686" s="87">
        <v>4</v>
      </c>
      <c r="B1686" s="87">
        <v>3</v>
      </c>
      <c r="C1686" s="269" t="s">
        <v>13</v>
      </c>
      <c r="D1686" s="267" t="s">
        <v>1</v>
      </c>
      <c r="E1686" s="58" t="s">
        <v>2953</v>
      </c>
      <c r="F1686" s="57" t="s">
        <v>63</v>
      </c>
      <c r="G1686" s="57">
        <v>96</v>
      </c>
      <c r="H1686" s="268" t="s">
        <v>2954</v>
      </c>
    </row>
    <row r="1687" spans="1:8" s="239" customFormat="1" ht="78" x14ac:dyDescent="0.3">
      <c r="A1687" s="87">
        <v>4</v>
      </c>
      <c r="B1687" s="87">
        <v>3</v>
      </c>
      <c r="C1687" s="269" t="s">
        <v>13</v>
      </c>
      <c r="D1687" s="267" t="s">
        <v>1</v>
      </c>
      <c r="E1687" s="58" t="s">
        <v>2955</v>
      </c>
      <c r="F1687" s="57" t="s">
        <v>51</v>
      </c>
      <c r="G1687" s="57">
        <v>44</v>
      </c>
      <c r="H1687" s="268" t="s">
        <v>2956</v>
      </c>
    </row>
    <row r="1688" spans="1:8" s="239" customFormat="1" ht="78" x14ac:dyDescent="0.3">
      <c r="A1688" s="87">
        <v>4</v>
      </c>
      <c r="B1688" s="87">
        <v>3</v>
      </c>
      <c r="C1688" s="269" t="s">
        <v>13</v>
      </c>
      <c r="D1688" s="267" t="s">
        <v>1</v>
      </c>
      <c r="E1688" s="58" t="s">
        <v>2957</v>
      </c>
      <c r="F1688" s="57" t="s">
        <v>51</v>
      </c>
      <c r="G1688" s="57">
        <v>65</v>
      </c>
      <c r="H1688" s="268" t="s">
        <v>2958</v>
      </c>
    </row>
    <row r="1689" spans="1:8" s="239" customFormat="1" ht="140.4" x14ac:dyDescent="0.3">
      <c r="A1689" s="87">
        <v>4</v>
      </c>
      <c r="B1689" s="87">
        <v>3</v>
      </c>
      <c r="C1689" s="269" t="s">
        <v>13</v>
      </c>
      <c r="D1689" s="267" t="s">
        <v>1</v>
      </c>
      <c r="E1689" s="58" t="s">
        <v>2959</v>
      </c>
      <c r="F1689" s="57" t="s">
        <v>51</v>
      </c>
      <c r="G1689" s="57">
        <v>116</v>
      </c>
      <c r="H1689" s="268" t="s">
        <v>2960</v>
      </c>
    </row>
    <row r="1690" spans="1:8" s="239" customFormat="1" ht="156" x14ac:dyDescent="0.3">
      <c r="A1690" s="87">
        <v>4</v>
      </c>
      <c r="B1690" s="87">
        <v>3</v>
      </c>
      <c r="C1690" s="269" t="s">
        <v>13</v>
      </c>
      <c r="D1690" s="267" t="s">
        <v>1</v>
      </c>
      <c r="E1690" s="58" t="s">
        <v>2961</v>
      </c>
      <c r="F1690" s="57" t="s">
        <v>51</v>
      </c>
      <c r="G1690" s="57">
        <v>51</v>
      </c>
      <c r="H1690" s="268" t="s">
        <v>2962</v>
      </c>
    </row>
    <row r="1691" spans="1:8" s="239" customFormat="1" ht="140.4" x14ac:dyDescent="0.3">
      <c r="A1691" s="87">
        <v>4</v>
      </c>
      <c r="B1691" s="87">
        <v>3</v>
      </c>
      <c r="C1691" s="269" t="s">
        <v>13</v>
      </c>
      <c r="D1691" s="267" t="s">
        <v>1</v>
      </c>
      <c r="E1691" s="58" t="s">
        <v>2963</v>
      </c>
      <c r="F1691" s="57" t="s">
        <v>51</v>
      </c>
      <c r="G1691" s="57">
        <v>282</v>
      </c>
      <c r="H1691" s="268" t="s">
        <v>2964</v>
      </c>
    </row>
    <row r="1692" spans="1:8" s="239" customFormat="1" ht="78" x14ac:dyDescent="0.3">
      <c r="A1692" s="87">
        <v>4</v>
      </c>
      <c r="B1692" s="87">
        <v>3</v>
      </c>
      <c r="C1692" s="269" t="s">
        <v>13</v>
      </c>
      <c r="D1692" s="267" t="s">
        <v>1</v>
      </c>
      <c r="E1692" s="58" t="s">
        <v>2965</v>
      </c>
      <c r="F1692" s="57" t="s">
        <v>51</v>
      </c>
      <c r="G1692" s="57">
        <v>104</v>
      </c>
      <c r="H1692" s="268" t="s">
        <v>2966</v>
      </c>
    </row>
    <row r="1693" spans="1:8" s="239" customFormat="1" ht="140.4" x14ac:dyDescent="0.3">
      <c r="A1693" s="87">
        <v>4</v>
      </c>
      <c r="B1693" s="87">
        <v>3</v>
      </c>
      <c r="C1693" s="269" t="s">
        <v>13</v>
      </c>
      <c r="D1693" s="267" t="s">
        <v>1</v>
      </c>
      <c r="E1693" s="58" t="s">
        <v>2967</v>
      </c>
      <c r="F1693" s="57" t="s">
        <v>51</v>
      </c>
      <c r="G1693" s="57">
        <v>9</v>
      </c>
      <c r="H1693" s="268" t="s">
        <v>2968</v>
      </c>
    </row>
    <row r="1694" spans="1:8" s="239" customFormat="1" ht="109.2" x14ac:dyDescent="0.3">
      <c r="A1694" s="87">
        <v>4</v>
      </c>
      <c r="B1694" s="87">
        <v>3</v>
      </c>
      <c r="C1694" s="269" t="s">
        <v>13</v>
      </c>
      <c r="D1694" s="267" t="s">
        <v>65</v>
      </c>
      <c r="E1694" s="58" t="s">
        <v>3391</v>
      </c>
      <c r="F1694" s="57" t="s">
        <v>63</v>
      </c>
      <c r="G1694" s="57">
        <v>34</v>
      </c>
      <c r="H1694" s="268" t="s">
        <v>2969</v>
      </c>
    </row>
    <row r="1695" spans="1:8" s="239" customFormat="1" ht="140.4" x14ac:dyDescent="0.3">
      <c r="A1695" s="87">
        <v>4</v>
      </c>
      <c r="B1695" s="87">
        <v>3</v>
      </c>
      <c r="C1695" s="269" t="s">
        <v>13</v>
      </c>
      <c r="D1695" s="267" t="s">
        <v>65</v>
      </c>
      <c r="E1695" s="58" t="s">
        <v>2970</v>
      </c>
      <c r="F1695" s="57" t="s">
        <v>63</v>
      </c>
      <c r="G1695" s="57">
        <v>96</v>
      </c>
      <c r="H1695" s="268" t="s">
        <v>2971</v>
      </c>
    </row>
    <row r="1696" spans="1:8" s="239" customFormat="1" ht="124.8" x14ac:dyDescent="0.3">
      <c r="A1696" s="87">
        <v>4</v>
      </c>
      <c r="B1696" s="87">
        <v>3</v>
      </c>
      <c r="C1696" s="269" t="s">
        <v>13</v>
      </c>
      <c r="D1696" s="267" t="s">
        <v>65</v>
      </c>
      <c r="E1696" s="58" t="s">
        <v>2972</v>
      </c>
      <c r="F1696" s="57" t="s">
        <v>51</v>
      </c>
      <c r="G1696" s="57" t="s">
        <v>75</v>
      </c>
      <c r="H1696" s="268" t="s">
        <v>2973</v>
      </c>
    </row>
    <row r="1697" spans="1:8" s="239" customFormat="1" ht="124.8" x14ac:dyDescent="0.3">
      <c r="A1697" s="87">
        <v>4</v>
      </c>
      <c r="B1697" s="87">
        <v>3</v>
      </c>
      <c r="C1697" s="269" t="s">
        <v>13</v>
      </c>
      <c r="D1697" s="267" t="s">
        <v>65</v>
      </c>
      <c r="E1697" s="58" t="s">
        <v>2974</v>
      </c>
      <c r="F1697" s="57" t="s">
        <v>51</v>
      </c>
      <c r="G1697" s="57">
        <v>8</v>
      </c>
      <c r="H1697" s="268" t="s">
        <v>2049</v>
      </c>
    </row>
    <row r="1698" spans="1:8" s="239" customFormat="1" ht="109.2" x14ac:dyDescent="0.3">
      <c r="A1698" s="87">
        <v>4</v>
      </c>
      <c r="B1698" s="87">
        <v>3</v>
      </c>
      <c r="C1698" s="269" t="s">
        <v>13</v>
      </c>
      <c r="D1698" s="267" t="s">
        <v>65</v>
      </c>
      <c r="E1698" s="58" t="s">
        <v>2975</v>
      </c>
      <c r="F1698" s="57" t="s">
        <v>51</v>
      </c>
      <c r="G1698" s="57" t="s">
        <v>75</v>
      </c>
      <c r="H1698" s="268" t="s">
        <v>2976</v>
      </c>
    </row>
    <row r="1699" spans="1:8" s="239" customFormat="1" ht="93.6" x14ac:dyDescent="0.3">
      <c r="A1699" s="87">
        <v>4</v>
      </c>
      <c r="B1699" s="87">
        <v>3</v>
      </c>
      <c r="C1699" s="269" t="s">
        <v>13</v>
      </c>
      <c r="D1699" s="267" t="s">
        <v>65</v>
      </c>
      <c r="E1699" s="58" t="s">
        <v>2977</v>
      </c>
      <c r="F1699" s="57" t="s">
        <v>51</v>
      </c>
      <c r="G1699" s="57" t="s">
        <v>75</v>
      </c>
      <c r="H1699" s="268" t="s">
        <v>2978</v>
      </c>
    </row>
    <row r="1700" spans="1:8" s="239" customFormat="1" ht="202.8" x14ac:dyDescent="0.3">
      <c r="A1700" s="87">
        <v>4</v>
      </c>
      <c r="B1700" s="87">
        <v>3</v>
      </c>
      <c r="C1700" s="269" t="s">
        <v>13</v>
      </c>
      <c r="D1700" s="267" t="s">
        <v>65</v>
      </c>
      <c r="E1700" s="58" t="s">
        <v>2979</v>
      </c>
      <c r="F1700" s="57" t="s">
        <v>51</v>
      </c>
      <c r="G1700" s="57">
        <v>8</v>
      </c>
      <c r="H1700" s="268" t="s">
        <v>2980</v>
      </c>
    </row>
    <row r="1701" spans="1:8" s="239" customFormat="1" ht="111.6" customHeight="1" x14ac:dyDescent="0.3">
      <c r="A1701" s="87">
        <v>4</v>
      </c>
      <c r="B1701" s="87">
        <v>3</v>
      </c>
      <c r="C1701" s="269" t="s">
        <v>13</v>
      </c>
      <c r="D1701" s="267" t="s">
        <v>1713</v>
      </c>
      <c r="E1701" s="58" t="s">
        <v>2981</v>
      </c>
      <c r="F1701" s="57" t="s">
        <v>51</v>
      </c>
      <c r="G1701" s="57">
        <v>127</v>
      </c>
      <c r="H1701" s="268" t="s">
        <v>2982</v>
      </c>
    </row>
    <row r="1702" spans="1:8" s="239" customFormat="1" ht="111.6" customHeight="1" x14ac:dyDescent="0.3">
      <c r="A1702" s="87">
        <v>5</v>
      </c>
      <c r="B1702" s="87">
        <v>3</v>
      </c>
      <c r="C1702" s="269" t="s">
        <v>95</v>
      </c>
      <c r="D1702" s="267" t="s">
        <v>1713</v>
      </c>
      <c r="E1702" s="58" t="s">
        <v>3097</v>
      </c>
      <c r="F1702" s="57" t="s">
        <v>51</v>
      </c>
      <c r="G1702" s="57">
        <v>2763</v>
      </c>
      <c r="H1702" s="268" t="s">
        <v>3098</v>
      </c>
    </row>
    <row r="1703" spans="1:8" s="239" customFormat="1" ht="111.6" customHeight="1" x14ac:dyDescent="0.3">
      <c r="A1703" s="87">
        <v>5</v>
      </c>
      <c r="B1703" s="87">
        <v>3</v>
      </c>
      <c r="C1703" s="269" t="s">
        <v>95</v>
      </c>
      <c r="D1703" s="267" t="s">
        <v>0</v>
      </c>
      <c r="E1703" s="58" t="s">
        <v>3099</v>
      </c>
      <c r="F1703" s="57" t="s">
        <v>51</v>
      </c>
      <c r="G1703" s="57" t="s">
        <v>394</v>
      </c>
      <c r="H1703" s="268" t="s">
        <v>3100</v>
      </c>
    </row>
    <row r="1704" spans="1:8" s="239" customFormat="1" ht="111.6" customHeight="1" x14ac:dyDescent="0.3">
      <c r="A1704" s="87">
        <v>5</v>
      </c>
      <c r="B1704" s="87">
        <v>3</v>
      </c>
      <c r="C1704" s="269" t="s">
        <v>95</v>
      </c>
      <c r="D1704" s="267" t="s">
        <v>0</v>
      </c>
      <c r="E1704" s="58" t="s">
        <v>3101</v>
      </c>
      <c r="F1704" s="57" t="s">
        <v>51</v>
      </c>
      <c r="G1704" s="57">
        <v>1</v>
      </c>
      <c r="H1704" s="268" t="s">
        <v>3102</v>
      </c>
    </row>
    <row r="1705" spans="1:8" s="239" customFormat="1" ht="111.6" customHeight="1" x14ac:dyDescent="0.3">
      <c r="A1705" s="87">
        <v>5</v>
      </c>
      <c r="B1705" s="87">
        <v>3</v>
      </c>
      <c r="C1705" s="269" t="s">
        <v>95</v>
      </c>
      <c r="D1705" s="267" t="s">
        <v>541</v>
      </c>
      <c r="E1705" s="58" t="s">
        <v>3103</v>
      </c>
      <c r="F1705" s="57" t="s">
        <v>63</v>
      </c>
      <c r="G1705" s="57">
        <v>1</v>
      </c>
      <c r="H1705" s="268" t="s">
        <v>3104</v>
      </c>
    </row>
    <row r="1706" spans="1:8" s="239" customFormat="1" ht="111.6" customHeight="1" x14ac:dyDescent="0.3">
      <c r="A1706" s="87">
        <v>5</v>
      </c>
      <c r="B1706" s="87">
        <v>3</v>
      </c>
      <c r="C1706" s="269" t="s">
        <v>95</v>
      </c>
      <c r="D1706" s="267" t="s">
        <v>1713</v>
      </c>
      <c r="E1706" s="58" t="s">
        <v>3105</v>
      </c>
      <c r="F1706" s="57" t="s">
        <v>51</v>
      </c>
      <c r="G1706" s="57">
        <v>4</v>
      </c>
      <c r="H1706" s="268" t="s">
        <v>3106</v>
      </c>
    </row>
    <row r="1707" spans="1:8" s="239" customFormat="1" ht="111.6" customHeight="1" x14ac:dyDescent="0.3">
      <c r="A1707" s="87">
        <v>5</v>
      </c>
      <c r="B1707" s="87">
        <v>3</v>
      </c>
      <c r="C1707" s="269" t="s">
        <v>95</v>
      </c>
      <c r="D1707" s="267" t="s">
        <v>1</v>
      </c>
      <c r="E1707" s="58" t="s">
        <v>3107</v>
      </c>
      <c r="F1707" s="57" t="s">
        <v>63</v>
      </c>
      <c r="G1707" s="57">
        <v>48</v>
      </c>
      <c r="H1707" s="268" t="s">
        <v>3108</v>
      </c>
    </row>
    <row r="1708" spans="1:8" s="239" customFormat="1" ht="111.6" customHeight="1" x14ac:dyDescent="0.3">
      <c r="A1708" s="87">
        <v>5</v>
      </c>
      <c r="B1708" s="87">
        <v>3</v>
      </c>
      <c r="C1708" s="269" t="s">
        <v>95</v>
      </c>
      <c r="D1708" s="267" t="s">
        <v>1</v>
      </c>
      <c r="E1708" s="58" t="s">
        <v>3109</v>
      </c>
      <c r="F1708" s="57" t="s">
        <v>51</v>
      </c>
      <c r="G1708" s="57">
        <v>12</v>
      </c>
      <c r="H1708" s="268" t="s">
        <v>3110</v>
      </c>
    </row>
    <row r="1709" spans="1:8" s="239" customFormat="1" ht="111.6" customHeight="1" x14ac:dyDescent="0.3">
      <c r="A1709" s="87">
        <v>5</v>
      </c>
      <c r="B1709" s="87">
        <v>3</v>
      </c>
      <c r="C1709" s="269" t="s">
        <v>95</v>
      </c>
      <c r="D1709" s="267" t="s">
        <v>1</v>
      </c>
      <c r="E1709" s="58" t="s">
        <v>3111</v>
      </c>
      <c r="F1709" s="57" t="s">
        <v>51</v>
      </c>
      <c r="G1709" s="57">
        <v>27</v>
      </c>
      <c r="H1709" s="268" t="s">
        <v>3112</v>
      </c>
    </row>
    <row r="1710" spans="1:8" s="239" customFormat="1" ht="43.2" customHeight="1" x14ac:dyDescent="0.3">
      <c r="A1710" s="87">
        <v>5</v>
      </c>
      <c r="B1710" s="87">
        <v>3</v>
      </c>
      <c r="C1710" s="269" t="s">
        <v>95</v>
      </c>
      <c r="D1710" s="267" t="s">
        <v>1</v>
      </c>
      <c r="E1710" s="58" t="s">
        <v>3113</v>
      </c>
      <c r="F1710" s="57" t="s">
        <v>51</v>
      </c>
      <c r="G1710" s="57">
        <v>456</v>
      </c>
      <c r="H1710" s="268" t="s">
        <v>3114</v>
      </c>
    </row>
    <row r="1711" spans="1:8" s="239" customFormat="1" ht="62.4" x14ac:dyDescent="0.3">
      <c r="A1711" s="87">
        <v>5</v>
      </c>
      <c r="B1711" s="87">
        <v>3</v>
      </c>
      <c r="C1711" s="269" t="s">
        <v>95</v>
      </c>
      <c r="D1711" s="267" t="s">
        <v>1</v>
      </c>
      <c r="E1711" s="58" t="s">
        <v>3115</v>
      </c>
      <c r="F1711" s="57" t="s">
        <v>51</v>
      </c>
      <c r="G1711" s="57">
        <v>7</v>
      </c>
      <c r="H1711" s="268" t="s">
        <v>3116</v>
      </c>
    </row>
    <row r="1712" spans="1:8" s="239" customFormat="1" ht="78" x14ac:dyDescent="0.3">
      <c r="A1712" s="87">
        <v>5</v>
      </c>
      <c r="B1712" s="87">
        <v>3</v>
      </c>
      <c r="C1712" s="269" t="s">
        <v>95</v>
      </c>
      <c r="D1712" s="267" t="s">
        <v>1</v>
      </c>
      <c r="E1712" s="58" t="s">
        <v>3117</v>
      </c>
      <c r="F1712" s="57" t="s">
        <v>51</v>
      </c>
      <c r="G1712" s="57">
        <v>138</v>
      </c>
      <c r="H1712" s="268" t="s">
        <v>3118</v>
      </c>
    </row>
    <row r="1713" spans="1:8" s="239" customFormat="1" ht="78" x14ac:dyDescent="0.3">
      <c r="A1713" s="87">
        <v>5</v>
      </c>
      <c r="B1713" s="87">
        <v>3</v>
      </c>
      <c r="C1713" s="269" t="s">
        <v>95</v>
      </c>
      <c r="D1713" s="267" t="s">
        <v>1</v>
      </c>
      <c r="E1713" s="58" t="s">
        <v>3119</v>
      </c>
      <c r="F1713" s="57" t="s">
        <v>51</v>
      </c>
      <c r="G1713" s="57">
        <v>209</v>
      </c>
      <c r="H1713" s="268" t="s">
        <v>3120</v>
      </c>
    </row>
    <row r="1714" spans="1:8" s="239" customFormat="1" ht="78" x14ac:dyDescent="0.3">
      <c r="A1714" s="87">
        <v>5</v>
      </c>
      <c r="B1714" s="87">
        <v>3</v>
      </c>
      <c r="C1714" s="269" t="s">
        <v>95</v>
      </c>
      <c r="D1714" s="267" t="s">
        <v>1</v>
      </c>
      <c r="E1714" s="58" t="s">
        <v>3121</v>
      </c>
      <c r="F1714" s="57" t="s">
        <v>63</v>
      </c>
      <c r="G1714" s="57">
        <v>651</v>
      </c>
      <c r="H1714" s="268" t="s">
        <v>3122</v>
      </c>
    </row>
    <row r="1715" spans="1:8" s="239" customFormat="1" ht="171.6" x14ac:dyDescent="0.3">
      <c r="A1715" s="87">
        <v>5</v>
      </c>
      <c r="B1715" s="87">
        <v>3</v>
      </c>
      <c r="C1715" s="269" t="s">
        <v>95</v>
      </c>
      <c r="D1715" s="267" t="s">
        <v>1</v>
      </c>
      <c r="E1715" s="58" t="s">
        <v>3123</v>
      </c>
      <c r="F1715" s="57" t="s">
        <v>63</v>
      </c>
      <c r="G1715" s="57">
        <v>5</v>
      </c>
      <c r="H1715" s="268" t="s">
        <v>3124</v>
      </c>
    </row>
    <row r="1716" spans="1:8" s="239" customFormat="1" ht="109.2" x14ac:dyDescent="0.3">
      <c r="A1716" s="87">
        <v>5</v>
      </c>
      <c r="B1716" s="87">
        <v>3</v>
      </c>
      <c r="C1716" s="269" t="s">
        <v>95</v>
      </c>
      <c r="D1716" s="267" t="s">
        <v>65</v>
      </c>
      <c r="E1716" s="58" t="s">
        <v>3125</v>
      </c>
      <c r="F1716" s="57" t="s">
        <v>51</v>
      </c>
      <c r="G1716" s="57">
        <v>198</v>
      </c>
      <c r="H1716" s="268" t="s">
        <v>3126</v>
      </c>
    </row>
    <row r="1717" spans="1:8" s="239" customFormat="1" ht="171.6" x14ac:dyDescent="0.3">
      <c r="A1717" s="87">
        <v>5</v>
      </c>
      <c r="B1717" s="87">
        <v>3</v>
      </c>
      <c r="C1717" s="269" t="s">
        <v>95</v>
      </c>
      <c r="D1717" s="267" t="s">
        <v>65</v>
      </c>
      <c r="E1717" s="58" t="s">
        <v>3127</v>
      </c>
      <c r="F1717" s="57" t="s">
        <v>51</v>
      </c>
      <c r="G1717" s="57" t="s">
        <v>394</v>
      </c>
      <c r="H1717" s="268" t="s">
        <v>3128</v>
      </c>
    </row>
    <row r="1718" spans="1:8" s="239" customFormat="1" ht="109.2" x14ac:dyDescent="0.3">
      <c r="A1718" s="87">
        <v>5</v>
      </c>
      <c r="B1718" s="87">
        <v>3</v>
      </c>
      <c r="C1718" s="269" t="s">
        <v>95</v>
      </c>
      <c r="D1718" s="267" t="s">
        <v>65</v>
      </c>
      <c r="E1718" s="58" t="s">
        <v>3129</v>
      </c>
      <c r="F1718" s="57" t="s">
        <v>51</v>
      </c>
      <c r="G1718" s="57">
        <v>250</v>
      </c>
      <c r="H1718" s="268" t="s">
        <v>3130</v>
      </c>
    </row>
    <row r="1719" spans="1:8" s="239" customFormat="1" x14ac:dyDescent="0.3">
      <c r="A1719" s="87">
        <v>5</v>
      </c>
      <c r="B1719" s="87">
        <v>3</v>
      </c>
      <c r="C1719" s="269" t="s">
        <v>95</v>
      </c>
      <c r="D1719" s="267"/>
      <c r="E1719" s="58"/>
      <c r="F1719" s="57"/>
      <c r="G1719" s="57"/>
      <c r="H1719" s="268"/>
    </row>
    <row r="1720" spans="1:8" s="239" customFormat="1" x14ac:dyDescent="0.3">
      <c r="A1720" s="87">
        <v>5</v>
      </c>
      <c r="B1720" s="87">
        <v>3</v>
      </c>
      <c r="C1720" s="269" t="s">
        <v>95</v>
      </c>
      <c r="D1720" s="267"/>
      <c r="E1720" s="58"/>
      <c r="F1720" s="57"/>
      <c r="G1720" s="57"/>
      <c r="H1720" s="268"/>
    </row>
    <row r="1721" spans="1:8" s="239" customFormat="1" ht="46.8" x14ac:dyDescent="0.3">
      <c r="A1721" s="87">
        <v>6</v>
      </c>
      <c r="B1721" s="87">
        <v>3</v>
      </c>
      <c r="C1721" s="269" t="s">
        <v>99</v>
      </c>
      <c r="D1721" s="270" t="s">
        <v>119</v>
      </c>
      <c r="E1721" s="58" t="s">
        <v>2875</v>
      </c>
      <c r="F1721" s="57" t="s">
        <v>51</v>
      </c>
      <c r="G1721" s="57">
        <v>124</v>
      </c>
      <c r="H1721" s="268" t="s">
        <v>2876</v>
      </c>
    </row>
    <row r="1722" spans="1:8" s="239" customFormat="1" ht="46.8" x14ac:dyDescent="0.3">
      <c r="A1722" s="87">
        <v>6</v>
      </c>
      <c r="B1722" s="87">
        <v>3</v>
      </c>
      <c r="C1722" s="269" t="s">
        <v>99</v>
      </c>
      <c r="D1722" s="267" t="s">
        <v>119</v>
      </c>
      <c r="E1722" s="58" t="s">
        <v>2877</v>
      </c>
      <c r="F1722" s="57" t="s">
        <v>51</v>
      </c>
      <c r="G1722" s="57">
        <v>124</v>
      </c>
      <c r="H1722" s="268" t="s">
        <v>2878</v>
      </c>
    </row>
    <row r="1723" spans="1:8" s="239" customFormat="1" ht="93.6" x14ac:dyDescent="0.3">
      <c r="A1723" s="87">
        <v>6</v>
      </c>
      <c r="B1723" s="87">
        <v>3</v>
      </c>
      <c r="C1723" s="269" t="s">
        <v>99</v>
      </c>
      <c r="D1723" s="267" t="s">
        <v>541</v>
      </c>
      <c r="E1723" s="58" t="s">
        <v>2879</v>
      </c>
      <c r="F1723" s="57" t="s">
        <v>51</v>
      </c>
      <c r="G1723" s="57">
        <v>15</v>
      </c>
      <c r="H1723" s="268" t="s">
        <v>2880</v>
      </c>
    </row>
    <row r="1724" spans="1:8" s="239" customFormat="1" ht="62.4" x14ac:dyDescent="0.3">
      <c r="A1724" s="87">
        <v>6</v>
      </c>
      <c r="B1724" s="87">
        <v>3</v>
      </c>
      <c r="C1724" s="269" t="s">
        <v>99</v>
      </c>
      <c r="D1724" s="267" t="s">
        <v>1</v>
      </c>
      <c r="E1724" s="58" t="s">
        <v>2881</v>
      </c>
      <c r="F1724" s="57" t="s">
        <v>51</v>
      </c>
      <c r="G1724" s="57">
        <v>31</v>
      </c>
      <c r="H1724" s="268" t="s">
        <v>2882</v>
      </c>
    </row>
    <row r="1725" spans="1:8" s="239" customFormat="1" ht="62.4" x14ac:dyDescent="0.3">
      <c r="A1725" s="87">
        <v>6</v>
      </c>
      <c r="B1725" s="87">
        <v>3</v>
      </c>
      <c r="C1725" s="269" t="s">
        <v>99</v>
      </c>
      <c r="D1725" s="267" t="s">
        <v>1</v>
      </c>
      <c r="E1725" s="58" t="s">
        <v>2883</v>
      </c>
      <c r="F1725" s="57" t="s">
        <v>51</v>
      </c>
      <c r="G1725" s="57">
        <v>309</v>
      </c>
      <c r="H1725" s="268" t="s">
        <v>2884</v>
      </c>
    </row>
    <row r="1726" spans="1:8" s="239" customFormat="1" ht="62.4" x14ac:dyDescent="0.3">
      <c r="A1726" s="87">
        <v>6</v>
      </c>
      <c r="B1726" s="87">
        <v>3</v>
      </c>
      <c r="C1726" s="269" t="s">
        <v>99</v>
      </c>
      <c r="D1726" s="267" t="s">
        <v>1</v>
      </c>
      <c r="E1726" s="58" t="s">
        <v>2885</v>
      </c>
      <c r="F1726" s="57" t="s">
        <v>51</v>
      </c>
      <c r="G1726" s="57">
        <v>690</v>
      </c>
      <c r="H1726" s="268" t="s">
        <v>2886</v>
      </c>
    </row>
    <row r="1727" spans="1:8" s="239" customFormat="1" ht="62.4" x14ac:dyDescent="0.3">
      <c r="A1727" s="87">
        <v>6</v>
      </c>
      <c r="B1727" s="87">
        <v>3</v>
      </c>
      <c r="C1727" s="269" t="s">
        <v>99</v>
      </c>
      <c r="D1727" s="267" t="s">
        <v>1</v>
      </c>
      <c r="E1727" s="58" t="s">
        <v>2887</v>
      </c>
      <c r="F1727" s="57" t="s">
        <v>51</v>
      </c>
      <c r="G1727" s="57">
        <v>755</v>
      </c>
      <c r="H1727" s="268" t="s">
        <v>2888</v>
      </c>
    </row>
    <row r="1728" spans="1:8" s="239" customFormat="1" ht="78" x14ac:dyDescent="0.3">
      <c r="A1728" s="87">
        <v>6</v>
      </c>
      <c r="B1728" s="87">
        <v>3</v>
      </c>
      <c r="C1728" s="269" t="s">
        <v>99</v>
      </c>
      <c r="D1728" s="267" t="s">
        <v>1</v>
      </c>
      <c r="E1728" s="58" t="s">
        <v>2889</v>
      </c>
      <c r="F1728" s="57" t="s">
        <v>51</v>
      </c>
      <c r="G1728" s="57">
        <v>30</v>
      </c>
      <c r="H1728" s="268" t="s">
        <v>2890</v>
      </c>
    </row>
    <row r="1729" spans="1:8" s="239" customFormat="1" ht="62.4" x14ac:dyDescent="0.3">
      <c r="A1729" s="87">
        <v>6</v>
      </c>
      <c r="B1729" s="87">
        <v>3</v>
      </c>
      <c r="C1729" s="269" t="s">
        <v>99</v>
      </c>
      <c r="D1729" s="267" t="s">
        <v>65</v>
      </c>
      <c r="E1729" s="58" t="s">
        <v>2891</v>
      </c>
      <c r="F1729" s="57" t="s">
        <v>51</v>
      </c>
      <c r="G1729" s="57">
        <v>383</v>
      </c>
      <c r="H1729" s="268" t="s">
        <v>2892</v>
      </c>
    </row>
    <row r="1730" spans="1:8" s="239" customFormat="1" ht="78" x14ac:dyDescent="0.3">
      <c r="A1730" s="87">
        <v>6</v>
      </c>
      <c r="B1730" s="87">
        <v>3</v>
      </c>
      <c r="C1730" s="269" t="s">
        <v>99</v>
      </c>
      <c r="D1730" s="267" t="s">
        <v>65</v>
      </c>
      <c r="E1730" s="58" t="s">
        <v>2893</v>
      </c>
      <c r="F1730" s="57" t="s">
        <v>51</v>
      </c>
      <c r="G1730" s="57">
        <v>87</v>
      </c>
      <c r="H1730" s="268" t="s">
        <v>2894</v>
      </c>
    </row>
    <row r="1731" spans="1:8" s="239" customFormat="1" ht="78" x14ac:dyDescent="0.3">
      <c r="A1731" s="87">
        <v>6</v>
      </c>
      <c r="B1731" s="87">
        <v>3</v>
      </c>
      <c r="C1731" s="269" t="s">
        <v>99</v>
      </c>
      <c r="D1731" s="267" t="s">
        <v>65</v>
      </c>
      <c r="E1731" s="58" t="s">
        <v>2895</v>
      </c>
      <c r="F1731" s="57" t="s">
        <v>51</v>
      </c>
      <c r="G1731" s="57">
        <v>25</v>
      </c>
      <c r="H1731" s="268" t="s">
        <v>2896</v>
      </c>
    </row>
    <row r="1732" spans="1:8" s="239" customFormat="1" ht="62.4" x14ac:dyDescent="0.3">
      <c r="A1732" s="87">
        <v>6</v>
      </c>
      <c r="B1732" s="87">
        <v>3</v>
      </c>
      <c r="C1732" s="269" t="s">
        <v>99</v>
      </c>
      <c r="D1732" s="267" t="s">
        <v>65</v>
      </c>
      <c r="E1732" s="58" t="s">
        <v>2897</v>
      </c>
      <c r="F1732" s="57" t="s">
        <v>51</v>
      </c>
      <c r="G1732" s="57">
        <v>49</v>
      </c>
      <c r="H1732" s="268" t="s">
        <v>2898</v>
      </c>
    </row>
    <row r="1733" spans="1:8" s="239" customFormat="1" ht="124.8" x14ac:dyDescent="0.3">
      <c r="A1733" s="87">
        <v>6</v>
      </c>
      <c r="B1733" s="87">
        <v>3</v>
      </c>
      <c r="C1733" s="269" t="s">
        <v>99</v>
      </c>
      <c r="D1733" s="267" t="s">
        <v>65</v>
      </c>
      <c r="E1733" s="58" t="s">
        <v>2904</v>
      </c>
      <c r="F1733" s="57" t="s">
        <v>51</v>
      </c>
      <c r="G1733" s="57" t="s">
        <v>75</v>
      </c>
      <c r="H1733" s="268" t="s">
        <v>2899</v>
      </c>
    </row>
    <row r="1734" spans="1:8" s="239" customFormat="1" ht="109.2" x14ac:dyDescent="0.3">
      <c r="A1734" s="87">
        <v>6</v>
      </c>
      <c r="B1734" s="87">
        <v>3</v>
      </c>
      <c r="C1734" s="269" t="s">
        <v>99</v>
      </c>
      <c r="D1734" s="267" t="s">
        <v>1713</v>
      </c>
      <c r="E1734" s="58" t="s">
        <v>2900</v>
      </c>
      <c r="F1734" s="57" t="s">
        <v>51</v>
      </c>
      <c r="G1734" s="57">
        <v>17</v>
      </c>
      <c r="H1734" s="268" t="s">
        <v>2901</v>
      </c>
    </row>
    <row r="1735" spans="1:8" s="239" customFormat="1" ht="62.4" x14ac:dyDescent="0.3">
      <c r="A1735" s="87">
        <v>6</v>
      </c>
      <c r="B1735" s="87">
        <v>3</v>
      </c>
      <c r="C1735" s="269" t="s">
        <v>99</v>
      </c>
      <c r="D1735" s="267" t="s">
        <v>4</v>
      </c>
      <c r="E1735" s="58" t="s">
        <v>2326</v>
      </c>
      <c r="F1735" s="57" t="s">
        <v>51</v>
      </c>
      <c r="G1735" s="57" t="s">
        <v>75</v>
      </c>
      <c r="H1735" s="268" t="s">
        <v>2902</v>
      </c>
    </row>
    <row r="1736" spans="1:8" s="239" customFormat="1" ht="62.4" x14ac:dyDescent="0.3">
      <c r="A1736" s="87">
        <v>6</v>
      </c>
      <c r="B1736" s="87">
        <v>3</v>
      </c>
      <c r="C1736" s="269" t="s">
        <v>99</v>
      </c>
      <c r="D1736" s="267" t="s">
        <v>4</v>
      </c>
      <c r="E1736" s="58" t="s">
        <v>2905</v>
      </c>
      <c r="F1736" s="57" t="s">
        <v>51</v>
      </c>
      <c r="G1736" s="57" t="s">
        <v>75</v>
      </c>
      <c r="H1736" s="268" t="s">
        <v>2903</v>
      </c>
    </row>
    <row r="1737" spans="1:8" s="239" customFormat="1" ht="78" x14ac:dyDescent="0.3">
      <c r="A1737" s="87">
        <v>7</v>
      </c>
      <c r="B1737" s="87">
        <v>3</v>
      </c>
      <c r="C1737" s="269" t="s">
        <v>1840</v>
      </c>
      <c r="D1737" s="267" t="s">
        <v>65</v>
      </c>
      <c r="E1737" s="58" t="s">
        <v>3343</v>
      </c>
      <c r="F1737" s="57" t="s">
        <v>51</v>
      </c>
      <c r="G1737" s="57" t="s">
        <v>394</v>
      </c>
      <c r="H1737" s="268" t="s">
        <v>3328</v>
      </c>
    </row>
    <row r="1738" spans="1:8" s="239" customFormat="1" ht="46.8" x14ac:dyDescent="0.3">
      <c r="A1738" s="87">
        <v>7</v>
      </c>
      <c r="B1738" s="87">
        <v>3</v>
      </c>
      <c r="C1738" s="269" t="s">
        <v>1840</v>
      </c>
      <c r="D1738" s="267" t="s">
        <v>0</v>
      </c>
      <c r="E1738" s="58" t="s">
        <v>3329</v>
      </c>
      <c r="F1738" s="57" t="s">
        <v>63</v>
      </c>
      <c r="G1738" s="57">
        <v>7</v>
      </c>
      <c r="H1738" s="268" t="s">
        <v>3330</v>
      </c>
    </row>
    <row r="1739" spans="1:8" s="239" customFormat="1" ht="46.8" x14ac:dyDescent="0.3">
      <c r="A1739" s="87">
        <v>7</v>
      </c>
      <c r="B1739" s="87">
        <v>3</v>
      </c>
      <c r="C1739" s="269" t="s">
        <v>1840</v>
      </c>
      <c r="D1739" s="267" t="s">
        <v>0</v>
      </c>
      <c r="E1739" s="58" t="s">
        <v>3331</v>
      </c>
      <c r="F1739" s="57" t="s">
        <v>63</v>
      </c>
      <c r="G1739" s="57">
        <v>60</v>
      </c>
      <c r="H1739" s="268" t="s">
        <v>3332</v>
      </c>
    </row>
    <row r="1740" spans="1:8" s="239" customFormat="1" ht="78" x14ac:dyDescent="0.3">
      <c r="A1740" s="87">
        <v>7</v>
      </c>
      <c r="B1740" s="87">
        <v>3</v>
      </c>
      <c r="C1740" s="269" t="s">
        <v>1840</v>
      </c>
      <c r="D1740" s="267" t="s">
        <v>1713</v>
      </c>
      <c r="E1740" s="58" t="s">
        <v>2339</v>
      </c>
      <c r="F1740" s="57" t="s">
        <v>63</v>
      </c>
      <c r="G1740" s="57">
        <v>60</v>
      </c>
      <c r="H1740" s="268" t="s">
        <v>3333</v>
      </c>
    </row>
    <row r="1741" spans="1:8" s="239" customFormat="1" ht="109.2" x14ac:dyDescent="0.3">
      <c r="A1741" s="87">
        <v>7</v>
      </c>
      <c r="B1741" s="87">
        <v>3</v>
      </c>
      <c r="C1741" s="269" t="s">
        <v>1840</v>
      </c>
      <c r="D1741" s="267" t="s">
        <v>1713</v>
      </c>
      <c r="E1741" s="58" t="s">
        <v>3344</v>
      </c>
      <c r="F1741" s="57" t="s">
        <v>63</v>
      </c>
      <c r="G1741" s="57">
        <v>461</v>
      </c>
      <c r="H1741" s="268" t="s">
        <v>3334</v>
      </c>
    </row>
    <row r="1742" spans="1:8" s="239" customFormat="1" ht="62.4" x14ac:dyDescent="0.3">
      <c r="A1742" s="87">
        <v>7</v>
      </c>
      <c r="B1742" s="87">
        <v>3</v>
      </c>
      <c r="C1742" s="269" t="s">
        <v>1840</v>
      </c>
      <c r="D1742" s="267" t="s">
        <v>1</v>
      </c>
      <c r="E1742" s="58" t="s">
        <v>3335</v>
      </c>
      <c r="F1742" s="57" t="s">
        <v>51</v>
      </c>
      <c r="G1742" s="57">
        <v>631</v>
      </c>
      <c r="H1742" s="268" t="s">
        <v>3336</v>
      </c>
    </row>
    <row r="1743" spans="1:8" s="239" customFormat="1" ht="62.4" x14ac:dyDescent="0.3">
      <c r="A1743" s="87">
        <v>7</v>
      </c>
      <c r="B1743" s="87">
        <v>3</v>
      </c>
      <c r="C1743" s="269" t="s">
        <v>1840</v>
      </c>
      <c r="D1743" s="267" t="s">
        <v>1</v>
      </c>
      <c r="E1743" s="58" t="s">
        <v>3337</v>
      </c>
      <c r="F1743" s="57" t="s">
        <v>63</v>
      </c>
      <c r="G1743" s="57">
        <v>24</v>
      </c>
      <c r="H1743" s="268" t="s">
        <v>3338</v>
      </c>
    </row>
    <row r="1744" spans="1:8" s="239" customFormat="1" ht="46.8" x14ac:dyDescent="0.3">
      <c r="A1744" s="87">
        <v>7</v>
      </c>
      <c r="B1744" s="87">
        <v>3</v>
      </c>
      <c r="C1744" s="269" t="s">
        <v>1840</v>
      </c>
      <c r="D1744" s="267" t="s">
        <v>1</v>
      </c>
      <c r="E1744" s="58" t="s">
        <v>3339</v>
      </c>
      <c r="F1744" s="57" t="s">
        <v>63</v>
      </c>
      <c r="G1744" s="57">
        <v>37</v>
      </c>
      <c r="H1744" s="268" t="s">
        <v>3340</v>
      </c>
    </row>
    <row r="1745" spans="1:8" s="239" customFormat="1" ht="62.4" x14ac:dyDescent="0.3">
      <c r="A1745" s="87">
        <v>7</v>
      </c>
      <c r="B1745" s="87">
        <v>3</v>
      </c>
      <c r="C1745" s="269" t="s">
        <v>1840</v>
      </c>
      <c r="D1745" s="267" t="s">
        <v>65</v>
      </c>
      <c r="E1745" s="58" t="s">
        <v>3341</v>
      </c>
      <c r="F1745" s="57" t="s">
        <v>63</v>
      </c>
      <c r="G1745" s="57">
        <v>58</v>
      </c>
      <c r="H1745" s="268" t="s">
        <v>3342</v>
      </c>
    </row>
    <row r="1746" spans="1:8" s="239" customFormat="1" ht="46.8" x14ac:dyDescent="0.3">
      <c r="A1746" s="87">
        <v>8</v>
      </c>
      <c r="B1746" s="87">
        <v>3</v>
      </c>
      <c r="C1746" s="269" t="s">
        <v>17</v>
      </c>
      <c r="D1746" s="267" t="s">
        <v>1</v>
      </c>
      <c r="E1746" s="58" t="s">
        <v>3237</v>
      </c>
      <c r="F1746" s="57" t="s">
        <v>51</v>
      </c>
      <c r="G1746" s="57">
        <v>577</v>
      </c>
      <c r="H1746" s="268" t="s">
        <v>3238</v>
      </c>
    </row>
    <row r="1747" spans="1:8" s="239" customFormat="1" ht="46.8" x14ac:dyDescent="0.3">
      <c r="A1747" s="87">
        <v>8</v>
      </c>
      <c r="B1747" s="87">
        <v>3</v>
      </c>
      <c r="C1747" s="269" t="s">
        <v>17</v>
      </c>
      <c r="D1747" s="267" t="s">
        <v>1</v>
      </c>
      <c r="E1747" s="58" t="s">
        <v>3239</v>
      </c>
      <c r="F1747" s="57" t="s">
        <v>51</v>
      </c>
      <c r="G1747" s="57">
        <v>18</v>
      </c>
      <c r="H1747" s="268" t="s">
        <v>3240</v>
      </c>
    </row>
    <row r="1748" spans="1:8" s="239" customFormat="1" ht="46.8" x14ac:dyDescent="0.3">
      <c r="A1748" s="87">
        <v>8</v>
      </c>
      <c r="B1748" s="87">
        <v>3</v>
      </c>
      <c r="C1748" s="269" t="s">
        <v>17</v>
      </c>
      <c r="D1748" s="267" t="s">
        <v>1</v>
      </c>
      <c r="E1748" s="58" t="s">
        <v>1876</v>
      </c>
      <c r="F1748" s="57" t="s">
        <v>51</v>
      </c>
      <c r="G1748" s="57">
        <v>1</v>
      </c>
      <c r="H1748" s="268" t="s">
        <v>3241</v>
      </c>
    </row>
    <row r="1749" spans="1:8" s="239" customFormat="1" ht="62.4" x14ac:dyDescent="0.3">
      <c r="A1749" s="87">
        <v>8</v>
      </c>
      <c r="B1749" s="87">
        <v>3</v>
      </c>
      <c r="C1749" s="269" t="s">
        <v>17</v>
      </c>
      <c r="D1749" s="267" t="s">
        <v>65</v>
      </c>
      <c r="E1749" s="58" t="s">
        <v>2376</v>
      </c>
      <c r="F1749" s="57" t="s">
        <v>51</v>
      </c>
      <c r="G1749" s="57" t="s">
        <v>394</v>
      </c>
      <c r="H1749" s="268" t="s">
        <v>3242</v>
      </c>
    </row>
    <row r="1750" spans="1:8" s="239" customFormat="1" ht="62.4" x14ac:dyDescent="0.3">
      <c r="A1750" s="87">
        <v>8</v>
      </c>
      <c r="B1750" s="87">
        <v>3</v>
      </c>
      <c r="C1750" s="269" t="s">
        <v>17</v>
      </c>
      <c r="D1750" s="267" t="s">
        <v>65</v>
      </c>
      <c r="E1750" s="58" t="s">
        <v>3243</v>
      </c>
      <c r="F1750" s="57" t="s">
        <v>51</v>
      </c>
      <c r="G1750" s="57">
        <v>9</v>
      </c>
      <c r="H1750" s="268" t="s">
        <v>3244</v>
      </c>
    </row>
    <row r="1751" spans="1:8" s="239" customFormat="1" ht="62.4" x14ac:dyDescent="0.3">
      <c r="A1751" s="87">
        <v>9</v>
      </c>
      <c r="B1751" s="87">
        <v>3</v>
      </c>
      <c r="C1751" s="269" t="s">
        <v>18</v>
      </c>
      <c r="D1751" s="267" t="s">
        <v>1</v>
      </c>
      <c r="E1751" s="58" t="s">
        <v>3164</v>
      </c>
      <c r="F1751" s="57" t="s">
        <v>51</v>
      </c>
      <c r="G1751" s="57">
        <v>16</v>
      </c>
      <c r="H1751" s="268" t="s">
        <v>3165</v>
      </c>
    </row>
    <row r="1752" spans="1:8" s="239" customFormat="1" ht="62.4" x14ac:dyDescent="0.3">
      <c r="A1752" s="87">
        <v>9</v>
      </c>
      <c r="B1752" s="87">
        <v>3</v>
      </c>
      <c r="C1752" s="269" t="s">
        <v>18</v>
      </c>
      <c r="D1752" s="267" t="s">
        <v>1</v>
      </c>
      <c r="E1752" s="58" t="s">
        <v>3166</v>
      </c>
      <c r="F1752" s="57" t="s">
        <v>63</v>
      </c>
      <c r="G1752" s="57" t="s">
        <v>75</v>
      </c>
      <c r="H1752" s="268" t="s">
        <v>3167</v>
      </c>
    </row>
    <row r="1753" spans="1:8" s="239" customFormat="1" ht="109.2" x14ac:dyDescent="0.3">
      <c r="A1753" s="87">
        <v>9</v>
      </c>
      <c r="B1753" s="87">
        <v>3</v>
      </c>
      <c r="C1753" s="269" t="s">
        <v>18</v>
      </c>
      <c r="D1753" s="267" t="s">
        <v>65</v>
      </c>
      <c r="E1753" s="58" t="s">
        <v>3168</v>
      </c>
      <c r="F1753" s="57" t="s">
        <v>51</v>
      </c>
      <c r="G1753" s="57" t="s">
        <v>394</v>
      </c>
      <c r="H1753" s="268" t="s">
        <v>3169</v>
      </c>
    </row>
    <row r="1754" spans="1:8" s="239" customFormat="1" ht="62.4" x14ac:dyDescent="0.3">
      <c r="A1754" s="87">
        <v>9</v>
      </c>
      <c r="B1754" s="87">
        <v>3</v>
      </c>
      <c r="C1754" s="269" t="s">
        <v>18</v>
      </c>
      <c r="D1754" s="267" t="s">
        <v>1713</v>
      </c>
      <c r="E1754" s="58" t="s">
        <v>3392</v>
      </c>
      <c r="F1754" s="57" t="s">
        <v>63</v>
      </c>
      <c r="G1754" s="57">
        <v>817</v>
      </c>
      <c r="H1754" s="268" t="s">
        <v>3170</v>
      </c>
    </row>
    <row r="1755" spans="1:8" s="239" customFormat="1" ht="62.4" x14ac:dyDescent="0.3">
      <c r="A1755" s="87">
        <v>9</v>
      </c>
      <c r="B1755" s="87">
        <v>3</v>
      </c>
      <c r="C1755" s="269" t="s">
        <v>18</v>
      </c>
      <c r="D1755" s="267" t="s">
        <v>65</v>
      </c>
      <c r="E1755" s="58" t="s">
        <v>3171</v>
      </c>
      <c r="F1755" s="57" t="s">
        <v>51</v>
      </c>
      <c r="G1755" s="57">
        <v>14</v>
      </c>
      <c r="H1755" s="268" t="s">
        <v>3172</v>
      </c>
    </row>
    <row r="1756" spans="1:8" s="239" customFormat="1" ht="78" x14ac:dyDescent="0.3">
      <c r="A1756" s="87">
        <v>10</v>
      </c>
      <c r="B1756" s="87">
        <v>3</v>
      </c>
      <c r="C1756" s="269" t="s">
        <v>19</v>
      </c>
      <c r="D1756" s="267" t="s">
        <v>65</v>
      </c>
      <c r="E1756" s="58" t="s">
        <v>2768</v>
      </c>
      <c r="F1756" s="57" t="s">
        <v>63</v>
      </c>
      <c r="G1756" s="57">
        <v>28</v>
      </c>
      <c r="H1756" s="268" t="s">
        <v>2769</v>
      </c>
    </row>
    <row r="1757" spans="1:8" s="239" customFormat="1" ht="93.6" x14ac:dyDescent="0.3">
      <c r="A1757" s="87">
        <v>10</v>
      </c>
      <c r="B1757" s="87">
        <v>3</v>
      </c>
      <c r="C1757" s="269" t="s">
        <v>19</v>
      </c>
      <c r="D1757" s="267" t="s">
        <v>1</v>
      </c>
      <c r="E1757" s="58" t="s">
        <v>2770</v>
      </c>
      <c r="F1757" s="57" t="s">
        <v>63</v>
      </c>
      <c r="G1757" s="57">
        <v>65</v>
      </c>
      <c r="H1757" s="268" t="s">
        <v>2771</v>
      </c>
    </row>
    <row r="1758" spans="1:8" s="239" customFormat="1" ht="93.6" x14ac:dyDescent="0.3">
      <c r="A1758" s="87">
        <v>10</v>
      </c>
      <c r="B1758" s="87">
        <v>3</v>
      </c>
      <c r="C1758" s="269" t="s">
        <v>19</v>
      </c>
      <c r="D1758" s="267" t="s">
        <v>1</v>
      </c>
      <c r="E1758" s="58" t="s">
        <v>2772</v>
      </c>
      <c r="F1758" s="57" t="s">
        <v>63</v>
      </c>
      <c r="G1758" s="57">
        <v>62</v>
      </c>
      <c r="H1758" s="268" t="s">
        <v>2773</v>
      </c>
    </row>
    <row r="1759" spans="1:8" s="239" customFormat="1" ht="93.6" x14ac:dyDescent="0.3">
      <c r="A1759" s="87">
        <v>10</v>
      </c>
      <c r="B1759" s="87">
        <v>3</v>
      </c>
      <c r="C1759" s="269" t="s">
        <v>19</v>
      </c>
      <c r="D1759" s="267" t="s">
        <v>1</v>
      </c>
      <c r="E1759" s="58" t="s">
        <v>2774</v>
      </c>
      <c r="F1759" s="57" t="s">
        <v>63</v>
      </c>
      <c r="G1759" s="57">
        <v>50</v>
      </c>
      <c r="H1759" s="268" t="s">
        <v>2773</v>
      </c>
    </row>
    <row r="1760" spans="1:8" s="239" customFormat="1" ht="93.6" x14ac:dyDescent="0.3">
      <c r="A1760" s="87">
        <v>10</v>
      </c>
      <c r="B1760" s="87">
        <v>3</v>
      </c>
      <c r="C1760" s="269" t="s">
        <v>19</v>
      </c>
      <c r="D1760" s="267" t="s">
        <v>1</v>
      </c>
      <c r="E1760" s="58" t="s">
        <v>2775</v>
      </c>
      <c r="F1760" s="57" t="s">
        <v>63</v>
      </c>
      <c r="G1760" s="57">
        <v>46</v>
      </c>
      <c r="H1760" s="268" t="s">
        <v>2776</v>
      </c>
    </row>
    <row r="1761" spans="1:8" s="239" customFormat="1" ht="93.6" x14ac:dyDescent="0.3">
      <c r="A1761" s="87">
        <v>10</v>
      </c>
      <c r="B1761" s="87">
        <v>3</v>
      </c>
      <c r="C1761" s="269" t="s">
        <v>19</v>
      </c>
      <c r="D1761" s="267" t="s">
        <v>1</v>
      </c>
      <c r="E1761" s="58" t="s">
        <v>2777</v>
      </c>
      <c r="F1761" s="57" t="s">
        <v>63</v>
      </c>
      <c r="G1761" s="57">
        <v>48</v>
      </c>
      <c r="H1761" s="268" t="s">
        <v>2778</v>
      </c>
    </row>
    <row r="1762" spans="1:8" s="239" customFormat="1" ht="109.2" x14ac:dyDescent="0.3">
      <c r="A1762" s="87">
        <v>10</v>
      </c>
      <c r="B1762" s="87">
        <v>3</v>
      </c>
      <c r="C1762" s="269" t="s">
        <v>19</v>
      </c>
      <c r="D1762" s="267" t="s">
        <v>1</v>
      </c>
      <c r="E1762" s="58" t="s">
        <v>2779</v>
      </c>
      <c r="F1762" s="57" t="s">
        <v>63</v>
      </c>
      <c r="G1762" s="57">
        <v>66</v>
      </c>
      <c r="H1762" s="268" t="s">
        <v>2780</v>
      </c>
    </row>
    <row r="1763" spans="1:8" s="239" customFormat="1" ht="124.8" x14ac:dyDescent="0.3">
      <c r="A1763" s="87">
        <v>10</v>
      </c>
      <c r="B1763" s="87">
        <v>3</v>
      </c>
      <c r="C1763" s="269" t="s">
        <v>19</v>
      </c>
      <c r="D1763" s="267" t="s">
        <v>1</v>
      </c>
      <c r="E1763" s="58" t="s">
        <v>2781</v>
      </c>
      <c r="F1763" s="57" t="s">
        <v>63</v>
      </c>
      <c r="G1763" s="57">
        <v>98</v>
      </c>
      <c r="H1763" s="268" t="s">
        <v>2782</v>
      </c>
    </row>
    <row r="1764" spans="1:8" s="239" customFormat="1" ht="78" x14ac:dyDescent="0.3">
      <c r="A1764" s="87">
        <v>10</v>
      </c>
      <c r="B1764" s="87">
        <v>3</v>
      </c>
      <c r="C1764" s="269" t="s">
        <v>19</v>
      </c>
      <c r="D1764" s="267" t="s">
        <v>1</v>
      </c>
      <c r="E1764" s="58" t="s">
        <v>2783</v>
      </c>
      <c r="F1764" s="57" t="s">
        <v>63</v>
      </c>
      <c r="G1764" s="57">
        <v>44</v>
      </c>
      <c r="H1764" s="268" t="s">
        <v>2784</v>
      </c>
    </row>
    <row r="1765" spans="1:8" s="239" customFormat="1" ht="109.2" x14ac:dyDescent="0.3">
      <c r="A1765" s="87">
        <v>10</v>
      </c>
      <c r="B1765" s="87">
        <v>3</v>
      </c>
      <c r="C1765" s="269" t="s">
        <v>19</v>
      </c>
      <c r="D1765" s="267" t="s">
        <v>65</v>
      </c>
      <c r="E1765" s="58" t="s">
        <v>2785</v>
      </c>
      <c r="F1765" s="57" t="s">
        <v>51</v>
      </c>
      <c r="G1765" s="57">
        <v>283</v>
      </c>
      <c r="H1765" s="268" t="s">
        <v>2786</v>
      </c>
    </row>
    <row r="1766" spans="1:8" s="239" customFormat="1" ht="93.6" x14ac:dyDescent="0.3">
      <c r="A1766" s="87">
        <v>10</v>
      </c>
      <c r="B1766" s="87">
        <v>3</v>
      </c>
      <c r="C1766" s="269" t="s">
        <v>19</v>
      </c>
      <c r="D1766" s="267" t="s">
        <v>0</v>
      </c>
      <c r="E1766" s="58" t="s">
        <v>2787</v>
      </c>
      <c r="F1766" s="57" t="s">
        <v>51</v>
      </c>
      <c r="G1766" s="57">
        <v>22</v>
      </c>
      <c r="H1766" s="268" t="s">
        <v>2788</v>
      </c>
    </row>
    <row r="1767" spans="1:8" s="239" customFormat="1" ht="109.2" x14ac:dyDescent="0.3">
      <c r="A1767" s="87">
        <v>10</v>
      </c>
      <c r="B1767" s="87">
        <v>3</v>
      </c>
      <c r="C1767" s="269" t="s">
        <v>19</v>
      </c>
      <c r="D1767" s="267" t="s">
        <v>65</v>
      </c>
      <c r="E1767" s="58" t="s">
        <v>2789</v>
      </c>
      <c r="F1767" s="57" t="s">
        <v>51</v>
      </c>
      <c r="G1767" s="57" t="s">
        <v>75</v>
      </c>
      <c r="H1767" s="268" t="s">
        <v>2790</v>
      </c>
    </row>
    <row r="1768" spans="1:8" s="239" customFormat="1" ht="93.6" x14ac:dyDescent="0.3">
      <c r="A1768" s="87">
        <v>10</v>
      </c>
      <c r="B1768" s="87">
        <v>3</v>
      </c>
      <c r="C1768" s="269" t="s">
        <v>19</v>
      </c>
      <c r="D1768" s="267" t="s">
        <v>65</v>
      </c>
      <c r="E1768" s="58" t="s">
        <v>2791</v>
      </c>
      <c r="F1768" s="57" t="s">
        <v>63</v>
      </c>
      <c r="G1768" s="57" t="s">
        <v>75</v>
      </c>
      <c r="H1768" s="268" t="s">
        <v>2790</v>
      </c>
    </row>
    <row r="1769" spans="1:8" s="239" customFormat="1" ht="93.6" x14ac:dyDescent="0.3">
      <c r="A1769" s="87">
        <v>10</v>
      </c>
      <c r="B1769" s="87">
        <v>3</v>
      </c>
      <c r="C1769" s="269" t="s">
        <v>19</v>
      </c>
      <c r="D1769" s="267" t="s">
        <v>65</v>
      </c>
      <c r="E1769" s="58" t="s">
        <v>2792</v>
      </c>
      <c r="F1769" s="57" t="s">
        <v>51</v>
      </c>
      <c r="G1769" s="57" t="s">
        <v>75</v>
      </c>
      <c r="H1769" s="268" t="s">
        <v>2793</v>
      </c>
    </row>
    <row r="1770" spans="1:8" s="239" customFormat="1" ht="109.2" x14ac:dyDescent="0.3">
      <c r="A1770" s="87">
        <v>10</v>
      </c>
      <c r="B1770" s="87">
        <v>3</v>
      </c>
      <c r="C1770" s="269" t="s">
        <v>19</v>
      </c>
      <c r="D1770" s="267" t="s">
        <v>1</v>
      </c>
      <c r="E1770" s="58" t="s">
        <v>2794</v>
      </c>
      <c r="F1770" s="57" t="s">
        <v>51</v>
      </c>
      <c r="G1770" s="57">
        <v>46</v>
      </c>
      <c r="H1770" s="268" t="s">
        <v>2795</v>
      </c>
    </row>
    <row r="1771" spans="1:8" s="239" customFormat="1" ht="93.6" x14ac:dyDescent="0.3">
      <c r="A1771" s="87">
        <v>10</v>
      </c>
      <c r="B1771" s="87">
        <v>3</v>
      </c>
      <c r="C1771" s="269" t="s">
        <v>19</v>
      </c>
      <c r="D1771" s="267" t="s">
        <v>1</v>
      </c>
      <c r="E1771" s="58" t="s">
        <v>2796</v>
      </c>
      <c r="F1771" s="57" t="s">
        <v>51</v>
      </c>
      <c r="G1771" s="57">
        <v>41</v>
      </c>
      <c r="H1771" s="268" t="s">
        <v>2797</v>
      </c>
    </row>
    <row r="1772" spans="1:8" s="239" customFormat="1" ht="93.6" x14ac:dyDescent="0.3">
      <c r="A1772" s="87">
        <v>10</v>
      </c>
      <c r="B1772" s="87">
        <v>3</v>
      </c>
      <c r="C1772" s="269" t="s">
        <v>19</v>
      </c>
      <c r="D1772" s="267" t="s">
        <v>1</v>
      </c>
      <c r="E1772" s="58" t="s">
        <v>2798</v>
      </c>
      <c r="F1772" s="57" t="s">
        <v>51</v>
      </c>
      <c r="G1772" s="57">
        <v>41</v>
      </c>
      <c r="H1772" s="268" t="s">
        <v>2797</v>
      </c>
    </row>
    <row r="1773" spans="1:8" s="239" customFormat="1" ht="78" x14ac:dyDescent="0.3">
      <c r="A1773" s="87">
        <v>10</v>
      </c>
      <c r="B1773" s="87">
        <v>3</v>
      </c>
      <c r="C1773" s="269" t="s">
        <v>19</v>
      </c>
      <c r="D1773" s="267" t="s">
        <v>119</v>
      </c>
      <c r="E1773" s="58" t="s">
        <v>2799</v>
      </c>
      <c r="F1773" s="57" t="s">
        <v>51</v>
      </c>
      <c r="G1773" s="57">
        <v>60</v>
      </c>
      <c r="H1773" s="268" t="s">
        <v>2800</v>
      </c>
    </row>
    <row r="1774" spans="1:8" s="239" customFormat="1" ht="46.8" x14ac:dyDescent="0.3">
      <c r="A1774" s="87">
        <v>11</v>
      </c>
      <c r="B1774" s="87">
        <v>3</v>
      </c>
      <c r="C1774" s="269" t="s">
        <v>20</v>
      </c>
      <c r="D1774" s="267" t="s">
        <v>119</v>
      </c>
      <c r="E1774" s="58" t="s">
        <v>3032</v>
      </c>
      <c r="F1774" s="57" t="s">
        <v>51</v>
      </c>
      <c r="G1774" s="57">
        <v>59</v>
      </c>
      <c r="H1774" s="268" t="s">
        <v>3033</v>
      </c>
    </row>
    <row r="1775" spans="1:8" s="239" customFormat="1" ht="46.8" x14ac:dyDescent="0.3">
      <c r="A1775" s="87">
        <v>11</v>
      </c>
      <c r="B1775" s="87">
        <v>3</v>
      </c>
      <c r="C1775" s="269" t="s">
        <v>20</v>
      </c>
      <c r="D1775" s="267" t="s">
        <v>119</v>
      </c>
      <c r="E1775" s="58" t="s">
        <v>3034</v>
      </c>
      <c r="F1775" s="57" t="s">
        <v>51</v>
      </c>
      <c r="G1775" s="57">
        <v>42</v>
      </c>
      <c r="H1775" s="268" t="s">
        <v>3035</v>
      </c>
    </row>
    <row r="1776" spans="1:8" s="239" customFormat="1" ht="31.2" x14ac:dyDescent="0.3">
      <c r="A1776" s="87">
        <v>11</v>
      </c>
      <c r="B1776" s="87">
        <v>3</v>
      </c>
      <c r="C1776" s="269" t="s">
        <v>20</v>
      </c>
      <c r="D1776" s="267" t="s">
        <v>119</v>
      </c>
      <c r="E1776" s="58" t="s">
        <v>3036</v>
      </c>
      <c r="F1776" s="57" t="s">
        <v>51</v>
      </c>
      <c r="G1776" s="57">
        <v>14</v>
      </c>
      <c r="H1776" s="268" t="s">
        <v>3037</v>
      </c>
    </row>
    <row r="1777" spans="1:8" s="239" customFormat="1" ht="78" x14ac:dyDescent="0.3">
      <c r="A1777" s="87">
        <v>11</v>
      </c>
      <c r="B1777" s="87">
        <v>3</v>
      </c>
      <c r="C1777" s="269" t="s">
        <v>20</v>
      </c>
      <c r="D1777" s="267" t="s">
        <v>0</v>
      </c>
      <c r="E1777" s="58" t="s">
        <v>3038</v>
      </c>
      <c r="F1777" s="57" t="s">
        <v>51</v>
      </c>
      <c r="G1777" s="57">
        <v>129</v>
      </c>
      <c r="H1777" s="268" t="s">
        <v>3039</v>
      </c>
    </row>
    <row r="1778" spans="1:8" s="239" customFormat="1" ht="62.4" x14ac:dyDescent="0.3">
      <c r="A1778" s="87">
        <v>11</v>
      </c>
      <c r="B1778" s="87">
        <v>3</v>
      </c>
      <c r="C1778" s="269" t="s">
        <v>20</v>
      </c>
      <c r="D1778" s="267" t="s">
        <v>0</v>
      </c>
      <c r="E1778" s="58" t="s">
        <v>3040</v>
      </c>
      <c r="F1778" s="57" t="s">
        <v>51</v>
      </c>
      <c r="G1778" s="57">
        <v>1</v>
      </c>
      <c r="H1778" s="268" t="s">
        <v>3041</v>
      </c>
    </row>
    <row r="1779" spans="1:8" s="239" customFormat="1" ht="62.4" x14ac:dyDescent="0.3">
      <c r="A1779" s="87">
        <v>11</v>
      </c>
      <c r="B1779" s="87">
        <v>3</v>
      </c>
      <c r="C1779" s="269" t="s">
        <v>20</v>
      </c>
      <c r="D1779" s="267" t="s">
        <v>1713</v>
      </c>
      <c r="E1779" s="58" t="s">
        <v>3042</v>
      </c>
      <c r="F1779" s="57" t="s">
        <v>51</v>
      </c>
      <c r="G1779" s="57">
        <v>14</v>
      </c>
      <c r="H1779" s="268" t="s">
        <v>3043</v>
      </c>
    </row>
    <row r="1780" spans="1:8" s="239" customFormat="1" ht="78" x14ac:dyDescent="0.3">
      <c r="A1780" s="87">
        <v>11</v>
      </c>
      <c r="B1780" s="87">
        <v>3</v>
      </c>
      <c r="C1780" s="269" t="s">
        <v>20</v>
      </c>
      <c r="D1780" s="267" t="s">
        <v>1713</v>
      </c>
      <c r="E1780" s="58" t="s">
        <v>3044</v>
      </c>
      <c r="F1780" s="57" t="s">
        <v>63</v>
      </c>
      <c r="G1780" s="57">
        <v>229</v>
      </c>
      <c r="H1780" s="268" t="s">
        <v>3045</v>
      </c>
    </row>
    <row r="1781" spans="1:8" s="239" customFormat="1" ht="46.8" x14ac:dyDescent="0.3">
      <c r="A1781" s="87">
        <v>11</v>
      </c>
      <c r="B1781" s="87">
        <v>3</v>
      </c>
      <c r="C1781" s="269" t="s">
        <v>20</v>
      </c>
      <c r="D1781" s="267" t="s">
        <v>1</v>
      </c>
      <c r="E1781" s="58" t="s">
        <v>3046</v>
      </c>
      <c r="F1781" s="57" t="s">
        <v>51</v>
      </c>
      <c r="G1781" s="57">
        <v>1</v>
      </c>
      <c r="H1781" s="268" t="s">
        <v>3047</v>
      </c>
    </row>
    <row r="1782" spans="1:8" s="239" customFormat="1" ht="78" x14ac:dyDescent="0.3">
      <c r="A1782" s="87">
        <v>11</v>
      </c>
      <c r="B1782" s="87">
        <v>3</v>
      </c>
      <c r="C1782" s="269" t="s">
        <v>20</v>
      </c>
      <c r="D1782" s="267" t="s">
        <v>65</v>
      </c>
      <c r="E1782" s="58" t="s">
        <v>3048</v>
      </c>
      <c r="F1782" s="57" t="s">
        <v>51</v>
      </c>
      <c r="G1782" s="57">
        <v>11</v>
      </c>
      <c r="H1782" s="268" t="s">
        <v>3049</v>
      </c>
    </row>
    <row r="1783" spans="1:8" s="239" customFormat="1" ht="62.4" x14ac:dyDescent="0.3">
      <c r="A1783" s="87">
        <v>11</v>
      </c>
      <c r="B1783" s="87">
        <v>3</v>
      </c>
      <c r="C1783" s="269" t="s">
        <v>20</v>
      </c>
      <c r="D1783" s="267" t="s">
        <v>65</v>
      </c>
      <c r="E1783" s="58" t="s">
        <v>3050</v>
      </c>
      <c r="F1783" s="57" t="s">
        <v>51</v>
      </c>
      <c r="G1783" s="57">
        <v>13</v>
      </c>
      <c r="H1783" s="268" t="s">
        <v>3051</v>
      </c>
    </row>
    <row r="1784" spans="1:8" s="239" customFormat="1" ht="78" x14ac:dyDescent="0.3">
      <c r="A1784" s="87">
        <v>11</v>
      </c>
      <c r="B1784" s="87">
        <v>3</v>
      </c>
      <c r="C1784" s="269" t="s">
        <v>20</v>
      </c>
      <c r="D1784" s="267" t="s">
        <v>65</v>
      </c>
      <c r="E1784" s="58" t="s">
        <v>3052</v>
      </c>
      <c r="F1784" s="57" t="s">
        <v>51</v>
      </c>
      <c r="G1784" s="57">
        <v>2</v>
      </c>
      <c r="H1784" s="268" t="s">
        <v>3053</v>
      </c>
    </row>
    <row r="1785" spans="1:8" s="239" customFormat="1" ht="109.2" x14ac:dyDescent="0.3">
      <c r="A1785" s="87">
        <v>11</v>
      </c>
      <c r="B1785" s="87">
        <v>3</v>
      </c>
      <c r="C1785" s="269" t="s">
        <v>20</v>
      </c>
      <c r="D1785" s="267" t="s">
        <v>65</v>
      </c>
      <c r="E1785" s="58" t="s">
        <v>3054</v>
      </c>
      <c r="F1785" s="57" t="s">
        <v>63</v>
      </c>
      <c r="G1785" s="57">
        <v>50</v>
      </c>
      <c r="H1785" s="268" t="s">
        <v>3055</v>
      </c>
    </row>
    <row r="1786" spans="1:8" s="239" customFormat="1" ht="46.8" x14ac:dyDescent="0.3">
      <c r="A1786" s="87">
        <v>11</v>
      </c>
      <c r="B1786" s="87">
        <v>3</v>
      </c>
      <c r="C1786" s="269" t="s">
        <v>20</v>
      </c>
      <c r="D1786" s="267" t="s">
        <v>65</v>
      </c>
      <c r="E1786" s="58" t="s">
        <v>2403</v>
      </c>
      <c r="F1786" s="57" t="s">
        <v>51</v>
      </c>
      <c r="G1786" s="57" t="s">
        <v>75</v>
      </c>
      <c r="H1786" s="268" t="s">
        <v>3056</v>
      </c>
    </row>
    <row r="1787" spans="1:8" s="239" customFormat="1" x14ac:dyDescent="0.3">
      <c r="A1787" s="87"/>
      <c r="B1787" s="87">
        <v>3</v>
      </c>
      <c r="C1787" s="269"/>
      <c r="D1787" s="267"/>
      <c r="E1787" s="58"/>
      <c r="F1787" s="57"/>
      <c r="G1787" s="57"/>
      <c r="H1787" s="268"/>
    </row>
    <row r="1788" spans="1:8" s="239" customFormat="1" x14ac:dyDescent="0.3">
      <c r="A1788" s="87"/>
      <c r="B1788" s="87">
        <v>3</v>
      </c>
      <c r="C1788" s="269"/>
      <c r="D1788" s="267"/>
      <c r="E1788" s="58"/>
      <c r="F1788" s="57"/>
      <c r="G1788" s="57"/>
      <c r="H1788" s="268"/>
    </row>
    <row r="1789" spans="1:8" s="239" customFormat="1" x14ac:dyDescent="0.3">
      <c r="A1789" s="87"/>
      <c r="B1789" s="87">
        <v>3</v>
      </c>
      <c r="C1789" s="269"/>
      <c r="D1789" s="267"/>
      <c r="E1789" s="58"/>
      <c r="F1789" s="57"/>
      <c r="G1789" s="57"/>
      <c r="H1789" s="268"/>
    </row>
    <row r="1790" spans="1:8" s="239" customFormat="1" x14ac:dyDescent="0.3">
      <c r="A1790" s="87"/>
      <c r="B1790" s="87">
        <v>3</v>
      </c>
      <c r="C1790" s="269"/>
      <c r="D1790" s="267"/>
      <c r="E1790" s="58"/>
      <c r="F1790" s="57"/>
      <c r="G1790" s="57"/>
      <c r="H1790" s="268"/>
    </row>
    <row r="1791" spans="1:8" s="239" customFormat="1" x14ac:dyDescent="0.3">
      <c r="A1791" s="87"/>
      <c r="B1791" s="87">
        <v>3</v>
      </c>
      <c r="C1791" s="269"/>
      <c r="D1791" s="267"/>
      <c r="E1791" s="58"/>
      <c r="F1791" s="57"/>
      <c r="G1791" s="57"/>
      <c r="H1791" s="268"/>
    </row>
    <row r="1792" spans="1:8" s="239" customFormat="1" x14ac:dyDescent="0.3">
      <c r="A1792" s="87"/>
      <c r="B1792" s="87">
        <v>3</v>
      </c>
      <c r="C1792" s="269"/>
      <c r="D1792" s="267"/>
      <c r="E1792" s="58"/>
      <c r="F1792" s="57"/>
      <c r="G1792" s="57"/>
      <c r="H1792" s="268"/>
    </row>
    <row r="1793" spans="1:8" s="239" customFormat="1" x14ac:dyDescent="0.3">
      <c r="A1793" s="87"/>
      <c r="B1793" s="87">
        <v>3</v>
      </c>
      <c r="C1793" s="269"/>
      <c r="D1793" s="267"/>
      <c r="E1793" s="58"/>
      <c r="F1793" s="57"/>
      <c r="G1793" s="57"/>
      <c r="H1793" s="268"/>
    </row>
    <row r="1794" spans="1:8" s="239" customFormat="1" x14ac:dyDescent="0.3">
      <c r="A1794" s="87"/>
      <c r="B1794" s="87">
        <v>3</v>
      </c>
      <c r="C1794" s="269"/>
      <c r="D1794" s="267"/>
      <c r="E1794" s="58"/>
      <c r="F1794" s="57"/>
      <c r="G1794" s="57"/>
      <c r="H1794" s="268"/>
    </row>
    <row r="1795" spans="1:8" s="239" customFormat="1" x14ac:dyDescent="0.3">
      <c r="A1795" s="87"/>
      <c r="B1795" s="87">
        <v>3</v>
      </c>
      <c r="C1795" s="269"/>
      <c r="D1795" s="267"/>
      <c r="E1795" s="58"/>
      <c r="F1795" s="57"/>
      <c r="G1795" s="57"/>
      <c r="H1795" s="268"/>
    </row>
    <row r="1796" spans="1:8" s="239" customFormat="1" ht="62.4" x14ac:dyDescent="0.3">
      <c r="A1796" s="87">
        <v>12</v>
      </c>
      <c r="B1796" s="87">
        <v>3</v>
      </c>
      <c r="C1796" s="269" t="s">
        <v>21</v>
      </c>
      <c r="D1796" s="267" t="s">
        <v>65</v>
      </c>
      <c r="E1796" s="58" t="s">
        <v>2863</v>
      </c>
      <c r="F1796" s="57" t="s">
        <v>51</v>
      </c>
      <c r="G1796" s="57" t="s">
        <v>75</v>
      </c>
      <c r="H1796" s="268" t="s">
        <v>2864</v>
      </c>
    </row>
    <row r="1797" spans="1:8" s="239" customFormat="1" ht="93.6" x14ac:dyDescent="0.3">
      <c r="A1797" s="87">
        <v>12</v>
      </c>
      <c r="B1797" s="87">
        <v>3</v>
      </c>
      <c r="C1797" s="269" t="s">
        <v>21</v>
      </c>
      <c r="D1797" s="267" t="s">
        <v>65</v>
      </c>
      <c r="E1797" s="58" t="s">
        <v>2865</v>
      </c>
      <c r="F1797" s="57" t="s">
        <v>51</v>
      </c>
      <c r="G1797" s="57" t="s">
        <v>75</v>
      </c>
      <c r="H1797" s="268" t="s">
        <v>2537</v>
      </c>
    </row>
    <row r="1798" spans="1:8" s="239" customFormat="1" ht="46.8" x14ac:dyDescent="0.3">
      <c r="A1798" s="87">
        <v>12</v>
      </c>
      <c r="B1798" s="87">
        <v>3</v>
      </c>
      <c r="C1798" s="269" t="s">
        <v>21</v>
      </c>
      <c r="D1798" s="267" t="s">
        <v>1</v>
      </c>
      <c r="E1798" s="58" t="s">
        <v>2866</v>
      </c>
      <c r="F1798" s="57" t="s">
        <v>51</v>
      </c>
      <c r="G1798" s="57">
        <v>1</v>
      </c>
      <c r="H1798" s="268" t="s">
        <v>2537</v>
      </c>
    </row>
    <row r="1799" spans="1:8" s="239" customFormat="1" ht="78" x14ac:dyDescent="0.3">
      <c r="A1799" s="87">
        <v>12</v>
      </c>
      <c r="B1799" s="87">
        <v>3</v>
      </c>
      <c r="C1799" s="269" t="s">
        <v>21</v>
      </c>
      <c r="D1799" s="267" t="s">
        <v>1</v>
      </c>
      <c r="E1799" s="58" t="s">
        <v>2867</v>
      </c>
      <c r="F1799" s="57" t="s">
        <v>51</v>
      </c>
      <c r="G1799" s="57">
        <v>7</v>
      </c>
      <c r="H1799" s="268" t="s">
        <v>2868</v>
      </c>
    </row>
    <row r="1800" spans="1:8" s="239" customFormat="1" ht="93.6" x14ac:dyDescent="0.3">
      <c r="A1800" s="87">
        <v>12</v>
      </c>
      <c r="B1800" s="87">
        <v>3</v>
      </c>
      <c r="C1800" s="269" t="s">
        <v>21</v>
      </c>
      <c r="D1800" s="267" t="s">
        <v>1</v>
      </c>
      <c r="E1800" s="58" t="s">
        <v>2869</v>
      </c>
      <c r="F1800" s="57" t="s">
        <v>51</v>
      </c>
      <c r="G1800" s="57">
        <v>23</v>
      </c>
      <c r="H1800" s="268" t="s">
        <v>2537</v>
      </c>
    </row>
    <row r="1801" spans="1:8" s="239" customFormat="1" ht="62.4" x14ac:dyDescent="0.3">
      <c r="A1801" s="87">
        <v>12</v>
      </c>
      <c r="B1801" s="87">
        <v>3</v>
      </c>
      <c r="C1801" s="269" t="s">
        <v>21</v>
      </c>
      <c r="D1801" s="267" t="s">
        <v>0</v>
      </c>
      <c r="E1801" s="58" t="s">
        <v>2870</v>
      </c>
      <c r="F1801" s="57" t="s">
        <v>51</v>
      </c>
      <c r="G1801" s="57">
        <v>1</v>
      </c>
      <c r="H1801" s="268" t="s">
        <v>2537</v>
      </c>
    </row>
    <row r="1802" spans="1:8" s="239" customFormat="1" ht="46.8" x14ac:dyDescent="0.3">
      <c r="A1802" s="87">
        <v>12</v>
      </c>
      <c r="B1802" s="87">
        <v>3</v>
      </c>
      <c r="C1802" s="269" t="s">
        <v>21</v>
      </c>
      <c r="D1802" s="267" t="s">
        <v>65</v>
      </c>
      <c r="E1802" s="58" t="s">
        <v>2871</v>
      </c>
      <c r="F1802" s="57" t="s">
        <v>51</v>
      </c>
      <c r="G1802" s="57">
        <v>1</v>
      </c>
      <c r="H1802" s="268" t="s">
        <v>2537</v>
      </c>
    </row>
    <row r="1803" spans="1:8" s="239" customFormat="1" ht="78" x14ac:dyDescent="0.3">
      <c r="A1803" s="87">
        <v>12</v>
      </c>
      <c r="B1803" s="87">
        <v>3</v>
      </c>
      <c r="C1803" s="269" t="s">
        <v>21</v>
      </c>
      <c r="D1803" s="267" t="s">
        <v>65</v>
      </c>
      <c r="E1803" s="58" t="s">
        <v>2872</v>
      </c>
      <c r="F1803" s="57" t="s">
        <v>51</v>
      </c>
      <c r="G1803" s="57">
        <v>41</v>
      </c>
      <c r="H1803" s="268" t="s">
        <v>2537</v>
      </c>
    </row>
    <row r="1804" spans="1:8" s="239" customFormat="1" ht="62.4" x14ac:dyDescent="0.3">
      <c r="A1804" s="87">
        <v>12</v>
      </c>
      <c r="B1804" s="87">
        <v>3</v>
      </c>
      <c r="C1804" s="269" t="s">
        <v>21</v>
      </c>
      <c r="D1804" s="267" t="s">
        <v>0</v>
      </c>
      <c r="E1804" s="58" t="s">
        <v>2873</v>
      </c>
      <c r="F1804" s="57" t="s">
        <v>51</v>
      </c>
      <c r="G1804" s="57">
        <v>19</v>
      </c>
      <c r="H1804" s="268" t="s">
        <v>2537</v>
      </c>
    </row>
    <row r="1805" spans="1:8" s="239" customFormat="1" ht="62.4" x14ac:dyDescent="0.3">
      <c r="A1805" s="87">
        <v>12</v>
      </c>
      <c r="B1805" s="87">
        <v>3</v>
      </c>
      <c r="C1805" s="269" t="s">
        <v>21</v>
      </c>
      <c r="D1805" s="267" t="s">
        <v>65</v>
      </c>
      <c r="E1805" s="58" t="s">
        <v>2874</v>
      </c>
      <c r="F1805" s="57" t="s">
        <v>51</v>
      </c>
      <c r="G1805" s="57">
        <v>26</v>
      </c>
      <c r="H1805" s="268" t="s">
        <v>2537</v>
      </c>
    </row>
    <row r="1806" spans="1:8" s="239" customFormat="1" ht="109.2" x14ac:dyDescent="0.3">
      <c r="A1806" s="87">
        <v>13</v>
      </c>
      <c r="B1806" s="87">
        <v>3</v>
      </c>
      <c r="C1806" s="269" t="s">
        <v>22</v>
      </c>
      <c r="D1806" s="58" t="s">
        <v>0</v>
      </c>
      <c r="E1806" s="58" t="s">
        <v>2906</v>
      </c>
      <c r="F1806" s="59" t="s">
        <v>51</v>
      </c>
      <c r="G1806" s="59">
        <v>3</v>
      </c>
      <c r="H1806" s="268" t="s">
        <v>2907</v>
      </c>
    </row>
    <row r="1807" spans="1:8" s="239" customFormat="1" ht="109.2" x14ac:dyDescent="0.3">
      <c r="A1807" s="87">
        <v>13</v>
      </c>
      <c r="B1807" s="87">
        <v>3</v>
      </c>
      <c r="C1807" s="269" t="s">
        <v>22</v>
      </c>
      <c r="D1807" s="58" t="s">
        <v>1</v>
      </c>
      <c r="E1807" s="58" t="s">
        <v>2908</v>
      </c>
      <c r="F1807" s="59" t="s">
        <v>63</v>
      </c>
      <c r="G1807" s="59">
        <v>214</v>
      </c>
      <c r="H1807" s="268" t="s">
        <v>2909</v>
      </c>
    </row>
    <row r="1808" spans="1:8" s="239" customFormat="1" ht="124.8" x14ac:dyDescent="0.3">
      <c r="A1808" s="87">
        <v>13</v>
      </c>
      <c r="B1808" s="87">
        <v>3</v>
      </c>
      <c r="C1808" s="269" t="s">
        <v>22</v>
      </c>
      <c r="D1808" s="58" t="s">
        <v>1</v>
      </c>
      <c r="E1808" s="58" t="s">
        <v>2910</v>
      </c>
      <c r="F1808" s="59" t="s">
        <v>51</v>
      </c>
      <c r="G1808" s="59">
        <v>220</v>
      </c>
      <c r="H1808" s="268" t="s">
        <v>2911</v>
      </c>
    </row>
    <row r="1809" spans="1:8" s="239" customFormat="1" ht="62.4" x14ac:dyDescent="0.3">
      <c r="A1809" s="87">
        <v>13</v>
      </c>
      <c r="B1809" s="87">
        <v>3</v>
      </c>
      <c r="C1809" s="269" t="s">
        <v>22</v>
      </c>
      <c r="D1809" s="58" t="s">
        <v>1</v>
      </c>
      <c r="E1809" s="58" t="s">
        <v>2912</v>
      </c>
      <c r="F1809" s="59" t="s">
        <v>63</v>
      </c>
      <c r="G1809" s="59">
        <v>10</v>
      </c>
      <c r="H1809" s="268" t="s">
        <v>2913</v>
      </c>
    </row>
    <row r="1810" spans="1:8" s="239" customFormat="1" ht="109.2" x14ac:dyDescent="0.3">
      <c r="A1810" s="87">
        <v>13</v>
      </c>
      <c r="B1810" s="87">
        <v>3</v>
      </c>
      <c r="C1810" s="269" t="s">
        <v>22</v>
      </c>
      <c r="D1810" s="58" t="s">
        <v>65</v>
      </c>
      <c r="E1810" s="58" t="s">
        <v>2914</v>
      </c>
      <c r="F1810" s="59" t="s">
        <v>63</v>
      </c>
      <c r="G1810" s="59">
        <v>6</v>
      </c>
      <c r="H1810" s="268" t="s">
        <v>2915</v>
      </c>
    </row>
    <row r="1811" spans="1:8" s="239" customFormat="1" ht="124.8" x14ac:dyDescent="0.3">
      <c r="A1811" s="87">
        <v>13</v>
      </c>
      <c r="B1811" s="87">
        <v>3</v>
      </c>
      <c r="C1811" s="269" t="s">
        <v>22</v>
      </c>
      <c r="D1811" s="58" t="s">
        <v>65</v>
      </c>
      <c r="E1811" s="58" t="s">
        <v>2916</v>
      </c>
      <c r="F1811" s="59" t="s">
        <v>51</v>
      </c>
      <c r="G1811" s="59" t="s">
        <v>2012</v>
      </c>
      <c r="H1811" s="268" t="s">
        <v>2917</v>
      </c>
    </row>
    <row r="1812" spans="1:8" s="239" customFormat="1" ht="109.2" x14ac:dyDescent="0.3">
      <c r="A1812" s="87">
        <v>13</v>
      </c>
      <c r="B1812" s="87">
        <v>3</v>
      </c>
      <c r="C1812" s="269" t="s">
        <v>22</v>
      </c>
      <c r="D1812" s="58" t="s">
        <v>65</v>
      </c>
      <c r="E1812" s="58" t="s">
        <v>2918</v>
      </c>
      <c r="F1812" s="59" t="s">
        <v>51</v>
      </c>
      <c r="G1812" s="59">
        <v>13</v>
      </c>
      <c r="H1812" s="268" t="s">
        <v>2919</v>
      </c>
    </row>
    <row r="1813" spans="1:8" s="239" customFormat="1" ht="93.6" x14ac:dyDescent="0.3">
      <c r="A1813" s="87">
        <v>13</v>
      </c>
      <c r="B1813" s="87">
        <v>3</v>
      </c>
      <c r="C1813" s="269" t="s">
        <v>22</v>
      </c>
      <c r="D1813" s="58" t="s">
        <v>119</v>
      </c>
      <c r="E1813" s="58" t="s">
        <v>2920</v>
      </c>
      <c r="F1813" s="59" t="s">
        <v>51</v>
      </c>
      <c r="G1813" s="59">
        <v>54</v>
      </c>
      <c r="H1813" s="268" t="s">
        <v>2921</v>
      </c>
    </row>
    <row r="1814" spans="1:8" s="239" customFormat="1" ht="93.6" x14ac:dyDescent="0.3">
      <c r="A1814" s="87">
        <v>14</v>
      </c>
      <c r="B1814" s="87">
        <v>3</v>
      </c>
      <c r="C1814" s="269" t="s">
        <v>23</v>
      </c>
      <c r="D1814" s="267" t="s">
        <v>1</v>
      </c>
      <c r="E1814" s="58" t="s">
        <v>3173</v>
      </c>
      <c r="F1814" s="57" t="s">
        <v>51</v>
      </c>
      <c r="G1814" s="57">
        <v>680</v>
      </c>
      <c r="H1814" s="268" t="s">
        <v>3174</v>
      </c>
    </row>
    <row r="1815" spans="1:8" s="239" customFormat="1" ht="78" x14ac:dyDescent="0.3">
      <c r="A1815" s="87">
        <v>14</v>
      </c>
      <c r="B1815" s="87">
        <v>3</v>
      </c>
      <c r="C1815" s="269" t="s">
        <v>23</v>
      </c>
      <c r="D1815" s="267" t="s">
        <v>1</v>
      </c>
      <c r="E1815" s="58" t="s">
        <v>3175</v>
      </c>
      <c r="F1815" s="57" t="s">
        <v>51</v>
      </c>
      <c r="G1815" s="57">
        <v>279</v>
      </c>
      <c r="H1815" s="268" t="s">
        <v>3176</v>
      </c>
    </row>
    <row r="1816" spans="1:8" s="239" customFormat="1" ht="62.4" x14ac:dyDescent="0.3">
      <c r="A1816" s="87">
        <v>14</v>
      </c>
      <c r="B1816" s="87">
        <v>3</v>
      </c>
      <c r="C1816" s="269" t="s">
        <v>23</v>
      </c>
      <c r="D1816" s="267" t="s">
        <v>0</v>
      </c>
      <c r="E1816" s="58" t="s">
        <v>3177</v>
      </c>
      <c r="F1816" s="57" t="s">
        <v>51</v>
      </c>
      <c r="G1816" s="57">
        <v>98</v>
      </c>
      <c r="H1816" s="268" t="s">
        <v>3178</v>
      </c>
    </row>
    <row r="1817" spans="1:8" s="239" customFormat="1" ht="78" x14ac:dyDescent="0.3">
      <c r="A1817" s="87">
        <v>14</v>
      </c>
      <c r="B1817" s="87">
        <v>3</v>
      </c>
      <c r="C1817" s="269" t="s">
        <v>23</v>
      </c>
      <c r="D1817" s="267" t="s">
        <v>1</v>
      </c>
      <c r="E1817" s="58" t="s">
        <v>3179</v>
      </c>
      <c r="F1817" s="57" t="s">
        <v>51</v>
      </c>
      <c r="G1817" s="57">
        <v>78</v>
      </c>
      <c r="H1817" s="268" t="s">
        <v>3180</v>
      </c>
    </row>
    <row r="1818" spans="1:8" s="239" customFormat="1" ht="78" x14ac:dyDescent="0.3">
      <c r="A1818" s="87">
        <v>14</v>
      </c>
      <c r="B1818" s="87">
        <v>3</v>
      </c>
      <c r="C1818" s="269" t="s">
        <v>23</v>
      </c>
      <c r="D1818" s="267" t="s">
        <v>119</v>
      </c>
      <c r="E1818" s="58" t="s">
        <v>3205</v>
      </c>
      <c r="F1818" s="57" t="s">
        <v>51</v>
      </c>
      <c r="G1818" s="57">
        <v>204</v>
      </c>
      <c r="H1818" s="268" t="s">
        <v>3181</v>
      </c>
    </row>
    <row r="1819" spans="1:8" s="239" customFormat="1" ht="93.6" x14ac:dyDescent="0.3">
      <c r="A1819" s="87">
        <v>14</v>
      </c>
      <c r="B1819" s="87">
        <v>3</v>
      </c>
      <c r="C1819" s="269" t="s">
        <v>23</v>
      </c>
      <c r="D1819" s="267" t="s">
        <v>1</v>
      </c>
      <c r="E1819" s="58" t="s">
        <v>3182</v>
      </c>
      <c r="F1819" s="57" t="s">
        <v>51</v>
      </c>
      <c r="G1819" s="57">
        <v>17</v>
      </c>
      <c r="H1819" s="268" t="s">
        <v>3183</v>
      </c>
    </row>
    <row r="1820" spans="1:8" s="239" customFormat="1" ht="93.6" x14ac:dyDescent="0.3">
      <c r="A1820" s="87">
        <v>14</v>
      </c>
      <c r="B1820" s="87">
        <v>3</v>
      </c>
      <c r="C1820" s="269" t="s">
        <v>23</v>
      </c>
      <c r="D1820" s="267" t="s">
        <v>1</v>
      </c>
      <c r="E1820" s="58" t="s">
        <v>3184</v>
      </c>
      <c r="F1820" s="57" t="s">
        <v>51</v>
      </c>
      <c r="G1820" s="57">
        <v>13</v>
      </c>
      <c r="H1820" s="268" t="s">
        <v>3185</v>
      </c>
    </row>
    <row r="1821" spans="1:8" s="239" customFormat="1" ht="78" x14ac:dyDescent="0.3">
      <c r="A1821" s="87">
        <v>14</v>
      </c>
      <c r="B1821" s="87">
        <v>3</v>
      </c>
      <c r="C1821" s="269" t="s">
        <v>23</v>
      </c>
      <c r="D1821" s="267" t="s">
        <v>541</v>
      </c>
      <c r="E1821" s="58" t="s">
        <v>3186</v>
      </c>
      <c r="F1821" s="57" t="s">
        <v>63</v>
      </c>
      <c r="G1821" s="57">
        <v>4</v>
      </c>
      <c r="H1821" s="268" t="s">
        <v>3187</v>
      </c>
    </row>
    <row r="1822" spans="1:8" s="239" customFormat="1" ht="93.6" x14ac:dyDescent="0.3">
      <c r="A1822" s="87">
        <v>14</v>
      </c>
      <c r="B1822" s="87">
        <v>3</v>
      </c>
      <c r="C1822" s="269" t="s">
        <v>23</v>
      </c>
      <c r="D1822" s="267" t="s">
        <v>65</v>
      </c>
      <c r="E1822" s="58" t="s">
        <v>3188</v>
      </c>
      <c r="F1822" s="57" t="s">
        <v>51</v>
      </c>
      <c r="G1822" s="57">
        <v>97</v>
      </c>
      <c r="H1822" s="268" t="s">
        <v>3189</v>
      </c>
    </row>
    <row r="1823" spans="1:8" s="239" customFormat="1" ht="78" x14ac:dyDescent="0.3">
      <c r="A1823" s="87">
        <v>14</v>
      </c>
      <c r="B1823" s="87">
        <v>3</v>
      </c>
      <c r="C1823" s="269" t="s">
        <v>23</v>
      </c>
      <c r="D1823" s="267" t="s">
        <v>65</v>
      </c>
      <c r="E1823" s="58" t="s">
        <v>3206</v>
      </c>
      <c r="F1823" s="57" t="s">
        <v>51</v>
      </c>
      <c r="G1823" s="57" t="s">
        <v>75</v>
      </c>
      <c r="H1823" s="268" t="s">
        <v>3190</v>
      </c>
    </row>
    <row r="1824" spans="1:8" s="239" customFormat="1" ht="93.6" x14ac:dyDescent="0.3">
      <c r="A1824" s="87">
        <v>14</v>
      </c>
      <c r="B1824" s="87">
        <v>3</v>
      </c>
      <c r="C1824" s="269" t="s">
        <v>23</v>
      </c>
      <c r="D1824" s="267" t="s">
        <v>65</v>
      </c>
      <c r="E1824" s="58" t="s">
        <v>3207</v>
      </c>
      <c r="F1824" s="57" t="s">
        <v>51</v>
      </c>
      <c r="G1824" s="57">
        <v>11</v>
      </c>
      <c r="H1824" s="268" t="s">
        <v>3190</v>
      </c>
    </row>
    <row r="1825" spans="1:8" s="239" customFormat="1" ht="78" x14ac:dyDescent="0.3">
      <c r="A1825" s="87">
        <v>14</v>
      </c>
      <c r="B1825" s="87">
        <v>3</v>
      </c>
      <c r="C1825" s="269" t="s">
        <v>23</v>
      </c>
      <c r="D1825" s="267" t="s">
        <v>65</v>
      </c>
      <c r="E1825" s="58" t="s">
        <v>3191</v>
      </c>
      <c r="F1825" s="57" t="s">
        <v>51</v>
      </c>
      <c r="G1825" s="57">
        <v>2</v>
      </c>
      <c r="H1825" s="268" t="s">
        <v>3185</v>
      </c>
    </row>
    <row r="1826" spans="1:8" s="239" customFormat="1" ht="46.8" x14ac:dyDescent="0.3">
      <c r="A1826" s="87">
        <v>14</v>
      </c>
      <c r="B1826" s="87">
        <v>3</v>
      </c>
      <c r="C1826" s="269" t="s">
        <v>23</v>
      </c>
      <c r="D1826" s="267" t="s">
        <v>4</v>
      </c>
      <c r="E1826" s="58" t="s">
        <v>3192</v>
      </c>
      <c r="F1826" s="57" t="s">
        <v>51</v>
      </c>
      <c r="G1826" s="57">
        <v>5</v>
      </c>
      <c r="H1826" s="268" t="s">
        <v>3185</v>
      </c>
    </row>
    <row r="1827" spans="1:8" s="239" customFormat="1" ht="62.4" x14ac:dyDescent="0.3">
      <c r="A1827" s="87">
        <v>14</v>
      </c>
      <c r="B1827" s="87">
        <v>3</v>
      </c>
      <c r="C1827" s="269" t="s">
        <v>23</v>
      </c>
      <c r="D1827" s="267" t="s">
        <v>1</v>
      </c>
      <c r="E1827" s="58" t="s">
        <v>3193</v>
      </c>
      <c r="F1827" s="57" t="s">
        <v>51</v>
      </c>
      <c r="G1827" s="57">
        <v>25</v>
      </c>
      <c r="H1827" s="268" t="s">
        <v>3185</v>
      </c>
    </row>
    <row r="1828" spans="1:8" s="239" customFormat="1" ht="78" x14ac:dyDescent="0.3">
      <c r="A1828" s="87">
        <v>14</v>
      </c>
      <c r="B1828" s="87">
        <v>3</v>
      </c>
      <c r="C1828" s="269" t="s">
        <v>23</v>
      </c>
      <c r="D1828" s="267" t="s">
        <v>65</v>
      </c>
      <c r="E1828" s="58" t="s">
        <v>3194</v>
      </c>
      <c r="F1828" s="57" t="s">
        <v>51</v>
      </c>
      <c r="G1828" s="57">
        <v>51</v>
      </c>
      <c r="H1828" s="268" t="s">
        <v>3185</v>
      </c>
    </row>
    <row r="1829" spans="1:8" s="239" customFormat="1" ht="78" x14ac:dyDescent="0.3">
      <c r="A1829" s="87">
        <v>14</v>
      </c>
      <c r="B1829" s="87">
        <v>3</v>
      </c>
      <c r="C1829" s="269" t="s">
        <v>23</v>
      </c>
      <c r="D1829" s="267" t="s">
        <v>4</v>
      </c>
      <c r="E1829" s="58" t="s">
        <v>3195</v>
      </c>
      <c r="F1829" s="57" t="s">
        <v>51</v>
      </c>
      <c r="G1829" s="57">
        <v>11</v>
      </c>
      <c r="H1829" s="268" t="s">
        <v>3185</v>
      </c>
    </row>
    <row r="1830" spans="1:8" s="239" customFormat="1" ht="78" x14ac:dyDescent="0.3">
      <c r="A1830" s="87">
        <v>14</v>
      </c>
      <c r="B1830" s="87">
        <v>3</v>
      </c>
      <c r="C1830" s="269" t="s">
        <v>23</v>
      </c>
      <c r="D1830" s="267" t="s">
        <v>65</v>
      </c>
      <c r="E1830" s="58" t="s">
        <v>3196</v>
      </c>
      <c r="F1830" s="57" t="s">
        <v>51</v>
      </c>
      <c r="G1830" s="57">
        <v>39</v>
      </c>
      <c r="H1830" s="268" t="s">
        <v>3185</v>
      </c>
    </row>
    <row r="1831" spans="1:8" s="239" customFormat="1" ht="78" x14ac:dyDescent="0.3">
      <c r="A1831" s="87">
        <v>14</v>
      </c>
      <c r="B1831" s="87">
        <v>3</v>
      </c>
      <c r="C1831" s="269" t="s">
        <v>23</v>
      </c>
      <c r="D1831" s="267" t="s">
        <v>1</v>
      </c>
      <c r="E1831" s="58" t="s">
        <v>3197</v>
      </c>
      <c r="F1831" s="57" t="s">
        <v>63</v>
      </c>
      <c r="G1831" s="57">
        <v>19</v>
      </c>
      <c r="H1831" s="268" t="s">
        <v>3198</v>
      </c>
    </row>
    <row r="1832" spans="1:8" s="239" customFormat="1" ht="93.6" x14ac:dyDescent="0.3">
      <c r="A1832" s="87">
        <v>14</v>
      </c>
      <c r="B1832" s="87">
        <v>3</v>
      </c>
      <c r="C1832" s="269" t="s">
        <v>23</v>
      </c>
      <c r="D1832" s="267" t="s">
        <v>65</v>
      </c>
      <c r="E1832" s="58" t="s">
        <v>3199</v>
      </c>
      <c r="F1832" s="57" t="s">
        <v>51</v>
      </c>
      <c r="G1832" s="57">
        <v>178</v>
      </c>
      <c r="H1832" s="268" t="s">
        <v>3200</v>
      </c>
    </row>
    <row r="1833" spans="1:8" s="239" customFormat="1" ht="93.6" x14ac:dyDescent="0.3">
      <c r="A1833" s="87">
        <v>14</v>
      </c>
      <c r="B1833" s="87">
        <v>3</v>
      </c>
      <c r="C1833" s="269" t="s">
        <v>23</v>
      </c>
      <c r="D1833" s="267" t="s">
        <v>1</v>
      </c>
      <c r="E1833" s="58" t="s">
        <v>3201</v>
      </c>
      <c r="F1833" s="57" t="s">
        <v>51</v>
      </c>
      <c r="G1833" s="57" t="s">
        <v>75</v>
      </c>
      <c r="H1833" s="268" t="s">
        <v>3202</v>
      </c>
    </row>
    <row r="1834" spans="1:8" s="239" customFormat="1" ht="93.6" x14ac:dyDescent="0.3">
      <c r="A1834" s="87">
        <v>14</v>
      </c>
      <c r="B1834" s="87">
        <v>3</v>
      </c>
      <c r="C1834" s="269" t="s">
        <v>23</v>
      </c>
      <c r="D1834" s="267" t="s">
        <v>1713</v>
      </c>
      <c r="E1834" s="58" t="s">
        <v>3203</v>
      </c>
      <c r="F1834" s="57" t="s">
        <v>51</v>
      </c>
      <c r="G1834" s="57">
        <v>518</v>
      </c>
      <c r="H1834" s="268" t="s">
        <v>3204</v>
      </c>
    </row>
    <row r="1835" spans="1:8" s="239" customFormat="1" ht="109.2" x14ac:dyDescent="0.3">
      <c r="A1835" s="87">
        <v>15</v>
      </c>
      <c r="B1835" s="87">
        <v>3</v>
      </c>
      <c r="C1835" s="269" t="s">
        <v>24</v>
      </c>
      <c r="D1835" s="267" t="s">
        <v>0</v>
      </c>
      <c r="E1835" s="58" t="s">
        <v>3364</v>
      </c>
      <c r="F1835" s="57" t="s">
        <v>51</v>
      </c>
      <c r="G1835" s="57">
        <v>69</v>
      </c>
      <c r="H1835" s="268" t="s">
        <v>3365</v>
      </c>
    </row>
    <row r="1836" spans="1:8" s="239" customFormat="1" ht="78" x14ac:dyDescent="0.3">
      <c r="A1836" s="87">
        <v>15</v>
      </c>
      <c r="B1836" s="87">
        <v>3</v>
      </c>
      <c r="C1836" s="269" t="s">
        <v>24</v>
      </c>
      <c r="D1836" s="267" t="s">
        <v>0</v>
      </c>
      <c r="E1836" s="58" t="s">
        <v>3366</v>
      </c>
      <c r="F1836" s="57" t="s">
        <v>51</v>
      </c>
      <c r="G1836" s="57">
        <v>19</v>
      </c>
      <c r="H1836" s="268" t="s">
        <v>3365</v>
      </c>
    </row>
    <row r="1837" spans="1:8" s="239" customFormat="1" ht="109.2" x14ac:dyDescent="0.3">
      <c r="A1837" s="87">
        <v>15</v>
      </c>
      <c r="B1837" s="87">
        <v>3</v>
      </c>
      <c r="C1837" s="269" t="s">
        <v>24</v>
      </c>
      <c r="D1837" s="267" t="s">
        <v>119</v>
      </c>
      <c r="E1837" s="58" t="s">
        <v>3367</v>
      </c>
      <c r="F1837" s="57" t="s">
        <v>51</v>
      </c>
      <c r="G1837" s="57">
        <v>57</v>
      </c>
      <c r="H1837" s="268" t="s">
        <v>3368</v>
      </c>
    </row>
    <row r="1838" spans="1:8" s="239" customFormat="1" ht="124.8" x14ac:dyDescent="0.3">
      <c r="A1838" s="87">
        <v>15</v>
      </c>
      <c r="B1838" s="87">
        <v>3</v>
      </c>
      <c r="C1838" s="269" t="s">
        <v>24</v>
      </c>
      <c r="D1838" s="267" t="s">
        <v>1</v>
      </c>
      <c r="E1838" s="58" t="s">
        <v>3369</v>
      </c>
      <c r="F1838" s="57" t="s">
        <v>1981</v>
      </c>
      <c r="G1838" s="57">
        <v>190</v>
      </c>
      <c r="H1838" s="268" t="s">
        <v>3370</v>
      </c>
    </row>
    <row r="1839" spans="1:8" s="239" customFormat="1" ht="171.6" x14ac:dyDescent="0.3">
      <c r="A1839" s="87">
        <v>15</v>
      </c>
      <c r="B1839" s="87">
        <v>3</v>
      </c>
      <c r="C1839" s="269" t="s">
        <v>24</v>
      </c>
      <c r="D1839" s="267" t="s">
        <v>1</v>
      </c>
      <c r="E1839" s="58" t="s">
        <v>3371</v>
      </c>
      <c r="F1839" s="57" t="s">
        <v>51</v>
      </c>
      <c r="G1839" s="57">
        <v>180</v>
      </c>
      <c r="H1839" s="268" t="s">
        <v>3372</v>
      </c>
    </row>
    <row r="1840" spans="1:8" s="239" customFormat="1" ht="78" x14ac:dyDescent="0.3">
      <c r="A1840" s="87">
        <v>15</v>
      </c>
      <c r="B1840" s="87">
        <v>3</v>
      </c>
      <c r="C1840" s="269" t="s">
        <v>24</v>
      </c>
      <c r="D1840" s="267" t="s">
        <v>1</v>
      </c>
      <c r="E1840" s="58" t="s">
        <v>3373</v>
      </c>
      <c r="F1840" s="57" t="s">
        <v>51</v>
      </c>
      <c r="G1840" s="57">
        <v>21</v>
      </c>
      <c r="H1840" s="268" t="s">
        <v>3374</v>
      </c>
    </row>
    <row r="1841" spans="1:8" s="239" customFormat="1" ht="93.6" x14ac:dyDescent="0.3">
      <c r="A1841" s="87">
        <v>15</v>
      </c>
      <c r="B1841" s="87">
        <v>3</v>
      </c>
      <c r="C1841" s="269" t="s">
        <v>24</v>
      </c>
      <c r="D1841" s="267" t="s">
        <v>1</v>
      </c>
      <c r="E1841" s="58" t="s">
        <v>3375</v>
      </c>
      <c r="F1841" s="57" t="s">
        <v>51</v>
      </c>
      <c r="G1841" s="57">
        <v>57</v>
      </c>
      <c r="H1841" s="268" t="s">
        <v>3376</v>
      </c>
    </row>
    <row r="1842" spans="1:8" s="239" customFormat="1" ht="156" x14ac:dyDescent="0.3">
      <c r="A1842" s="87">
        <v>15</v>
      </c>
      <c r="B1842" s="87">
        <v>3</v>
      </c>
      <c r="C1842" s="269" t="s">
        <v>24</v>
      </c>
      <c r="D1842" s="267" t="s">
        <v>65</v>
      </c>
      <c r="E1842" s="58" t="s">
        <v>3377</v>
      </c>
      <c r="F1842" s="57" t="s">
        <v>51</v>
      </c>
      <c r="G1842" s="57" t="s">
        <v>75</v>
      </c>
      <c r="H1842" s="268" t="s">
        <v>3378</v>
      </c>
    </row>
    <row r="1843" spans="1:8" s="239" customFormat="1" ht="78" x14ac:dyDescent="0.3">
      <c r="A1843" s="87">
        <v>15</v>
      </c>
      <c r="B1843" s="87">
        <v>3</v>
      </c>
      <c r="C1843" s="269" t="s">
        <v>24</v>
      </c>
      <c r="D1843" s="267" t="s">
        <v>1</v>
      </c>
      <c r="E1843" s="58" t="s">
        <v>3379</v>
      </c>
      <c r="F1843" s="57" t="s">
        <v>51</v>
      </c>
      <c r="G1843" s="57">
        <v>40</v>
      </c>
      <c r="H1843" s="268" t="s">
        <v>3380</v>
      </c>
    </row>
    <row r="1844" spans="1:8" s="239" customFormat="1" ht="78" x14ac:dyDescent="0.3">
      <c r="A1844" s="87">
        <v>15</v>
      </c>
      <c r="B1844" s="87">
        <v>3</v>
      </c>
      <c r="C1844" s="269" t="s">
        <v>24</v>
      </c>
      <c r="D1844" s="267" t="s">
        <v>4</v>
      </c>
      <c r="E1844" s="58" t="s">
        <v>3381</v>
      </c>
      <c r="F1844" s="57" t="s">
        <v>51</v>
      </c>
      <c r="G1844" s="57">
        <v>9</v>
      </c>
      <c r="H1844" s="268" t="s">
        <v>3382</v>
      </c>
    </row>
    <row r="1845" spans="1:8" s="239" customFormat="1" ht="93.6" x14ac:dyDescent="0.3">
      <c r="A1845" s="87">
        <v>15</v>
      </c>
      <c r="B1845" s="87">
        <v>3</v>
      </c>
      <c r="C1845" s="269" t="s">
        <v>24</v>
      </c>
      <c r="D1845" s="267" t="s">
        <v>1713</v>
      </c>
      <c r="E1845" s="58" t="s">
        <v>3383</v>
      </c>
      <c r="F1845" s="57" t="s">
        <v>63</v>
      </c>
      <c r="G1845" s="57">
        <v>166</v>
      </c>
      <c r="H1845" s="268" t="s">
        <v>3384</v>
      </c>
    </row>
    <row r="1846" spans="1:8" s="239" customFormat="1" ht="109.2" x14ac:dyDescent="0.3">
      <c r="A1846" s="87">
        <v>15</v>
      </c>
      <c r="B1846" s="87">
        <v>3</v>
      </c>
      <c r="C1846" s="269" t="s">
        <v>24</v>
      </c>
      <c r="D1846" s="267" t="s">
        <v>1</v>
      </c>
      <c r="E1846" s="58" t="s">
        <v>3385</v>
      </c>
      <c r="F1846" s="57" t="s">
        <v>51</v>
      </c>
      <c r="G1846" s="57">
        <v>140</v>
      </c>
      <c r="H1846" s="268" t="s">
        <v>3386</v>
      </c>
    </row>
    <row r="1847" spans="1:8" s="239" customFormat="1" ht="93.6" x14ac:dyDescent="0.3">
      <c r="A1847" s="87">
        <v>16</v>
      </c>
      <c r="B1847" s="87">
        <v>3</v>
      </c>
      <c r="C1847" s="269" t="s">
        <v>25</v>
      </c>
      <c r="D1847" s="267" t="s">
        <v>1</v>
      </c>
      <c r="E1847" s="58" t="s">
        <v>2801</v>
      </c>
      <c r="F1847" s="57" t="s">
        <v>51</v>
      </c>
      <c r="G1847" s="57">
        <v>42</v>
      </c>
      <c r="H1847" s="268" t="s">
        <v>2802</v>
      </c>
    </row>
    <row r="1848" spans="1:8" s="239" customFormat="1" ht="93.6" x14ac:dyDescent="0.3">
      <c r="A1848" s="87">
        <v>16</v>
      </c>
      <c r="B1848" s="87">
        <v>3</v>
      </c>
      <c r="C1848" s="269" t="s">
        <v>25</v>
      </c>
      <c r="D1848" s="267" t="s">
        <v>65</v>
      </c>
      <c r="E1848" s="58" t="s">
        <v>2803</v>
      </c>
      <c r="F1848" s="57" t="s">
        <v>63</v>
      </c>
      <c r="G1848" s="57">
        <v>2</v>
      </c>
      <c r="H1848" s="268" t="s">
        <v>2804</v>
      </c>
    </row>
    <row r="1849" spans="1:8" s="239" customFormat="1" ht="62.4" x14ac:dyDescent="0.3">
      <c r="A1849" s="87">
        <v>16</v>
      </c>
      <c r="B1849" s="87">
        <v>3</v>
      </c>
      <c r="C1849" s="269" t="s">
        <v>25</v>
      </c>
      <c r="D1849" s="267" t="s">
        <v>1</v>
      </c>
      <c r="E1849" s="58" t="s">
        <v>2805</v>
      </c>
      <c r="F1849" s="57" t="s">
        <v>51</v>
      </c>
      <c r="G1849" s="57">
        <v>1</v>
      </c>
      <c r="H1849" s="268" t="s">
        <v>2806</v>
      </c>
    </row>
    <row r="1850" spans="1:8" s="239" customFormat="1" ht="124.8" x14ac:dyDescent="0.3">
      <c r="A1850" s="87">
        <v>16</v>
      </c>
      <c r="B1850" s="87">
        <v>3</v>
      </c>
      <c r="C1850" s="269" t="s">
        <v>25</v>
      </c>
      <c r="D1850" s="267" t="s">
        <v>1</v>
      </c>
      <c r="E1850" s="58" t="s">
        <v>2807</v>
      </c>
      <c r="F1850" s="57" t="s">
        <v>51</v>
      </c>
      <c r="G1850" s="57">
        <v>77</v>
      </c>
      <c r="H1850" s="268" t="s">
        <v>2808</v>
      </c>
    </row>
    <row r="1851" spans="1:8" s="239" customFormat="1" ht="62.4" x14ac:dyDescent="0.3">
      <c r="A1851" s="87">
        <v>16</v>
      </c>
      <c r="B1851" s="87">
        <v>3</v>
      </c>
      <c r="C1851" s="269" t="s">
        <v>25</v>
      </c>
      <c r="D1851" s="267" t="s">
        <v>65</v>
      </c>
      <c r="E1851" s="58" t="s">
        <v>2809</v>
      </c>
      <c r="F1851" s="57" t="s">
        <v>63</v>
      </c>
      <c r="G1851" s="57">
        <v>2</v>
      </c>
      <c r="H1851" s="268" t="s">
        <v>2810</v>
      </c>
    </row>
    <row r="1852" spans="1:8" s="239" customFormat="1" ht="93.6" x14ac:dyDescent="0.3">
      <c r="A1852" s="87">
        <v>16</v>
      </c>
      <c r="B1852" s="87">
        <v>3</v>
      </c>
      <c r="C1852" s="269" t="s">
        <v>25</v>
      </c>
      <c r="D1852" s="267" t="s">
        <v>65</v>
      </c>
      <c r="E1852" s="58" t="s">
        <v>2811</v>
      </c>
      <c r="F1852" s="57" t="s">
        <v>51</v>
      </c>
      <c r="G1852" s="57">
        <v>3</v>
      </c>
      <c r="H1852" s="268" t="s">
        <v>2812</v>
      </c>
    </row>
    <row r="1853" spans="1:8" s="239" customFormat="1" ht="46.8" x14ac:dyDescent="0.3">
      <c r="A1853" s="87">
        <v>17</v>
      </c>
      <c r="B1853" s="87">
        <v>3</v>
      </c>
      <c r="C1853" s="269" t="s">
        <v>26</v>
      </c>
      <c r="D1853" s="58" t="s">
        <v>119</v>
      </c>
      <c r="E1853" s="58" t="s">
        <v>3212</v>
      </c>
      <c r="F1853" s="59" t="s">
        <v>51</v>
      </c>
      <c r="G1853" s="59">
        <v>36</v>
      </c>
      <c r="H1853" s="268" t="s">
        <v>3213</v>
      </c>
    </row>
    <row r="1854" spans="1:8" s="239" customFormat="1" ht="93.6" x14ac:dyDescent="0.3">
      <c r="A1854" s="87">
        <v>17</v>
      </c>
      <c r="B1854" s="87">
        <v>3</v>
      </c>
      <c r="C1854" s="269" t="s">
        <v>26</v>
      </c>
      <c r="D1854" s="58" t="s">
        <v>65</v>
      </c>
      <c r="E1854" s="58" t="s">
        <v>2482</v>
      </c>
      <c r="F1854" s="59" t="s">
        <v>51</v>
      </c>
      <c r="G1854" s="59" t="s">
        <v>394</v>
      </c>
      <c r="H1854" s="268" t="s">
        <v>3214</v>
      </c>
    </row>
    <row r="1855" spans="1:8" s="239" customFormat="1" ht="62.4" x14ac:dyDescent="0.3">
      <c r="A1855" s="87">
        <v>17</v>
      </c>
      <c r="B1855" s="87">
        <v>3</v>
      </c>
      <c r="C1855" s="269" t="s">
        <v>26</v>
      </c>
      <c r="D1855" s="58" t="s">
        <v>1</v>
      </c>
      <c r="E1855" s="58" t="s">
        <v>3215</v>
      </c>
      <c r="F1855" s="59" t="s">
        <v>63</v>
      </c>
      <c r="G1855" s="59">
        <v>103</v>
      </c>
      <c r="H1855" s="268" t="s">
        <v>3216</v>
      </c>
    </row>
    <row r="1856" spans="1:8" s="239" customFormat="1" ht="62.4" x14ac:dyDescent="0.3">
      <c r="A1856" s="87">
        <v>17</v>
      </c>
      <c r="B1856" s="87">
        <v>3</v>
      </c>
      <c r="C1856" s="269" t="s">
        <v>26</v>
      </c>
      <c r="D1856" s="58" t="s">
        <v>1</v>
      </c>
      <c r="E1856" s="58" t="s">
        <v>3217</v>
      </c>
      <c r="F1856" s="59" t="s">
        <v>51</v>
      </c>
      <c r="G1856" s="59">
        <v>10</v>
      </c>
      <c r="H1856" s="268" t="s">
        <v>3218</v>
      </c>
    </row>
    <row r="1857" spans="1:8" s="239" customFormat="1" ht="93.6" x14ac:dyDescent="0.3">
      <c r="A1857" s="87">
        <v>17</v>
      </c>
      <c r="B1857" s="87">
        <v>3</v>
      </c>
      <c r="C1857" s="269" t="s">
        <v>26</v>
      </c>
      <c r="D1857" s="58" t="s">
        <v>1</v>
      </c>
      <c r="E1857" s="58" t="s">
        <v>3219</v>
      </c>
      <c r="F1857" s="59" t="s">
        <v>51</v>
      </c>
      <c r="G1857" s="59">
        <v>8</v>
      </c>
      <c r="H1857" s="268" t="s">
        <v>3220</v>
      </c>
    </row>
    <row r="1858" spans="1:8" s="239" customFormat="1" ht="93.6" x14ac:dyDescent="0.3">
      <c r="A1858" s="87">
        <v>17</v>
      </c>
      <c r="B1858" s="87">
        <v>3</v>
      </c>
      <c r="C1858" s="269" t="s">
        <v>26</v>
      </c>
      <c r="D1858" s="58" t="s">
        <v>1</v>
      </c>
      <c r="E1858" s="58" t="s">
        <v>3221</v>
      </c>
      <c r="F1858" s="59" t="s">
        <v>63</v>
      </c>
      <c r="G1858" s="59">
        <v>23</v>
      </c>
      <c r="H1858" s="268" t="s">
        <v>3222</v>
      </c>
    </row>
    <row r="1859" spans="1:8" s="239" customFormat="1" ht="93.6" x14ac:dyDescent="0.3">
      <c r="A1859" s="87">
        <v>17</v>
      </c>
      <c r="B1859" s="87">
        <v>3</v>
      </c>
      <c r="C1859" s="269" t="s">
        <v>26</v>
      </c>
      <c r="D1859" s="58" t="s">
        <v>1</v>
      </c>
      <c r="E1859" s="58" t="s">
        <v>3223</v>
      </c>
      <c r="F1859" s="59" t="s">
        <v>63</v>
      </c>
      <c r="G1859" s="59">
        <v>169</v>
      </c>
      <c r="H1859" s="268" t="s">
        <v>3224</v>
      </c>
    </row>
    <row r="1860" spans="1:8" s="239" customFormat="1" ht="78" x14ac:dyDescent="0.3">
      <c r="A1860" s="87">
        <v>17</v>
      </c>
      <c r="B1860" s="87">
        <v>3</v>
      </c>
      <c r="C1860" s="269" t="s">
        <v>26</v>
      </c>
      <c r="D1860" s="58" t="s">
        <v>1</v>
      </c>
      <c r="E1860" s="58" t="s">
        <v>3225</v>
      </c>
      <c r="F1860" s="59" t="s">
        <v>63</v>
      </c>
      <c r="G1860" s="59">
        <v>60</v>
      </c>
      <c r="H1860" s="268" t="s">
        <v>3226</v>
      </c>
    </row>
    <row r="1861" spans="1:8" s="239" customFormat="1" ht="78" x14ac:dyDescent="0.3">
      <c r="A1861" s="87">
        <v>17</v>
      </c>
      <c r="B1861" s="87">
        <v>3</v>
      </c>
      <c r="C1861" s="269" t="s">
        <v>26</v>
      </c>
      <c r="D1861" s="58" t="s">
        <v>0</v>
      </c>
      <c r="E1861" s="58" t="s">
        <v>3227</v>
      </c>
      <c r="F1861" s="59" t="s">
        <v>51</v>
      </c>
      <c r="G1861" s="59">
        <v>10</v>
      </c>
      <c r="H1861" s="268" t="s">
        <v>3228</v>
      </c>
    </row>
    <row r="1862" spans="1:8" s="239" customFormat="1" ht="78" x14ac:dyDescent="0.3">
      <c r="A1862" s="87">
        <v>17</v>
      </c>
      <c r="B1862" s="87">
        <v>3</v>
      </c>
      <c r="C1862" s="269" t="s">
        <v>26</v>
      </c>
      <c r="D1862" s="58" t="s">
        <v>65</v>
      </c>
      <c r="E1862" s="58" t="s">
        <v>3229</v>
      </c>
      <c r="F1862" s="59" t="s">
        <v>51</v>
      </c>
      <c r="G1862" s="59">
        <v>12</v>
      </c>
      <c r="H1862" s="268" t="s">
        <v>3230</v>
      </c>
    </row>
    <row r="1863" spans="1:8" s="239" customFormat="1" ht="93.6" x14ac:dyDescent="0.3">
      <c r="A1863" s="87">
        <v>17</v>
      </c>
      <c r="B1863" s="87">
        <v>3</v>
      </c>
      <c r="C1863" s="269" t="s">
        <v>26</v>
      </c>
      <c r="D1863" s="58" t="s">
        <v>65</v>
      </c>
      <c r="E1863" s="58" t="s">
        <v>3231</v>
      </c>
      <c r="F1863" s="59" t="s">
        <v>51</v>
      </c>
      <c r="G1863" s="59">
        <v>8</v>
      </c>
      <c r="H1863" s="268" t="s">
        <v>3232</v>
      </c>
    </row>
    <row r="1864" spans="1:8" s="239" customFormat="1" ht="62.4" x14ac:dyDescent="0.3">
      <c r="A1864" s="87">
        <v>17</v>
      </c>
      <c r="B1864" s="87">
        <v>3</v>
      </c>
      <c r="C1864" s="269" t="s">
        <v>26</v>
      </c>
      <c r="D1864" s="58" t="s">
        <v>119</v>
      </c>
      <c r="E1864" s="58" t="s">
        <v>3233</v>
      </c>
      <c r="F1864" s="59" t="s">
        <v>63</v>
      </c>
      <c r="G1864" s="59">
        <v>80</v>
      </c>
      <c r="H1864" s="268" t="s">
        <v>3234</v>
      </c>
    </row>
    <row r="1865" spans="1:8" s="239" customFormat="1" ht="93.6" x14ac:dyDescent="0.3">
      <c r="A1865" s="87">
        <v>17</v>
      </c>
      <c r="B1865" s="87">
        <v>3</v>
      </c>
      <c r="C1865" s="269" t="s">
        <v>26</v>
      </c>
      <c r="D1865" s="58" t="s">
        <v>1713</v>
      </c>
      <c r="E1865" s="58" t="s">
        <v>3235</v>
      </c>
      <c r="F1865" s="59" t="s">
        <v>63</v>
      </c>
      <c r="G1865" s="59">
        <v>423</v>
      </c>
      <c r="H1865" s="268" t="s">
        <v>3236</v>
      </c>
    </row>
    <row r="1866" spans="1:8" s="239" customFormat="1" ht="78" x14ac:dyDescent="0.3">
      <c r="A1866" s="87">
        <v>18</v>
      </c>
      <c r="B1866" s="87">
        <v>3</v>
      </c>
      <c r="C1866" s="269" t="s">
        <v>243</v>
      </c>
      <c r="D1866" s="267" t="s">
        <v>0</v>
      </c>
      <c r="E1866" s="58" t="s">
        <v>3298</v>
      </c>
      <c r="F1866" s="57" t="s">
        <v>63</v>
      </c>
      <c r="G1866" s="57">
        <v>15</v>
      </c>
      <c r="H1866" s="268" t="s">
        <v>3299</v>
      </c>
    </row>
    <row r="1867" spans="1:8" s="239" customFormat="1" ht="109.2" x14ac:dyDescent="0.3">
      <c r="A1867" s="87">
        <v>18</v>
      </c>
      <c r="B1867" s="87">
        <v>3</v>
      </c>
      <c r="C1867" s="269" t="s">
        <v>243</v>
      </c>
      <c r="D1867" s="267" t="s">
        <v>1</v>
      </c>
      <c r="E1867" s="58" t="s">
        <v>3300</v>
      </c>
      <c r="F1867" s="57" t="s">
        <v>63</v>
      </c>
      <c r="G1867" s="57">
        <v>192</v>
      </c>
      <c r="H1867" s="268" t="s">
        <v>3301</v>
      </c>
    </row>
    <row r="1868" spans="1:8" s="239" customFormat="1" ht="171.6" x14ac:dyDescent="0.3">
      <c r="A1868" s="87">
        <v>18</v>
      </c>
      <c r="B1868" s="87">
        <v>3</v>
      </c>
      <c r="C1868" s="269" t="s">
        <v>243</v>
      </c>
      <c r="D1868" s="267" t="s">
        <v>1</v>
      </c>
      <c r="E1868" s="58" t="s">
        <v>3302</v>
      </c>
      <c r="F1868" s="57" t="s">
        <v>51</v>
      </c>
      <c r="G1868" s="57" t="s">
        <v>394</v>
      </c>
      <c r="H1868" s="268" t="s">
        <v>3303</v>
      </c>
    </row>
    <row r="1869" spans="1:8" s="239" customFormat="1" ht="78" x14ac:dyDescent="0.3">
      <c r="A1869" s="87">
        <v>18</v>
      </c>
      <c r="B1869" s="87">
        <v>3</v>
      </c>
      <c r="C1869" s="269" t="s">
        <v>243</v>
      </c>
      <c r="D1869" s="267" t="s">
        <v>119</v>
      </c>
      <c r="E1869" s="58" t="s">
        <v>3304</v>
      </c>
      <c r="F1869" s="57" t="s">
        <v>63</v>
      </c>
      <c r="G1869" s="57">
        <v>18</v>
      </c>
      <c r="H1869" s="268" t="s">
        <v>3305</v>
      </c>
    </row>
    <row r="1870" spans="1:8" s="239" customFormat="1" ht="140.4" x14ac:dyDescent="0.3">
      <c r="A1870" s="87">
        <v>18</v>
      </c>
      <c r="B1870" s="87">
        <v>3</v>
      </c>
      <c r="C1870" s="269" t="s">
        <v>243</v>
      </c>
      <c r="D1870" s="267" t="s">
        <v>65</v>
      </c>
      <c r="E1870" s="58" t="s">
        <v>3306</v>
      </c>
      <c r="F1870" s="57" t="s">
        <v>51</v>
      </c>
      <c r="G1870" s="57">
        <v>9</v>
      </c>
      <c r="H1870" s="268" t="s">
        <v>3307</v>
      </c>
    </row>
    <row r="1871" spans="1:8" s="239" customFormat="1" ht="93.6" x14ac:dyDescent="0.3">
      <c r="A1871" s="87">
        <v>18</v>
      </c>
      <c r="B1871" s="87">
        <v>3</v>
      </c>
      <c r="C1871" s="269" t="s">
        <v>243</v>
      </c>
      <c r="D1871" s="267" t="s">
        <v>65</v>
      </c>
      <c r="E1871" s="58" t="s">
        <v>3308</v>
      </c>
      <c r="F1871" s="57" t="s">
        <v>51</v>
      </c>
      <c r="G1871" s="57">
        <v>6</v>
      </c>
      <c r="H1871" s="268" t="s">
        <v>3309</v>
      </c>
    </row>
    <row r="1872" spans="1:8" s="239" customFormat="1" ht="78" x14ac:dyDescent="0.3">
      <c r="A1872" s="87">
        <v>18</v>
      </c>
      <c r="B1872" s="87">
        <v>3</v>
      </c>
      <c r="C1872" s="269" t="s">
        <v>243</v>
      </c>
      <c r="D1872" s="267" t="s">
        <v>1</v>
      </c>
      <c r="E1872" s="58" t="s">
        <v>3387</v>
      </c>
      <c r="F1872" s="57" t="s">
        <v>51</v>
      </c>
      <c r="G1872" s="57">
        <v>32</v>
      </c>
      <c r="H1872" s="268" t="s">
        <v>2983</v>
      </c>
    </row>
    <row r="1873" spans="1:8" s="239" customFormat="1" ht="140.4" x14ac:dyDescent="0.3">
      <c r="A1873" s="87">
        <v>18</v>
      </c>
      <c r="B1873" s="87">
        <v>3</v>
      </c>
      <c r="C1873" s="269" t="s">
        <v>243</v>
      </c>
      <c r="D1873" s="267" t="s">
        <v>65</v>
      </c>
      <c r="E1873" s="58" t="s">
        <v>3310</v>
      </c>
      <c r="F1873" s="57" t="s">
        <v>51</v>
      </c>
      <c r="G1873" s="57">
        <v>9</v>
      </c>
      <c r="H1873" s="268" t="s">
        <v>3311</v>
      </c>
    </row>
    <row r="1874" spans="1:8" s="239" customFormat="1" ht="140.4" x14ac:dyDescent="0.3">
      <c r="A1874" s="87">
        <v>18</v>
      </c>
      <c r="B1874" s="87">
        <v>3</v>
      </c>
      <c r="C1874" s="269" t="s">
        <v>243</v>
      </c>
      <c r="D1874" s="267" t="s">
        <v>65</v>
      </c>
      <c r="E1874" s="58" t="s">
        <v>3312</v>
      </c>
      <c r="F1874" s="57" t="s">
        <v>51</v>
      </c>
      <c r="G1874" s="57">
        <v>4</v>
      </c>
      <c r="H1874" s="268" t="s">
        <v>3313</v>
      </c>
    </row>
    <row r="1875" spans="1:8" s="239" customFormat="1" ht="93.6" x14ac:dyDescent="0.3">
      <c r="A1875" s="87">
        <v>18</v>
      </c>
      <c r="B1875" s="87">
        <v>3</v>
      </c>
      <c r="C1875" s="269" t="s">
        <v>243</v>
      </c>
      <c r="D1875" s="267" t="s">
        <v>1</v>
      </c>
      <c r="E1875" s="58" t="s">
        <v>3314</v>
      </c>
      <c r="F1875" s="57" t="s">
        <v>51</v>
      </c>
      <c r="G1875" s="57">
        <v>11</v>
      </c>
      <c r="H1875" s="268" t="s">
        <v>3315</v>
      </c>
    </row>
    <row r="1876" spans="1:8" s="239" customFormat="1" ht="62.4" x14ac:dyDescent="0.3">
      <c r="A1876" s="87">
        <v>18</v>
      </c>
      <c r="B1876" s="87">
        <v>3</v>
      </c>
      <c r="C1876" s="269" t="s">
        <v>243</v>
      </c>
      <c r="D1876" s="267" t="s">
        <v>65</v>
      </c>
      <c r="E1876" s="58" t="s">
        <v>3316</v>
      </c>
      <c r="F1876" s="57" t="s">
        <v>63</v>
      </c>
      <c r="G1876" s="57">
        <v>7</v>
      </c>
      <c r="H1876" s="268" t="s">
        <v>3317</v>
      </c>
    </row>
    <row r="1877" spans="1:8" s="239" customFormat="1" ht="78" x14ac:dyDescent="0.3">
      <c r="A1877" s="87">
        <v>18</v>
      </c>
      <c r="B1877" s="87">
        <v>3</v>
      </c>
      <c r="C1877" s="269" t="s">
        <v>243</v>
      </c>
      <c r="D1877" s="267" t="s">
        <v>1</v>
      </c>
      <c r="E1877" s="58" t="s">
        <v>3318</v>
      </c>
      <c r="F1877" s="57" t="s">
        <v>51</v>
      </c>
      <c r="G1877" s="57">
        <v>6</v>
      </c>
      <c r="H1877" s="268" t="s">
        <v>3319</v>
      </c>
    </row>
    <row r="1878" spans="1:8" s="239" customFormat="1" ht="156" x14ac:dyDescent="0.3">
      <c r="A1878" s="87">
        <v>18</v>
      </c>
      <c r="B1878" s="87">
        <v>3</v>
      </c>
      <c r="C1878" s="269" t="s">
        <v>243</v>
      </c>
      <c r="D1878" s="267" t="s">
        <v>65</v>
      </c>
      <c r="E1878" s="58" t="s">
        <v>3320</v>
      </c>
      <c r="F1878" s="57" t="s">
        <v>51</v>
      </c>
      <c r="G1878" s="57">
        <v>6</v>
      </c>
      <c r="H1878" s="268" t="s">
        <v>3321</v>
      </c>
    </row>
    <row r="1879" spans="1:8" s="239" customFormat="1" ht="124.8" x14ac:dyDescent="0.3">
      <c r="A1879" s="87">
        <v>18</v>
      </c>
      <c r="B1879" s="87">
        <v>3</v>
      </c>
      <c r="C1879" s="269" t="s">
        <v>243</v>
      </c>
      <c r="D1879" s="267" t="s">
        <v>65</v>
      </c>
      <c r="E1879" s="58" t="s">
        <v>3322</v>
      </c>
      <c r="F1879" s="57" t="s">
        <v>51</v>
      </c>
      <c r="G1879" s="57">
        <v>11</v>
      </c>
      <c r="H1879" s="268" t="s">
        <v>3323</v>
      </c>
    </row>
    <row r="1880" spans="1:8" s="239" customFormat="1" ht="93.6" x14ac:dyDescent="0.3">
      <c r="A1880" s="87">
        <v>18</v>
      </c>
      <c r="B1880" s="87">
        <v>3</v>
      </c>
      <c r="C1880" s="269" t="s">
        <v>243</v>
      </c>
      <c r="D1880" s="267" t="s">
        <v>65</v>
      </c>
      <c r="E1880" s="58" t="s">
        <v>3324</v>
      </c>
      <c r="F1880" s="57" t="s">
        <v>51</v>
      </c>
      <c r="G1880" s="57" t="s">
        <v>75</v>
      </c>
      <c r="H1880" s="268" t="s">
        <v>3325</v>
      </c>
    </row>
    <row r="1881" spans="1:8" s="239" customFormat="1" ht="93.6" x14ac:dyDescent="0.3">
      <c r="A1881" s="87">
        <v>18</v>
      </c>
      <c r="B1881" s="87">
        <v>3</v>
      </c>
      <c r="C1881" s="269" t="s">
        <v>243</v>
      </c>
      <c r="D1881" s="267" t="s">
        <v>65</v>
      </c>
      <c r="E1881" s="58" t="s">
        <v>3326</v>
      </c>
      <c r="F1881" s="57" t="s">
        <v>51</v>
      </c>
      <c r="G1881" s="57" t="s">
        <v>394</v>
      </c>
      <c r="H1881" s="268" t="s">
        <v>3327</v>
      </c>
    </row>
    <row r="1882" spans="1:8" s="239" customFormat="1" x14ac:dyDescent="0.3">
      <c r="A1882" s="87"/>
      <c r="B1882" s="87">
        <v>3</v>
      </c>
      <c r="C1882" s="269"/>
      <c r="D1882" s="267"/>
      <c r="E1882" s="58"/>
      <c r="F1882" s="57"/>
      <c r="G1882" s="57"/>
      <c r="H1882" s="268"/>
    </row>
    <row r="1883" spans="1:8" s="239" customFormat="1" x14ac:dyDescent="0.3">
      <c r="A1883" s="87"/>
      <c r="B1883" s="87">
        <v>3</v>
      </c>
      <c r="C1883" s="269"/>
      <c r="D1883" s="267"/>
      <c r="E1883" s="58"/>
      <c r="F1883" s="57"/>
      <c r="G1883" s="57"/>
      <c r="H1883" s="268"/>
    </row>
    <row r="1884" spans="1:8" s="239" customFormat="1" x14ac:dyDescent="0.3">
      <c r="A1884" s="87"/>
      <c r="B1884" s="87">
        <v>3</v>
      </c>
      <c r="C1884" s="269"/>
      <c r="D1884" s="267"/>
      <c r="E1884" s="58"/>
      <c r="F1884" s="57"/>
      <c r="G1884" s="57"/>
      <c r="H1884" s="268"/>
    </row>
    <row r="1885" spans="1:8" s="239" customFormat="1" x14ac:dyDescent="0.3">
      <c r="A1885" s="87"/>
      <c r="B1885" s="87">
        <v>3</v>
      </c>
      <c r="C1885" s="269"/>
      <c r="D1885" s="267"/>
      <c r="E1885" s="58"/>
      <c r="F1885" s="57"/>
      <c r="G1885" s="57"/>
      <c r="H1885" s="268"/>
    </row>
    <row r="1886" spans="1:8" s="239" customFormat="1" x14ac:dyDescent="0.3">
      <c r="A1886" s="87"/>
      <c r="B1886" s="87">
        <v>3</v>
      </c>
      <c r="C1886" s="269"/>
      <c r="D1886" s="267"/>
      <c r="E1886" s="58"/>
      <c r="F1886" s="57"/>
      <c r="G1886" s="57"/>
      <c r="H1886" s="268"/>
    </row>
    <row r="1887" spans="1:8" s="239" customFormat="1" x14ac:dyDescent="0.3">
      <c r="A1887" s="87"/>
      <c r="B1887" s="87">
        <v>3</v>
      </c>
      <c r="C1887" s="269"/>
      <c r="D1887" s="267"/>
      <c r="E1887" s="58"/>
      <c r="F1887" s="57"/>
      <c r="G1887" s="57"/>
      <c r="H1887" s="268"/>
    </row>
    <row r="1888" spans="1:8" s="239" customFormat="1" x14ac:dyDescent="0.3">
      <c r="A1888" s="87"/>
      <c r="B1888" s="87">
        <v>3</v>
      </c>
      <c r="C1888" s="269"/>
      <c r="D1888" s="267"/>
      <c r="E1888" s="58"/>
      <c r="F1888" s="57"/>
      <c r="G1888" s="57"/>
      <c r="H1888" s="268"/>
    </row>
    <row r="1889" spans="1:8" s="239" customFormat="1" x14ac:dyDescent="0.3">
      <c r="A1889" s="87"/>
      <c r="B1889" s="87">
        <v>3</v>
      </c>
      <c r="C1889" s="269"/>
      <c r="D1889" s="267"/>
      <c r="E1889" s="58"/>
      <c r="F1889" s="57"/>
      <c r="G1889" s="57"/>
      <c r="H1889" s="268"/>
    </row>
    <row r="1890" spans="1:8" s="239" customFormat="1" x14ac:dyDescent="0.3">
      <c r="A1890" s="87"/>
      <c r="B1890" s="87">
        <v>3</v>
      </c>
      <c r="C1890" s="269"/>
      <c r="D1890" s="267"/>
      <c r="E1890" s="58"/>
      <c r="F1890" s="57"/>
      <c r="G1890" s="57"/>
      <c r="H1890" s="268"/>
    </row>
    <row r="1891" spans="1:8" s="239" customFormat="1" x14ac:dyDescent="0.3">
      <c r="A1891" s="87"/>
      <c r="B1891" s="87">
        <v>3</v>
      </c>
      <c r="C1891" s="269"/>
      <c r="D1891" s="267"/>
      <c r="E1891" s="58"/>
      <c r="F1891" s="57"/>
      <c r="G1891" s="57"/>
      <c r="H1891" s="268"/>
    </row>
    <row r="1892" spans="1:8" s="239" customFormat="1" ht="93.6" x14ac:dyDescent="0.3">
      <c r="A1892" s="87">
        <v>19</v>
      </c>
      <c r="B1892" s="87">
        <v>3</v>
      </c>
      <c r="C1892" s="269" t="s">
        <v>28</v>
      </c>
      <c r="D1892" s="267" t="s">
        <v>1</v>
      </c>
      <c r="E1892" s="58" t="s">
        <v>3245</v>
      </c>
      <c r="F1892" s="57" t="s">
        <v>51</v>
      </c>
      <c r="G1892" s="57">
        <v>48</v>
      </c>
      <c r="H1892" s="268" t="s">
        <v>3246</v>
      </c>
    </row>
    <row r="1893" spans="1:8" s="239" customFormat="1" ht="78" x14ac:dyDescent="0.3">
      <c r="A1893" s="87">
        <v>19</v>
      </c>
      <c r="B1893" s="87">
        <v>3</v>
      </c>
      <c r="C1893" s="269" t="s">
        <v>28</v>
      </c>
      <c r="D1893" s="267" t="s">
        <v>0</v>
      </c>
      <c r="E1893" s="58" t="s">
        <v>3247</v>
      </c>
      <c r="F1893" s="57" t="s">
        <v>63</v>
      </c>
      <c r="G1893" s="57">
        <v>1</v>
      </c>
      <c r="H1893" s="268" t="s">
        <v>3248</v>
      </c>
    </row>
    <row r="1894" spans="1:8" s="239" customFormat="1" ht="93.6" x14ac:dyDescent="0.3">
      <c r="A1894" s="87">
        <v>19</v>
      </c>
      <c r="B1894" s="87">
        <v>3</v>
      </c>
      <c r="C1894" s="269" t="s">
        <v>28</v>
      </c>
      <c r="D1894" s="267" t="s">
        <v>1</v>
      </c>
      <c r="E1894" s="58" t="s">
        <v>3249</v>
      </c>
      <c r="F1894" s="57" t="s">
        <v>51</v>
      </c>
      <c r="G1894" s="57">
        <v>57</v>
      </c>
      <c r="H1894" s="268" t="s">
        <v>3250</v>
      </c>
    </row>
    <row r="1895" spans="1:8" s="239" customFormat="1" ht="46.8" x14ac:dyDescent="0.3">
      <c r="A1895" s="87">
        <v>19</v>
      </c>
      <c r="B1895" s="87">
        <v>3</v>
      </c>
      <c r="C1895" s="269" t="s">
        <v>28</v>
      </c>
      <c r="D1895" s="267" t="s">
        <v>65</v>
      </c>
      <c r="E1895" s="58" t="s">
        <v>3251</v>
      </c>
      <c r="F1895" s="57" t="s">
        <v>51</v>
      </c>
      <c r="G1895" s="57" t="s">
        <v>75</v>
      </c>
      <c r="H1895" s="268" t="s">
        <v>3252</v>
      </c>
    </row>
    <row r="1896" spans="1:8" s="239" customFormat="1" ht="93.6" x14ac:dyDescent="0.3">
      <c r="A1896" s="87">
        <v>19</v>
      </c>
      <c r="B1896" s="87">
        <v>3</v>
      </c>
      <c r="C1896" s="269" t="s">
        <v>28</v>
      </c>
      <c r="D1896" s="267" t="s">
        <v>1</v>
      </c>
      <c r="E1896" s="58" t="s">
        <v>3253</v>
      </c>
      <c r="F1896" s="57" t="s">
        <v>51</v>
      </c>
      <c r="G1896" s="57">
        <v>44</v>
      </c>
      <c r="H1896" s="268" t="s">
        <v>3254</v>
      </c>
    </row>
    <row r="1897" spans="1:8" s="239" customFormat="1" ht="78" x14ac:dyDescent="0.3">
      <c r="A1897" s="87">
        <v>19</v>
      </c>
      <c r="B1897" s="87">
        <v>3</v>
      </c>
      <c r="C1897" s="269" t="s">
        <v>28</v>
      </c>
      <c r="D1897" s="267" t="s">
        <v>1</v>
      </c>
      <c r="E1897" s="58" t="s">
        <v>3255</v>
      </c>
      <c r="F1897" s="57" t="s">
        <v>51</v>
      </c>
      <c r="G1897" s="57">
        <v>46</v>
      </c>
      <c r="H1897" s="268" t="s">
        <v>3256</v>
      </c>
    </row>
    <row r="1898" spans="1:8" s="239" customFormat="1" ht="46.8" x14ac:dyDescent="0.3">
      <c r="A1898" s="87">
        <v>20</v>
      </c>
      <c r="B1898" s="87">
        <v>3</v>
      </c>
      <c r="C1898" s="269" t="s">
        <v>29</v>
      </c>
      <c r="D1898" s="267" t="s">
        <v>1</v>
      </c>
      <c r="E1898" s="58" t="s">
        <v>2748</v>
      </c>
      <c r="F1898" s="57" t="s">
        <v>51</v>
      </c>
      <c r="G1898" s="57">
        <v>17</v>
      </c>
      <c r="H1898" s="268" t="s">
        <v>2749</v>
      </c>
    </row>
    <row r="1899" spans="1:8" s="239" customFormat="1" ht="124.8" x14ac:dyDescent="0.3">
      <c r="A1899" s="87">
        <v>20</v>
      </c>
      <c r="B1899" s="87">
        <v>3</v>
      </c>
      <c r="C1899" s="269" t="s">
        <v>29</v>
      </c>
      <c r="D1899" s="267" t="s">
        <v>1</v>
      </c>
      <c r="E1899" s="58" t="s">
        <v>2750</v>
      </c>
      <c r="F1899" s="57" t="s">
        <v>51</v>
      </c>
      <c r="G1899" s="57">
        <v>639</v>
      </c>
      <c r="H1899" s="268" t="s">
        <v>2751</v>
      </c>
    </row>
    <row r="1900" spans="1:8" s="239" customFormat="1" ht="93.6" x14ac:dyDescent="0.3">
      <c r="A1900" s="87">
        <v>20</v>
      </c>
      <c r="B1900" s="87">
        <v>3</v>
      </c>
      <c r="C1900" s="269" t="s">
        <v>29</v>
      </c>
      <c r="D1900" s="267" t="s">
        <v>541</v>
      </c>
      <c r="E1900" s="58" t="s">
        <v>2752</v>
      </c>
      <c r="F1900" s="57" t="s">
        <v>51</v>
      </c>
      <c r="G1900" s="57">
        <v>5</v>
      </c>
      <c r="H1900" s="268" t="s">
        <v>2753</v>
      </c>
    </row>
    <row r="1901" spans="1:8" s="239" customFormat="1" ht="62.4" x14ac:dyDescent="0.3">
      <c r="A1901" s="87">
        <v>20</v>
      </c>
      <c r="B1901" s="87">
        <v>3</v>
      </c>
      <c r="C1901" s="269" t="s">
        <v>29</v>
      </c>
      <c r="D1901" s="267" t="s">
        <v>65</v>
      </c>
      <c r="E1901" s="58" t="s">
        <v>2754</v>
      </c>
      <c r="F1901" s="57" t="s">
        <v>51</v>
      </c>
      <c r="G1901" s="57" t="s">
        <v>394</v>
      </c>
      <c r="H1901" s="268" t="s">
        <v>2755</v>
      </c>
    </row>
    <row r="1902" spans="1:8" s="239" customFormat="1" ht="62.4" x14ac:dyDescent="0.3">
      <c r="A1902" s="87">
        <v>20</v>
      </c>
      <c r="B1902" s="87">
        <v>3</v>
      </c>
      <c r="C1902" s="269" t="s">
        <v>29</v>
      </c>
      <c r="D1902" s="267" t="s">
        <v>65</v>
      </c>
      <c r="E1902" s="58" t="s">
        <v>2756</v>
      </c>
      <c r="F1902" s="57" t="s">
        <v>51</v>
      </c>
      <c r="G1902" s="57">
        <v>135</v>
      </c>
      <c r="H1902" s="268" t="s">
        <v>2757</v>
      </c>
    </row>
    <row r="1903" spans="1:8" s="239" customFormat="1" ht="62.4" x14ac:dyDescent="0.3">
      <c r="A1903" s="87">
        <v>20</v>
      </c>
      <c r="B1903" s="87">
        <v>3</v>
      </c>
      <c r="C1903" s="269" t="s">
        <v>29</v>
      </c>
      <c r="D1903" s="267" t="s">
        <v>65</v>
      </c>
      <c r="E1903" s="58" t="s">
        <v>2758</v>
      </c>
      <c r="F1903" s="57" t="s">
        <v>63</v>
      </c>
      <c r="G1903" s="57">
        <v>16</v>
      </c>
      <c r="H1903" s="268" t="s">
        <v>2759</v>
      </c>
    </row>
    <row r="1904" spans="1:8" s="239" customFormat="1" ht="62.4" x14ac:dyDescent="0.3">
      <c r="A1904" s="87">
        <v>20</v>
      </c>
      <c r="B1904" s="87">
        <v>3</v>
      </c>
      <c r="C1904" s="269" t="s">
        <v>29</v>
      </c>
      <c r="D1904" s="267" t="s">
        <v>65</v>
      </c>
      <c r="E1904" s="58" t="s">
        <v>2760</v>
      </c>
      <c r="F1904" s="57" t="s">
        <v>51</v>
      </c>
      <c r="G1904" s="57">
        <v>300</v>
      </c>
      <c r="H1904" s="268" t="s">
        <v>2761</v>
      </c>
    </row>
    <row r="1905" spans="1:8" s="239" customFormat="1" ht="78" x14ac:dyDescent="0.3">
      <c r="A1905" s="87">
        <v>20</v>
      </c>
      <c r="B1905" s="87">
        <v>3</v>
      </c>
      <c r="C1905" s="269" t="s">
        <v>29</v>
      </c>
      <c r="D1905" s="267" t="s">
        <v>0</v>
      </c>
      <c r="E1905" s="58" t="s">
        <v>2762</v>
      </c>
      <c r="F1905" s="57" t="s">
        <v>51</v>
      </c>
      <c r="G1905" s="57">
        <v>130</v>
      </c>
      <c r="H1905" s="268" t="s">
        <v>2763</v>
      </c>
    </row>
    <row r="1906" spans="1:8" s="239" customFormat="1" ht="78" x14ac:dyDescent="0.3">
      <c r="A1906" s="87">
        <v>20</v>
      </c>
      <c r="B1906" s="87">
        <v>3</v>
      </c>
      <c r="C1906" s="269" t="s">
        <v>29</v>
      </c>
      <c r="D1906" s="267" t="s">
        <v>1713</v>
      </c>
      <c r="E1906" s="58" t="s">
        <v>2764</v>
      </c>
      <c r="F1906" s="57" t="s">
        <v>51</v>
      </c>
      <c r="G1906" s="57">
        <v>290</v>
      </c>
      <c r="H1906" s="268" t="s">
        <v>2765</v>
      </c>
    </row>
    <row r="1907" spans="1:8" s="239" customFormat="1" ht="62.4" x14ac:dyDescent="0.3">
      <c r="A1907" s="87">
        <v>20</v>
      </c>
      <c r="B1907" s="87">
        <v>3</v>
      </c>
      <c r="C1907" s="269" t="s">
        <v>29</v>
      </c>
      <c r="D1907" s="267" t="s">
        <v>1713</v>
      </c>
      <c r="E1907" s="58" t="s">
        <v>2766</v>
      </c>
      <c r="F1907" s="57" t="s">
        <v>51</v>
      </c>
      <c r="G1907" s="57">
        <v>745</v>
      </c>
      <c r="H1907" s="268" t="s">
        <v>2767</v>
      </c>
    </row>
    <row r="1908" spans="1:8" s="239" customFormat="1" ht="78" x14ac:dyDescent="0.3">
      <c r="A1908" s="87">
        <v>21</v>
      </c>
      <c r="B1908" s="87">
        <v>3</v>
      </c>
      <c r="C1908" s="269" t="s">
        <v>30</v>
      </c>
      <c r="D1908" s="267" t="s">
        <v>0</v>
      </c>
      <c r="E1908" s="58" t="s">
        <v>3349</v>
      </c>
      <c r="F1908" s="57" t="s">
        <v>51</v>
      </c>
      <c r="G1908" s="57">
        <v>2</v>
      </c>
      <c r="H1908" s="268" t="s">
        <v>3350</v>
      </c>
    </row>
    <row r="1909" spans="1:8" s="239" customFormat="1" ht="62.4" x14ac:dyDescent="0.3">
      <c r="A1909" s="87">
        <v>21</v>
      </c>
      <c r="B1909" s="87">
        <v>3</v>
      </c>
      <c r="C1909" s="269" t="s">
        <v>30</v>
      </c>
      <c r="D1909" s="267" t="s">
        <v>0</v>
      </c>
      <c r="E1909" s="58" t="s">
        <v>3351</v>
      </c>
      <c r="F1909" s="57" t="s">
        <v>63</v>
      </c>
      <c r="G1909" s="57">
        <v>1</v>
      </c>
      <c r="H1909" s="268" t="s">
        <v>3352</v>
      </c>
    </row>
    <row r="1910" spans="1:8" s="239" customFormat="1" ht="124.8" x14ac:dyDescent="0.3">
      <c r="A1910" s="87">
        <v>21</v>
      </c>
      <c r="B1910" s="87">
        <v>3</v>
      </c>
      <c r="C1910" s="269" t="s">
        <v>30</v>
      </c>
      <c r="D1910" s="267" t="s">
        <v>65</v>
      </c>
      <c r="E1910" s="58" t="s">
        <v>3353</v>
      </c>
      <c r="F1910" s="57" t="s">
        <v>51</v>
      </c>
      <c r="G1910" s="57">
        <v>13</v>
      </c>
      <c r="H1910" s="268" t="s">
        <v>3350</v>
      </c>
    </row>
    <row r="1911" spans="1:8" s="239" customFormat="1" ht="93.6" x14ac:dyDescent="0.3">
      <c r="A1911" s="87">
        <v>21</v>
      </c>
      <c r="B1911" s="87">
        <v>3</v>
      </c>
      <c r="C1911" s="269" t="s">
        <v>30</v>
      </c>
      <c r="D1911" s="267" t="s">
        <v>1</v>
      </c>
      <c r="E1911" s="58" t="s">
        <v>3354</v>
      </c>
      <c r="F1911" s="57" t="s">
        <v>63</v>
      </c>
      <c r="G1911" s="57">
        <v>75</v>
      </c>
      <c r="H1911" s="268" t="s">
        <v>3355</v>
      </c>
    </row>
    <row r="1912" spans="1:8" s="239" customFormat="1" ht="62.4" x14ac:dyDescent="0.3">
      <c r="A1912" s="87">
        <v>21</v>
      </c>
      <c r="B1912" s="87">
        <v>3</v>
      </c>
      <c r="C1912" s="269" t="s">
        <v>30</v>
      </c>
      <c r="D1912" s="267" t="s">
        <v>1</v>
      </c>
      <c r="E1912" s="58" t="s">
        <v>3356</v>
      </c>
      <c r="F1912" s="57" t="s">
        <v>51</v>
      </c>
      <c r="G1912" s="57">
        <v>350</v>
      </c>
      <c r="H1912" s="268" t="s">
        <v>3357</v>
      </c>
    </row>
    <row r="1913" spans="1:8" s="239" customFormat="1" ht="62.4" x14ac:dyDescent="0.3">
      <c r="A1913" s="87">
        <v>21</v>
      </c>
      <c r="B1913" s="87">
        <v>3</v>
      </c>
      <c r="C1913" s="269" t="s">
        <v>30</v>
      </c>
      <c r="D1913" s="267" t="s">
        <v>65</v>
      </c>
      <c r="E1913" s="58" t="s">
        <v>3358</v>
      </c>
      <c r="F1913" s="57" t="s">
        <v>51</v>
      </c>
      <c r="G1913" s="57" t="s">
        <v>75</v>
      </c>
      <c r="H1913" s="268" t="s">
        <v>3359</v>
      </c>
    </row>
    <row r="1914" spans="1:8" s="239" customFormat="1" ht="46.8" x14ac:dyDescent="0.3">
      <c r="A1914" s="87">
        <v>21</v>
      </c>
      <c r="B1914" s="87">
        <v>3</v>
      </c>
      <c r="C1914" s="269" t="s">
        <v>30</v>
      </c>
      <c r="D1914" s="267" t="s">
        <v>65</v>
      </c>
      <c r="E1914" s="58" t="s">
        <v>3360</v>
      </c>
      <c r="F1914" s="57" t="s">
        <v>51</v>
      </c>
      <c r="G1914" s="57" t="s">
        <v>75</v>
      </c>
      <c r="H1914" s="268" t="s">
        <v>3359</v>
      </c>
    </row>
    <row r="1915" spans="1:8" s="239" customFormat="1" ht="78" x14ac:dyDescent="0.3">
      <c r="A1915" s="87">
        <v>21</v>
      </c>
      <c r="B1915" s="87">
        <v>3</v>
      </c>
      <c r="C1915" s="269" t="s">
        <v>30</v>
      </c>
      <c r="D1915" s="267" t="s">
        <v>119</v>
      </c>
      <c r="E1915" s="58" t="s">
        <v>3361</v>
      </c>
      <c r="F1915" s="57" t="s">
        <v>63</v>
      </c>
      <c r="G1915" s="57">
        <v>75</v>
      </c>
      <c r="H1915" s="268" t="s">
        <v>3362</v>
      </c>
    </row>
    <row r="1916" spans="1:8" s="239" customFormat="1" ht="296.39999999999998" x14ac:dyDescent="0.3">
      <c r="A1916" s="87">
        <v>21</v>
      </c>
      <c r="B1916" s="87">
        <v>3</v>
      </c>
      <c r="C1916" s="269" t="s">
        <v>30</v>
      </c>
      <c r="D1916" s="267" t="s">
        <v>1713</v>
      </c>
      <c r="E1916" s="58" t="s">
        <v>3388</v>
      </c>
      <c r="F1916" s="57" t="s">
        <v>51</v>
      </c>
      <c r="G1916" s="57">
        <v>274</v>
      </c>
      <c r="H1916" s="268" t="s">
        <v>3363</v>
      </c>
    </row>
    <row r="1917" spans="1:8" s="239" customFormat="1" ht="93.6" x14ac:dyDescent="0.3">
      <c r="A1917" s="87">
        <v>22</v>
      </c>
      <c r="B1917" s="87">
        <v>3</v>
      </c>
      <c r="C1917" s="269" t="s">
        <v>31</v>
      </c>
      <c r="D1917" s="267" t="s">
        <v>65</v>
      </c>
      <c r="E1917" s="58" t="s">
        <v>3208</v>
      </c>
      <c r="F1917" s="57" t="s">
        <v>51</v>
      </c>
      <c r="G1917" s="57" t="s">
        <v>75</v>
      </c>
      <c r="H1917" s="268" t="s">
        <v>3209</v>
      </c>
    </row>
    <row r="1918" spans="1:8" s="239" customFormat="1" ht="78" x14ac:dyDescent="0.3">
      <c r="A1918" s="87">
        <v>22</v>
      </c>
      <c r="B1918" s="87">
        <v>3</v>
      </c>
      <c r="C1918" s="269" t="s">
        <v>31</v>
      </c>
      <c r="D1918" s="267" t="s">
        <v>65</v>
      </c>
      <c r="E1918" s="58" t="s">
        <v>3210</v>
      </c>
      <c r="F1918" s="57" t="s">
        <v>51</v>
      </c>
      <c r="G1918" s="57">
        <v>4</v>
      </c>
      <c r="H1918" s="268" t="s">
        <v>3211</v>
      </c>
    </row>
    <row r="1919" spans="1:8" s="239" customFormat="1" ht="109.2" x14ac:dyDescent="0.3">
      <c r="A1919" s="87">
        <v>23</v>
      </c>
      <c r="B1919" s="87">
        <v>3</v>
      </c>
      <c r="C1919" s="269" t="s">
        <v>32</v>
      </c>
      <c r="D1919" s="267" t="s">
        <v>1</v>
      </c>
      <c r="E1919" s="58" t="s">
        <v>2922</v>
      </c>
      <c r="F1919" s="57" t="s">
        <v>63</v>
      </c>
      <c r="G1919" s="57">
        <v>97</v>
      </c>
      <c r="H1919" s="268" t="s">
        <v>2923</v>
      </c>
    </row>
    <row r="1920" spans="1:8" s="239" customFormat="1" ht="78" x14ac:dyDescent="0.3">
      <c r="A1920" s="87">
        <v>23</v>
      </c>
      <c r="B1920" s="87">
        <v>3</v>
      </c>
      <c r="C1920" s="269" t="s">
        <v>32</v>
      </c>
      <c r="D1920" s="267" t="s">
        <v>0</v>
      </c>
      <c r="E1920" s="58" t="s">
        <v>2924</v>
      </c>
      <c r="F1920" s="57" t="s">
        <v>51</v>
      </c>
      <c r="G1920" s="57">
        <v>39</v>
      </c>
      <c r="H1920" s="268" t="s">
        <v>2925</v>
      </c>
    </row>
    <row r="1921" spans="1:8" s="239" customFormat="1" ht="109.2" x14ac:dyDescent="0.3">
      <c r="A1921" s="87">
        <v>23</v>
      </c>
      <c r="B1921" s="87">
        <v>3</v>
      </c>
      <c r="C1921" s="269" t="s">
        <v>32</v>
      </c>
      <c r="D1921" s="267" t="s">
        <v>1713</v>
      </c>
      <c r="E1921" s="58" t="s">
        <v>2926</v>
      </c>
      <c r="F1921" s="57" t="s">
        <v>51</v>
      </c>
      <c r="G1921" s="57">
        <v>765</v>
      </c>
      <c r="H1921" s="268" t="s">
        <v>2927</v>
      </c>
    </row>
    <row r="1922" spans="1:8" s="239" customFormat="1" ht="93.6" x14ac:dyDescent="0.3">
      <c r="A1922" s="87">
        <v>23</v>
      </c>
      <c r="B1922" s="87">
        <v>3</v>
      </c>
      <c r="C1922" s="269" t="s">
        <v>32</v>
      </c>
      <c r="D1922" s="267" t="s">
        <v>0</v>
      </c>
      <c r="E1922" s="58" t="s">
        <v>2928</v>
      </c>
      <c r="F1922" s="57" t="s">
        <v>63</v>
      </c>
      <c r="G1922" s="57">
        <v>272</v>
      </c>
      <c r="H1922" s="268" t="s">
        <v>2929</v>
      </c>
    </row>
    <row r="1923" spans="1:8" s="239" customFormat="1" ht="109.2" x14ac:dyDescent="0.3">
      <c r="A1923" s="87">
        <v>23</v>
      </c>
      <c r="B1923" s="87">
        <v>3</v>
      </c>
      <c r="C1923" s="269" t="s">
        <v>32</v>
      </c>
      <c r="D1923" s="267" t="s">
        <v>1</v>
      </c>
      <c r="E1923" s="58" t="s">
        <v>2930</v>
      </c>
      <c r="F1923" s="57" t="s">
        <v>63</v>
      </c>
      <c r="G1923" s="57">
        <v>132</v>
      </c>
      <c r="H1923" s="268" t="s">
        <v>2923</v>
      </c>
    </row>
    <row r="1924" spans="1:8" s="239" customFormat="1" ht="93.6" x14ac:dyDescent="0.3">
      <c r="A1924" s="87">
        <v>23</v>
      </c>
      <c r="B1924" s="87">
        <v>3</v>
      </c>
      <c r="C1924" s="269" t="s">
        <v>32</v>
      </c>
      <c r="D1924" s="267" t="s">
        <v>65</v>
      </c>
      <c r="E1924" s="58" t="s">
        <v>2931</v>
      </c>
      <c r="F1924" s="57" t="s">
        <v>63</v>
      </c>
      <c r="G1924" s="57">
        <v>64</v>
      </c>
      <c r="H1924" s="268" t="s">
        <v>2932</v>
      </c>
    </row>
    <row r="1925" spans="1:8" s="239" customFormat="1" ht="109.2" x14ac:dyDescent="0.3">
      <c r="A1925" s="87">
        <v>23</v>
      </c>
      <c r="B1925" s="87">
        <v>3</v>
      </c>
      <c r="C1925" s="269" t="s">
        <v>32</v>
      </c>
      <c r="D1925" s="267" t="s">
        <v>1</v>
      </c>
      <c r="E1925" s="58" t="s">
        <v>2933</v>
      </c>
      <c r="F1925" s="57" t="s">
        <v>51</v>
      </c>
      <c r="G1925" s="57">
        <v>12</v>
      </c>
      <c r="H1925" s="268" t="s">
        <v>2934</v>
      </c>
    </row>
    <row r="1926" spans="1:8" s="239" customFormat="1" ht="109.2" x14ac:dyDescent="0.3">
      <c r="A1926" s="87">
        <v>23</v>
      </c>
      <c r="B1926" s="87">
        <v>3</v>
      </c>
      <c r="C1926" s="269" t="s">
        <v>32</v>
      </c>
      <c r="D1926" s="267" t="s">
        <v>1</v>
      </c>
      <c r="E1926" s="58" t="s">
        <v>2935</v>
      </c>
      <c r="F1926" s="57" t="s">
        <v>63</v>
      </c>
      <c r="G1926" s="57">
        <v>55</v>
      </c>
      <c r="H1926" s="268" t="s">
        <v>2923</v>
      </c>
    </row>
    <row r="1927" spans="1:8" s="239" customFormat="1" ht="109.2" x14ac:dyDescent="0.3">
      <c r="A1927" s="87">
        <v>23</v>
      </c>
      <c r="B1927" s="87">
        <v>3</v>
      </c>
      <c r="C1927" s="269" t="s">
        <v>32</v>
      </c>
      <c r="D1927" s="267" t="s">
        <v>1</v>
      </c>
      <c r="E1927" s="58" t="s">
        <v>2936</v>
      </c>
      <c r="F1927" s="57" t="s">
        <v>63</v>
      </c>
      <c r="G1927" s="57">
        <v>74</v>
      </c>
      <c r="H1927" s="268" t="s">
        <v>2923</v>
      </c>
    </row>
    <row r="1928" spans="1:8" s="239" customFormat="1" ht="109.2" x14ac:dyDescent="0.3">
      <c r="A1928" s="87">
        <v>23</v>
      </c>
      <c r="B1928" s="87">
        <v>3</v>
      </c>
      <c r="C1928" s="269" t="s">
        <v>32</v>
      </c>
      <c r="D1928" s="267" t="s">
        <v>65</v>
      </c>
      <c r="E1928" s="58" t="s">
        <v>2937</v>
      </c>
      <c r="F1928" s="57" t="s">
        <v>63</v>
      </c>
      <c r="G1928" s="57">
        <v>38</v>
      </c>
      <c r="H1928" s="268" t="s">
        <v>2938</v>
      </c>
    </row>
    <row r="1929" spans="1:8" s="239" customFormat="1" ht="78" x14ac:dyDescent="0.3">
      <c r="A1929" s="87">
        <v>23</v>
      </c>
      <c r="B1929" s="87">
        <v>3</v>
      </c>
      <c r="C1929" s="269" t="s">
        <v>32</v>
      </c>
      <c r="D1929" s="267" t="s">
        <v>1713</v>
      </c>
      <c r="E1929" s="58" t="s">
        <v>2939</v>
      </c>
      <c r="F1929" s="57" t="s">
        <v>63</v>
      </c>
      <c r="G1929" s="57">
        <v>1</v>
      </c>
      <c r="H1929" s="268" t="s">
        <v>2940</v>
      </c>
    </row>
    <row r="1930" spans="1:8" s="239" customFormat="1" ht="62.4" x14ac:dyDescent="0.3">
      <c r="A1930" s="87">
        <v>23</v>
      </c>
      <c r="B1930" s="87">
        <v>3</v>
      </c>
      <c r="C1930" s="269" t="s">
        <v>32</v>
      </c>
      <c r="D1930" s="267" t="s">
        <v>65</v>
      </c>
      <c r="E1930" s="58" t="s">
        <v>2941</v>
      </c>
      <c r="F1930" s="57" t="s">
        <v>51</v>
      </c>
      <c r="G1930" s="57" t="s">
        <v>394</v>
      </c>
      <c r="H1930" s="268" t="s">
        <v>2942</v>
      </c>
    </row>
    <row r="1931" spans="1:8" s="239" customFormat="1" ht="109.2" x14ac:dyDescent="0.3">
      <c r="A1931" s="87">
        <v>23</v>
      </c>
      <c r="B1931" s="87">
        <v>3</v>
      </c>
      <c r="C1931" s="269" t="s">
        <v>32</v>
      </c>
      <c r="D1931" s="267" t="s">
        <v>65</v>
      </c>
      <c r="E1931" s="58" t="s">
        <v>2943</v>
      </c>
      <c r="F1931" s="57" t="s">
        <v>51</v>
      </c>
      <c r="G1931" s="57">
        <v>183</v>
      </c>
      <c r="H1931" s="268" t="s">
        <v>2944</v>
      </c>
    </row>
    <row r="1932" spans="1:8" s="239" customFormat="1" ht="109.2" x14ac:dyDescent="0.3">
      <c r="A1932" s="87">
        <v>24</v>
      </c>
      <c r="B1932" s="87">
        <v>3</v>
      </c>
      <c r="C1932" s="269" t="s">
        <v>33</v>
      </c>
      <c r="D1932" s="58" t="s">
        <v>65</v>
      </c>
      <c r="E1932" s="58" t="s">
        <v>2813</v>
      </c>
      <c r="F1932" s="59" t="s">
        <v>63</v>
      </c>
      <c r="G1932" s="59" t="s">
        <v>75</v>
      </c>
      <c r="H1932" s="268" t="s">
        <v>2814</v>
      </c>
    </row>
    <row r="1933" spans="1:8" s="239" customFormat="1" ht="62.4" x14ac:dyDescent="0.3">
      <c r="A1933" s="87">
        <v>24</v>
      </c>
      <c r="B1933" s="87">
        <v>3</v>
      </c>
      <c r="C1933" s="269" t="s">
        <v>33</v>
      </c>
      <c r="D1933" s="58" t="s">
        <v>65</v>
      </c>
      <c r="E1933" s="58" t="s">
        <v>2815</v>
      </c>
      <c r="F1933" s="59" t="s">
        <v>63</v>
      </c>
      <c r="G1933" s="59">
        <v>4</v>
      </c>
      <c r="H1933" s="268" t="s">
        <v>2816</v>
      </c>
    </row>
    <row r="1934" spans="1:8" s="239" customFormat="1" ht="78" x14ac:dyDescent="0.3">
      <c r="A1934" s="87">
        <v>24</v>
      </c>
      <c r="B1934" s="87">
        <v>3</v>
      </c>
      <c r="C1934" s="269" t="s">
        <v>33</v>
      </c>
      <c r="D1934" s="58" t="s">
        <v>65</v>
      </c>
      <c r="E1934" s="58" t="s">
        <v>2817</v>
      </c>
      <c r="F1934" s="59" t="s">
        <v>63</v>
      </c>
      <c r="G1934" s="59">
        <v>4</v>
      </c>
      <c r="H1934" s="268" t="s">
        <v>2818</v>
      </c>
    </row>
    <row r="1935" spans="1:8" s="239" customFormat="1" ht="93.6" x14ac:dyDescent="0.3">
      <c r="A1935" s="87">
        <v>24</v>
      </c>
      <c r="B1935" s="87">
        <v>3</v>
      </c>
      <c r="C1935" s="269" t="s">
        <v>33</v>
      </c>
      <c r="D1935" s="58" t="s">
        <v>65</v>
      </c>
      <c r="E1935" s="58" t="s">
        <v>2819</v>
      </c>
      <c r="F1935" s="59" t="s">
        <v>51</v>
      </c>
      <c r="G1935" s="59">
        <v>58</v>
      </c>
      <c r="H1935" s="268" t="s">
        <v>2820</v>
      </c>
    </row>
    <row r="1936" spans="1:8" s="239" customFormat="1" ht="140.4" x14ac:dyDescent="0.3">
      <c r="A1936" s="87">
        <v>24</v>
      </c>
      <c r="B1936" s="87">
        <v>3</v>
      </c>
      <c r="C1936" s="269" t="s">
        <v>33</v>
      </c>
      <c r="D1936" s="58" t="s">
        <v>1</v>
      </c>
      <c r="E1936" s="58" t="s">
        <v>3389</v>
      </c>
      <c r="F1936" s="59" t="s">
        <v>63</v>
      </c>
      <c r="G1936" s="59">
        <v>281</v>
      </c>
      <c r="H1936" s="268" t="s">
        <v>2821</v>
      </c>
    </row>
    <row r="1937" spans="1:8" s="239" customFormat="1" ht="156" x14ac:dyDescent="0.3">
      <c r="A1937" s="87">
        <v>24</v>
      </c>
      <c r="B1937" s="87">
        <v>3</v>
      </c>
      <c r="C1937" s="269" t="s">
        <v>33</v>
      </c>
      <c r="D1937" s="58" t="s">
        <v>1</v>
      </c>
      <c r="E1937" s="58" t="s">
        <v>2822</v>
      </c>
      <c r="F1937" s="59" t="s">
        <v>63</v>
      </c>
      <c r="G1937" s="59">
        <v>122</v>
      </c>
      <c r="H1937" s="268" t="s">
        <v>2823</v>
      </c>
    </row>
    <row r="1938" spans="1:8" s="239" customFormat="1" ht="109.2" x14ac:dyDescent="0.3">
      <c r="A1938" s="87">
        <v>24</v>
      </c>
      <c r="B1938" s="87">
        <v>3</v>
      </c>
      <c r="C1938" s="269" t="s">
        <v>33</v>
      </c>
      <c r="D1938" s="58" t="s">
        <v>1</v>
      </c>
      <c r="E1938" s="58" t="s">
        <v>2824</v>
      </c>
      <c r="F1938" s="59" t="s">
        <v>63</v>
      </c>
      <c r="G1938" s="59">
        <v>56</v>
      </c>
      <c r="H1938" s="268" t="s">
        <v>2825</v>
      </c>
    </row>
    <row r="1939" spans="1:8" s="239" customFormat="1" ht="109.2" x14ac:dyDescent="0.3">
      <c r="A1939" s="87">
        <v>24</v>
      </c>
      <c r="B1939" s="87">
        <v>3</v>
      </c>
      <c r="C1939" s="269" t="s">
        <v>33</v>
      </c>
      <c r="D1939" s="58" t="s">
        <v>0</v>
      </c>
      <c r="E1939" s="58" t="s">
        <v>2826</v>
      </c>
      <c r="F1939" s="59" t="s">
        <v>63</v>
      </c>
      <c r="G1939" s="59">
        <v>57</v>
      </c>
      <c r="H1939" s="268" t="s">
        <v>2825</v>
      </c>
    </row>
    <row r="1940" spans="1:8" s="239" customFormat="1" ht="93.6" x14ac:dyDescent="0.3">
      <c r="A1940" s="87">
        <v>24</v>
      </c>
      <c r="B1940" s="87">
        <v>3</v>
      </c>
      <c r="C1940" s="269" t="s">
        <v>33</v>
      </c>
      <c r="D1940" s="58" t="s">
        <v>0</v>
      </c>
      <c r="E1940" s="58" t="s">
        <v>2827</v>
      </c>
      <c r="F1940" s="59" t="s">
        <v>63</v>
      </c>
      <c r="G1940" s="59">
        <v>193</v>
      </c>
      <c r="H1940" s="268" t="s">
        <v>2828</v>
      </c>
    </row>
    <row r="1941" spans="1:8" s="239" customFormat="1" ht="124.8" x14ac:dyDescent="0.3">
      <c r="A1941" s="87">
        <v>25</v>
      </c>
      <c r="B1941" s="87">
        <v>3</v>
      </c>
      <c r="C1941" s="269" t="s">
        <v>34</v>
      </c>
      <c r="D1941" s="267" t="s">
        <v>65</v>
      </c>
      <c r="E1941" s="58" t="s">
        <v>3160</v>
      </c>
      <c r="F1941" s="57" t="s">
        <v>51</v>
      </c>
      <c r="G1941" s="57" t="s">
        <v>75</v>
      </c>
      <c r="H1941" s="268" t="s">
        <v>3131</v>
      </c>
    </row>
    <row r="1942" spans="1:8" s="239" customFormat="1" ht="78" x14ac:dyDescent="0.3">
      <c r="A1942" s="87">
        <v>25</v>
      </c>
      <c r="B1942" s="87">
        <v>3</v>
      </c>
      <c r="C1942" s="269" t="s">
        <v>34</v>
      </c>
      <c r="D1942" s="267" t="s">
        <v>65</v>
      </c>
      <c r="E1942" s="58" t="s">
        <v>3161</v>
      </c>
      <c r="F1942" s="57" t="s">
        <v>51</v>
      </c>
      <c r="G1942" s="57">
        <v>3</v>
      </c>
      <c r="H1942" s="268" t="s">
        <v>3132</v>
      </c>
    </row>
    <row r="1943" spans="1:8" s="239" customFormat="1" ht="124.8" x14ac:dyDescent="0.3">
      <c r="A1943" s="87">
        <v>25</v>
      </c>
      <c r="B1943" s="87">
        <v>3</v>
      </c>
      <c r="C1943" s="269" t="s">
        <v>34</v>
      </c>
      <c r="D1943" s="267" t="s">
        <v>65</v>
      </c>
      <c r="E1943" s="58" t="s">
        <v>3133</v>
      </c>
      <c r="F1943" s="57" t="s">
        <v>51</v>
      </c>
      <c r="G1943" s="57">
        <v>7</v>
      </c>
      <c r="H1943" s="268" t="s">
        <v>3134</v>
      </c>
    </row>
    <row r="1944" spans="1:8" s="239" customFormat="1" ht="109.2" x14ac:dyDescent="0.3">
      <c r="A1944" s="87">
        <v>25</v>
      </c>
      <c r="B1944" s="87">
        <v>3</v>
      </c>
      <c r="C1944" s="269" t="s">
        <v>34</v>
      </c>
      <c r="D1944" s="267" t="s">
        <v>1</v>
      </c>
      <c r="E1944" s="58" t="s">
        <v>3135</v>
      </c>
      <c r="F1944" s="57" t="s">
        <v>63</v>
      </c>
      <c r="G1944" s="57">
        <v>109</v>
      </c>
      <c r="H1944" s="268" t="s">
        <v>3136</v>
      </c>
    </row>
    <row r="1945" spans="1:8" s="239" customFormat="1" ht="93.6" x14ac:dyDescent="0.3">
      <c r="A1945" s="87">
        <v>25</v>
      </c>
      <c r="B1945" s="87">
        <v>3</v>
      </c>
      <c r="C1945" s="269" t="s">
        <v>34</v>
      </c>
      <c r="D1945" s="267" t="s">
        <v>1</v>
      </c>
      <c r="E1945" s="58" t="s">
        <v>3162</v>
      </c>
      <c r="F1945" s="57" t="s">
        <v>63</v>
      </c>
      <c r="G1945" s="57">
        <v>11</v>
      </c>
      <c r="H1945" s="268" t="s">
        <v>3137</v>
      </c>
    </row>
    <row r="1946" spans="1:8" s="239" customFormat="1" ht="93.6" x14ac:dyDescent="0.3">
      <c r="A1946" s="87">
        <v>25</v>
      </c>
      <c r="B1946" s="87">
        <v>3</v>
      </c>
      <c r="C1946" s="269" t="s">
        <v>34</v>
      </c>
      <c r="D1946" s="267" t="s">
        <v>1</v>
      </c>
      <c r="E1946" s="58" t="s">
        <v>3163</v>
      </c>
      <c r="F1946" s="57" t="s">
        <v>63</v>
      </c>
      <c r="G1946" s="57">
        <v>29</v>
      </c>
      <c r="H1946" s="268" t="s">
        <v>3138</v>
      </c>
    </row>
    <row r="1947" spans="1:8" s="239" customFormat="1" ht="93.6" x14ac:dyDescent="0.3">
      <c r="A1947" s="87">
        <v>25</v>
      </c>
      <c r="B1947" s="87">
        <v>3</v>
      </c>
      <c r="C1947" s="269" t="s">
        <v>34</v>
      </c>
      <c r="D1947" s="267" t="s">
        <v>1</v>
      </c>
      <c r="E1947" s="58" t="s">
        <v>3139</v>
      </c>
      <c r="F1947" s="57" t="s">
        <v>63</v>
      </c>
      <c r="G1947" s="57">
        <v>31</v>
      </c>
      <c r="H1947" s="268" t="s">
        <v>3140</v>
      </c>
    </row>
    <row r="1948" spans="1:8" s="239" customFormat="1" ht="93.6" x14ac:dyDescent="0.3">
      <c r="A1948" s="87">
        <v>25</v>
      </c>
      <c r="B1948" s="87">
        <v>3</v>
      </c>
      <c r="C1948" s="269" t="s">
        <v>34</v>
      </c>
      <c r="D1948" s="267" t="s">
        <v>1</v>
      </c>
      <c r="E1948" s="58" t="s">
        <v>3141</v>
      </c>
      <c r="F1948" s="57" t="s">
        <v>63</v>
      </c>
      <c r="G1948" s="57">
        <v>43</v>
      </c>
      <c r="H1948" s="268" t="s">
        <v>3142</v>
      </c>
    </row>
    <row r="1949" spans="1:8" s="239" customFormat="1" ht="93.6" x14ac:dyDescent="0.3">
      <c r="A1949" s="87">
        <v>25</v>
      </c>
      <c r="B1949" s="87">
        <v>3</v>
      </c>
      <c r="C1949" s="269" t="s">
        <v>34</v>
      </c>
      <c r="D1949" s="267" t="s">
        <v>1</v>
      </c>
      <c r="E1949" s="58" t="s">
        <v>3143</v>
      </c>
      <c r="F1949" s="57" t="s">
        <v>63</v>
      </c>
      <c r="G1949" s="57">
        <v>51</v>
      </c>
      <c r="H1949" s="268" t="s">
        <v>3144</v>
      </c>
    </row>
    <row r="1950" spans="1:8" s="239" customFormat="1" ht="109.2" x14ac:dyDescent="0.3">
      <c r="A1950" s="87">
        <v>25</v>
      </c>
      <c r="B1950" s="87">
        <v>3</v>
      </c>
      <c r="C1950" s="269" t="s">
        <v>34</v>
      </c>
      <c r="D1950" s="267" t="s">
        <v>1</v>
      </c>
      <c r="E1950" s="58" t="s">
        <v>3145</v>
      </c>
      <c r="F1950" s="57" t="s">
        <v>51</v>
      </c>
      <c r="G1950" s="57">
        <v>2</v>
      </c>
      <c r="H1950" s="268" t="s">
        <v>3146</v>
      </c>
    </row>
    <row r="1951" spans="1:8" s="239" customFormat="1" ht="140.4" x14ac:dyDescent="0.3">
      <c r="A1951" s="87">
        <v>25</v>
      </c>
      <c r="B1951" s="87">
        <v>3</v>
      </c>
      <c r="C1951" s="269" t="s">
        <v>34</v>
      </c>
      <c r="D1951" s="267" t="s">
        <v>1</v>
      </c>
      <c r="E1951" s="58" t="s">
        <v>3147</v>
      </c>
      <c r="F1951" s="57" t="s">
        <v>51</v>
      </c>
      <c r="G1951" s="57">
        <v>0</v>
      </c>
      <c r="H1951" s="268" t="s">
        <v>3148</v>
      </c>
    </row>
    <row r="1952" spans="1:8" s="239" customFormat="1" ht="62.4" x14ac:dyDescent="0.3">
      <c r="A1952" s="87">
        <v>25</v>
      </c>
      <c r="B1952" s="87">
        <v>3</v>
      </c>
      <c r="C1952" s="269" t="s">
        <v>34</v>
      </c>
      <c r="D1952" s="267" t="s">
        <v>1</v>
      </c>
      <c r="E1952" s="58" t="s">
        <v>3149</v>
      </c>
      <c r="F1952" s="57" t="s">
        <v>51</v>
      </c>
      <c r="G1952" s="57">
        <v>1</v>
      </c>
      <c r="H1952" s="268" t="s">
        <v>3150</v>
      </c>
    </row>
    <row r="1953" spans="1:8" s="239" customFormat="1" ht="109.2" x14ac:dyDescent="0.3">
      <c r="A1953" s="87">
        <v>25</v>
      </c>
      <c r="B1953" s="87">
        <v>3</v>
      </c>
      <c r="C1953" s="269" t="s">
        <v>34</v>
      </c>
      <c r="D1953" s="267" t="s">
        <v>65</v>
      </c>
      <c r="E1953" s="58" t="s">
        <v>3151</v>
      </c>
      <c r="F1953" s="57" t="s">
        <v>63</v>
      </c>
      <c r="G1953" s="57">
        <v>30</v>
      </c>
      <c r="H1953" s="268" t="s">
        <v>3152</v>
      </c>
    </row>
    <row r="1954" spans="1:8" s="239" customFormat="1" ht="109.2" x14ac:dyDescent="0.3">
      <c r="A1954" s="87">
        <v>25</v>
      </c>
      <c r="B1954" s="87">
        <v>3</v>
      </c>
      <c r="C1954" s="269" t="s">
        <v>34</v>
      </c>
      <c r="D1954" s="267" t="s">
        <v>65</v>
      </c>
      <c r="E1954" s="58" t="s">
        <v>3153</v>
      </c>
      <c r="F1954" s="57" t="s">
        <v>63</v>
      </c>
      <c r="G1954" s="57">
        <v>29</v>
      </c>
      <c r="H1954" s="268" t="s">
        <v>3154</v>
      </c>
    </row>
    <row r="1955" spans="1:8" s="239" customFormat="1" ht="109.2" x14ac:dyDescent="0.3">
      <c r="A1955" s="87">
        <v>25</v>
      </c>
      <c r="B1955" s="87">
        <v>3</v>
      </c>
      <c r="C1955" s="269" t="s">
        <v>34</v>
      </c>
      <c r="D1955" s="267" t="s">
        <v>0</v>
      </c>
      <c r="E1955" s="58" t="s">
        <v>3155</v>
      </c>
      <c r="F1955" s="57" t="s">
        <v>51</v>
      </c>
      <c r="G1955" s="57">
        <v>6</v>
      </c>
      <c r="H1955" s="268" t="s">
        <v>3156</v>
      </c>
    </row>
    <row r="1956" spans="1:8" s="239" customFormat="1" ht="156" x14ac:dyDescent="0.3">
      <c r="A1956" s="87">
        <v>25</v>
      </c>
      <c r="B1956" s="87">
        <v>3</v>
      </c>
      <c r="C1956" s="269" t="s">
        <v>34</v>
      </c>
      <c r="D1956" s="267" t="s">
        <v>4</v>
      </c>
      <c r="E1956" s="58" t="s">
        <v>3157</v>
      </c>
      <c r="F1956" s="57" t="s">
        <v>63</v>
      </c>
      <c r="G1956" s="57">
        <v>0</v>
      </c>
      <c r="H1956" s="268" t="s">
        <v>3158</v>
      </c>
    </row>
    <row r="1957" spans="1:8" s="239" customFormat="1" ht="62.4" x14ac:dyDescent="0.3">
      <c r="A1957" s="87">
        <v>25</v>
      </c>
      <c r="B1957" s="87">
        <v>3</v>
      </c>
      <c r="C1957" s="269" t="s">
        <v>34</v>
      </c>
      <c r="D1957" s="267" t="s">
        <v>119</v>
      </c>
      <c r="E1957" s="58" t="s">
        <v>3159</v>
      </c>
      <c r="F1957" s="57" t="s">
        <v>51</v>
      </c>
      <c r="G1957" s="57">
        <v>17</v>
      </c>
      <c r="H1957" s="268" t="s">
        <v>3146</v>
      </c>
    </row>
    <row r="1958" spans="1:8" s="239" customFormat="1" hidden="1" x14ac:dyDescent="0.3">
      <c r="A1958" s="75"/>
      <c r="B1958" s="75"/>
      <c r="C1958" s="139"/>
      <c r="D1958" s="10"/>
      <c r="E1958" s="14"/>
      <c r="F1958" s="9"/>
      <c r="G1958" s="9"/>
      <c r="H1958" s="135"/>
    </row>
    <row r="1959" spans="1:8" s="239" customFormat="1" hidden="1" x14ac:dyDescent="0.3">
      <c r="A1959" s="75"/>
      <c r="B1959" s="75"/>
      <c r="C1959" s="139"/>
      <c r="D1959" s="10"/>
      <c r="E1959" s="14"/>
      <c r="F1959" s="9"/>
      <c r="G1959" s="9"/>
      <c r="H1959" s="135"/>
    </row>
    <row r="1960" spans="1:8" s="239" customFormat="1" ht="156" x14ac:dyDescent="0.3">
      <c r="A1960" s="87">
        <v>26</v>
      </c>
      <c r="B1960" s="87">
        <v>3</v>
      </c>
      <c r="C1960" s="269" t="s">
        <v>35</v>
      </c>
      <c r="D1960" s="267" t="s">
        <v>65</v>
      </c>
      <c r="E1960" s="58" t="s">
        <v>2829</v>
      </c>
      <c r="F1960" s="57" t="s">
        <v>63</v>
      </c>
      <c r="G1960" s="57">
        <v>50</v>
      </c>
      <c r="H1960" s="268" t="s">
        <v>2830</v>
      </c>
    </row>
    <row r="1961" spans="1:8" s="239" customFormat="1" ht="93.6" x14ac:dyDescent="0.3">
      <c r="A1961" s="87">
        <v>26</v>
      </c>
      <c r="B1961" s="87">
        <v>3</v>
      </c>
      <c r="C1961" s="269" t="s">
        <v>35</v>
      </c>
      <c r="D1961" s="267" t="s">
        <v>0</v>
      </c>
      <c r="E1961" s="58" t="s">
        <v>2831</v>
      </c>
      <c r="F1961" s="57" t="s">
        <v>63</v>
      </c>
      <c r="G1961" s="57">
        <v>1</v>
      </c>
      <c r="H1961" s="268" t="s">
        <v>2832</v>
      </c>
    </row>
    <row r="1962" spans="1:8" s="239" customFormat="1" ht="78" x14ac:dyDescent="0.3">
      <c r="A1962" s="87">
        <v>26</v>
      </c>
      <c r="B1962" s="87">
        <v>3</v>
      </c>
      <c r="C1962" s="269" t="s">
        <v>35</v>
      </c>
      <c r="D1962" s="267" t="s">
        <v>0</v>
      </c>
      <c r="E1962" s="58" t="s">
        <v>2856</v>
      </c>
      <c r="F1962" s="57" t="s">
        <v>63</v>
      </c>
      <c r="G1962" s="57">
        <v>2</v>
      </c>
      <c r="H1962" s="268" t="s">
        <v>2833</v>
      </c>
    </row>
    <row r="1963" spans="1:8" s="239" customFormat="1" ht="93.6" x14ac:dyDescent="0.3">
      <c r="A1963" s="87">
        <v>26</v>
      </c>
      <c r="B1963" s="87">
        <v>3</v>
      </c>
      <c r="C1963" s="269" t="s">
        <v>35</v>
      </c>
      <c r="D1963" s="267" t="s">
        <v>0</v>
      </c>
      <c r="E1963" s="58" t="s">
        <v>2857</v>
      </c>
      <c r="F1963" s="57" t="s">
        <v>63</v>
      </c>
      <c r="G1963" s="57">
        <v>261</v>
      </c>
      <c r="H1963" s="268" t="s">
        <v>2834</v>
      </c>
    </row>
    <row r="1964" spans="1:8" s="239" customFormat="1" ht="78" x14ac:dyDescent="0.3">
      <c r="A1964" s="87">
        <v>26</v>
      </c>
      <c r="B1964" s="87">
        <v>3</v>
      </c>
      <c r="C1964" s="269" t="s">
        <v>35</v>
      </c>
      <c r="D1964" s="267" t="s">
        <v>541</v>
      </c>
      <c r="E1964" s="58" t="s">
        <v>2835</v>
      </c>
      <c r="F1964" s="57" t="s">
        <v>63</v>
      </c>
      <c r="G1964" s="57">
        <v>1</v>
      </c>
      <c r="H1964" s="268" t="s">
        <v>2836</v>
      </c>
    </row>
    <row r="1965" spans="1:8" s="239" customFormat="1" ht="93.6" x14ac:dyDescent="0.3">
      <c r="A1965" s="87">
        <v>26</v>
      </c>
      <c r="B1965" s="87">
        <v>3</v>
      </c>
      <c r="C1965" s="269" t="s">
        <v>35</v>
      </c>
      <c r="D1965" s="267" t="s">
        <v>541</v>
      </c>
      <c r="E1965" s="58" t="s">
        <v>2837</v>
      </c>
      <c r="F1965" s="57" t="s">
        <v>51</v>
      </c>
      <c r="G1965" s="57">
        <v>0</v>
      </c>
      <c r="H1965" s="268" t="s">
        <v>2838</v>
      </c>
    </row>
    <row r="1966" spans="1:8" s="239" customFormat="1" ht="62.4" x14ac:dyDescent="0.3">
      <c r="A1966" s="87">
        <v>26</v>
      </c>
      <c r="B1966" s="87">
        <v>3</v>
      </c>
      <c r="C1966" s="269" t="s">
        <v>35</v>
      </c>
      <c r="D1966" s="267" t="s">
        <v>2839</v>
      </c>
      <c r="E1966" s="58" t="s">
        <v>2840</v>
      </c>
      <c r="F1966" s="57" t="s">
        <v>63</v>
      </c>
      <c r="G1966" s="57">
        <v>156</v>
      </c>
      <c r="H1966" s="268" t="s">
        <v>2841</v>
      </c>
    </row>
    <row r="1967" spans="1:8" s="239" customFormat="1" ht="78" x14ac:dyDescent="0.3">
      <c r="A1967" s="87">
        <v>26</v>
      </c>
      <c r="B1967" s="87">
        <v>3</v>
      </c>
      <c r="C1967" s="269" t="s">
        <v>35</v>
      </c>
      <c r="D1967" s="267" t="s">
        <v>1</v>
      </c>
      <c r="E1967" s="58" t="s">
        <v>2842</v>
      </c>
      <c r="F1967" s="57" t="s">
        <v>63</v>
      </c>
      <c r="G1967" s="57">
        <v>70</v>
      </c>
      <c r="H1967" s="268" t="s">
        <v>2843</v>
      </c>
    </row>
    <row r="1968" spans="1:8" s="239" customFormat="1" ht="109.2" x14ac:dyDescent="0.3">
      <c r="A1968" s="87">
        <v>26</v>
      </c>
      <c r="B1968" s="87">
        <v>3</v>
      </c>
      <c r="C1968" s="269" t="s">
        <v>35</v>
      </c>
      <c r="D1968" s="267" t="s">
        <v>1</v>
      </c>
      <c r="E1968" s="58" t="s">
        <v>2844</v>
      </c>
      <c r="F1968" s="57" t="s">
        <v>51</v>
      </c>
      <c r="G1968" s="57">
        <v>0</v>
      </c>
      <c r="H1968" s="268" t="s">
        <v>2845</v>
      </c>
    </row>
    <row r="1969" spans="1:8" s="239" customFormat="1" ht="62.4" x14ac:dyDescent="0.3">
      <c r="A1969" s="87">
        <v>26</v>
      </c>
      <c r="B1969" s="87">
        <v>3</v>
      </c>
      <c r="C1969" s="269" t="s">
        <v>35</v>
      </c>
      <c r="D1969" s="267" t="s">
        <v>1</v>
      </c>
      <c r="E1969" s="58" t="s">
        <v>2846</v>
      </c>
      <c r="F1969" s="57" t="s">
        <v>51</v>
      </c>
      <c r="G1969" s="57">
        <v>362</v>
      </c>
      <c r="H1969" s="268" t="s">
        <v>2847</v>
      </c>
    </row>
    <row r="1970" spans="1:8" s="239" customFormat="1" ht="78" x14ac:dyDescent="0.3">
      <c r="A1970" s="87">
        <v>26</v>
      </c>
      <c r="B1970" s="87">
        <v>3</v>
      </c>
      <c r="C1970" s="269" t="s">
        <v>35</v>
      </c>
      <c r="D1970" s="267" t="s">
        <v>1</v>
      </c>
      <c r="E1970" s="58" t="s">
        <v>2858</v>
      </c>
      <c r="F1970" s="57" t="s">
        <v>51</v>
      </c>
      <c r="G1970" s="57">
        <v>223</v>
      </c>
      <c r="H1970" s="268" t="s">
        <v>2848</v>
      </c>
    </row>
    <row r="1971" spans="1:8" s="239" customFormat="1" ht="62.4" x14ac:dyDescent="0.3">
      <c r="A1971" s="87">
        <v>26</v>
      </c>
      <c r="B1971" s="87">
        <v>3</v>
      </c>
      <c r="C1971" s="269" t="s">
        <v>35</v>
      </c>
      <c r="D1971" s="267" t="s">
        <v>1</v>
      </c>
      <c r="E1971" s="58" t="s">
        <v>2859</v>
      </c>
      <c r="F1971" s="57" t="s">
        <v>51</v>
      </c>
      <c r="G1971" s="57">
        <v>117</v>
      </c>
      <c r="H1971" s="268" t="s">
        <v>2849</v>
      </c>
    </row>
    <row r="1972" spans="1:8" s="239" customFormat="1" ht="93.6" x14ac:dyDescent="0.3">
      <c r="A1972" s="87">
        <v>26</v>
      </c>
      <c r="B1972" s="87">
        <v>3</v>
      </c>
      <c r="C1972" s="269" t="s">
        <v>35</v>
      </c>
      <c r="D1972" s="267" t="s">
        <v>1</v>
      </c>
      <c r="E1972" s="58" t="s">
        <v>2860</v>
      </c>
      <c r="F1972" s="57" t="s">
        <v>63</v>
      </c>
      <c r="G1972" s="57">
        <v>20</v>
      </c>
      <c r="H1972" s="268" t="s">
        <v>2537</v>
      </c>
    </row>
    <row r="1973" spans="1:8" s="239" customFormat="1" ht="62.4" x14ac:dyDescent="0.3">
      <c r="A1973" s="87">
        <v>26</v>
      </c>
      <c r="B1973" s="87">
        <v>3</v>
      </c>
      <c r="C1973" s="269" t="s">
        <v>35</v>
      </c>
      <c r="D1973" s="267" t="s">
        <v>65</v>
      </c>
      <c r="E1973" s="58" t="s">
        <v>2616</v>
      </c>
      <c r="F1973" s="57" t="s">
        <v>51</v>
      </c>
      <c r="G1973" s="57" t="s">
        <v>75</v>
      </c>
      <c r="H1973" s="268" t="s">
        <v>2103</v>
      </c>
    </row>
    <row r="1974" spans="1:8" s="239" customFormat="1" ht="93.6" x14ac:dyDescent="0.3">
      <c r="A1974" s="87">
        <v>26</v>
      </c>
      <c r="B1974" s="87">
        <v>3</v>
      </c>
      <c r="C1974" s="269" t="s">
        <v>35</v>
      </c>
      <c r="D1974" s="267" t="s">
        <v>65</v>
      </c>
      <c r="E1974" s="58" t="s">
        <v>2861</v>
      </c>
      <c r="F1974" s="57" t="s">
        <v>51</v>
      </c>
      <c r="G1974" s="57" t="s">
        <v>75</v>
      </c>
      <c r="H1974" s="268" t="s">
        <v>2850</v>
      </c>
    </row>
    <row r="1975" spans="1:8" s="239" customFormat="1" ht="62.4" x14ac:dyDescent="0.3">
      <c r="A1975" s="87">
        <v>26</v>
      </c>
      <c r="B1975" s="87">
        <v>3</v>
      </c>
      <c r="C1975" s="269" t="s">
        <v>35</v>
      </c>
      <c r="D1975" s="267" t="s">
        <v>65</v>
      </c>
      <c r="E1975" s="58" t="s">
        <v>2851</v>
      </c>
      <c r="F1975" s="57" t="s">
        <v>63</v>
      </c>
      <c r="G1975" s="57">
        <v>2</v>
      </c>
      <c r="H1975" s="268" t="s">
        <v>2849</v>
      </c>
    </row>
    <row r="1976" spans="1:8" s="239" customFormat="1" ht="93.6" x14ac:dyDescent="0.3">
      <c r="A1976" s="87">
        <v>26</v>
      </c>
      <c r="B1976" s="87">
        <v>3</v>
      </c>
      <c r="C1976" s="269" t="s">
        <v>35</v>
      </c>
      <c r="D1976" s="267" t="s">
        <v>65</v>
      </c>
      <c r="E1976" s="58" t="s">
        <v>2852</v>
      </c>
      <c r="F1976" s="57" t="s">
        <v>63</v>
      </c>
      <c r="G1976" s="57">
        <v>3</v>
      </c>
      <c r="H1976" s="268" t="s">
        <v>2853</v>
      </c>
    </row>
    <row r="1977" spans="1:8" s="239" customFormat="1" ht="109.2" x14ac:dyDescent="0.3">
      <c r="A1977" s="87">
        <v>26</v>
      </c>
      <c r="B1977" s="87">
        <v>3</v>
      </c>
      <c r="C1977" s="269" t="s">
        <v>35</v>
      </c>
      <c r="D1977" s="267" t="s">
        <v>65</v>
      </c>
      <c r="E1977" s="58" t="s">
        <v>2854</v>
      </c>
      <c r="F1977" s="57" t="s">
        <v>63</v>
      </c>
      <c r="G1977" s="57">
        <v>7</v>
      </c>
      <c r="H1977" s="268" t="s">
        <v>2849</v>
      </c>
    </row>
    <row r="1978" spans="1:8" s="239" customFormat="1" ht="62.4" x14ac:dyDescent="0.3">
      <c r="A1978" s="87">
        <v>26</v>
      </c>
      <c r="B1978" s="87">
        <v>3</v>
      </c>
      <c r="C1978" s="269" t="s">
        <v>35</v>
      </c>
      <c r="D1978" s="267" t="s">
        <v>65</v>
      </c>
      <c r="E1978" s="58" t="s">
        <v>2862</v>
      </c>
      <c r="F1978" s="57" t="s">
        <v>63</v>
      </c>
      <c r="G1978" s="57">
        <v>1</v>
      </c>
      <c r="H1978" s="268" t="s">
        <v>2855</v>
      </c>
    </row>
    <row r="1979" spans="1:8" s="239" customFormat="1" ht="46.8" x14ac:dyDescent="0.3">
      <c r="A1979" s="87">
        <v>27</v>
      </c>
      <c r="B1979" s="87">
        <v>3</v>
      </c>
      <c r="C1979" s="269" t="s">
        <v>36</v>
      </c>
      <c r="D1979" s="267" t="s">
        <v>65</v>
      </c>
      <c r="E1979" s="58" t="s">
        <v>3283</v>
      </c>
      <c r="F1979" s="57" t="s">
        <v>51</v>
      </c>
      <c r="G1979" s="57" t="s">
        <v>394</v>
      </c>
      <c r="H1979" s="268" t="s">
        <v>3284</v>
      </c>
    </row>
    <row r="1980" spans="1:8" s="239" customFormat="1" ht="78" x14ac:dyDescent="0.3">
      <c r="A1980" s="87">
        <v>27</v>
      </c>
      <c r="B1980" s="87">
        <v>3</v>
      </c>
      <c r="C1980" s="269" t="s">
        <v>36</v>
      </c>
      <c r="D1980" s="267" t="s">
        <v>1</v>
      </c>
      <c r="E1980" s="58" t="s">
        <v>3285</v>
      </c>
      <c r="F1980" s="57" t="s">
        <v>51</v>
      </c>
      <c r="G1980" s="57">
        <v>102</v>
      </c>
      <c r="H1980" s="268" t="s">
        <v>2849</v>
      </c>
    </row>
    <row r="1981" spans="1:8" s="239" customFormat="1" ht="78" x14ac:dyDescent="0.3">
      <c r="A1981" s="87">
        <v>27</v>
      </c>
      <c r="B1981" s="87">
        <v>3</v>
      </c>
      <c r="C1981" s="269" t="s">
        <v>36</v>
      </c>
      <c r="D1981" s="267" t="s">
        <v>0</v>
      </c>
      <c r="E1981" s="58" t="s">
        <v>3286</v>
      </c>
      <c r="F1981" s="57" t="s">
        <v>51</v>
      </c>
      <c r="G1981" s="57">
        <v>28</v>
      </c>
      <c r="H1981" s="268" t="s">
        <v>2849</v>
      </c>
    </row>
    <row r="1982" spans="1:8" s="239" customFormat="1" ht="62.4" x14ac:dyDescent="0.3">
      <c r="A1982" s="87">
        <v>27</v>
      </c>
      <c r="B1982" s="87">
        <v>3</v>
      </c>
      <c r="C1982" s="269" t="s">
        <v>36</v>
      </c>
      <c r="D1982" s="267" t="s">
        <v>0</v>
      </c>
      <c r="E1982" s="58" t="s">
        <v>3287</v>
      </c>
      <c r="F1982" s="57" t="s">
        <v>63</v>
      </c>
      <c r="G1982" s="57">
        <v>15</v>
      </c>
      <c r="H1982" s="268" t="s">
        <v>3288</v>
      </c>
    </row>
    <row r="1983" spans="1:8" s="239" customFormat="1" ht="62.4" x14ac:dyDescent="0.3">
      <c r="A1983" s="87">
        <v>27</v>
      </c>
      <c r="B1983" s="87">
        <v>3</v>
      </c>
      <c r="C1983" s="269" t="s">
        <v>36</v>
      </c>
      <c r="D1983" s="267" t="s">
        <v>65</v>
      </c>
      <c r="E1983" s="58" t="s">
        <v>3289</v>
      </c>
      <c r="F1983" s="57" t="s">
        <v>51</v>
      </c>
      <c r="G1983" s="57">
        <v>20</v>
      </c>
      <c r="H1983" s="268" t="s">
        <v>3288</v>
      </c>
    </row>
    <row r="1984" spans="1:8" s="239" customFormat="1" ht="62.4" x14ac:dyDescent="0.3">
      <c r="A1984" s="87">
        <v>27</v>
      </c>
      <c r="B1984" s="87">
        <v>3</v>
      </c>
      <c r="C1984" s="269" t="s">
        <v>36</v>
      </c>
      <c r="D1984" s="267" t="s">
        <v>1</v>
      </c>
      <c r="E1984" s="58" t="s">
        <v>3290</v>
      </c>
      <c r="F1984" s="57" t="s">
        <v>51</v>
      </c>
      <c r="G1984" s="57">
        <v>50</v>
      </c>
      <c r="H1984" s="268" t="s">
        <v>2849</v>
      </c>
    </row>
    <row r="1985" spans="1:8" s="239" customFormat="1" ht="46.8" x14ac:dyDescent="0.3">
      <c r="A1985" s="87">
        <v>27</v>
      </c>
      <c r="B1985" s="87">
        <v>3</v>
      </c>
      <c r="C1985" s="269" t="s">
        <v>36</v>
      </c>
      <c r="D1985" s="267" t="s">
        <v>1</v>
      </c>
      <c r="E1985" s="58" t="s">
        <v>3291</v>
      </c>
      <c r="F1985" s="57" t="s">
        <v>63</v>
      </c>
      <c r="G1985" s="57">
        <v>2</v>
      </c>
      <c r="H1985" s="268" t="s">
        <v>3292</v>
      </c>
    </row>
    <row r="1986" spans="1:8" s="239" customFormat="1" ht="62.4" x14ac:dyDescent="0.3">
      <c r="A1986" s="87">
        <v>27</v>
      </c>
      <c r="B1986" s="87">
        <v>3</v>
      </c>
      <c r="C1986" s="269" t="s">
        <v>36</v>
      </c>
      <c r="D1986" s="267" t="s">
        <v>1</v>
      </c>
      <c r="E1986" s="58" t="s">
        <v>3293</v>
      </c>
      <c r="F1986" s="57" t="s">
        <v>51</v>
      </c>
      <c r="G1986" s="57">
        <v>91</v>
      </c>
      <c r="H1986" s="268" t="s">
        <v>2849</v>
      </c>
    </row>
    <row r="1987" spans="1:8" s="239" customFormat="1" ht="62.4" x14ac:dyDescent="0.3">
      <c r="A1987" s="87">
        <v>27</v>
      </c>
      <c r="B1987" s="87">
        <v>3</v>
      </c>
      <c r="C1987" s="269" t="s">
        <v>36</v>
      </c>
      <c r="D1987" s="267" t="s">
        <v>0</v>
      </c>
      <c r="E1987" s="58" t="s">
        <v>3294</v>
      </c>
      <c r="F1987" s="57" t="s">
        <v>51</v>
      </c>
      <c r="G1987" s="57">
        <v>35</v>
      </c>
      <c r="H1987" s="268" t="s">
        <v>2849</v>
      </c>
    </row>
    <row r="1988" spans="1:8" s="239" customFormat="1" ht="46.8" x14ac:dyDescent="0.3">
      <c r="A1988" s="87">
        <v>27</v>
      </c>
      <c r="B1988" s="87">
        <v>3</v>
      </c>
      <c r="C1988" s="269" t="s">
        <v>36</v>
      </c>
      <c r="D1988" s="267" t="s">
        <v>65</v>
      </c>
      <c r="E1988" s="58" t="s">
        <v>3295</v>
      </c>
      <c r="F1988" s="57" t="s">
        <v>63</v>
      </c>
      <c r="G1988" s="57">
        <v>40</v>
      </c>
      <c r="H1988" s="268" t="s">
        <v>2849</v>
      </c>
    </row>
    <row r="1989" spans="1:8" s="239" customFormat="1" ht="46.8" x14ac:dyDescent="0.3">
      <c r="A1989" s="87">
        <v>27</v>
      </c>
      <c r="B1989" s="87">
        <v>3</v>
      </c>
      <c r="C1989" s="269" t="s">
        <v>36</v>
      </c>
      <c r="D1989" s="267" t="s">
        <v>1</v>
      </c>
      <c r="E1989" s="58" t="s">
        <v>3296</v>
      </c>
      <c r="F1989" s="57" t="s">
        <v>51</v>
      </c>
      <c r="G1989" s="57">
        <v>2</v>
      </c>
      <c r="H1989" s="268" t="s">
        <v>2849</v>
      </c>
    </row>
    <row r="1990" spans="1:8" s="239" customFormat="1" ht="62.4" x14ac:dyDescent="0.3">
      <c r="A1990" s="87">
        <v>27</v>
      </c>
      <c r="B1990" s="87">
        <v>3</v>
      </c>
      <c r="C1990" s="269" t="s">
        <v>36</v>
      </c>
      <c r="D1990" s="267" t="s">
        <v>119</v>
      </c>
      <c r="E1990" s="58" t="s">
        <v>3297</v>
      </c>
      <c r="F1990" s="57" t="s">
        <v>51</v>
      </c>
      <c r="G1990" s="57">
        <v>23</v>
      </c>
      <c r="H1990" s="268" t="s">
        <v>2849</v>
      </c>
    </row>
    <row r="1991" spans="1:8" s="239" customFormat="1" ht="93.6" x14ac:dyDescent="0.3">
      <c r="A1991" s="87">
        <v>28</v>
      </c>
      <c r="B1991" s="87">
        <v>3</v>
      </c>
      <c r="C1991" s="269" t="s">
        <v>37</v>
      </c>
      <c r="D1991" s="267" t="s">
        <v>0</v>
      </c>
      <c r="E1991" s="58" t="s">
        <v>3257</v>
      </c>
      <c r="F1991" s="57" t="s">
        <v>51</v>
      </c>
      <c r="G1991" s="57">
        <v>312</v>
      </c>
      <c r="H1991" s="268" t="s">
        <v>3258</v>
      </c>
    </row>
    <row r="1992" spans="1:8" s="239" customFormat="1" ht="46.8" x14ac:dyDescent="0.3">
      <c r="A1992" s="87">
        <v>28</v>
      </c>
      <c r="B1992" s="87">
        <v>3</v>
      </c>
      <c r="C1992" s="269" t="s">
        <v>37</v>
      </c>
      <c r="D1992" s="267" t="s">
        <v>0</v>
      </c>
      <c r="E1992" s="58" t="s">
        <v>3259</v>
      </c>
      <c r="F1992" s="57" t="s">
        <v>51</v>
      </c>
      <c r="G1992" s="57">
        <v>147</v>
      </c>
      <c r="H1992" s="268" t="s">
        <v>3260</v>
      </c>
    </row>
    <row r="1993" spans="1:8" s="239" customFormat="1" ht="124.8" x14ac:dyDescent="0.3">
      <c r="A1993" s="87">
        <v>28</v>
      </c>
      <c r="B1993" s="87">
        <v>3</v>
      </c>
      <c r="C1993" s="269" t="s">
        <v>37</v>
      </c>
      <c r="D1993" s="267" t="s">
        <v>1</v>
      </c>
      <c r="E1993" s="58" t="s">
        <v>3261</v>
      </c>
      <c r="F1993" s="57" t="s">
        <v>51</v>
      </c>
      <c r="G1993" s="57">
        <v>1918</v>
      </c>
      <c r="H1993" s="268" t="s">
        <v>3262</v>
      </c>
    </row>
    <row r="1994" spans="1:8" s="239" customFormat="1" ht="124.8" x14ac:dyDescent="0.3">
      <c r="A1994" s="87">
        <v>28</v>
      </c>
      <c r="B1994" s="87">
        <v>3</v>
      </c>
      <c r="C1994" s="269" t="s">
        <v>37</v>
      </c>
      <c r="D1994" s="267" t="s">
        <v>1</v>
      </c>
      <c r="E1994" s="58" t="s">
        <v>3263</v>
      </c>
      <c r="F1994" s="57" t="s">
        <v>51</v>
      </c>
      <c r="G1994" s="57">
        <v>309</v>
      </c>
      <c r="H1994" s="268" t="s">
        <v>3264</v>
      </c>
    </row>
    <row r="1995" spans="1:8" s="239" customFormat="1" ht="62.4" x14ac:dyDescent="0.3">
      <c r="A1995" s="87">
        <v>28</v>
      </c>
      <c r="B1995" s="87">
        <v>3</v>
      </c>
      <c r="C1995" s="269" t="s">
        <v>37</v>
      </c>
      <c r="D1995" s="267" t="s">
        <v>65</v>
      </c>
      <c r="E1995" s="58" t="s">
        <v>3265</v>
      </c>
      <c r="F1995" s="57" t="s">
        <v>51</v>
      </c>
      <c r="G1995" s="57">
        <v>46</v>
      </c>
      <c r="H1995" s="268" t="s">
        <v>3266</v>
      </c>
    </row>
    <row r="1996" spans="1:8" s="239" customFormat="1" ht="62.4" x14ac:dyDescent="0.3">
      <c r="A1996" s="87">
        <v>28</v>
      </c>
      <c r="B1996" s="87">
        <v>3</v>
      </c>
      <c r="C1996" s="269" t="s">
        <v>37</v>
      </c>
      <c r="D1996" s="267" t="s">
        <v>1</v>
      </c>
      <c r="E1996" s="58" t="s">
        <v>3267</v>
      </c>
      <c r="F1996" s="57" t="s">
        <v>51</v>
      </c>
      <c r="G1996" s="57">
        <v>70</v>
      </c>
      <c r="H1996" s="268" t="s">
        <v>3268</v>
      </c>
    </row>
    <row r="1997" spans="1:8" s="239" customFormat="1" ht="46.8" x14ac:dyDescent="0.3">
      <c r="A1997" s="87">
        <v>28</v>
      </c>
      <c r="B1997" s="87">
        <v>3</v>
      </c>
      <c r="C1997" s="269" t="s">
        <v>37</v>
      </c>
      <c r="D1997" s="267" t="s">
        <v>65</v>
      </c>
      <c r="E1997" s="58" t="s">
        <v>3269</v>
      </c>
      <c r="F1997" s="57" t="s">
        <v>51</v>
      </c>
      <c r="G1997" s="57" t="s">
        <v>394</v>
      </c>
      <c r="H1997" s="268" t="s">
        <v>3270</v>
      </c>
    </row>
    <row r="1998" spans="1:8" s="239" customFormat="1" ht="124.8" x14ac:dyDescent="0.3">
      <c r="A1998" s="87">
        <v>28</v>
      </c>
      <c r="B1998" s="87">
        <v>3</v>
      </c>
      <c r="C1998" s="269" t="s">
        <v>37</v>
      </c>
      <c r="D1998" s="267" t="s">
        <v>65</v>
      </c>
      <c r="E1998" s="58" t="s">
        <v>3271</v>
      </c>
      <c r="F1998" s="57" t="s">
        <v>51</v>
      </c>
      <c r="G1998" s="57">
        <v>595</v>
      </c>
      <c r="H1998" s="268" t="s">
        <v>3272</v>
      </c>
    </row>
    <row r="1999" spans="1:8" s="239" customFormat="1" ht="93.6" x14ac:dyDescent="0.3">
      <c r="A1999" s="87">
        <v>28</v>
      </c>
      <c r="B1999" s="87">
        <v>3</v>
      </c>
      <c r="C1999" s="269" t="s">
        <v>37</v>
      </c>
      <c r="D1999" s="267" t="s">
        <v>65</v>
      </c>
      <c r="E1999" s="58" t="s">
        <v>3273</v>
      </c>
      <c r="F1999" s="57" t="s">
        <v>63</v>
      </c>
      <c r="G1999" s="57">
        <v>2731</v>
      </c>
      <c r="H1999" s="268" t="s">
        <v>3274</v>
      </c>
    </row>
    <row r="2000" spans="1:8" s="239" customFormat="1" ht="62.4" x14ac:dyDescent="0.3">
      <c r="A2000" s="87">
        <v>28</v>
      </c>
      <c r="B2000" s="87">
        <v>3</v>
      </c>
      <c r="C2000" s="269" t="s">
        <v>37</v>
      </c>
      <c r="D2000" s="267" t="s">
        <v>4</v>
      </c>
      <c r="E2000" s="58" t="s">
        <v>3275</v>
      </c>
      <c r="F2000" s="57" t="s">
        <v>63</v>
      </c>
      <c r="G2000" s="57">
        <v>52</v>
      </c>
      <c r="H2000" s="268" t="s">
        <v>3276</v>
      </c>
    </row>
    <row r="2001" spans="1:8" s="239" customFormat="1" ht="93.6" x14ac:dyDescent="0.3">
      <c r="A2001" s="87">
        <v>28</v>
      </c>
      <c r="B2001" s="87">
        <v>3</v>
      </c>
      <c r="C2001" s="269" t="s">
        <v>37</v>
      </c>
      <c r="D2001" s="267" t="s">
        <v>1713</v>
      </c>
      <c r="E2001" s="58" t="s">
        <v>3277</v>
      </c>
      <c r="F2001" s="57" t="s">
        <v>63</v>
      </c>
      <c r="G2001" s="57">
        <v>13</v>
      </c>
      <c r="H2001" s="268" t="s">
        <v>3278</v>
      </c>
    </row>
    <row r="2002" spans="1:8" s="239" customFormat="1" ht="62.4" x14ac:dyDescent="0.3">
      <c r="A2002" s="87">
        <v>28</v>
      </c>
      <c r="B2002" s="87">
        <v>3</v>
      </c>
      <c r="C2002" s="269" t="s">
        <v>37</v>
      </c>
      <c r="D2002" s="267" t="s">
        <v>65</v>
      </c>
      <c r="E2002" s="58" t="s">
        <v>3279</v>
      </c>
      <c r="F2002" s="57" t="s">
        <v>51</v>
      </c>
      <c r="G2002" s="57">
        <v>193</v>
      </c>
      <c r="H2002" s="268" t="s">
        <v>3280</v>
      </c>
    </row>
    <row r="2003" spans="1:8" s="239" customFormat="1" ht="78" x14ac:dyDescent="0.3">
      <c r="A2003" s="87">
        <v>28</v>
      </c>
      <c r="B2003" s="87">
        <v>3</v>
      </c>
      <c r="C2003" s="269" t="s">
        <v>37</v>
      </c>
      <c r="D2003" s="267" t="s">
        <v>1713</v>
      </c>
      <c r="E2003" s="58" t="s">
        <v>3281</v>
      </c>
      <c r="F2003" s="57" t="s">
        <v>51</v>
      </c>
      <c r="G2003" s="57">
        <v>3</v>
      </c>
      <c r="H2003" s="268" t="s">
        <v>3282</v>
      </c>
    </row>
    <row r="2004" spans="1:8" s="239" customFormat="1" hidden="1" x14ac:dyDescent="0.3">
      <c r="A2004" s="75"/>
      <c r="B2004" s="75">
        <v>3</v>
      </c>
      <c r="C2004" s="139"/>
      <c r="D2004" s="10"/>
      <c r="E2004" s="14"/>
      <c r="F2004" s="9"/>
      <c r="G2004" s="9"/>
      <c r="H2004" s="135"/>
    </row>
    <row r="2005" spans="1:8" s="239" customFormat="1" hidden="1" x14ac:dyDescent="0.3">
      <c r="A2005" s="75"/>
      <c r="B2005" s="75">
        <v>3</v>
      </c>
      <c r="C2005" s="139"/>
      <c r="D2005" s="10"/>
      <c r="E2005" s="14"/>
      <c r="F2005" s="9"/>
      <c r="G2005" s="9"/>
      <c r="H2005" s="135"/>
    </row>
    <row r="2006" spans="1:8" s="239" customFormat="1" hidden="1" x14ac:dyDescent="0.3">
      <c r="A2006" s="75"/>
      <c r="B2006" s="75">
        <v>3</v>
      </c>
      <c r="C2006" s="139"/>
      <c r="D2006" s="10"/>
      <c r="E2006" s="14"/>
      <c r="F2006" s="9"/>
      <c r="G2006" s="9"/>
      <c r="H2006" s="135"/>
    </row>
    <row r="2007" spans="1:8" s="239" customFormat="1" hidden="1" x14ac:dyDescent="0.3">
      <c r="A2007" s="75"/>
      <c r="B2007" s="75">
        <v>3</v>
      </c>
      <c r="C2007" s="139"/>
      <c r="D2007" s="10"/>
      <c r="E2007" s="14"/>
      <c r="F2007" s="9"/>
      <c r="G2007" s="9"/>
      <c r="H2007" s="135"/>
    </row>
    <row r="2008" spans="1:8" s="239" customFormat="1" hidden="1" x14ac:dyDescent="0.3">
      <c r="A2008" s="75"/>
      <c r="B2008" s="75">
        <v>3</v>
      </c>
      <c r="C2008" s="139"/>
      <c r="D2008" s="10"/>
      <c r="E2008" s="14"/>
      <c r="F2008" s="9"/>
      <c r="G2008" s="9"/>
      <c r="H2008" s="135"/>
    </row>
    <row r="2009" spans="1:8" s="239" customFormat="1" hidden="1" x14ac:dyDescent="0.3">
      <c r="A2009" s="75"/>
      <c r="B2009" s="75">
        <v>3</v>
      </c>
      <c r="C2009" s="139"/>
      <c r="D2009" s="10"/>
      <c r="E2009" s="14"/>
      <c r="F2009" s="9"/>
      <c r="G2009" s="9"/>
      <c r="H2009" s="135"/>
    </row>
    <row r="2010" spans="1:8" s="239" customFormat="1" hidden="1" x14ac:dyDescent="0.3">
      <c r="A2010" s="75"/>
      <c r="B2010" s="75">
        <v>3</v>
      </c>
      <c r="C2010" s="139"/>
      <c r="D2010" s="10"/>
      <c r="E2010" s="14"/>
      <c r="F2010" s="9"/>
      <c r="G2010" s="9"/>
      <c r="H2010" s="135"/>
    </row>
    <row r="2011" spans="1:8" s="239" customFormat="1" hidden="1" x14ac:dyDescent="0.3">
      <c r="A2011" s="75"/>
      <c r="B2011" s="75">
        <v>3</v>
      </c>
      <c r="C2011" s="139"/>
      <c r="D2011" s="10"/>
      <c r="E2011" s="14"/>
      <c r="F2011" s="9"/>
      <c r="G2011" s="9"/>
      <c r="H2011" s="135"/>
    </row>
    <row r="2012" spans="1:8" s="239" customFormat="1" hidden="1" x14ac:dyDescent="0.3">
      <c r="A2012" s="75"/>
      <c r="B2012" s="75">
        <v>3</v>
      </c>
      <c r="C2012" s="139"/>
      <c r="D2012" s="10"/>
      <c r="E2012" s="14"/>
      <c r="F2012" s="9"/>
      <c r="G2012" s="9"/>
      <c r="H2012" s="135"/>
    </row>
    <row r="2013" spans="1:8" s="239" customFormat="1" hidden="1" x14ac:dyDescent="0.3">
      <c r="A2013" s="75"/>
      <c r="B2013" s="75">
        <v>3</v>
      </c>
      <c r="C2013" s="139"/>
      <c r="D2013" s="10"/>
      <c r="E2013" s="14"/>
      <c r="F2013" s="9"/>
      <c r="G2013" s="9"/>
      <c r="H2013" s="135"/>
    </row>
    <row r="2014" spans="1:8" s="239" customFormat="1" hidden="1" x14ac:dyDescent="0.3">
      <c r="A2014" s="75"/>
      <c r="B2014" s="75">
        <v>3</v>
      </c>
      <c r="C2014" s="139"/>
      <c r="D2014" s="10"/>
      <c r="E2014" s="14"/>
      <c r="F2014" s="9"/>
      <c r="G2014" s="9"/>
      <c r="H2014" s="135"/>
    </row>
    <row r="2015" spans="1:8" s="239" customFormat="1" hidden="1" x14ac:dyDescent="0.3">
      <c r="A2015" s="75"/>
      <c r="B2015" s="75">
        <v>3</v>
      </c>
      <c r="C2015" s="139"/>
      <c r="D2015" s="10"/>
      <c r="E2015" s="14"/>
      <c r="F2015" s="9"/>
      <c r="G2015" s="9"/>
      <c r="H2015" s="135"/>
    </row>
    <row r="2016" spans="1:8" s="239" customFormat="1" hidden="1" x14ac:dyDescent="0.3">
      <c r="A2016" s="75"/>
      <c r="B2016" s="75">
        <v>3</v>
      </c>
      <c r="C2016" s="139"/>
      <c r="D2016" s="10"/>
      <c r="E2016" s="14"/>
      <c r="F2016" s="9"/>
      <c r="G2016" s="9"/>
      <c r="H2016" s="135"/>
    </row>
    <row r="2017" spans="1:8" s="239" customFormat="1" hidden="1" x14ac:dyDescent="0.3">
      <c r="A2017" s="75"/>
      <c r="B2017" s="75">
        <v>3</v>
      </c>
      <c r="C2017" s="139"/>
      <c r="D2017" s="10"/>
      <c r="E2017" s="14"/>
      <c r="F2017" s="9"/>
      <c r="G2017" s="9"/>
      <c r="H2017" s="135"/>
    </row>
    <row r="2018" spans="1:8" s="239" customFormat="1" hidden="1" x14ac:dyDescent="0.3">
      <c r="A2018" s="75"/>
      <c r="B2018" s="75">
        <v>3</v>
      </c>
      <c r="C2018" s="139"/>
      <c r="D2018" s="10"/>
      <c r="E2018" s="14"/>
      <c r="F2018" s="9"/>
      <c r="G2018" s="9"/>
      <c r="H2018" s="135"/>
    </row>
    <row r="2019" spans="1:8" s="239" customFormat="1" hidden="1" x14ac:dyDescent="0.3">
      <c r="A2019" s="75"/>
      <c r="B2019" s="75">
        <v>3</v>
      </c>
      <c r="C2019" s="139"/>
      <c r="D2019" s="10"/>
      <c r="E2019" s="14"/>
      <c r="F2019" s="9"/>
      <c r="G2019" s="9"/>
      <c r="H2019" s="135"/>
    </row>
    <row r="2020" spans="1:8" s="239" customFormat="1" hidden="1" x14ac:dyDescent="0.3">
      <c r="A2020" s="75"/>
      <c r="B2020" s="75">
        <v>3</v>
      </c>
      <c r="C2020" s="139"/>
      <c r="D2020" s="10"/>
      <c r="E2020" s="14"/>
      <c r="F2020" s="9"/>
      <c r="G2020" s="9"/>
      <c r="H2020" s="135"/>
    </row>
    <row r="2021" spans="1:8" s="239" customFormat="1" hidden="1" x14ac:dyDescent="0.3">
      <c r="A2021" s="75"/>
      <c r="B2021" s="75">
        <v>3</v>
      </c>
      <c r="C2021" s="139"/>
      <c r="D2021" s="10"/>
      <c r="E2021" s="14"/>
      <c r="F2021" s="9"/>
      <c r="G2021" s="9"/>
      <c r="H2021" s="135"/>
    </row>
    <row r="2022" spans="1:8" s="239" customFormat="1" hidden="1" x14ac:dyDescent="0.3">
      <c r="A2022" s="75"/>
      <c r="B2022" s="75">
        <v>3</v>
      </c>
      <c r="C2022" s="139"/>
      <c r="D2022" s="10"/>
      <c r="E2022" s="14"/>
      <c r="F2022" s="9"/>
      <c r="G2022" s="9"/>
      <c r="H2022" s="135"/>
    </row>
    <row r="2023" spans="1:8" s="239" customFormat="1" hidden="1" x14ac:dyDescent="0.3">
      <c r="A2023" s="75"/>
      <c r="B2023" s="75">
        <v>3</v>
      </c>
      <c r="C2023" s="139"/>
      <c r="D2023" s="10"/>
      <c r="E2023" s="14"/>
      <c r="F2023" s="9"/>
      <c r="G2023" s="9"/>
      <c r="H2023" s="135"/>
    </row>
    <row r="2024" spans="1:8" s="239" customFormat="1" hidden="1" x14ac:dyDescent="0.3">
      <c r="A2024" s="75"/>
      <c r="B2024" s="75">
        <v>3</v>
      </c>
      <c r="C2024" s="139"/>
      <c r="D2024" s="10"/>
      <c r="E2024" s="14"/>
      <c r="F2024" s="9"/>
      <c r="G2024" s="9"/>
      <c r="H2024" s="135"/>
    </row>
    <row r="2025" spans="1:8" s="239" customFormat="1" hidden="1" x14ac:dyDescent="0.3">
      <c r="A2025" s="75"/>
      <c r="B2025" s="75">
        <v>3</v>
      </c>
      <c r="C2025" s="139"/>
      <c r="D2025" s="10"/>
      <c r="E2025" s="14"/>
      <c r="F2025" s="9"/>
      <c r="G2025" s="9"/>
      <c r="H2025" s="135"/>
    </row>
    <row r="2026" spans="1:8" s="239" customFormat="1" hidden="1" x14ac:dyDescent="0.3">
      <c r="A2026" s="75"/>
      <c r="B2026" s="75">
        <v>3</v>
      </c>
      <c r="C2026" s="139"/>
      <c r="D2026" s="10"/>
      <c r="E2026" s="14"/>
      <c r="F2026" s="9"/>
      <c r="G2026" s="9"/>
      <c r="H2026" s="135"/>
    </row>
    <row r="2027" spans="1:8" s="239" customFormat="1" hidden="1" x14ac:dyDescent="0.3">
      <c r="A2027" s="75"/>
      <c r="B2027" s="75">
        <v>3</v>
      </c>
      <c r="C2027" s="139"/>
      <c r="D2027" s="10"/>
      <c r="E2027" s="14"/>
      <c r="F2027" s="9"/>
      <c r="G2027" s="9"/>
      <c r="H2027" s="135"/>
    </row>
    <row r="2028" spans="1:8" s="239" customFormat="1" hidden="1" x14ac:dyDescent="0.3">
      <c r="A2028" s="75"/>
      <c r="B2028" s="75">
        <v>3</v>
      </c>
      <c r="C2028" s="139"/>
      <c r="D2028" s="10"/>
      <c r="E2028" s="14"/>
      <c r="F2028" s="9"/>
      <c r="G2028" s="9"/>
      <c r="H2028" s="135"/>
    </row>
    <row r="2029" spans="1:8" s="239" customFormat="1" hidden="1" x14ac:dyDescent="0.3">
      <c r="A2029" s="75"/>
      <c r="B2029" s="75">
        <v>3</v>
      </c>
      <c r="C2029" s="139"/>
      <c r="D2029" s="10"/>
      <c r="E2029" s="14"/>
      <c r="F2029" s="9"/>
      <c r="G2029" s="9"/>
      <c r="H2029" s="135"/>
    </row>
    <row r="2030" spans="1:8" s="239" customFormat="1" hidden="1" x14ac:dyDescent="0.3">
      <c r="A2030" s="75"/>
      <c r="B2030" s="75">
        <v>3</v>
      </c>
      <c r="C2030" s="139"/>
      <c r="D2030" s="10"/>
      <c r="E2030" s="14"/>
      <c r="F2030" s="9"/>
      <c r="G2030" s="9"/>
      <c r="H2030" s="135"/>
    </row>
    <row r="2031" spans="1:8" hidden="1" x14ac:dyDescent="0.3">
      <c r="A2031" s="75"/>
      <c r="B2031" s="75">
        <v>3</v>
      </c>
      <c r="C2031" s="139"/>
      <c r="D2031" s="10"/>
      <c r="E2031" s="14"/>
      <c r="F2031" s="9"/>
      <c r="G2031" s="9"/>
      <c r="H2031" s="135"/>
    </row>
    <row r="2032" spans="1:8" hidden="1" x14ac:dyDescent="0.3">
      <c r="A2032" s="75"/>
      <c r="B2032" s="75">
        <v>3</v>
      </c>
      <c r="C2032" s="139"/>
      <c r="D2032" s="10"/>
      <c r="E2032" s="14"/>
      <c r="F2032" s="9"/>
      <c r="G2032" s="9"/>
      <c r="H2032" s="135"/>
    </row>
    <row r="2033" spans="1:8" hidden="1" x14ac:dyDescent="0.3">
      <c r="A2033" s="75"/>
      <c r="B2033" s="75">
        <v>3</v>
      </c>
      <c r="C2033" s="139"/>
      <c r="D2033" s="10"/>
      <c r="E2033" s="14"/>
      <c r="F2033" s="9"/>
      <c r="G2033" s="9"/>
      <c r="H2033" s="135"/>
    </row>
    <row r="2034" spans="1:8" x14ac:dyDescent="0.3">
      <c r="A2034" s="233" t="s">
        <v>968</v>
      </c>
      <c r="B2034" s="233"/>
      <c r="C2034" s="234"/>
      <c r="D2034" s="235"/>
      <c r="E2034" s="104"/>
      <c r="F2034" s="102"/>
      <c r="G2034" s="102"/>
      <c r="H2034" s="236"/>
    </row>
    <row r="2035" spans="1:8" hidden="1" x14ac:dyDescent="0.3">
      <c r="A2035" s="237"/>
      <c r="B2035" s="237"/>
      <c r="C2035" s="238"/>
      <c r="D2035" s="237"/>
      <c r="E2035" s="237"/>
      <c r="F2035" s="237"/>
      <c r="G2035" s="237"/>
      <c r="H2035" s="237"/>
    </row>
    <row r="2036" spans="1:8" hidden="1" x14ac:dyDescent="0.3">
      <c r="A2036" s="237"/>
      <c r="B2036" s="237"/>
      <c r="C2036" s="238"/>
      <c r="D2036" s="237"/>
      <c r="E2036" s="237"/>
      <c r="F2036" s="237"/>
      <c r="G2036" s="237"/>
      <c r="H2036" s="237"/>
    </row>
    <row r="2037" spans="1:8" hidden="1" x14ac:dyDescent="0.3">
      <c r="A2037" s="237"/>
      <c r="B2037" s="237"/>
      <c r="C2037" s="238"/>
      <c r="D2037" s="237"/>
      <c r="E2037" s="237"/>
      <c r="F2037" s="237"/>
      <c r="G2037" s="237"/>
      <c r="H2037" s="237"/>
    </row>
    <row r="2038" spans="1:8" hidden="1" x14ac:dyDescent="0.3">
      <c r="A2038" s="237"/>
      <c r="B2038" s="237"/>
      <c r="C2038" s="238"/>
      <c r="D2038" s="237"/>
      <c r="E2038" s="237"/>
      <c r="F2038" s="237"/>
      <c r="G2038" s="237"/>
      <c r="H2038" s="237"/>
    </row>
    <row r="2039" spans="1:8" hidden="1" x14ac:dyDescent="0.3">
      <c r="A2039" s="237"/>
      <c r="B2039" s="237"/>
      <c r="C2039" s="238"/>
      <c r="D2039" s="237"/>
      <c r="E2039" s="237"/>
      <c r="F2039" s="237"/>
      <c r="G2039" s="237"/>
      <c r="H2039" s="237"/>
    </row>
    <row r="2040" spans="1:8" hidden="1" x14ac:dyDescent="0.3">
      <c r="A2040" s="237"/>
      <c r="B2040" s="237"/>
      <c r="C2040" s="238"/>
      <c r="D2040" s="237"/>
      <c r="E2040" s="237"/>
      <c r="F2040" s="237"/>
      <c r="G2040" s="237"/>
      <c r="H2040" s="237"/>
    </row>
    <row r="2041" spans="1:8" hidden="1" x14ac:dyDescent="0.3">
      <c r="A2041" s="237"/>
      <c r="B2041" s="237"/>
      <c r="C2041" s="238"/>
      <c r="D2041" s="237"/>
      <c r="E2041" s="237"/>
      <c r="F2041" s="237"/>
      <c r="G2041" s="237"/>
      <c r="H2041" s="237"/>
    </row>
    <row r="2042" spans="1:8" hidden="1" x14ac:dyDescent="0.3">
      <c r="A2042" s="237"/>
      <c r="B2042" s="237"/>
      <c r="C2042" s="238"/>
      <c r="D2042" s="237"/>
      <c r="E2042" s="237"/>
      <c r="F2042" s="237"/>
      <c r="G2042" s="237"/>
      <c r="H2042" s="237"/>
    </row>
    <row r="2043" spans="1:8" hidden="1" x14ac:dyDescent="0.3">
      <c r="A2043" s="237"/>
      <c r="B2043" s="237"/>
      <c r="C2043" s="238"/>
      <c r="D2043" s="237"/>
      <c r="E2043" s="237"/>
      <c r="F2043" s="237"/>
      <c r="G2043" s="237"/>
      <c r="H2043" s="237"/>
    </row>
    <row r="2044" spans="1:8" hidden="1" x14ac:dyDescent="0.3">
      <c r="A2044" s="237"/>
      <c r="B2044" s="237"/>
      <c r="C2044" s="238"/>
      <c r="D2044" s="237"/>
      <c r="E2044" s="237"/>
      <c r="F2044" s="237"/>
      <c r="G2044" s="237"/>
      <c r="H2044" s="237"/>
    </row>
    <row r="2045" spans="1:8" hidden="1" x14ac:dyDescent="0.3">
      <c r="A2045" s="237"/>
      <c r="B2045" s="237"/>
      <c r="C2045" s="238"/>
      <c r="D2045" s="237"/>
      <c r="E2045" s="237"/>
      <c r="F2045" s="237"/>
      <c r="G2045" s="237"/>
      <c r="H2045" s="237"/>
    </row>
    <row r="2046" spans="1:8" hidden="1" x14ac:dyDescent="0.3">
      <c r="A2046" s="237"/>
      <c r="B2046" s="237"/>
      <c r="C2046" s="238"/>
      <c r="D2046" s="237"/>
      <c r="E2046" s="237"/>
      <c r="F2046" s="237"/>
      <c r="G2046" s="237"/>
      <c r="H2046" s="237"/>
    </row>
    <row r="2047" spans="1:8" hidden="1" x14ac:dyDescent="0.3">
      <c r="A2047" s="237"/>
      <c r="B2047" s="237"/>
      <c r="C2047" s="238"/>
      <c r="D2047" s="237"/>
      <c r="E2047" s="237"/>
      <c r="F2047" s="237"/>
      <c r="G2047" s="237"/>
      <c r="H2047" s="237"/>
    </row>
    <row r="2048" spans="1:8" hidden="1" x14ac:dyDescent="0.3">
      <c r="A2048" s="237"/>
      <c r="B2048" s="237"/>
      <c r="C2048" s="238"/>
      <c r="D2048" s="237"/>
      <c r="E2048" s="237"/>
      <c r="F2048" s="237"/>
      <c r="G2048" s="237"/>
      <c r="H2048" s="237"/>
    </row>
    <row r="2049" spans="1:8" hidden="1" x14ac:dyDescent="0.3">
      <c r="A2049" s="237"/>
      <c r="B2049" s="237"/>
      <c r="C2049" s="238"/>
      <c r="D2049" s="237"/>
      <c r="E2049" s="237"/>
      <c r="F2049" s="237"/>
      <c r="G2049" s="237"/>
      <c r="H2049" s="237"/>
    </row>
    <row r="2050" spans="1:8" hidden="1" x14ac:dyDescent="0.3">
      <c r="A2050" s="237"/>
      <c r="B2050" s="237"/>
      <c r="C2050" s="238"/>
      <c r="D2050" s="237"/>
      <c r="E2050" s="237"/>
      <c r="F2050" s="237"/>
      <c r="G2050" s="237"/>
      <c r="H2050" s="237"/>
    </row>
    <row r="2051" spans="1:8" hidden="1" x14ac:dyDescent="0.3">
      <c r="A2051" s="237"/>
      <c r="B2051" s="237"/>
      <c r="C2051" s="238"/>
      <c r="D2051" s="237"/>
      <c r="E2051" s="237"/>
      <c r="F2051" s="237"/>
      <c r="G2051" s="237"/>
      <c r="H2051" s="237"/>
    </row>
    <row r="2052" spans="1:8" hidden="1" x14ac:dyDescent="0.3">
      <c r="A2052" s="237"/>
      <c r="B2052" s="237"/>
      <c r="C2052" s="238"/>
      <c r="D2052" s="237"/>
      <c r="E2052" s="237"/>
      <c r="F2052" s="237"/>
      <c r="G2052" s="237"/>
      <c r="H2052" s="237"/>
    </row>
    <row r="2053" spans="1:8" hidden="1" x14ac:dyDescent="0.3">
      <c r="A2053" s="237"/>
      <c r="B2053" s="237"/>
      <c r="C2053" s="238"/>
      <c r="D2053" s="237"/>
      <c r="E2053" s="237"/>
      <c r="F2053" s="237"/>
      <c r="G2053" s="237"/>
      <c r="H2053" s="237"/>
    </row>
    <row r="2054" spans="1:8" hidden="1" x14ac:dyDescent="0.3">
      <c r="A2054" s="237"/>
      <c r="B2054" s="237"/>
      <c r="C2054" s="238"/>
      <c r="D2054" s="237"/>
      <c r="E2054" s="237"/>
      <c r="F2054" s="237"/>
      <c r="G2054" s="237"/>
      <c r="H2054" s="237"/>
    </row>
    <row r="2055" spans="1:8" hidden="1" x14ac:dyDescent="0.3">
      <c r="A2055" s="237"/>
      <c r="B2055" s="237"/>
      <c r="C2055" s="238"/>
      <c r="D2055" s="237"/>
      <c r="E2055" s="237"/>
      <c r="F2055" s="237"/>
      <c r="G2055" s="237"/>
      <c r="H2055" s="237"/>
    </row>
    <row r="2056" spans="1:8" hidden="1" x14ac:dyDescent="0.3">
      <c r="A2056" s="237"/>
      <c r="B2056" s="237"/>
      <c r="C2056" s="238"/>
      <c r="D2056" s="237"/>
      <c r="E2056" s="237"/>
      <c r="F2056" s="237"/>
      <c r="G2056" s="237"/>
      <c r="H2056" s="237"/>
    </row>
    <row r="2057" spans="1:8" hidden="1" x14ac:dyDescent="0.3">
      <c r="A2057" s="237"/>
      <c r="B2057" s="237"/>
      <c r="C2057" s="238"/>
      <c r="D2057" s="237"/>
      <c r="E2057" s="237"/>
      <c r="F2057" s="237"/>
      <c r="G2057" s="237"/>
      <c r="H2057" s="237"/>
    </row>
    <row r="2058" spans="1:8" hidden="1" x14ac:dyDescent="0.3">
      <c r="A2058" s="237"/>
      <c r="B2058" s="237"/>
      <c r="C2058" s="238"/>
      <c r="D2058" s="237"/>
      <c r="E2058" s="237"/>
      <c r="F2058" s="237"/>
      <c r="G2058" s="237"/>
      <c r="H2058" s="237"/>
    </row>
    <row r="2059" spans="1:8" hidden="1" x14ac:dyDescent="0.3">
      <c r="A2059" s="237"/>
      <c r="B2059" s="237"/>
      <c r="C2059" s="238"/>
      <c r="D2059" s="237"/>
      <c r="E2059" s="237"/>
      <c r="F2059" s="237"/>
      <c r="G2059" s="237"/>
      <c r="H2059" s="237"/>
    </row>
    <row r="2060" spans="1:8" hidden="1" x14ac:dyDescent="0.3">
      <c r="A2060" s="237"/>
      <c r="B2060" s="237"/>
      <c r="C2060" s="238"/>
      <c r="D2060" s="237"/>
      <c r="E2060" s="237"/>
      <c r="F2060" s="237"/>
      <c r="G2060" s="237"/>
      <c r="H2060" s="237"/>
    </row>
    <row r="2061" spans="1:8" hidden="1" x14ac:dyDescent="0.3">
      <c r="A2061" s="237"/>
      <c r="B2061" s="237"/>
      <c r="C2061" s="238"/>
      <c r="D2061" s="237"/>
      <c r="E2061" s="237"/>
      <c r="F2061" s="237"/>
      <c r="G2061" s="237"/>
      <c r="H2061" s="237"/>
    </row>
    <row r="2062" spans="1:8" hidden="1" x14ac:dyDescent="0.3">
      <c r="A2062" s="237"/>
      <c r="B2062" s="237"/>
      <c r="C2062" s="238"/>
      <c r="D2062" s="237"/>
      <c r="E2062" s="237"/>
      <c r="F2062" s="237"/>
      <c r="G2062" s="237"/>
      <c r="H2062" s="237"/>
    </row>
    <row r="2063" spans="1:8" hidden="1" x14ac:dyDescent="0.3">
      <c r="A2063" s="237"/>
      <c r="B2063" s="237"/>
      <c r="C2063" s="238"/>
      <c r="D2063" s="237"/>
      <c r="E2063" s="237"/>
      <c r="F2063" s="237"/>
      <c r="G2063" s="237"/>
      <c r="H2063" s="237"/>
    </row>
    <row r="2064" spans="1:8" hidden="1" x14ac:dyDescent="0.3">
      <c r="A2064" s="237"/>
      <c r="B2064" s="237"/>
      <c r="C2064" s="238"/>
      <c r="D2064" s="237"/>
      <c r="E2064" s="237"/>
      <c r="F2064" s="237"/>
      <c r="G2064" s="237"/>
      <c r="H2064" s="237"/>
    </row>
    <row r="2065" spans="1:8" hidden="1" x14ac:dyDescent="0.3">
      <c r="A2065" s="237"/>
      <c r="B2065" s="237"/>
      <c r="C2065" s="238"/>
      <c r="D2065" s="237"/>
      <c r="E2065" s="237"/>
      <c r="F2065" s="237"/>
      <c r="G2065" s="237"/>
      <c r="H2065" s="237"/>
    </row>
    <row r="2066" spans="1:8" hidden="1" x14ac:dyDescent="0.3">
      <c r="A2066" s="237"/>
      <c r="B2066" s="237"/>
      <c r="C2066" s="238"/>
      <c r="D2066" s="237"/>
      <c r="E2066" s="237"/>
      <c r="F2066" s="237"/>
      <c r="G2066" s="237"/>
      <c r="H2066" s="237"/>
    </row>
    <row r="2067" spans="1:8" hidden="1" x14ac:dyDescent="0.3">
      <c r="A2067" s="237"/>
      <c r="B2067" s="237"/>
      <c r="C2067" s="238"/>
      <c r="D2067" s="237"/>
      <c r="E2067" s="237"/>
      <c r="F2067" s="237"/>
      <c r="G2067" s="237"/>
      <c r="H2067" s="237"/>
    </row>
    <row r="2068" spans="1:8" hidden="1" x14ac:dyDescent="0.3">
      <c r="A2068" s="237"/>
      <c r="B2068" s="237"/>
      <c r="C2068" s="238"/>
      <c r="D2068" s="237"/>
      <c r="E2068" s="237"/>
      <c r="F2068" s="237"/>
      <c r="G2068" s="237"/>
      <c r="H2068" s="237"/>
    </row>
    <row r="2069" spans="1:8" hidden="1" x14ac:dyDescent="0.3">
      <c r="A2069" s="237"/>
      <c r="B2069" s="237"/>
      <c r="C2069" s="238"/>
      <c r="D2069" s="237"/>
      <c r="E2069" s="237"/>
      <c r="F2069" s="237"/>
      <c r="G2069" s="237"/>
      <c r="H2069" s="237"/>
    </row>
    <row r="2070" spans="1:8" hidden="1" x14ac:dyDescent="0.3">
      <c r="A2070" s="237"/>
      <c r="B2070" s="237"/>
      <c r="C2070" s="238"/>
      <c r="D2070" s="237"/>
      <c r="E2070" s="237"/>
      <c r="F2070" s="237"/>
      <c r="G2070" s="237"/>
      <c r="H2070" s="237"/>
    </row>
    <row r="2071" spans="1:8" hidden="1" x14ac:dyDescent="0.3">
      <c r="A2071" s="237"/>
      <c r="B2071" s="237"/>
      <c r="C2071" s="238"/>
      <c r="D2071" s="237"/>
      <c r="E2071" s="237"/>
      <c r="F2071" s="237"/>
      <c r="G2071" s="237"/>
      <c r="H2071" s="237"/>
    </row>
    <row r="2072" spans="1:8" hidden="1" x14ac:dyDescent="0.3">
      <c r="A2072" s="237"/>
      <c r="B2072" s="237"/>
      <c r="C2072" s="238"/>
      <c r="D2072" s="237"/>
      <c r="E2072" s="237"/>
      <c r="F2072" s="237"/>
      <c r="G2072" s="237"/>
      <c r="H2072" s="237"/>
    </row>
    <row r="2073" spans="1:8" hidden="1" x14ac:dyDescent="0.3">
      <c r="A2073" s="237"/>
      <c r="B2073" s="237"/>
      <c r="C2073" s="238"/>
      <c r="D2073" s="237"/>
      <c r="E2073" s="237"/>
      <c r="F2073" s="237"/>
      <c r="G2073" s="237"/>
      <c r="H2073" s="237"/>
    </row>
    <row r="2074" spans="1:8" hidden="1" x14ac:dyDescent="0.3">
      <c r="A2074" s="237"/>
      <c r="B2074" s="237"/>
      <c r="C2074" s="238"/>
      <c r="D2074" s="237"/>
      <c r="E2074" s="237"/>
      <c r="F2074" s="237"/>
      <c r="G2074" s="237"/>
      <c r="H2074" s="237"/>
    </row>
    <row r="2075" spans="1:8" hidden="1" x14ac:dyDescent="0.3">
      <c r="A2075" s="237"/>
      <c r="B2075" s="237"/>
      <c r="C2075" s="238"/>
      <c r="D2075" s="237"/>
      <c r="E2075" s="237"/>
      <c r="F2075" s="237"/>
      <c r="G2075" s="237"/>
      <c r="H2075" s="237"/>
    </row>
    <row r="2076" spans="1:8" hidden="1" x14ac:dyDescent="0.3">
      <c r="A2076" s="237"/>
      <c r="B2076" s="237"/>
      <c r="C2076" s="238"/>
      <c r="D2076" s="237"/>
      <c r="E2076" s="237"/>
      <c r="F2076" s="237"/>
      <c r="G2076" s="237"/>
      <c r="H2076" s="237"/>
    </row>
    <row r="2077" spans="1:8" hidden="1" x14ac:dyDescent="0.3">
      <c r="A2077" s="237"/>
      <c r="B2077" s="237"/>
      <c r="C2077" s="238"/>
      <c r="D2077" s="237"/>
      <c r="E2077" s="237"/>
      <c r="F2077" s="237"/>
      <c r="G2077" s="237"/>
      <c r="H2077" s="237"/>
    </row>
    <row r="2078" spans="1:8" hidden="1" x14ac:dyDescent="0.3">
      <c r="A2078" s="237"/>
      <c r="B2078" s="237"/>
      <c r="C2078" s="238"/>
      <c r="D2078" s="237"/>
      <c r="E2078" s="237"/>
      <c r="F2078" s="237"/>
      <c r="G2078" s="237"/>
      <c r="H2078" s="237"/>
    </row>
    <row r="2079" spans="1:8" hidden="1" x14ac:dyDescent="0.3">
      <c r="A2079" s="237"/>
      <c r="B2079" s="237"/>
      <c r="C2079" s="238"/>
      <c r="D2079" s="237"/>
      <c r="E2079" s="237"/>
      <c r="F2079" s="237"/>
      <c r="G2079" s="237"/>
      <c r="H2079" s="237"/>
    </row>
    <row r="2080" spans="1:8" hidden="1" x14ac:dyDescent="0.3">
      <c r="A2080" s="237"/>
      <c r="B2080" s="237"/>
      <c r="C2080" s="238"/>
      <c r="D2080" s="237"/>
      <c r="E2080" s="237"/>
      <c r="F2080" s="237"/>
      <c r="G2080" s="237"/>
      <c r="H2080" s="237"/>
    </row>
    <row r="2081" spans="1:8" hidden="1" x14ac:dyDescent="0.3">
      <c r="A2081" s="237"/>
      <c r="B2081" s="237"/>
      <c r="C2081" s="238"/>
      <c r="D2081" s="237"/>
      <c r="E2081" s="237"/>
      <c r="F2081" s="237"/>
      <c r="G2081" s="237"/>
      <c r="H2081" s="237"/>
    </row>
    <row r="2082" spans="1:8" hidden="1" x14ac:dyDescent="0.3">
      <c r="A2082" s="237"/>
      <c r="B2082" s="237"/>
      <c r="C2082" s="238"/>
      <c r="D2082" s="237"/>
      <c r="E2082" s="237"/>
      <c r="F2082" s="237"/>
      <c r="G2082" s="237"/>
      <c r="H2082" s="237"/>
    </row>
    <row r="2083" spans="1:8" hidden="1" x14ac:dyDescent="0.3">
      <c r="A2083" s="237"/>
      <c r="B2083" s="237"/>
      <c r="C2083" s="238"/>
      <c r="D2083" s="237"/>
      <c r="E2083" s="237"/>
      <c r="F2083" s="237"/>
      <c r="G2083" s="237"/>
      <c r="H2083" s="237"/>
    </row>
    <row r="2084" spans="1:8" hidden="1" x14ac:dyDescent="0.3">
      <c r="A2084" s="237"/>
      <c r="B2084" s="237"/>
      <c r="C2084" s="238"/>
      <c r="D2084" s="237"/>
      <c r="E2084" s="237"/>
      <c r="F2084" s="237"/>
      <c r="G2084" s="237"/>
      <c r="H2084" s="237"/>
    </row>
    <row r="2085" spans="1:8" hidden="1" x14ac:dyDescent="0.3">
      <c r="A2085" s="237"/>
      <c r="B2085" s="237"/>
      <c r="C2085" s="238"/>
      <c r="D2085" s="237"/>
      <c r="E2085" s="237"/>
      <c r="F2085" s="237"/>
      <c r="G2085" s="237"/>
      <c r="H2085" s="237"/>
    </row>
    <row r="2086" spans="1:8" hidden="1" x14ac:dyDescent="0.3">
      <c r="A2086" s="237"/>
      <c r="B2086" s="237"/>
      <c r="C2086" s="238"/>
      <c r="D2086" s="237"/>
      <c r="E2086" s="237"/>
      <c r="F2086" s="237"/>
      <c r="G2086" s="237"/>
      <c r="H2086" s="237"/>
    </row>
    <row r="2087" spans="1:8" hidden="1" x14ac:dyDescent="0.3">
      <c r="A2087" s="237"/>
      <c r="B2087" s="237"/>
      <c r="C2087" s="238"/>
      <c r="D2087" s="237"/>
      <c r="E2087" s="237"/>
      <c r="F2087" s="237"/>
      <c r="G2087" s="237"/>
      <c r="H2087" s="237"/>
    </row>
    <row r="2088" spans="1:8" hidden="1" x14ac:dyDescent="0.3">
      <c r="A2088" s="237"/>
      <c r="B2088" s="237"/>
      <c r="C2088" s="238"/>
      <c r="D2088" s="237"/>
      <c r="E2088" s="237"/>
      <c r="F2088" s="237"/>
      <c r="G2088" s="237"/>
      <c r="H2088" s="237"/>
    </row>
    <row r="2089" spans="1:8" hidden="1" x14ac:dyDescent="0.3">
      <c r="A2089" s="237"/>
      <c r="B2089" s="237"/>
      <c r="C2089" s="238"/>
      <c r="D2089" s="237"/>
      <c r="E2089" s="237"/>
      <c r="F2089" s="237"/>
      <c r="G2089" s="237"/>
      <c r="H2089" s="237"/>
    </row>
    <row r="2090" spans="1:8" hidden="1" x14ac:dyDescent="0.3">
      <c r="A2090" s="237"/>
      <c r="B2090" s="237"/>
      <c r="C2090" s="238"/>
      <c r="D2090" s="237"/>
      <c r="E2090" s="237"/>
      <c r="F2090" s="237"/>
      <c r="G2090" s="237"/>
      <c r="H2090" s="237"/>
    </row>
    <row r="2091" spans="1:8" hidden="1" x14ac:dyDescent="0.3">
      <c r="A2091" s="237"/>
      <c r="B2091" s="237"/>
      <c r="C2091" s="238"/>
      <c r="D2091" s="237"/>
      <c r="E2091" s="237"/>
      <c r="F2091" s="237"/>
      <c r="G2091" s="237"/>
      <c r="H2091" s="237"/>
    </row>
    <row r="2092" spans="1:8" hidden="1" x14ac:dyDescent="0.3">
      <c r="A2092" s="237"/>
      <c r="B2092" s="237"/>
      <c r="C2092" s="238"/>
      <c r="D2092" s="237"/>
      <c r="E2092" s="237"/>
      <c r="F2092" s="237"/>
      <c r="G2092" s="237"/>
      <c r="H2092" s="237"/>
    </row>
    <row r="2093" spans="1:8" hidden="1" x14ac:dyDescent="0.3">
      <c r="A2093" s="237"/>
      <c r="B2093" s="237"/>
      <c r="C2093" s="238"/>
      <c r="D2093" s="237"/>
      <c r="E2093" s="237"/>
      <c r="F2093" s="237"/>
      <c r="G2093" s="237"/>
      <c r="H2093" s="237"/>
    </row>
    <row r="2094" spans="1:8" hidden="1" x14ac:dyDescent="0.3">
      <c r="A2094" s="237"/>
      <c r="B2094" s="237"/>
      <c r="C2094" s="238"/>
      <c r="D2094" s="237"/>
      <c r="E2094" s="237"/>
      <c r="F2094" s="237"/>
      <c r="G2094" s="237"/>
      <c r="H2094" s="237"/>
    </row>
    <row r="2095" spans="1:8" hidden="1" x14ac:dyDescent="0.3">
      <c r="A2095" s="237"/>
      <c r="B2095" s="237"/>
      <c r="C2095" s="238"/>
      <c r="D2095" s="237"/>
      <c r="E2095" s="237"/>
      <c r="F2095" s="237"/>
      <c r="G2095" s="237"/>
      <c r="H2095" s="237"/>
    </row>
    <row r="2096" spans="1:8" hidden="1" x14ac:dyDescent="0.3">
      <c r="A2096" s="237"/>
      <c r="B2096" s="237"/>
      <c r="C2096" s="238"/>
      <c r="D2096" s="237"/>
      <c r="E2096" s="237"/>
      <c r="F2096" s="237"/>
      <c r="G2096" s="237"/>
      <c r="H2096" s="237"/>
    </row>
    <row r="2097" spans="1:8" hidden="1" x14ac:dyDescent="0.3">
      <c r="A2097" s="237"/>
      <c r="B2097" s="237"/>
      <c r="C2097" s="238"/>
      <c r="D2097" s="237"/>
      <c r="E2097" s="237"/>
      <c r="F2097" s="237"/>
      <c r="G2097" s="237"/>
      <c r="H2097" s="237"/>
    </row>
    <row r="2098" spans="1:8" hidden="1" x14ac:dyDescent="0.3">
      <c r="A2098" s="237"/>
      <c r="B2098" s="237"/>
      <c r="C2098" s="238"/>
      <c r="D2098" s="237"/>
      <c r="E2098" s="237"/>
      <c r="F2098" s="237"/>
      <c r="G2098" s="237"/>
      <c r="H2098" s="237"/>
    </row>
    <row r="2099" spans="1:8" hidden="1" x14ac:dyDescent="0.3">
      <c r="A2099" s="237"/>
      <c r="B2099" s="237"/>
      <c r="C2099" s="238"/>
      <c r="D2099" s="237"/>
      <c r="E2099" s="237"/>
      <c r="F2099" s="237"/>
      <c r="G2099" s="237"/>
      <c r="H2099" s="237"/>
    </row>
    <row r="2100" spans="1:8" hidden="1" x14ac:dyDescent="0.3">
      <c r="A2100" s="237"/>
      <c r="B2100" s="237"/>
      <c r="C2100" s="238"/>
      <c r="D2100" s="237"/>
      <c r="E2100" s="237"/>
      <c r="F2100" s="237"/>
      <c r="G2100" s="237"/>
      <c r="H2100" s="237"/>
    </row>
    <row r="2101" spans="1:8" hidden="1" x14ac:dyDescent="0.3">
      <c r="A2101" s="237"/>
      <c r="B2101" s="237"/>
      <c r="C2101" s="238"/>
      <c r="D2101" s="237"/>
      <c r="E2101" s="237"/>
      <c r="F2101" s="237"/>
      <c r="G2101" s="237"/>
      <c r="H2101" s="237"/>
    </row>
    <row r="2102" spans="1:8" hidden="1" x14ac:dyDescent="0.3">
      <c r="A2102" s="237"/>
      <c r="B2102" s="237"/>
      <c r="C2102" s="238"/>
      <c r="D2102" s="237"/>
      <c r="E2102" s="237"/>
      <c r="F2102" s="237"/>
      <c r="G2102" s="237"/>
      <c r="H2102" s="237"/>
    </row>
    <row r="2103" spans="1:8" hidden="1" x14ac:dyDescent="0.3">
      <c r="A2103" s="237"/>
      <c r="B2103" s="237"/>
      <c r="C2103" s="238"/>
      <c r="D2103" s="237"/>
      <c r="E2103" s="237"/>
      <c r="F2103" s="237"/>
      <c r="G2103" s="237"/>
      <c r="H2103" s="237"/>
    </row>
    <row r="2104" spans="1:8" hidden="1" x14ac:dyDescent="0.3">
      <c r="A2104" s="237"/>
      <c r="B2104" s="237"/>
      <c r="C2104" s="238"/>
      <c r="D2104" s="237"/>
      <c r="E2104" s="237"/>
      <c r="F2104" s="237"/>
      <c r="G2104" s="237"/>
      <c r="H2104" s="237"/>
    </row>
    <row r="2105" spans="1:8" hidden="1" x14ac:dyDescent="0.3">
      <c r="A2105" s="237"/>
      <c r="B2105" s="237"/>
      <c r="C2105" s="238"/>
      <c r="D2105" s="237"/>
      <c r="E2105" s="237"/>
      <c r="F2105" s="237"/>
      <c r="G2105" s="237"/>
      <c r="H2105" s="237"/>
    </row>
    <row r="2106" spans="1:8" hidden="1" x14ac:dyDescent="0.3">
      <c r="A2106" s="237"/>
      <c r="B2106" s="237"/>
      <c r="C2106" s="238"/>
      <c r="D2106" s="237"/>
      <c r="E2106" s="237"/>
      <c r="F2106" s="237"/>
      <c r="G2106" s="237"/>
      <c r="H2106" s="237"/>
    </row>
    <row r="2107" spans="1:8" hidden="1" x14ac:dyDescent="0.3">
      <c r="A2107" s="237"/>
      <c r="B2107" s="237"/>
      <c r="C2107" s="238"/>
      <c r="D2107" s="237"/>
      <c r="E2107" s="237"/>
      <c r="F2107" s="237"/>
      <c r="G2107" s="237"/>
      <c r="H2107" s="237"/>
    </row>
    <row r="2108" spans="1:8" hidden="1" x14ac:dyDescent="0.3">
      <c r="A2108" s="237"/>
      <c r="B2108" s="237"/>
      <c r="C2108" s="238"/>
      <c r="D2108" s="237"/>
      <c r="E2108" s="237"/>
      <c r="F2108" s="237"/>
      <c r="G2108" s="237"/>
      <c r="H2108" s="237"/>
    </row>
    <row r="2109" spans="1:8" hidden="1" x14ac:dyDescent="0.3">
      <c r="A2109" s="237"/>
      <c r="B2109" s="237"/>
      <c r="C2109" s="238"/>
      <c r="D2109" s="237"/>
      <c r="E2109" s="237"/>
      <c r="F2109" s="237"/>
      <c r="G2109" s="237"/>
      <c r="H2109" s="237"/>
    </row>
    <row r="2110" spans="1:8" hidden="1" x14ac:dyDescent="0.3">
      <c r="A2110" s="237"/>
      <c r="B2110" s="237"/>
      <c r="C2110" s="238"/>
      <c r="D2110" s="237"/>
      <c r="E2110" s="237"/>
      <c r="F2110" s="237"/>
      <c r="G2110" s="237"/>
      <c r="H2110" s="237"/>
    </row>
    <row r="2111" spans="1:8" hidden="1" x14ac:dyDescent="0.3">
      <c r="A2111" s="237"/>
      <c r="B2111" s="237"/>
      <c r="C2111" s="238"/>
      <c r="D2111" s="237"/>
      <c r="E2111" s="237"/>
      <c r="F2111" s="237"/>
      <c r="G2111" s="237"/>
      <c r="H2111" s="237"/>
    </row>
    <row r="2112" spans="1:8" hidden="1" x14ac:dyDescent="0.3">
      <c r="A2112" s="237"/>
      <c r="B2112" s="237"/>
      <c r="C2112" s="238"/>
      <c r="D2112" s="237"/>
      <c r="E2112" s="237"/>
      <c r="F2112" s="237"/>
      <c r="G2112" s="237"/>
      <c r="H2112" s="237"/>
    </row>
    <row r="2113" spans="1:8" hidden="1" x14ac:dyDescent="0.3">
      <c r="A2113" s="237"/>
      <c r="B2113" s="237"/>
      <c r="C2113" s="238"/>
      <c r="D2113" s="237"/>
      <c r="E2113" s="237"/>
      <c r="F2113" s="237"/>
      <c r="G2113" s="237"/>
      <c r="H2113" s="237"/>
    </row>
    <row r="2114" spans="1:8" hidden="1" x14ac:dyDescent="0.3">
      <c r="A2114" s="237"/>
      <c r="B2114" s="237"/>
      <c r="C2114" s="238"/>
      <c r="D2114" s="237"/>
      <c r="E2114" s="237"/>
      <c r="F2114" s="237"/>
      <c r="G2114" s="237"/>
      <c r="H2114" s="237"/>
    </row>
    <row r="2115" spans="1:8" hidden="1" x14ac:dyDescent="0.3">
      <c r="A2115" s="237"/>
      <c r="B2115" s="237"/>
      <c r="C2115" s="238"/>
      <c r="D2115" s="237"/>
      <c r="E2115" s="237"/>
      <c r="F2115" s="237"/>
      <c r="G2115" s="237"/>
      <c r="H2115" s="237"/>
    </row>
    <row r="2116" spans="1:8" hidden="1" x14ac:dyDescent="0.3">
      <c r="A2116" s="237"/>
      <c r="B2116" s="237"/>
      <c r="C2116" s="238"/>
      <c r="D2116" s="237"/>
      <c r="E2116" s="237"/>
      <c r="F2116" s="237"/>
      <c r="G2116" s="237"/>
      <c r="H2116" s="237"/>
    </row>
    <row r="2117" spans="1:8" hidden="1" x14ac:dyDescent="0.3">
      <c r="A2117" s="237"/>
      <c r="B2117" s="237"/>
      <c r="C2117" s="238"/>
      <c r="D2117" s="237"/>
      <c r="E2117" s="237"/>
      <c r="F2117" s="237"/>
      <c r="G2117" s="237"/>
      <c r="H2117" s="237"/>
    </row>
    <row r="2118" spans="1:8" hidden="1" x14ac:dyDescent="0.3">
      <c r="A2118" s="237"/>
      <c r="B2118" s="237"/>
      <c r="C2118" s="238"/>
      <c r="D2118" s="237"/>
      <c r="E2118" s="237"/>
      <c r="F2118" s="237"/>
      <c r="G2118" s="237"/>
      <c r="H2118" s="237"/>
    </row>
    <row r="2119" spans="1:8" hidden="1" x14ac:dyDescent="0.3">
      <c r="A2119" s="237"/>
      <c r="B2119" s="237"/>
      <c r="C2119" s="238"/>
      <c r="D2119" s="237"/>
      <c r="E2119" s="237"/>
      <c r="F2119" s="237"/>
      <c r="G2119" s="237"/>
      <c r="H2119" s="237"/>
    </row>
    <row r="2120" spans="1:8" hidden="1" x14ac:dyDescent="0.3">
      <c r="A2120" s="237"/>
      <c r="B2120" s="237"/>
      <c r="C2120" s="238"/>
      <c r="D2120" s="237"/>
      <c r="E2120" s="237"/>
      <c r="F2120" s="237"/>
      <c r="G2120" s="237"/>
      <c r="H2120" s="237"/>
    </row>
    <row r="2121" spans="1:8" hidden="1" x14ac:dyDescent="0.3">
      <c r="A2121" s="237"/>
      <c r="B2121" s="237"/>
      <c r="C2121" s="238"/>
      <c r="D2121" s="237"/>
      <c r="E2121" s="237"/>
      <c r="F2121" s="237"/>
      <c r="G2121" s="237"/>
      <c r="H2121" s="237"/>
    </row>
    <row r="2122" spans="1:8" hidden="1" x14ac:dyDescent="0.3">
      <c r="A2122" s="237"/>
      <c r="B2122" s="237"/>
      <c r="C2122" s="238"/>
      <c r="D2122" s="237"/>
      <c r="E2122" s="237"/>
      <c r="F2122" s="237"/>
      <c r="G2122" s="237"/>
      <c r="H2122" s="237"/>
    </row>
    <row r="2123" spans="1:8" hidden="1" x14ac:dyDescent="0.3">
      <c r="A2123" s="237"/>
      <c r="B2123" s="237"/>
      <c r="C2123" s="238"/>
      <c r="D2123" s="237"/>
      <c r="E2123" s="237"/>
      <c r="F2123" s="237"/>
      <c r="G2123" s="237"/>
      <c r="H2123" s="237"/>
    </row>
    <row r="2124" spans="1:8" hidden="1" x14ac:dyDescent="0.3">
      <c r="A2124" s="237"/>
      <c r="B2124" s="237"/>
      <c r="C2124" s="238"/>
      <c r="D2124" s="237"/>
      <c r="E2124" s="237"/>
      <c r="F2124" s="237"/>
      <c r="G2124" s="237"/>
      <c r="H2124" s="237"/>
    </row>
    <row r="2125" spans="1:8" hidden="1" x14ac:dyDescent="0.3">
      <c r="A2125" s="237"/>
      <c r="B2125" s="237"/>
      <c r="C2125" s="238"/>
      <c r="D2125" s="237"/>
      <c r="E2125" s="237"/>
      <c r="F2125" s="237"/>
      <c r="G2125" s="237"/>
      <c r="H2125" s="237"/>
    </row>
    <row r="2126" spans="1:8" hidden="1" x14ac:dyDescent="0.3">
      <c r="A2126" s="237"/>
      <c r="B2126" s="237"/>
      <c r="C2126" s="238"/>
      <c r="D2126" s="237"/>
      <c r="E2126" s="237"/>
      <c r="F2126" s="237"/>
      <c r="G2126" s="237"/>
      <c r="H2126" s="237"/>
    </row>
    <row r="2127" spans="1:8" hidden="1" x14ac:dyDescent="0.3">
      <c r="A2127" s="237"/>
      <c r="B2127" s="237"/>
      <c r="C2127" s="238"/>
      <c r="D2127" s="237"/>
      <c r="E2127" s="237"/>
      <c r="F2127" s="237"/>
      <c r="G2127" s="237"/>
      <c r="H2127" s="237"/>
    </row>
    <row r="2128" spans="1:8" hidden="1" x14ac:dyDescent="0.3">
      <c r="A2128" s="237"/>
      <c r="B2128" s="237"/>
      <c r="C2128" s="238"/>
      <c r="D2128" s="237"/>
      <c r="E2128" s="237"/>
      <c r="F2128" s="237"/>
      <c r="G2128" s="237"/>
      <c r="H2128" s="237"/>
    </row>
    <row r="2129" spans="1:8" hidden="1" x14ac:dyDescent="0.3">
      <c r="A2129" s="237"/>
      <c r="B2129" s="237"/>
      <c r="C2129" s="238"/>
      <c r="D2129" s="237"/>
      <c r="E2129" s="237"/>
      <c r="F2129" s="237"/>
      <c r="G2129" s="237"/>
      <c r="H2129" s="237"/>
    </row>
    <row r="2130" spans="1:8" hidden="1" x14ac:dyDescent="0.3">
      <c r="A2130" s="237"/>
      <c r="B2130" s="237"/>
      <c r="C2130" s="238"/>
      <c r="D2130" s="237"/>
      <c r="E2130" s="237"/>
      <c r="F2130" s="237"/>
      <c r="G2130" s="237"/>
      <c r="H2130" s="237"/>
    </row>
    <row r="2131" spans="1:8" hidden="1" x14ac:dyDescent="0.3">
      <c r="A2131" s="237"/>
      <c r="B2131" s="237"/>
      <c r="C2131" s="238"/>
      <c r="D2131" s="237"/>
      <c r="E2131" s="237"/>
      <c r="F2131" s="237"/>
      <c r="G2131" s="237"/>
      <c r="H2131" s="237"/>
    </row>
    <row r="2132" spans="1:8" hidden="1" x14ac:dyDescent="0.3">
      <c r="A2132" s="237"/>
      <c r="B2132" s="237"/>
      <c r="C2132" s="238"/>
      <c r="D2132" s="237"/>
      <c r="E2132" s="237"/>
      <c r="F2132" s="237"/>
      <c r="G2132" s="237"/>
      <c r="H2132" s="237"/>
    </row>
    <row r="2133" spans="1:8" hidden="1" x14ac:dyDescent="0.3">
      <c r="A2133" s="237"/>
      <c r="B2133" s="237"/>
      <c r="C2133" s="238"/>
      <c r="D2133" s="237"/>
      <c r="E2133" s="237"/>
      <c r="F2133" s="237"/>
      <c r="G2133" s="237"/>
      <c r="H2133" s="237"/>
    </row>
    <row r="2134" spans="1:8" hidden="1" x14ac:dyDescent="0.3">
      <c r="A2134" s="237"/>
      <c r="B2134" s="237"/>
      <c r="C2134" s="238"/>
      <c r="D2134" s="237"/>
      <c r="E2134" s="237"/>
      <c r="F2134" s="237"/>
      <c r="G2134" s="237"/>
      <c r="H2134" s="237"/>
    </row>
    <row r="2135" spans="1:8" hidden="1" x14ac:dyDescent="0.3">
      <c r="A2135" s="237"/>
      <c r="B2135" s="237"/>
      <c r="C2135" s="238"/>
      <c r="D2135" s="237"/>
      <c r="E2135" s="237"/>
      <c r="F2135" s="237"/>
      <c r="G2135" s="237"/>
      <c r="H2135" s="237"/>
    </row>
    <row r="2136" spans="1:8" hidden="1" x14ac:dyDescent="0.3">
      <c r="A2136" s="237"/>
      <c r="B2136" s="237"/>
      <c r="C2136" s="238"/>
      <c r="D2136" s="237"/>
      <c r="E2136" s="237"/>
      <c r="F2136" s="237"/>
      <c r="G2136" s="237"/>
      <c r="H2136" s="237"/>
    </row>
    <row r="2137" spans="1:8" hidden="1" x14ac:dyDescent="0.3">
      <c r="A2137" s="237"/>
      <c r="B2137" s="237"/>
      <c r="C2137" s="238"/>
      <c r="D2137" s="237"/>
      <c r="E2137" s="237"/>
      <c r="F2137" s="237"/>
      <c r="G2137" s="237"/>
      <c r="H2137" s="237"/>
    </row>
    <row r="2138" spans="1:8" hidden="1" x14ac:dyDescent="0.3">
      <c r="A2138" s="237"/>
      <c r="B2138" s="237"/>
      <c r="C2138" s="238"/>
      <c r="D2138" s="237"/>
      <c r="E2138" s="237"/>
      <c r="F2138" s="237"/>
      <c r="G2138" s="237"/>
      <c r="H2138" s="237"/>
    </row>
    <row r="2139" spans="1:8" hidden="1" x14ac:dyDescent="0.3">
      <c r="A2139" s="237"/>
      <c r="B2139" s="237"/>
      <c r="C2139" s="238"/>
      <c r="D2139" s="237"/>
      <c r="E2139" s="237"/>
      <c r="F2139" s="237"/>
      <c r="G2139" s="237"/>
      <c r="H2139" s="237"/>
    </row>
    <row r="2140" spans="1:8" hidden="1" x14ac:dyDescent="0.3">
      <c r="A2140" s="237"/>
      <c r="B2140" s="237"/>
      <c r="C2140" s="238"/>
      <c r="D2140" s="237"/>
      <c r="E2140" s="237"/>
      <c r="F2140" s="237"/>
      <c r="G2140" s="237"/>
      <c r="H2140" s="237"/>
    </row>
    <row r="2141" spans="1:8" hidden="1" x14ac:dyDescent="0.3">
      <c r="A2141" s="237"/>
      <c r="B2141" s="237"/>
      <c r="C2141" s="238"/>
      <c r="D2141" s="237"/>
      <c r="E2141" s="237"/>
      <c r="F2141" s="237"/>
      <c r="G2141" s="237"/>
      <c r="H2141" s="237"/>
    </row>
    <row r="2142" spans="1:8" hidden="1" x14ac:dyDescent="0.3">
      <c r="A2142" s="237"/>
      <c r="B2142" s="237"/>
      <c r="C2142" s="238"/>
      <c r="D2142" s="237"/>
      <c r="E2142" s="237"/>
      <c r="F2142" s="237"/>
      <c r="G2142" s="237"/>
      <c r="H2142" s="237"/>
    </row>
    <row r="2143" spans="1:8" hidden="1" x14ac:dyDescent="0.3">
      <c r="A2143" s="237"/>
      <c r="B2143" s="237"/>
      <c r="C2143" s="238"/>
      <c r="D2143" s="237"/>
      <c r="E2143" s="237"/>
      <c r="F2143" s="237"/>
      <c r="G2143" s="237"/>
      <c r="H2143" s="237"/>
    </row>
    <row r="2144" spans="1:8" hidden="1" x14ac:dyDescent="0.3">
      <c r="A2144" s="237"/>
      <c r="B2144" s="237"/>
      <c r="C2144" s="238"/>
      <c r="D2144" s="237"/>
      <c r="E2144" s="237"/>
      <c r="F2144" s="237"/>
      <c r="G2144" s="237"/>
      <c r="H2144" s="237"/>
    </row>
    <row r="2145" spans="1:8" hidden="1" x14ac:dyDescent="0.3">
      <c r="A2145" s="237"/>
      <c r="B2145" s="237"/>
      <c r="C2145" s="238"/>
      <c r="D2145" s="237"/>
      <c r="E2145" s="237"/>
      <c r="F2145" s="237"/>
      <c r="G2145" s="237"/>
      <c r="H2145" s="237"/>
    </row>
    <row r="2146" spans="1:8" hidden="1" x14ac:dyDescent="0.3">
      <c r="A2146" s="237"/>
      <c r="B2146" s="237"/>
      <c r="C2146" s="238"/>
      <c r="D2146" s="237"/>
      <c r="E2146" s="237"/>
      <c r="F2146" s="237"/>
      <c r="G2146" s="237"/>
      <c r="H2146" s="237"/>
    </row>
    <row r="2147" spans="1:8" hidden="1" x14ac:dyDescent="0.3">
      <c r="A2147" s="237"/>
      <c r="B2147" s="237"/>
      <c r="C2147" s="238"/>
      <c r="D2147" s="237"/>
      <c r="E2147" s="237"/>
      <c r="F2147" s="237"/>
      <c r="G2147" s="237"/>
      <c r="H2147" s="237"/>
    </row>
    <row r="2148" spans="1:8" hidden="1" x14ac:dyDescent="0.3">
      <c r="A2148" s="237"/>
      <c r="B2148" s="237"/>
      <c r="C2148" s="238"/>
      <c r="D2148" s="237"/>
      <c r="E2148" s="237"/>
      <c r="F2148" s="237"/>
      <c r="G2148" s="237"/>
      <c r="H2148" s="237"/>
    </row>
    <row r="2149" spans="1:8" hidden="1" x14ac:dyDescent="0.3">
      <c r="A2149" s="237"/>
      <c r="B2149" s="237"/>
      <c r="C2149" s="238"/>
      <c r="D2149" s="237"/>
      <c r="E2149" s="237"/>
      <c r="F2149" s="237"/>
      <c r="G2149" s="237"/>
      <c r="H2149" s="237"/>
    </row>
    <row r="2150" spans="1:8" hidden="1" x14ac:dyDescent="0.3">
      <c r="A2150" s="237"/>
      <c r="B2150" s="237"/>
      <c r="C2150" s="238"/>
      <c r="D2150" s="237"/>
      <c r="E2150" s="237"/>
      <c r="F2150" s="237"/>
      <c r="G2150" s="237"/>
      <c r="H2150" s="237"/>
    </row>
    <row r="2151" spans="1:8" hidden="1" x14ac:dyDescent="0.3">
      <c r="A2151" s="237"/>
      <c r="B2151" s="237"/>
      <c r="C2151" s="238"/>
      <c r="D2151" s="237"/>
      <c r="E2151" s="237"/>
      <c r="F2151" s="237"/>
      <c r="G2151" s="237"/>
      <c r="H2151" s="237"/>
    </row>
    <row r="2152" spans="1:8" hidden="1" x14ac:dyDescent="0.3">
      <c r="A2152" s="237"/>
      <c r="B2152" s="237"/>
      <c r="C2152" s="238"/>
      <c r="D2152" s="237"/>
      <c r="E2152" s="237"/>
      <c r="F2152" s="237"/>
      <c r="G2152" s="237"/>
      <c r="H2152" s="237"/>
    </row>
    <row r="2153" spans="1:8" hidden="1" x14ac:dyDescent="0.3">
      <c r="A2153" s="237"/>
      <c r="B2153" s="237"/>
      <c r="C2153" s="238"/>
      <c r="D2153" s="237"/>
      <c r="E2153" s="237"/>
      <c r="F2153" s="237"/>
      <c r="G2153" s="237"/>
      <c r="H2153" s="237"/>
    </row>
    <row r="2154" spans="1:8" hidden="1" x14ac:dyDescent="0.3">
      <c r="A2154" s="237"/>
      <c r="B2154" s="237"/>
      <c r="C2154" s="238"/>
      <c r="D2154" s="237"/>
      <c r="E2154" s="237"/>
      <c r="F2154" s="237"/>
      <c r="G2154" s="237"/>
      <c r="H2154" s="237"/>
    </row>
    <row r="2155" spans="1:8" hidden="1" x14ac:dyDescent="0.3">
      <c r="A2155" s="237"/>
      <c r="B2155" s="237"/>
      <c r="C2155" s="238"/>
      <c r="D2155" s="237"/>
      <c r="E2155" s="237"/>
      <c r="F2155" s="237"/>
      <c r="G2155" s="237"/>
      <c r="H2155" s="237"/>
    </row>
    <row r="2156" spans="1:8" hidden="1" x14ac:dyDescent="0.3">
      <c r="A2156" s="237"/>
      <c r="B2156" s="237"/>
      <c r="C2156" s="238"/>
      <c r="D2156" s="237"/>
      <c r="E2156" s="237"/>
      <c r="F2156" s="237"/>
      <c r="G2156" s="237"/>
      <c r="H2156" s="237"/>
    </row>
    <row r="2157" spans="1:8" hidden="1" x14ac:dyDescent="0.3">
      <c r="A2157" s="237"/>
      <c r="B2157" s="237"/>
      <c r="C2157" s="238"/>
      <c r="D2157" s="237"/>
      <c r="E2157" s="237"/>
      <c r="F2157" s="237"/>
      <c r="G2157" s="237"/>
      <c r="H2157" s="237"/>
    </row>
    <row r="2158" spans="1:8" hidden="1" x14ac:dyDescent="0.3">
      <c r="A2158" s="237"/>
      <c r="B2158" s="237"/>
      <c r="C2158" s="238"/>
      <c r="D2158" s="237"/>
      <c r="E2158" s="237"/>
      <c r="F2158" s="237"/>
      <c r="G2158" s="237"/>
      <c r="H2158" s="237"/>
    </row>
    <row r="2159" spans="1:8" hidden="1" x14ac:dyDescent="0.3">
      <c r="A2159" s="237"/>
      <c r="B2159" s="237"/>
      <c r="C2159" s="238"/>
      <c r="D2159" s="237"/>
      <c r="E2159" s="237"/>
      <c r="F2159" s="237"/>
      <c r="G2159" s="237"/>
      <c r="H2159" s="237"/>
    </row>
    <row r="2160" spans="1:8" hidden="1" x14ac:dyDescent="0.3">
      <c r="A2160" s="237"/>
      <c r="B2160" s="237"/>
      <c r="C2160" s="238"/>
      <c r="D2160" s="237"/>
      <c r="E2160" s="237"/>
      <c r="F2160" s="237"/>
      <c r="G2160" s="237"/>
      <c r="H2160" s="237"/>
    </row>
    <row r="2161" spans="1:8" hidden="1" x14ac:dyDescent="0.3">
      <c r="A2161" s="237"/>
      <c r="B2161" s="237"/>
      <c r="C2161" s="238"/>
      <c r="D2161" s="237"/>
      <c r="E2161" s="237"/>
      <c r="F2161" s="237"/>
      <c r="G2161" s="237"/>
      <c r="H2161" s="237"/>
    </row>
    <row r="2162" spans="1:8" hidden="1" x14ac:dyDescent="0.3">
      <c r="A2162" s="237"/>
      <c r="B2162" s="237"/>
      <c r="C2162" s="238"/>
      <c r="D2162" s="237"/>
      <c r="E2162" s="237"/>
      <c r="F2162" s="237"/>
      <c r="G2162" s="237"/>
      <c r="H2162" s="237"/>
    </row>
    <row r="2163" spans="1:8" hidden="1" x14ac:dyDescent="0.3">
      <c r="A2163" s="237"/>
      <c r="B2163" s="237"/>
      <c r="C2163" s="238"/>
      <c r="D2163" s="237"/>
      <c r="E2163" s="237"/>
      <c r="F2163" s="237"/>
      <c r="G2163" s="237"/>
      <c r="H2163" s="237"/>
    </row>
    <row r="2164" spans="1:8" hidden="1" x14ac:dyDescent="0.3">
      <c r="A2164" s="237"/>
      <c r="B2164" s="237"/>
      <c r="C2164" s="238"/>
      <c r="D2164" s="237"/>
      <c r="E2164" s="237"/>
      <c r="F2164" s="237"/>
      <c r="G2164" s="237"/>
      <c r="H2164" s="237"/>
    </row>
    <row r="2165" spans="1:8" hidden="1" x14ac:dyDescent="0.3">
      <c r="A2165" s="237"/>
      <c r="B2165" s="237"/>
      <c r="C2165" s="238"/>
      <c r="D2165" s="237"/>
      <c r="E2165" s="237"/>
      <c r="F2165" s="237"/>
      <c r="G2165" s="237"/>
      <c r="H2165" s="237"/>
    </row>
    <row r="2166" spans="1:8" hidden="1" x14ac:dyDescent="0.3">
      <c r="A2166" s="237"/>
      <c r="B2166" s="237"/>
      <c r="C2166" s="238"/>
      <c r="D2166" s="237"/>
      <c r="E2166" s="237"/>
      <c r="F2166" s="237"/>
      <c r="G2166" s="237"/>
      <c r="H2166" s="237"/>
    </row>
    <row r="2167" spans="1:8" hidden="1" x14ac:dyDescent="0.3">
      <c r="A2167" s="237"/>
      <c r="B2167" s="237"/>
      <c r="C2167" s="238"/>
      <c r="D2167" s="237"/>
      <c r="E2167" s="237"/>
      <c r="F2167" s="237"/>
      <c r="G2167" s="237"/>
      <c r="H2167" s="237"/>
    </row>
    <row r="2168" spans="1:8" hidden="1" x14ac:dyDescent="0.3">
      <c r="A2168" s="237"/>
      <c r="B2168" s="237"/>
      <c r="C2168" s="238"/>
      <c r="D2168" s="237"/>
      <c r="E2168" s="237"/>
      <c r="F2168" s="237"/>
      <c r="G2168" s="237"/>
      <c r="H2168" s="237"/>
    </row>
    <row r="2169" spans="1:8" hidden="1" x14ac:dyDescent="0.3">
      <c r="A2169" s="237"/>
      <c r="B2169" s="237"/>
      <c r="C2169" s="238"/>
      <c r="D2169" s="237"/>
      <c r="E2169" s="237"/>
      <c r="F2169" s="237"/>
      <c r="G2169" s="237"/>
      <c r="H2169" s="237"/>
    </row>
    <row r="2170" spans="1:8" hidden="1" x14ac:dyDescent="0.3">
      <c r="A2170" s="237"/>
      <c r="B2170" s="237"/>
      <c r="C2170" s="238"/>
      <c r="D2170" s="237"/>
      <c r="E2170" s="237"/>
      <c r="F2170" s="237"/>
      <c r="G2170" s="237"/>
      <c r="H2170" s="237"/>
    </row>
    <row r="2171" spans="1:8" hidden="1" x14ac:dyDescent="0.3">
      <c r="A2171" s="237"/>
      <c r="B2171" s="237"/>
      <c r="C2171" s="238"/>
      <c r="D2171" s="237"/>
      <c r="E2171" s="237"/>
      <c r="F2171" s="237"/>
      <c r="G2171" s="237"/>
      <c r="H2171" s="237"/>
    </row>
    <row r="2172" spans="1:8" hidden="1" x14ac:dyDescent="0.3">
      <c r="A2172" s="237"/>
      <c r="B2172" s="237"/>
      <c r="C2172" s="238"/>
      <c r="D2172" s="237"/>
      <c r="E2172" s="237"/>
      <c r="F2172" s="237"/>
      <c r="G2172" s="237"/>
      <c r="H2172" s="237"/>
    </row>
    <row r="2173" spans="1:8" hidden="1" x14ac:dyDescent="0.3">
      <c r="A2173" s="237"/>
      <c r="B2173" s="237"/>
      <c r="C2173" s="238"/>
      <c r="D2173" s="237"/>
      <c r="E2173" s="237"/>
      <c r="F2173" s="237"/>
      <c r="G2173" s="237"/>
      <c r="H2173" s="237"/>
    </row>
    <row r="2174" spans="1:8" hidden="1" x14ac:dyDescent="0.3">
      <c r="A2174" s="237"/>
      <c r="B2174" s="237"/>
      <c r="C2174" s="238"/>
      <c r="D2174" s="237"/>
      <c r="E2174" s="237"/>
      <c r="F2174" s="237"/>
      <c r="G2174" s="237"/>
      <c r="H2174" s="237"/>
    </row>
    <row r="2175" spans="1:8" hidden="1" x14ac:dyDescent="0.3">
      <c r="A2175" s="237"/>
      <c r="B2175" s="237"/>
      <c r="C2175" s="238"/>
      <c r="D2175" s="237"/>
      <c r="E2175" s="237"/>
      <c r="F2175" s="237"/>
      <c r="G2175" s="237"/>
      <c r="H2175" s="237"/>
    </row>
    <row r="2176" spans="1:8" hidden="1" x14ac:dyDescent="0.3">
      <c r="A2176" s="237"/>
      <c r="B2176" s="237"/>
      <c r="C2176" s="238"/>
      <c r="D2176" s="237"/>
      <c r="E2176" s="237"/>
      <c r="F2176" s="237"/>
      <c r="G2176" s="237"/>
      <c r="H2176" s="237"/>
    </row>
    <row r="2177" spans="1:8" hidden="1" x14ac:dyDescent="0.3">
      <c r="A2177" s="237"/>
      <c r="B2177" s="237"/>
      <c r="C2177" s="238"/>
      <c r="D2177" s="237"/>
      <c r="E2177" s="237"/>
      <c r="F2177" s="237"/>
      <c r="G2177" s="237"/>
      <c r="H2177" s="237"/>
    </row>
    <row r="2178" spans="1:8" hidden="1" x14ac:dyDescent="0.3">
      <c r="A2178" s="237"/>
      <c r="B2178" s="237"/>
      <c r="C2178" s="238"/>
      <c r="D2178" s="237"/>
      <c r="E2178" s="237"/>
      <c r="F2178" s="237"/>
      <c r="G2178" s="237"/>
      <c r="H2178" s="237"/>
    </row>
    <row r="2179" spans="1:8" hidden="1" x14ac:dyDescent="0.3">
      <c r="A2179" s="237"/>
      <c r="B2179" s="237"/>
      <c r="C2179" s="238"/>
      <c r="D2179" s="237"/>
      <c r="E2179" s="237"/>
      <c r="F2179" s="237"/>
      <c r="G2179" s="237"/>
      <c r="H2179" s="237"/>
    </row>
    <row r="2180" spans="1:8" hidden="1" x14ac:dyDescent="0.3">
      <c r="A2180" s="237"/>
      <c r="B2180" s="237"/>
      <c r="C2180" s="238"/>
      <c r="D2180" s="237"/>
      <c r="E2180" s="237"/>
      <c r="F2180" s="237"/>
      <c r="G2180" s="237"/>
      <c r="H2180" s="237"/>
    </row>
    <row r="2181" spans="1:8" hidden="1" x14ac:dyDescent="0.3">
      <c r="A2181" s="237"/>
      <c r="B2181" s="237"/>
      <c r="C2181" s="238"/>
      <c r="D2181" s="237"/>
      <c r="E2181" s="237"/>
      <c r="F2181" s="237"/>
      <c r="G2181" s="237"/>
      <c r="H2181" s="237"/>
    </row>
    <row r="2182" spans="1:8" hidden="1" x14ac:dyDescent="0.3">
      <c r="A2182" s="237"/>
      <c r="B2182" s="237"/>
      <c r="C2182" s="238"/>
      <c r="D2182" s="237"/>
      <c r="E2182" s="237"/>
      <c r="F2182" s="237"/>
      <c r="G2182" s="237"/>
      <c r="H2182" s="237"/>
    </row>
    <row r="2183" spans="1:8" hidden="1" x14ac:dyDescent="0.3">
      <c r="A2183" s="237"/>
      <c r="B2183" s="237"/>
      <c r="C2183" s="238"/>
      <c r="D2183" s="237"/>
      <c r="E2183" s="237"/>
      <c r="F2183" s="237"/>
      <c r="G2183" s="237"/>
      <c r="H2183" s="237"/>
    </row>
    <row r="2184" spans="1:8" hidden="1" x14ac:dyDescent="0.3">
      <c r="A2184" s="237"/>
      <c r="B2184" s="237"/>
      <c r="C2184" s="238"/>
      <c r="D2184" s="237"/>
      <c r="E2184" s="237"/>
      <c r="F2184" s="237"/>
      <c r="G2184" s="237"/>
      <c r="H2184" s="237"/>
    </row>
    <row r="2185" spans="1:8" hidden="1" x14ac:dyDescent="0.3">
      <c r="A2185" s="237"/>
      <c r="B2185" s="237"/>
      <c r="C2185" s="238"/>
      <c r="D2185" s="237"/>
      <c r="E2185" s="237"/>
      <c r="F2185" s="237"/>
      <c r="G2185" s="237"/>
      <c r="H2185" s="237"/>
    </row>
    <row r="2186" spans="1:8" hidden="1" x14ac:dyDescent="0.3">
      <c r="A2186" s="237"/>
      <c r="B2186" s="237"/>
      <c r="C2186" s="238"/>
      <c r="D2186" s="237"/>
      <c r="E2186" s="237"/>
      <c r="F2186" s="237"/>
      <c r="G2186" s="237"/>
      <c r="H2186" s="237"/>
    </row>
    <row r="2187" spans="1:8" hidden="1" x14ac:dyDescent="0.3">
      <c r="A2187" s="237"/>
      <c r="B2187" s="237"/>
      <c r="C2187" s="238"/>
      <c r="D2187" s="237"/>
      <c r="E2187" s="237"/>
      <c r="F2187" s="237"/>
      <c r="G2187" s="237"/>
      <c r="H2187" s="237"/>
    </row>
    <row r="2188" spans="1:8" hidden="1" x14ac:dyDescent="0.3">
      <c r="A2188" s="237"/>
      <c r="B2188" s="237"/>
      <c r="C2188" s="238"/>
      <c r="D2188" s="237"/>
      <c r="E2188" s="237"/>
      <c r="F2188" s="237"/>
      <c r="G2188" s="237"/>
      <c r="H2188" s="237"/>
    </row>
    <row r="2189" spans="1:8" hidden="1" x14ac:dyDescent="0.3">
      <c r="A2189" s="237"/>
      <c r="B2189" s="237"/>
      <c r="C2189" s="238"/>
      <c r="D2189" s="237"/>
      <c r="E2189" s="237"/>
      <c r="F2189" s="237"/>
      <c r="G2189" s="237"/>
      <c r="H2189" s="237"/>
    </row>
    <row r="2190" spans="1:8" hidden="1" x14ac:dyDescent="0.3">
      <c r="A2190" s="237"/>
      <c r="B2190" s="237"/>
      <c r="C2190" s="238"/>
      <c r="D2190" s="237"/>
      <c r="E2190" s="237"/>
      <c r="F2190" s="237"/>
      <c r="G2190" s="237"/>
      <c r="H2190" s="237"/>
    </row>
    <row r="2191" spans="1:8" hidden="1" x14ac:dyDescent="0.3">
      <c r="A2191" s="237"/>
      <c r="B2191" s="237"/>
      <c r="C2191" s="238"/>
      <c r="D2191" s="237"/>
      <c r="E2191" s="237"/>
      <c r="F2191" s="237"/>
      <c r="G2191" s="237"/>
      <c r="H2191" s="237"/>
    </row>
    <row r="2192" spans="1:8" hidden="1" x14ac:dyDescent="0.3">
      <c r="A2192" s="237"/>
      <c r="B2192" s="237"/>
      <c r="C2192" s="238"/>
      <c r="D2192" s="237"/>
      <c r="E2192" s="237"/>
      <c r="F2192" s="237"/>
      <c r="G2192" s="237"/>
      <c r="H2192" s="237"/>
    </row>
    <row r="2193" spans="1:8" hidden="1" x14ac:dyDescent="0.3">
      <c r="A2193" s="237"/>
      <c r="B2193" s="237"/>
      <c r="C2193" s="238"/>
      <c r="D2193" s="237"/>
      <c r="E2193" s="237"/>
      <c r="F2193" s="237"/>
      <c r="G2193" s="237"/>
      <c r="H2193" s="237"/>
    </row>
    <row r="2194" spans="1:8" hidden="1" x14ac:dyDescent="0.3">
      <c r="A2194" s="237"/>
      <c r="B2194" s="237"/>
      <c r="C2194" s="238"/>
      <c r="D2194" s="237"/>
      <c r="E2194" s="237"/>
      <c r="F2194" s="237"/>
      <c r="G2194" s="237"/>
      <c r="H2194" s="237"/>
    </row>
    <row r="2195" spans="1:8" hidden="1" x14ac:dyDescent="0.3">
      <c r="A2195" s="237"/>
      <c r="B2195" s="237"/>
      <c r="C2195" s="238"/>
      <c r="D2195" s="237"/>
      <c r="E2195" s="237"/>
      <c r="F2195" s="237"/>
      <c r="G2195" s="237"/>
      <c r="H2195" s="237"/>
    </row>
    <row r="2196" spans="1:8" hidden="1" x14ac:dyDescent="0.3">
      <c r="A2196" s="237"/>
      <c r="B2196" s="237"/>
      <c r="C2196" s="238"/>
      <c r="D2196" s="237"/>
      <c r="E2196" s="237"/>
      <c r="F2196" s="237"/>
      <c r="G2196" s="237"/>
      <c r="H2196" s="237"/>
    </row>
    <row r="2197" spans="1:8" hidden="1" x14ac:dyDescent="0.3">
      <c r="A2197" s="237"/>
      <c r="B2197" s="237"/>
      <c r="C2197" s="238"/>
      <c r="D2197" s="237"/>
      <c r="E2197" s="237"/>
      <c r="F2197" s="237"/>
      <c r="G2197" s="237"/>
      <c r="H2197" s="237"/>
    </row>
    <row r="2198" spans="1:8" hidden="1" x14ac:dyDescent="0.3">
      <c r="A2198" s="237"/>
      <c r="B2198" s="237"/>
      <c r="C2198" s="238"/>
      <c r="D2198" s="237"/>
      <c r="E2198" s="237"/>
      <c r="F2198" s="237"/>
      <c r="G2198" s="237"/>
      <c r="H2198" s="237"/>
    </row>
    <row r="2199" spans="1:8" hidden="1" x14ac:dyDescent="0.3">
      <c r="A2199" s="237"/>
      <c r="B2199" s="237"/>
      <c r="C2199" s="238"/>
      <c r="D2199" s="237"/>
      <c r="E2199" s="237"/>
      <c r="F2199" s="237"/>
      <c r="G2199" s="237"/>
      <c r="H2199" s="237"/>
    </row>
    <row r="2200" spans="1:8" hidden="1" x14ac:dyDescent="0.3">
      <c r="A2200" s="237"/>
      <c r="B2200" s="237"/>
      <c r="C2200" s="238"/>
      <c r="D2200" s="237"/>
      <c r="E2200" s="237"/>
      <c r="F2200" s="237"/>
      <c r="G2200" s="237"/>
      <c r="H2200" s="237"/>
    </row>
    <row r="2201" spans="1:8" hidden="1" x14ac:dyDescent="0.3">
      <c r="A2201" s="237"/>
      <c r="B2201" s="237"/>
      <c r="C2201" s="238"/>
      <c r="D2201" s="237"/>
      <c r="E2201" s="237"/>
      <c r="F2201" s="237"/>
      <c r="G2201" s="237"/>
      <c r="H2201" s="237"/>
    </row>
    <row r="2202" spans="1:8" hidden="1" x14ac:dyDescent="0.3">
      <c r="A2202" s="237"/>
      <c r="B2202" s="237"/>
      <c r="C2202" s="238"/>
      <c r="D2202" s="237"/>
      <c r="E2202" s="237"/>
      <c r="F2202" s="237"/>
      <c r="G2202" s="237"/>
      <c r="H2202" s="237"/>
    </row>
    <row r="2203" spans="1:8" hidden="1" x14ac:dyDescent="0.3">
      <c r="A2203" s="237"/>
      <c r="B2203" s="237"/>
      <c r="C2203" s="238"/>
      <c r="D2203" s="237"/>
      <c r="E2203" s="237"/>
      <c r="F2203" s="237"/>
      <c r="G2203" s="237"/>
      <c r="H2203" s="237"/>
    </row>
    <row r="2204" spans="1:8" hidden="1" x14ac:dyDescent="0.3">
      <c r="A2204" s="237"/>
      <c r="B2204" s="237"/>
      <c r="C2204" s="238"/>
      <c r="D2204" s="237"/>
      <c r="E2204" s="237"/>
      <c r="F2204" s="237"/>
      <c r="G2204" s="237"/>
      <c r="H2204" s="237"/>
    </row>
    <row r="2205" spans="1:8" hidden="1" x14ac:dyDescent="0.3">
      <c r="A2205" s="237"/>
      <c r="B2205" s="237"/>
      <c r="C2205" s="238"/>
      <c r="D2205" s="237"/>
      <c r="E2205" s="237"/>
      <c r="F2205" s="237"/>
      <c r="G2205" s="237"/>
      <c r="H2205" s="237"/>
    </row>
    <row r="2206" spans="1:8" hidden="1" x14ac:dyDescent="0.3">
      <c r="A2206" s="237"/>
      <c r="B2206" s="237"/>
      <c r="C2206" s="238"/>
      <c r="D2206" s="237"/>
      <c r="E2206" s="237"/>
      <c r="F2206" s="237"/>
      <c r="G2206" s="237"/>
      <c r="H2206" s="237"/>
    </row>
    <row r="2207" spans="1:8" hidden="1" x14ac:dyDescent="0.3">
      <c r="A2207" s="237"/>
      <c r="B2207" s="237"/>
      <c r="C2207" s="238"/>
      <c r="D2207" s="237"/>
      <c r="E2207" s="237"/>
      <c r="F2207" s="237"/>
      <c r="G2207" s="237"/>
      <c r="H2207" s="237"/>
    </row>
    <row r="2208" spans="1:8" hidden="1" x14ac:dyDescent="0.3">
      <c r="A2208" s="237"/>
      <c r="B2208" s="237"/>
      <c r="C2208" s="238"/>
      <c r="D2208" s="237"/>
      <c r="E2208" s="237"/>
      <c r="F2208" s="237"/>
      <c r="G2208" s="237"/>
      <c r="H2208" s="237"/>
    </row>
    <row r="2209" spans="1:8" hidden="1" x14ac:dyDescent="0.3">
      <c r="A2209" s="237"/>
      <c r="B2209" s="237"/>
      <c r="C2209" s="238"/>
      <c r="D2209" s="237"/>
      <c r="E2209" s="237"/>
      <c r="F2209" s="237"/>
      <c r="G2209" s="237"/>
      <c r="H2209" s="237"/>
    </row>
    <row r="2210" spans="1:8" hidden="1" x14ac:dyDescent="0.3">
      <c r="A2210" s="237"/>
      <c r="B2210" s="237"/>
      <c r="C2210" s="238"/>
      <c r="D2210" s="237"/>
      <c r="E2210" s="237"/>
      <c r="F2210" s="237"/>
      <c r="G2210" s="237"/>
      <c r="H2210" s="237"/>
    </row>
    <row r="2211" spans="1:8" hidden="1" x14ac:dyDescent="0.3">
      <c r="A2211" s="237"/>
      <c r="B2211" s="237"/>
      <c r="C2211" s="238"/>
      <c r="D2211" s="237"/>
      <c r="E2211" s="237"/>
      <c r="F2211" s="237"/>
      <c r="G2211" s="237"/>
      <c r="H2211" s="237"/>
    </row>
    <row r="2212" spans="1:8" hidden="1" x14ac:dyDescent="0.3">
      <c r="A2212" s="237"/>
      <c r="B2212" s="237"/>
      <c r="C2212" s="238"/>
      <c r="D2212" s="237"/>
      <c r="E2212" s="237"/>
      <c r="F2212" s="237"/>
      <c r="G2212" s="237"/>
      <c r="H2212" s="237"/>
    </row>
    <row r="2213" spans="1:8" hidden="1" x14ac:dyDescent="0.3">
      <c r="A2213" s="237"/>
      <c r="B2213" s="237"/>
      <c r="C2213" s="238"/>
      <c r="D2213" s="237"/>
      <c r="E2213" s="237"/>
      <c r="F2213" s="237"/>
      <c r="G2213" s="237"/>
      <c r="H2213" s="237"/>
    </row>
    <row r="2214" spans="1:8" hidden="1" x14ac:dyDescent="0.3">
      <c r="A2214" s="237"/>
      <c r="B2214" s="237"/>
      <c r="C2214" s="238"/>
      <c r="D2214" s="237"/>
      <c r="E2214" s="237"/>
      <c r="F2214" s="237"/>
      <c r="G2214" s="237"/>
      <c r="H2214" s="237"/>
    </row>
    <row r="2215" spans="1:8" hidden="1" x14ac:dyDescent="0.3">
      <c r="A2215" s="237"/>
      <c r="B2215" s="237"/>
      <c r="C2215" s="238"/>
      <c r="D2215" s="237"/>
      <c r="E2215" s="237"/>
      <c r="F2215" s="237"/>
      <c r="G2215" s="237"/>
      <c r="H2215" s="237"/>
    </row>
    <row r="2216" spans="1:8" hidden="1" x14ac:dyDescent="0.3">
      <c r="A2216" s="237"/>
      <c r="B2216" s="237"/>
      <c r="C2216" s="238"/>
      <c r="D2216" s="237"/>
      <c r="E2216" s="237"/>
      <c r="F2216" s="237"/>
      <c r="G2216" s="237"/>
      <c r="H2216" s="237"/>
    </row>
    <row r="2217" spans="1:8" hidden="1" x14ac:dyDescent="0.3">
      <c r="A2217" s="237"/>
      <c r="B2217" s="237"/>
      <c r="C2217" s="238"/>
      <c r="D2217" s="237"/>
      <c r="E2217" s="237"/>
      <c r="F2217" s="237"/>
      <c r="G2217" s="237"/>
      <c r="H2217" s="237"/>
    </row>
    <row r="2218" spans="1:8" hidden="1" x14ac:dyDescent="0.3">
      <c r="A2218" s="237"/>
      <c r="B2218" s="237"/>
      <c r="C2218" s="238"/>
      <c r="D2218" s="237"/>
      <c r="E2218" s="237"/>
      <c r="F2218" s="237"/>
      <c r="G2218" s="237"/>
      <c r="H2218" s="237"/>
    </row>
    <row r="2219" spans="1:8" hidden="1" x14ac:dyDescent="0.3">
      <c r="A2219" s="237"/>
      <c r="B2219" s="237"/>
      <c r="C2219" s="238"/>
      <c r="D2219" s="237"/>
      <c r="E2219" s="237"/>
      <c r="F2219" s="237"/>
      <c r="G2219" s="237"/>
      <c r="H2219" s="237"/>
    </row>
    <row r="2220" spans="1:8" hidden="1" x14ac:dyDescent="0.3">
      <c r="A2220" s="237"/>
      <c r="B2220" s="237"/>
      <c r="C2220" s="238"/>
      <c r="D2220" s="237"/>
      <c r="E2220" s="237"/>
      <c r="F2220" s="237"/>
      <c r="G2220" s="237"/>
      <c r="H2220" s="237"/>
    </row>
    <row r="2221" spans="1:8" hidden="1" x14ac:dyDescent="0.3">
      <c r="A2221" s="237"/>
      <c r="B2221" s="237"/>
      <c r="C2221" s="238"/>
      <c r="D2221" s="237"/>
      <c r="E2221" s="237"/>
      <c r="F2221" s="237"/>
      <c r="G2221" s="237"/>
      <c r="H2221" s="237"/>
    </row>
    <row r="2222" spans="1:8" hidden="1" x14ac:dyDescent="0.3">
      <c r="A2222" s="237"/>
      <c r="B2222" s="237"/>
      <c r="C2222" s="238"/>
      <c r="D2222" s="237"/>
      <c r="E2222" s="237"/>
      <c r="F2222" s="237"/>
      <c r="G2222" s="237"/>
      <c r="H2222" s="237"/>
    </row>
    <row r="2223" spans="1:8" hidden="1" x14ac:dyDescent="0.3">
      <c r="A2223" s="237"/>
      <c r="B2223" s="237"/>
      <c r="C2223" s="238"/>
      <c r="D2223" s="237"/>
      <c r="E2223" s="237"/>
      <c r="F2223" s="237"/>
      <c r="G2223" s="237"/>
      <c r="H2223" s="237"/>
    </row>
    <row r="2224" spans="1:8" hidden="1" x14ac:dyDescent="0.3">
      <c r="A2224" s="237"/>
      <c r="B2224" s="237"/>
      <c r="C2224" s="238"/>
      <c r="D2224" s="237"/>
      <c r="E2224" s="237"/>
      <c r="F2224" s="237"/>
      <c r="G2224" s="237"/>
      <c r="H2224" s="237"/>
    </row>
    <row r="2225" spans="1:8" hidden="1" x14ac:dyDescent="0.3">
      <c r="A2225" s="237"/>
      <c r="B2225" s="237"/>
      <c r="C2225" s="238"/>
      <c r="D2225" s="237"/>
      <c r="E2225" s="237"/>
      <c r="F2225" s="237"/>
      <c r="G2225" s="237"/>
      <c r="H2225" s="237"/>
    </row>
    <row r="2226" spans="1:8" hidden="1" x14ac:dyDescent="0.3">
      <c r="A2226" s="237"/>
      <c r="B2226" s="237"/>
      <c r="C2226" s="238"/>
      <c r="D2226" s="237"/>
      <c r="E2226" s="237"/>
      <c r="F2226" s="237"/>
      <c r="G2226" s="237"/>
      <c r="H2226" s="237"/>
    </row>
    <row r="2227" spans="1:8" hidden="1" x14ac:dyDescent="0.3">
      <c r="A2227" s="237"/>
      <c r="B2227" s="237"/>
      <c r="C2227" s="238"/>
      <c r="D2227" s="237"/>
      <c r="E2227" s="237"/>
      <c r="F2227" s="237"/>
      <c r="G2227" s="237"/>
      <c r="H2227" s="237"/>
    </row>
    <row r="2228" spans="1:8" hidden="1" x14ac:dyDescent="0.3">
      <c r="A2228" s="237"/>
      <c r="B2228" s="237"/>
      <c r="C2228" s="238"/>
      <c r="D2228" s="237"/>
      <c r="E2228" s="237"/>
      <c r="F2228" s="237"/>
      <c r="G2228" s="237"/>
      <c r="H2228" s="237"/>
    </row>
    <row r="2229" spans="1:8" hidden="1" x14ac:dyDescent="0.3">
      <c r="A2229" s="237"/>
      <c r="B2229" s="237"/>
      <c r="C2229" s="238"/>
      <c r="D2229" s="237"/>
      <c r="E2229" s="237"/>
      <c r="F2229" s="237"/>
      <c r="G2229" s="237"/>
      <c r="H2229" s="237"/>
    </row>
    <row r="2230" spans="1:8" hidden="1" x14ac:dyDescent="0.3">
      <c r="A2230" s="237"/>
      <c r="B2230" s="237"/>
      <c r="C2230" s="238"/>
      <c r="D2230" s="237"/>
      <c r="E2230" s="237"/>
      <c r="F2230" s="237"/>
      <c r="G2230" s="237"/>
      <c r="H2230" s="237"/>
    </row>
    <row r="2231" spans="1:8" hidden="1" x14ac:dyDescent="0.3">
      <c r="A2231" s="237"/>
      <c r="B2231" s="237"/>
      <c r="C2231" s="238"/>
      <c r="D2231" s="237"/>
      <c r="E2231" s="237"/>
      <c r="F2231" s="237"/>
      <c r="G2231" s="237"/>
      <c r="H2231" s="237"/>
    </row>
    <row r="2232" spans="1:8" hidden="1" x14ac:dyDescent="0.3">
      <c r="A2232" s="237"/>
      <c r="B2232" s="237"/>
      <c r="C2232" s="238"/>
      <c r="D2232" s="237"/>
      <c r="E2232" s="237"/>
      <c r="F2232" s="237"/>
      <c r="G2232" s="237"/>
      <c r="H2232" s="237"/>
    </row>
    <row r="2233" spans="1:8" hidden="1" x14ac:dyDescent="0.3">
      <c r="A2233" s="237"/>
      <c r="B2233" s="237"/>
      <c r="C2233" s="238"/>
      <c r="D2233" s="237"/>
      <c r="E2233" s="237"/>
      <c r="F2233" s="237"/>
      <c r="G2233" s="237"/>
      <c r="H2233" s="237"/>
    </row>
    <row r="2234" spans="1:8" hidden="1" x14ac:dyDescent="0.3">
      <c r="A2234" s="237"/>
      <c r="B2234" s="237"/>
      <c r="C2234" s="238"/>
      <c r="D2234" s="237"/>
      <c r="E2234" s="237"/>
      <c r="F2234" s="237"/>
      <c r="G2234" s="237"/>
      <c r="H2234" s="237"/>
    </row>
    <row r="2235" spans="1:8" hidden="1" x14ac:dyDescent="0.3">
      <c r="A2235" s="237"/>
      <c r="B2235" s="237"/>
      <c r="C2235" s="238"/>
      <c r="D2235" s="237"/>
      <c r="E2235" s="237"/>
      <c r="F2235" s="237"/>
      <c r="G2235" s="237"/>
      <c r="H2235" s="237"/>
    </row>
    <row r="2236" spans="1:8" hidden="1" x14ac:dyDescent="0.3">
      <c r="A2236" s="237"/>
      <c r="B2236" s="237"/>
      <c r="C2236" s="238"/>
      <c r="D2236" s="237"/>
      <c r="E2236" s="237"/>
      <c r="F2236" s="237"/>
      <c r="G2236" s="237"/>
      <c r="H2236" s="237"/>
    </row>
    <row r="2237" spans="1:8" hidden="1" x14ac:dyDescent="0.3">
      <c r="A2237" s="237"/>
      <c r="B2237" s="237"/>
      <c r="C2237" s="238"/>
      <c r="D2237" s="237"/>
      <c r="E2237" s="237"/>
      <c r="F2237" s="237"/>
      <c r="G2237" s="237"/>
      <c r="H2237" s="237"/>
    </row>
    <row r="2238" spans="1:8" hidden="1" x14ac:dyDescent="0.3">
      <c r="A2238" s="237"/>
      <c r="B2238" s="237"/>
      <c r="C2238" s="238"/>
      <c r="D2238" s="237"/>
      <c r="E2238" s="237"/>
      <c r="F2238" s="237"/>
      <c r="G2238" s="237"/>
      <c r="H2238" s="237"/>
    </row>
    <row r="2239" spans="1:8" hidden="1" x14ac:dyDescent="0.3">
      <c r="A2239" s="237"/>
      <c r="B2239" s="237"/>
      <c r="C2239" s="238"/>
      <c r="D2239" s="237"/>
      <c r="E2239" s="237"/>
      <c r="F2239" s="237"/>
      <c r="G2239" s="237"/>
      <c r="H2239" s="237"/>
    </row>
    <row r="2240" spans="1:8" hidden="1" x14ac:dyDescent="0.3">
      <c r="A2240" s="237"/>
      <c r="B2240" s="237"/>
      <c r="C2240" s="238"/>
      <c r="D2240" s="237"/>
      <c r="E2240" s="237"/>
      <c r="F2240" s="237"/>
      <c r="G2240" s="237"/>
      <c r="H2240" s="237"/>
    </row>
    <row r="2241" spans="1:8" hidden="1" x14ac:dyDescent="0.3">
      <c r="A2241" s="237"/>
      <c r="B2241" s="237"/>
      <c r="C2241" s="238"/>
      <c r="D2241" s="237"/>
      <c r="E2241" s="237"/>
      <c r="F2241" s="237"/>
      <c r="G2241" s="237"/>
      <c r="H2241" s="237"/>
    </row>
    <row r="2242" spans="1:8" hidden="1" x14ac:dyDescent="0.3">
      <c r="A2242" s="237"/>
      <c r="B2242" s="237"/>
      <c r="C2242" s="238"/>
      <c r="D2242" s="237"/>
      <c r="E2242" s="237"/>
      <c r="F2242" s="237"/>
      <c r="G2242" s="237"/>
      <c r="H2242" s="237"/>
    </row>
    <row r="2243" spans="1:8" hidden="1" x14ac:dyDescent="0.3">
      <c r="A2243" s="237"/>
      <c r="B2243" s="237"/>
      <c r="C2243" s="238"/>
      <c r="D2243" s="237"/>
      <c r="E2243" s="237"/>
      <c r="F2243" s="237"/>
      <c r="G2243" s="237"/>
      <c r="H2243" s="237"/>
    </row>
    <row r="2244" spans="1:8" hidden="1" x14ac:dyDescent="0.3">
      <c r="A2244" s="237"/>
      <c r="B2244" s="237"/>
      <c r="C2244" s="238"/>
      <c r="D2244" s="237"/>
      <c r="E2244" s="237"/>
      <c r="F2244" s="237"/>
      <c r="G2244" s="237"/>
      <c r="H2244" s="237"/>
    </row>
    <row r="2245" spans="1:8" hidden="1" x14ac:dyDescent="0.3">
      <c r="A2245" s="237"/>
      <c r="B2245" s="237"/>
      <c r="C2245" s="238"/>
      <c r="D2245" s="237"/>
      <c r="E2245" s="237"/>
      <c r="F2245" s="237"/>
      <c r="G2245" s="237"/>
      <c r="H2245" s="237"/>
    </row>
    <row r="2246" spans="1:8" hidden="1" x14ac:dyDescent="0.3">
      <c r="A2246" s="237"/>
      <c r="B2246" s="237"/>
      <c r="C2246" s="238"/>
      <c r="D2246" s="237"/>
      <c r="E2246" s="237"/>
      <c r="F2246" s="237"/>
      <c r="G2246" s="237"/>
      <c r="H2246" s="237"/>
    </row>
    <row r="2247" spans="1:8" hidden="1" x14ac:dyDescent="0.3">
      <c r="A2247" s="237"/>
      <c r="B2247" s="237"/>
      <c r="C2247" s="238"/>
      <c r="D2247" s="237"/>
      <c r="E2247" s="237"/>
      <c r="F2247" s="237"/>
      <c r="G2247" s="237"/>
      <c r="H2247" s="237"/>
    </row>
    <row r="2248" spans="1:8" hidden="1" x14ac:dyDescent="0.3">
      <c r="A2248" s="237"/>
      <c r="B2248" s="237"/>
      <c r="C2248" s="238"/>
      <c r="D2248" s="237"/>
      <c r="E2248" s="237"/>
      <c r="F2248" s="237"/>
      <c r="G2248" s="237"/>
      <c r="H2248" s="237"/>
    </row>
    <row r="2249" spans="1:8" hidden="1" x14ac:dyDescent="0.3">
      <c r="A2249" s="237"/>
      <c r="B2249" s="237"/>
      <c r="C2249" s="238"/>
      <c r="D2249" s="237"/>
      <c r="E2249" s="237"/>
      <c r="F2249" s="237"/>
      <c r="G2249" s="237"/>
      <c r="H2249" s="237"/>
    </row>
    <row r="2250" spans="1:8" hidden="1" x14ac:dyDescent="0.3">
      <c r="A2250" s="237"/>
      <c r="B2250" s="237"/>
      <c r="C2250" s="238"/>
      <c r="D2250" s="237"/>
      <c r="E2250" s="237"/>
      <c r="F2250" s="237"/>
      <c r="G2250" s="237"/>
      <c r="H2250" s="237"/>
    </row>
    <row r="2251" spans="1:8" hidden="1" x14ac:dyDescent="0.3">
      <c r="A2251" s="237"/>
      <c r="B2251" s="237"/>
      <c r="C2251" s="238"/>
      <c r="D2251" s="237"/>
      <c r="E2251" s="237"/>
      <c r="F2251" s="237"/>
      <c r="G2251" s="237"/>
      <c r="H2251" s="237"/>
    </row>
    <row r="2252" spans="1:8" hidden="1" x14ac:dyDescent="0.3">
      <c r="A2252" s="237"/>
      <c r="B2252" s="237"/>
      <c r="C2252" s="238"/>
      <c r="D2252" s="237"/>
      <c r="E2252" s="237"/>
      <c r="F2252" s="237"/>
      <c r="G2252" s="237"/>
      <c r="H2252" s="237"/>
    </row>
    <row r="2253" spans="1:8" hidden="1" x14ac:dyDescent="0.3">
      <c r="A2253" s="237"/>
      <c r="B2253" s="237"/>
      <c r="C2253" s="238"/>
      <c r="D2253" s="237"/>
      <c r="E2253" s="237"/>
      <c r="F2253" s="237"/>
      <c r="G2253" s="237"/>
      <c r="H2253" s="237"/>
    </row>
    <row r="2254" spans="1:8" hidden="1" x14ac:dyDescent="0.3">
      <c r="A2254" s="237"/>
      <c r="B2254" s="237"/>
      <c r="C2254" s="238"/>
      <c r="D2254" s="237"/>
      <c r="E2254" s="237"/>
      <c r="F2254" s="237"/>
      <c r="G2254" s="237"/>
      <c r="H2254" s="237"/>
    </row>
    <row r="2255" spans="1:8" hidden="1" x14ac:dyDescent="0.3">
      <c r="A2255" s="237"/>
      <c r="B2255" s="237"/>
      <c r="C2255" s="238"/>
      <c r="D2255" s="237"/>
      <c r="E2255" s="237"/>
      <c r="F2255" s="237"/>
      <c r="G2255" s="237"/>
      <c r="H2255" s="237"/>
    </row>
    <row r="2256" spans="1:8" hidden="1" x14ac:dyDescent="0.3">
      <c r="A2256" s="237"/>
      <c r="B2256" s="237"/>
      <c r="C2256" s="238"/>
      <c r="D2256" s="237"/>
      <c r="E2256" s="237"/>
      <c r="F2256" s="237"/>
      <c r="G2256" s="237"/>
      <c r="H2256" s="237"/>
    </row>
    <row r="2257" spans="1:8" hidden="1" x14ac:dyDescent="0.3">
      <c r="A2257" s="237"/>
      <c r="B2257" s="237"/>
      <c r="C2257" s="238"/>
      <c r="D2257" s="237"/>
      <c r="E2257" s="237"/>
      <c r="F2257" s="237"/>
      <c r="G2257" s="237"/>
      <c r="H2257" s="237"/>
    </row>
    <row r="2258" spans="1:8" hidden="1" x14ac:dyDescent="0.3">
      <c r="A2258" s="237"/>
      <c r="B2258" s="237"/>
      <c r="C2258" s="238"/>
      <c r="D2258" s="237"/>
      <c r="E2258" s="237"/>
      <c r="F2258" s="237"/>
      <c r="G2258" s="237"/>
      <c r="H2258" s="237"/>
    </row>
    <row r="2259" spans="1:8" hidden="1" x14ac:dyDescent="0.3">
      <c r="A2259" s="237"/>
      <c r="B2259" s="237"/>
      <c r="C2259" s="238"/>
      <c r="D2259" s="237"/>
      <c r="E2259" s="237"/>
      <c r="F2259" s="237"/>
      <c r="G2259" s="237"/>
      <c r="H2259" s="237"/>
    </row>
    <row r="2260" spans="1:8" hidden="1" x14ac:dyDescent="0.3">
      <c r="A2260" s="237"/>
      <c r="B2260" s="237"/>
      <c r="C2260" s="238"/>
      <c r="D2260" s="237"/>
      <c r="E2260" s="237"/>
      <c r="F2260" s="237"/>
      <c r="G2260" s="237"/>
      <c r="H2260" s="237"/>
    </row>
    <row r="2261" spans="1:8" hidden="1" x14ac:dyDescent="0.3">
      <c r="A2261" s="237"/>
      <c r="B2261" s="237"/>
      <c r="C2261" s="238"/>
      <c r="D2261" s="237"/>
      <c r="E2261" s="237"/>
      <c r="F2261" s="237"/>
      <c r="G2261" s="237"/>
      <c r="H2261" s="237"/>
    </row>
    <row r="2262" spans="1:8" hidden="1" x14ac:dyDescent="0.3">
      <c r="A2262" s="237"/>
      <c r="B2262" s="237"/>
      <c r="C2262" s="238"/>
      <c r="D2262" s="237"/>
      <c r="E2262" s="237"/>
      <c r="F2262" s="237"/>
      <c r="G2262" s="237"/>
      <c r="H2262" s="237"/>
    </row>
    <row r="2263" spans="1:8" hidden="1" x14ac:dyDescent="0.3">
      <c r="A2263" s="237"/>
      <c r="B2263" s="237"/>
      <c r="C2263" s="238"/>
      <c r="D2263" s="237"/>
      <c r="E2263" s="237"/>
      <c r="F2263" s="237"/>
      <c r="G2263" s="237"/>
      <c r="H2263" s="237"/>
    </row>
    <row r="2264" spans="1:8" hidden="1" x14ac:dyDescent="0.3">
      <c r="A2264" s="237"/>
      <c r="B2264" s="237"/>
      <c r="C2264" s="238"/>
      <c r="D2264" s="237"/>
      <c r="E2264" s="237"/>
      <c r="F2264" s="237"/>
      <c r="G2264" s="237"/>
      <c r="H2264" s="237"/>
    </row>
    <row r="2265" spans="1:8" hidden="1" x14ac:dyDescent="0.3">
      <c r="A2265" s="237"/>
      <c r="B2265" s="237"/>
      <c r="C2265" s="238"/>
      <c r="D2265" s="237"/>
      <c r="E2265" s="237"/>
      <c r="F2265" s="237"/>
      <c r="G2265" s="237"/>
      <c r="H2265" s="237"/>
    </row>
    <row r="2266" spans="1:8" hidden="1" x14ac:dyDescent="0.3">
      <c r="A2266" s="237"/>
      <c r="B2266" s="237"/>
      <c r="C2266" s="238"/>
      <c r="D2266" s="237"/>
      <c r="E2266" s="237"/>
      <c r="F2266" s="237"/>
      <c r="G2266" s="237"/>
      <c r="H2266" s="237"/>
    </row>
    <row r="2267" spans="1:8" hidden="1" x14ac:dyDescent="0.3">
      <c r="A2267" s="237"/>
      <c r="B2267" s="237"/>
      <c r="C2267" s="238"/>
      <c r="D2267" s="237"/>
      <c r="E2267" s="237"/>
      <c r="F2267" s="237"/>
      <c r="G2267" s="237"/>
      <c r="H2267" s="237"/>
    </row>
    <row r="2268" spans="1:8" hidden="1" x14ac:dyDescent="0.3">
      <c r="A2268" s="237"/>
      <c r="B2268" s="237"/>
      <c r="C2268" s="238"/>
      <c r="D2268" s="237"/>
      <c r="E2268" s="237"/>
      <c r="F2268" s="237"/>
      <c r="G2268" s="237"/>
      <c r="H2268" s="237"/>
    </row>
    <row r="2269" spans="1:8" hidden="1" x14ac:dyDescent="0.3">
      <c r="A2269" s="237"/>
      <c r="B2269" s="237"/>
      <c r="C2269" s="238"/>
      <c r="D2269" s="237"/>
      <c r="E2269" s="237"/>
      <c r="F2269" s="237"/>
      <c r="G2269" s="237"/>
      <c r="H2269" s="237"/>
    </row>
    <row r="2270" spans="1:8" hidden="1" x14ac:dyDescent="0.3">
      <c r="A2270" s="237"/>
      <c r="B2270" s="237"/>
      <c r="C2270" s="238"/>
      <c r="D2270" s="237"/>
      <c r="E2270" s="237"/>
      <c r="F2270" s="237"/>
      <c r="G2270" s="237"/>
      <c r="H2270" s="237"/>
    </row>
    <row r="2271" spans="1:8" hidden="1" x14ac:dyDescent="0.3">
      <c r="A2271" s="237"/>
      <c r="B2271" s="237"/>
      <c r="C2271" s="238"/>
      <c r="D2271" s="237"/>
      <c r="E2271" s="237"/>
      <c r="F2271" s="237"/>
      <c r="G2271" s="237"/>
      <c r="H2271" s="237"/>
    </row>
    <row r="2272" spans="1:8" hidden="1" x14ac:dyDescent="0.3">
      <c r="A2272" s="237"/>
      <c r="B2272" s="237"/>
      <c r="C2272" s="238"/>
      <c r="D2272" s="237"/>
      <c r="E2272" s="237"/>
      <c r="F2272" s="237"/>
      <c r="G2272" s="237"/>
      <c r="H2272" s="237"/>
    </row>
    <row r="2273" spans="1:8" hidden="1" x14ac:dyDescent="0.3">
      <c r="A2273" s="237"/>
      <c r="B2273" s="237"/>
      <c r="C2273" s="238"/>
      <c r="D2273" s="237"/>
      <c r="E2273" s="237"/>
      <c r="F2273" s="237"/>
      <c r="G2273" s="237"/>
      <c r="H2273" s="237"/>
    </row>
    <row r="2274" spans="1:8" hidden="1" x14ac:dyDescent="0.3">
      <c r="A2274" s="237"/>
      <c r="B2274" s="237"/>
      <c r="C2274" s="238"/>
      <c r="D2274" s="237"/>
      <c r="E2274" s="237"/>
      <c r="F2274" s="237"/>
      <c r="G2274" s="237"/>
      <c r="H2274" s="237"/>
    </row>
    <row r="2275" spans="1:8" hidden="1" x14ac:dyDescent="0.3">
      <c r="A2275" s="237"/>
      <c r="B2275" s="237"/>
      <c r="C2275" s="238"/>
      <c r="D2275" s="237"/>
      <c r="E2275" s="237"/>
      <c r="F2275" s="237"/>
      <c r="G2275" s="237"/>
      <c r="H2275" s="237"/>
    </row>
    <row r="2276" spans="1:8" hidden="1" x14ac:dyDescent="0.3">
      <c r="A2276" s="237"/>
      <c r="B2276" s="237"/>
      <c r="C2276" s="238"/>
      <c r="D2276" s="237"/>
      <c r="E2276" s="237"/>
      <c r="F2276" s="237"/>
      <c r="G2276" s="237"/>
      <c r="H2276" s="237"/>
    </row>
    <row r="2277" spans="1:8" hidden="1" x14ac:dyDescent="0.3">
      <c r="A2277" s="237"/>
      <c r="B2277" s="237"/>
      <c r="C2277" s="238"/>
      <c r="D2277" s="237"/>
      <c r="E2277" s="237"/>
      <c r="F2277" s="237"/>
      <c r="G2277" s="237"/>
      <c r="H2277" s="237"/>
    </row>
    <row r="2278" spans="1:8" hidden="1" x14ac:dyDescent="0.3">
      <c r="A2278" s="237"/>
      <c r="B2278" s="237"/>
      <c r="C2278" s="238"/>
      <c r="D2278" s="237"/>
      <c r="E2278" s="237"/>
      <c r="F2278" s="237"/>
      <c r="G2278" s="237"/>
      <c r="H2278" s="237"/>
    </row>
    <row r="2279" spans="1:8" hidden="1" x14ac:dyDescent="0.3">
      <c r="A2279" s="237"/>
      <c r="B2279" s="237"/>
      <c r="C2279" s="238"/>
      <c r="D2279" s="237"/>
      <c r="E2279" s="237"/>
      <c r="F2279" s="237"/>
      <c r="G2279" s="237"/>
      <c r="H2279" s="237"/>
    </row>
    <row r="2280" spans="1:8" hidden="1" x14ac:dyDescent="0.3">
      <c r="A2280" s="237"/>
      <c r="B2280" s="237"/>
      <c r="C2280" s="238"/>
      <c r="D2280" s="237"/>
      <c r="E2280" s="237"/>
      <c r="F2280" s="237"/>
      <c r="G2280" s="237"/>
      <c r="H2280" s="237"/>
    </row>
    <row r="2281" spans="1:8" hidden="1" x14ac:dyDescent="0.3">
      <c r="A2281" s="237"/>
      <c r="B2281" s="237"/>
      <c r="C2281" s="238"/>
      <c r="D2281" s="237"/>
      <c r="E2281" s="237"/>
      <c r="F2281" s="237"/>
      <c r="G2281" s="237"/>
      <c r="H2281" s="237"/>
    </row>
    <row r="2282" spans="1:8" hidden="1" x14ac:dyDescent="0.3">
      <c r="A2282" s="237"/>
      <c r="B2282" s="237"/>
      <c r="C2282" s="238"/>
      <c r="D2282" s="237"/>
      <c r="E2282" s="237"/>
      <c r="F2282" s="237"/>
      <c r="G2282" s="237"/>
      <c r="H2282" s="237"/>
    </row>
    <row r="2283" spans="1:8" hidden="1" x14ac:dyDescent="0.3">
      <c r="A2283" s="237"/>
      <c r="B2283" s="237"/>
      <c r="C2283" s="238"/>
      <c r="D2283" s="237"/>
      <c r="E2283" s="237"/>
      <c r="F2283" s="237"/>
      <c r="G2283" s="237"/>
      <c r="H2283" s="237"/>
    </row>
    <row r="2284" spans="1:8" hidden="1" x14ac:dyDescent="0.3">
      <c r="A2284" s="237"/>
      <c r="B2284" s="237"/>
      <c r="C2284" s="238"/>
      <c r="D2284" s="237"/>
      <c r="E2284" s="237"/>
      <c r="F2284" s="237"/>
      <c r="G2284" s="237"/>
      <c r="H2284" s="237"/>
    </row>
    <row r="2285" spans="1:8" hidden="1" x14ac:dyDescent="0.3">
      <c r="A2285" s="237"/>
      <c r="B2285" s="237"/>
      <c r="C2285" s="238"/>
      <c r="D2285" s="237"/>
      <c r="E2285" s="237"/>
      <c r="F2285" s="237"/>
      <c r="G2285" s="237"/>
      <c r="H2285" s="237"/>
    </row>
    <row r="2286" spans="1:8" hidden="1" x14ac:dyDescent="0.3">
      <c r="A2286" s="237"/>
      <c r="B2286" s="237"/>
      <c r="C2286" s="238"/>
      <c r="D2286" s="237"/>
      <c r="E2286" s="237"/>
      <c r="F2286" s="237"/>
      <c r="G2286" s="237"/>
      <c r="H2286" s="237"/>
    </row>
    <row r="2287" spans="1:8" hidden="1" x14ac:dyDescent="0.3">
      <c r="A2287" s="237"/>
      <c r="B2287" s="237"/>
      <c r="C2287" s="238"/>
      <c r="D2287" s="237"/>
      <c r="E2287" s="237"/>
      <c r="F2287" s="237"/>
      <c r="G2287" s="237"/>
      <c r="H2287" s="237"/>
    </row>
    <row r="2288" spans="1:8" hidden="1" x14ac:dyDescent="0.3">
      <c r="A2288" s="237"/>
      <c r="B2288" s="237"/>
      <c r="C2288" s="238"/>
      <c r="D2288" s="237"/>
      <c r="E2288" s="237"/>
      <c r="F2288" s="237"/>
      <c r="G2288" s="237"/>
      <c r="H2288" s="237"/>
    </row>
    <row r="2289" spans="1:8" hidden="1" x14ac:dyDescent="0.3">
      <c r="A2289" s="237"/>
      <c r="B2289" s="237"/>
      <c r="C2289" s="238"/>
      <c r="D2289" s="237"/>
      <c r="E2289" s="237"/>
      <c r="F2289" s="237"/>
      <c r="G2289" s="237"/>
      <c r="H2289" s="237"/>
    </row>
    <row r="2290" spans="1:8" hidden="1" x14ac:dyDescent="0.3">
      <c r="A2290" s="237"/>
      <c r="B2290" s="237"/>
      <c r="C2290" s="238"/>
      <c r="D2290" s="237"/>
      <c r="E2290" s="237"/>
      <c r="F2290" s="237"/>
      <c r="G2290" s="237"/>
      <c r="H2290" s="237"/>
    </row>
    <row r="2291" spans="1:8" hidden="1" x14ac:dyDescent="0.3">
      <c r="A2291" s="237"/>
      <c r="B2291" s="237"/>
      <c r="C2291" s="238"/>
      <c r="D2291" s="237"/>
      <c r="E2291" s="237"/>
      <c r="F2291" s="237"/>
      <c r="G2291" s="237"/>
      <c r="H2291" s="237"/>
    </row>
    <row r="2292" spans="1:8" hidden="1" x14ac:dyDescent="0.3">
      <c r="A2292" s="237"/>
      <c r="B2292" s="237"/>
      <c r="C2292" s="238"/>
      <c r="D2292" s="237"/>
      <c r="E2292" s="237"/>
      <c r="F2292" s="237"/>
      <c r="G2292" s="237"/>
      <c r="H2292" s="237"/>
    </row>
    <row r="2293" spans="1:8" hidden="1" x14ac:dyDescent="0.3">
      <c r="A2293" s="237"/>
      <c r="B2293" s="237"/>
      <c r="C2293" s="238"/>
      <c r="D2293" s="237"/>
      <c r="E2293" s="237"/>
      <c r="F2293" s="237"/>
      <c r="G2293" s="237"/>
      <c r="H2293" s="237"/>
    </row>
    <row r="2294" spans="1:8" hidden="1" x14ac:dyDescent="0.3">
      <c r="A2294" s="237"/>
      <c r="B2294" s="237"/>
      <c r="C2294" s="238"/>
      <c r="D2294" s="237"/>
      <c r="E2294" s="237"/>
      <c r="F2294" s="237"/>
      <c r="G2294" s="237"/>
      <c r="H2294" s="237"/>
    </row>
    <row r="2295" spans="1:8" hidden="1" x14ac:dyDescent="0.3">
      <c r="A2295" s="237"/>
      <c r="B2295" s="237"/>
      <c r="C2295" s="238"/>
      <c r="D2295" s="237"/>
      <c r="E2295" s="237"/>
      <c r="F2295" s="237"/>
      <c r="G2295" s="237"/>
      <c r="H2295" s="237"/>
    </row>
    <row r="2296" spans="1:8" hidden="1" x14ac:dyDescent="0.3">
      <c r="A2296" s="237"/>
      <c r="B2296" s="237"/>
      <c r="C2296" s="238"/>
      <c r="D2296" s="237"/>
      <c r="E2296" s="237"/>
      <c r="F2296" s="237"/>
      <c r="G2296" s="237"/>
      <c r="H2296" s="237"/>
    </row>
    <row r="2297" spans="1:8" hidden="1" x14ac:dyDescent="0.3">
      <c r="A2297" s="237"/>
      <c r="B2297" s="237"/>
      <c r="C2297" s="238"/>
      <c r="D2297" s="237"/>
      <c r="E2297" s="237"/>
      <c r="F2297" s="237"/>
      <c r="G2297" s="237"/>
      <c r="H2297" s="237"/>
    </row>
    <row r="2298" spans="1:8" hidden="1" x14ac:dyDescent="0.3">
      <c r="A2298" s="237"/>
      <c r="B2298" s="237"/>
      <c r="C2298" s="238"/>
      <c r="D2298" s="237"/>
      <c r="E2298" s="237"/>
      <c r="F2298" s="237"/>
      <c r="G2298" s="237"/>
      <c r="H2298" s="237"/>
    </row>
    <row r="2299" spans="1:8" hidden="1" x14ac:dyDescent="0.3">
      <c r="A2299" s="237"/>
      <c r="B2299" s="237"/>
      <c r="C2299" s="238"/>
      <c r="D2299" s="237"/>
      <c r="E2299" s="237"/>
      <c r="F2299" s="237"/>
      <c r="G2299" s="237"/>
      <c r="H2299" s="237"/>
    </row>
    <row r="2300" spans="1:8" hidden="1" x14ac:dyDescent="0.3">
      <c r="A2300" s="237"/>
      <c r="B2300" s="237"/>
      <c r="C2300" s="238"/>
      <c r="D2300" s="237"/>
      <c r="E2300" s="237"/>
      <c r="F2300" s="237"/>
      <c r="G2300" s="237"/>
      <c r="H2300" s="237"/>
    </row>
    <row r="2301" spans="1:8" hidden="1" x14ac:dyDescent="0.3">
      <c r="A2301" s="237"/>
      <c r="B2301" s="237"/>
      <c r="C2301" s="238"/>
      <c r="D2301" s="237"/>
      <c r="E2301" s="237"/>
      <c r="F2301" s="237"/>
      <c r="G2301" s="237"/>
      <c r="H2301" s="237"/>
    </row>
    <row r="2302" spans="1:8" hidden="1" x14ac:dyDescent="0.3">
      <c r="A2302" s="237"/>
      <c r="B2302" s="237"/>
      <c r="C2302" s="238"/>
      <c r="D2302" s="237"/>
      <c r="E2302" s="237"/>
      <c r="F2302" s="237"/>
      <c r="G2302" s="237"/>
      <c r="H2302" s="237"/>
    </row>
    <row r="2303" spans="1:8" hidden="1" x14ac:dyDescent="0.3">
      <c r="A2303" s="237"/>
      <c r="B2303" s="237"/>
      <c r="C2303" s="238"/>
      <c r="D2303" s="237"/>
      <c r="E2303" s="237"/>
      <c r="F2303" s="237"/>
      <c r="G2303" s="237"/>
      <c r="H2303" s="237"/>
    </row>
    <row r="2304" spans="1:8" hidden="1" x14ac:dyDescent="0.3">
      <c r="A2304" s="237"/>
      <c r="B2304" s="237"/>
      <c r="C2304" s="238"/>
      <c r="D2304" s="237"/>
      <c r="E2304" s="237"/>
      <c r="F2304" s="237"/>
      <c r="G2304" s="237"/>
      <c r="H2304" s="237"/>
    </row>
    <row r="2305" spans="1:8" hidden="1" x14ac:dyDescent="0.3">
      <c r="A2305" s="237"/>
      <c r="B2305" s="237"/>
      <c r="C2305" s="238"/>
      <c r="D2305" s="237"/>
      <c r="E2305" s="237"/>
      <c r="F2305" s="237"/>
      <c r="G2305" s="237"/>
      <c r="H2305" s="237"/>
    </row>
    <row r="2306" spans="1:8" hidden="1" x14ac:dyDescent="0.3">
      <c r="A2306" s="237"/>
      <c r="B2306" s="237"/>
      <c r="C2306" s="238"/>
      <c r="D2306" s="237"/>
      <c r="E2306" s="237"/>
      <c r="F2306" s="237"/>
      <c r="G2306" s="237"/>
      <c r="H2306" s="237"/>
    </row>
    <row r="2307" spans="1:8" hidden="1" x14ac:dyDescent="0.3">
      <c r="A2307" s="237"/>
      <c r="B2307" s="237"/>
      <c r="C2307" s="238"/>
      <c r="D2307" s="237"/>
      <c r="E2307" s="237"/>
      <c r="F2307" s="237"/>
      <c r="G2307" s="237"/>
      <c r="H2307" s="237"/>
    </row>
    <row r="2308" spans="1:8" hidden="1" x14ac:dyDescent="0.3">
      <c r="A2308" s="237"/>
      <c r="B2308" s="237"/>
      <c r="C2308" s="238"/>
      <c r="D2308" s="237"/>
      <c r="E2308" s="237"/>
      <c r="F2308" s="237"/>
      <c r="G2308" s="237"/>
      <c r="H2308" s="237"/>
    </row>
    <row r="2309" spans="1:8" hidden="1" x14ac:dyDescent="0.3">
      <c r="A2309" s="237"/>
      <c r="B2309" s="237"/>
      <c r="C2309" s="238"/>
      <c r="D2309" s="237"/>
      <c r="E2309" s="237"/>
      <c r="F2309" s="237"/>
      <c r="G2309" s="237"/>
      <c r="H2309" s="237"/>
    </row>
    <row r="2310" spans="1:8" hidden="1" x14ac:dyDescent="0.3">
      <c r="A2310" s="237"/>
      <c r="B2310" s="237"/>
      <c r="C2310" s="238"/>
      <c r="D2310" s="237"/>
      <c r="E2310" s="237"/>
      <c r="F2310" s="237"/>
      <c r="G2310" s="237"/>
      <c r="H2310" s="237"/>
    </row>
    <row r="2311" spans="1:8" hidden="1" x14ac:dyDescent="0.3">
      <c r="A2311" s="237"/>
      <c r="B2311" s="237"/>
      <c r="C2311" s="238"/>
      <c r="D2311" s="237"/>
      <c r="E2311" s="237"/>
      <c r="F2311" s="237"/>
      <c r="G2311" s="237"/>
      <c r="H2311" s="237"/>
    </row>
    <row r="2312" spans="1:8" hidden="1" x14ac:dyDescent="0.3">
      <c r="A2312" s="237"/>
      <c r="B2312" s="237"/>
      <c r="C2312" s="238"/>
      <c r="D2312" s="237"/>
      <c r="E2312" s="237"/>
      <c r="F2312" s="237"/>
      <c r="G2312" s="237"/>
      <c r="H2312" s="237"/>
    </row>
    <row r="2313" spans="1:8" hidden="1" x14ac:dyDescent="0.3">
      <c r="A2313" s="237"/>
      <c r="B2313" s="237"/>
      <c r="C2313" s="238"/>
      <c r="D2313" s="237"/>
      <c r="E2313" s="237"/>
      <c r="F2313" s="237"/>
      <c r="G2313" s="237"/>
      <c r="H2313" s="237"/>
    </row>
    <row r="2314" spans="1:8" hidden="1" x14ac:dyDescent="0.3">
      <c r="A2314" s="237"/>
      <c r="B2314" s="237"/>
      <c r="C2314" s="238"/>
      <c r="D2314" s="237"/>
      <c r="E2314" s="237"/>
      <c r="F2314" s="237"/>
      <c r="G2314" s="237"/>
      <c r="H2314" s="237"/>
    </row>
    <row r="2315" spans="1:8" hidden="1" x14ac:dyDescent="0.3">
      <c r="A2315" s="237"/>
      <c r="B2315" s="237"/>
      <c r="C2315" s="238"/>
      <c r="D2315" s="237"/>
      <c r="E2315" s="237"/>
      <c r="F2315" s="237"/>
      <c r="G2315" s="237"/>
      <c r="H2315" s="237"/>
    </row>
    <row r="2316" spans="1:8" hidden="1" x14ac:dyDescent="0.3">
      <c r="A2316" s="237"/>
      <c r="B2316" s="237"/>
      <c r="C2316" s="238"/>
      <c r="D2316" s="237"/>
      <c r="E2316" s="237"/>
      <c r="F2316" s="237"/>
      <c r="G2316" s="237"/>
      <c r="H2316" s="237"/>
    </row>
    <row r="2317" spans="1:8" hidden="1" x14ac:dyDescent="0.3">
      <c r="A2317" s="237"/>
      <c r="B2317" s="237"/>
      <c r="C2317" s="238"/>
      <c r="D2317" s="237"/>
      <c r="E2317" s="237"/>
      <c r="F2317" s="237"/>
      <c r="G2317" s="237"/>
      <c r="H2317" s="237"/>
    </row>
    <row r="2318" spans="1:8" hidden="1" x14ac:dyDescent="0.3">
      <c r="A2318" s="237"/>
      <c r="B2318" s="237"/>
      <c r="C2318" s="238"/>
      <c r="D2318" s="237"/>
      <c r="E2318" s="237"/>
      <c r="F2318" s="237"/>
      <c r="G2318" s="237"/>
      <c r="H2318" s="237"/>
    </row>
    <row r="2319" spans="1:8" hidden="1" x14ac:dyDescent="0.3">
      <c r="A2319" s="237"/>
      <c r="B2319" s="237"/>
      <c r="C2319" s="238"/>
      <c r="D2319" s="237"/>
      <c r="E2319" s="237"/>
      <c r="F2319" s="237"/>
      <c r="G2319" s="237"/>
      <c r="H2319" s="237"/>
    </row>
    <row r="2320" spans="1:8" hidden="1" x14ac:dyDescent="0.3">
      <c r="A2320" s="237"/>
      <c r="B2320" s="237"/>
      <c r="C2320" s="238"/>
      <c r="D2320" s="237"/>
      <c r="E2320" s="237"/>
      <c r="F2320" s="237"/>
      <c r="G2320" s="237"/>
      <c r="H2320" s="237"/>
    </row>
    <row r="2321" spans="1:8" hidden="1" x14ac:dyDescent="0.3">
      <c r="A2321" s="237"/>
      <c r="B2321" s="237"/>
      <c r="C2321" s="238"/>
      <c r="D2321" s="237"/>
      <c r="E2321" s="237"/>
      <c r="F2321" s="237"/>
      <c r="G2321" s="237"/>
      <c r="H2321" s="237"/>
    </row>
    <row r="2322" spans="1:8" hidden="1" x14ac:dyDescent="0.3">
      <c r="A2322" s="237"/>
      <c r="B2322" s="237"/>
      <c r="C2322" s="238"/>
      <c r="D2322" s="237"/>
      <c r="E2322" s="237"/>
      <c r="F2322" s="237"/>
      <c r="G2322" s="237"/>
      <c r="H2322" s="237"/>
    </row>
    <row r="2323" spans="1:8" hidden="1" x14ac:dyDescent="0.3">
      <c r="A2323" s="237"/>
      <c r="B2323" s="237"/>
      <c r="C2323" s="238"/>
      <c r="D2323" s="237"/>
      <c r="E2323" s="237"/>
      <c r="F2323" s="237"/>
      <c r="G2323" s="237"/>
      <c r="H2323" s="237"/>
    </row>
    <row r="2324" spans="1:8" hidden="1" x14ac:dyDescent="0.3">
      <c r="A2324" s="237"/>
      <c r="B2324" s="237"/>
      <c r="C2324" s="238"/>
      <c r="D2324" s="237"/>
      <c r="E2324" s="237"/>
      <c r="F2324" s="237"/>
      <c r="G2324" s="237"/>
      <c r="H2324" s="237"/>
    </row>
    <row r="2325" spans="1:8" hidden="1" x14ac:dyDescent="0.3">
      <c r="A2325" s="237"/>
      <c r="B2325" s="237"/>
      <c r="C2325" s="238"/>
      <c r="D2325" s="237"/>
      <c r="E2325" s="237"/>
      <c r="F2325" s="237"/>
      <c r="G2325" s="237"/>
      <c r="H2325" s="237"/>
    </row>
    <row r="2326" spans="1:8" hidden="1" x14ac:dyDescent="0.3">
      <c r="A2326" s="237"/>
      <c r="B2326" s="237"/>
      <c r="C2326" s="238"/>
      <c r="D2326" s="237"/>
      <c r="E2326" s="237"/>
      <c r="F2326" s="237"/>
      <c r="G2326" s="237"/>
      <c r="H2326" s="237"/>
    </row>
    <row r="2327" spans="1:8" hidden="1" x14ac:dyDescent="0.3">
      <c r="A2327" s="237"/>
      <c r="B2327" s="237"/>
      <c r="C2327" s="238"/>
      <c r="D2327" s="237"/>
      <c r="E2327" s="237"/>
      <c r="F2327" s="237"/>
      <c r="G2327" s="237"/>
      <c r="H2327" s="237"/>
    </row>
    <row r="2328" spans="1:8" hidden="1" x14ac:dyDescent="0.3">
      <c r="A2328" s="237"/>
      <c r="B2328" s="237"/>
      <c r="C2328" s="238"/>
      <c r="D2328" s="237"/>
      <c r="E2328" s="237"/>
      <c r="F2328" s="237"/>
      <c r="G2328" s="237"/>
      <c r="H2328" s="237"/>
    </row>
    <row r="2329" spans="1:8" hidden="1" x14ac:dyDescent="0.3">
      <c r="A2329" s="237"/>
      <c r="B2329" s="237"/>
      <c r="C2329" s="238"/>
      <c r="D2329" s="237"/>
      <c r="E2329" s="237"/>
      <c r="F2329" s="237"/>
      <c r="G2329" s="237"/>
      <c r="H2329" s="237"/>
    </row>
    <row r="2330" spans="1:8" hidden="1" x14ac:dyDescent="0.3">
      <c r="A2330" s="237"/>
      <c r="B2330" s="237"/>
      <c r="C2330" s="238"/>
      <c r="D2330" s="237"/>
      <c r="E2330" s="237"/>
      <c r="F2330" s="237"/>
      <c r="G2330" s="237"/>
      <c r="H2330" s="237"/>
    </row>
    <row r="2331" spans="1:8" hidden="1" x14ac:dyDescent="0.3">
      <c r="A2331" s="237"/>
      <c r="B2331" s="237"/>
      <c r="C2331" s="238"/>
      <c r="D2331" s="237"/>
      <c r="E2331" s="237"/>
      <c r="F2331" s="237"/>
      <c r="G2331" s="237"/>
      <c r="H2331" s="237"/>
    </row>
    <row r="2332" spans="1:8" hidden="1" x14ac:dyDescent="0.3">
      <c r="A2332" s="237"/>
      <c r="B2332" s="237"/>
      <c r="C2332" s="238"/>
      <c r="D2332" s="237"/>
      <c r="E2332" s="237"/>
      <c r="F2332" s="237"/>
      <c r="G2332" s="237"/>
      <c r="H2332" s="237"/>
    </row>
    <row r="2333" spans="1:8" hidden="1" x14ac:dyDescent="0.3">
      <c r="A2333" s="237"/>
      <c r="B2333" s="237"/>
      <c r="C2333" s="238"/>
      <c r="D2333" s="237"/>
      <c r="E2333" s="237"/>
      <c r="F2333" s="237"/>
      <c r="G2333" s="237"/>
      <c r="H2333" s="237"/>
    </row>
    <row r="2334" spans="1:8" hidden="1" x14ac:dyDescent="0.3">
      <c r="A2334" s="237"/>
      <c r="B2334" s="237"/>
      <c r="C2334" s="238"/>
      <c r="D2334" s="237"/>
      <c r="E2334" s="237"/>
      <c r="F2334" s="237"/>
      <c r="G2334" s="237"/>
      <c r="H2334" s="237"/>
    </row>
    <row r="2335" spans="1:8" hidden="1" x14ac:dyDescent="0.3">
      <c r="A2335" s="237"/>
      <c r="B2335" s="237"/>
      <c r="C2335" s="238"/>
      <c r="D2335" s="237"/>
      <c r="E2335" s="237"/>
      <c r="F2335" s="237"/>
      <c r="G2335" s="237"/>
      <c r="H2335" s="237"/>
    </row>
    <row r="2336" spans="1:8" hidden="1" x14ac:dyDescent="0.3">
      <c r="A2336" s="237"/>
      <c r="B2336" s="237"/>
      <c r="C2336" s="238"/>
      <c r="D2336" s="237"/>
      <c r="E2336" s="237"/>
      <c r="F2336" s="237"/>
      <c r="G2336" s="237"/>
      <c r="H2336" s="237"/>
    </row>
    <row r="2337" spans="1:8" hidden="1" x14ac:dyDescent="0.3">
      <c r="A2337" s="237"/>
      <c r="B2337" s="237"/>
      <c r="C2337" s="238"/>
      <c r="D2337" s="237"/>
      <c r="E2337" s="237"/>
      <c r="F2337" s="237"/>
      <c r="G2337" s="237"/>
      <c r="H2337" s="237"/>
    </row>
    <row r="2338" spans="1:8" hidden="1" x14ac:dyDescent="0.3">
      <c r="A2338" s="237"/>
      <c r="B2338" s="237"/>
      <c r="C2338" s="238"/>
      <c r="D2338" s="237"/>
      <c r="E2338" s="237"/>
      <c r="F2338" s="237"/>
      <c r="G2338" s="237"/>
      <c r="H2338" s="237"/>
    </row>
    <row r="2339" spans="1:8" hidden="1" x14ac:dyDescent="0.3">
      <c r="A2339" s="237"/>
      <c r="B2339" s="237"/>
      <c r="C2339" s="238"/>
      <c r="D2339" s="237"/>
      <c r="E2339" s="237"/>
      <c r="F2339" s="237"/>
      <c r="G2339" s="237"/>
      <c r="H2339" s="237"/>
    </row>
    <row r="2340" spans="1:8" hidden="1" x14ac:dyDescent="0.3">
      <c r="A2340" s="237"/>
      <c r="B2340" s="237"/>
      <c r="C2340" s="238"/>
      <c r="D2340" s="237"/>
      <c r="E2340" s="237"/>
      <c r="F2340" s="237"/>
      <c r="G2340" s="237"/>
      <c r="H2340" s="237"/>
    </row>
    <row r="2341" spans="1:8" hidden="1" x14ac:dyDescent="0.3">
      <c r="A2341" s="237"/>
      <c r="B2341" s="237"/>
      <c r="C2341" s="238"/>
      <c r="D2341" s="237"/>
      <c r="E2341" s="237"/>
      <c r="F2341" s="237"/>
      <c r="G2341" s="237"/>
      <c r="H2341" s="237"/>
    </row>
    <row r="2342" spans="1:8" hidden="1" x14ac:dyDescent="0.3">
      <c r="A2342" s="237"/>
      <c r="B2342" s="237"/>
      <c r="C2342" s="238"/>
      <c r="D2342" s="237"/>
      <c r="E2342" s="237"/>
      <c r="F2342" s="237"/>
      <c r="G2342" s="237"/>
      <c r="H2342" s="237"/>
    </row>
    <row r="2343" spans="1:8" hidden="1" x14ac:dyDescent="0.3">
      <c r="A2343" s="237"/>
      <c r="B2343" s="237"/>
      <c r="C2343" s="238"/>
      <c r="D2343" s="237"/>
      <c r="E2343" s="237"/>
      <c r="F2343" s="237"/>
      <c r="G2343" s="237"/>
      <c r="H2343" s="237"/>
    </row>
    <row r="2344" spans="1:8" hidden="1" x14ac:dyDescent="0.3">
      <c r="A2344" s="237"/>
      <c r="B2344" s="237"/>
      <c r="C2344" s="238"/>
      <c r="D2344" s="237"/>
      <c r="E2344" s="237"/>
      <c r="F2344" s="237"/>
      <c r="G2344" s="237"/>
      <c r="H2344" s="237"/>
    </row>
    <row r="2345" spans="1:8" hidden="1" x14ac:dyDescent="0.3">
      <c r="A2345" s="237"/>
      <c r="B2345" s="237"/>
      <c r="C2345" s="238"/>
      <c r="D2345" s="237"/>
      <c r="E2345" s="237"/>
      <c r="F2345" s="237"/>
      <c r="G2345" s="237"/>
      <c r="H2345" s="237"/>
    </row>
    <row r="2346" spans="1:8" hidden="1" x14ac:dyDescent="0.3">
      <c r="A2346" s="237"/>
      <c r="B2346" s="237"/>
      <c r="C2346" s="238"/>
      <c r="D2346" s="237"/>
      <c r="E2346" s="237"/>
      <c r="F2346" s="237"/>
      <c r="G2346" s="237"/>
      <c r="H2346" s="237"/>
    </row>
    <row r="2347" spans="1:8" hidden="1" x14ac:dyDescent="0.3">
      <c r="A2347" s="237"/>
      <c r="B2347" s="237"/>
      <c r="C2347" s="238"/>
      <c r="D2347" s="237"/>
      <c r="E2347" s="237"/>
      <c r="F2347" s="237"/>
      <c r="G2347" s="237"/>
      <c r="H2347" s="237"/>
    </row>
    <row r="2348" spans="1:8" hidden="1" x14ac:dyDescent="0.3">
      <c r="A2348" s="237"/>
      <c r="B2348" s="237"/>
      <c r="C2348" s="238"/>
      <c r="D2348" s="237"/>
      <c r="E2348" s="237"/>
      <c r="F2348" s="237"/>
      <c r="G2348" s="237"/>
      <c r="H2348" s="237"/>
    </row>
    <row r="2349" spans="1:8" hidden="1" x14ac:dyDescent="0.3">
      <c r="A2349" s="237"/>
      <c r="B2349" s="237"/>
      <c r="C2349" s="238"/>
      <c r="D2349" s="237"/>
      <c r="E2349" s="237"/>
      <c r="F2349" s="237"/>
      <c r="G2349" s="237"/>
      <c r="H2349" s="237"/>
    </row>
    <row r="2350" spans="1:8" hidden="1" x14ac:dyDescent="0.3">
      <c r="A2350" s="237"/>
      <c r="B2350" s="237"/>
      <c r="C2350" s="238"/>
      <c r="D2350" s="237"/>
      <c r="E2350" s="237"/>
      <c r="F2350" s="237"/>
      <c r="G2350" s="237"/>
      <c r="H2350" s="237"/>
    </row>
    <row r="2351" spans="1:8" hidden="1" x14ac:dyDescent="0.3">
      <c r="A2351" s="237"/>
      <c r="B2351" s="237"/>
      <c r="C2351" s="238"/>
      <c r="D2351" s="237"/>
      <c r="E2351" s="237"/>
      <c r="F2351" s="237"/>
      <c r="G2351" s="237"/>
      <c r="H2351" s="237"/>
    </row>
    <row r="2352" spans="1:8" hidden="1" x14ac:dyDescent="0.3">
      <c r="A2352" s="237"/>
      <c r="B2352" s="237"/>
      <c r="C2352" s="238"/>
      <c r="D2352" s="237"/>
      <c r="E2352" s="237"/>
      <c r="F2352" s="237"/>
      <c r="G2352" s="237"/>
      <c r="H2352" s="237"/>
    </row>
    <row r="2353" spans="1:8" hidden="1" x14ac:dyDescent="0.3">
      <c r="A2353" s="237"/>
      <c r="B2353" s="237"/>
      <c r="C2353" s="238"/>
      <c r="D2353" s="237"/>
      <c r="E2353" s="237"/>
      <c r="F2353" s="237"/>
      <c r="G2353" s="237"/>
      <c r="H2353" s="237"/>
    </row>
    <row r="2354" spans="1:8" hidden="1" x14ac:dyDescent="0.3">
      <c r="A2354" s="237"/>
      <c r="B2354" s="237"/>
      <c r="C2354" s="238"/>
      <c r="D2354" s="237"/>
      <c r="E2354" s="237"/>
      <c r="F2354" s="237"/>
      <c r="G2354" s="237"/>
      <c r="H2354" s="237"/>
    </row>
    <row r="2355" spans="1:8" hidden="1" x14ac:dyDescent="0.3">
      <c r="A2355" s="237"/>
      <c r="B2355" s="237"/>
      <c r="C2355" s="238"/>
      <c r="D2355" s="237"/>
      <c r="E2355" s="237"/>
      <c r="F2355" s="237"/>
      <c r="G2355" s="237"/>
      <c r="H2355" s="237"/>
    </row>
    <row r="2356" spans="1:8" hidden="1" x14ac:dyDescent="0.3">
      <c r="A2356" s="237"/>
      <c r="B2356" s="237"/>
      <c r="C2356" s="238"/>
      <c r="D2356" s="237"/>
      <c r="E2356" s="237"/>
      <c r="F2356" s="237"/>
      <c r="G2356" s="237"/>
      <c r="H2356" s="237"/>
    </row>
    <row r="2357" spans="1:8" hidden="1" x14ac:dyDescent="0.3">
      <c r="A2357" s="237"/>
      <c r="B2357" s="237"/>
      <c r="C2357" s="238"/>
      <c r="D2357" s="237"/>
      <c r="E2357" s="237"/>
      <c r="F2357" s="237"/>
      <c r="G2357" s="237"/>
      <c r="H2357" s="237"/>
    </row>
    <row r="2358" spans="1:8" hidden="1" x14ac:dyDescent="0.3">
      <c r="A2358" s="237"/>
      <c r="B2358" s="237"/>
      <c r="C2358" s="238"/>
      <c r="D2358" s="237"/>
      <c r="E2358" s="237"/>
      <c r="F2358" s="237"/>
      <c r="G2358" s="237"/>
      <c r="H2358" s="237"/>
    </row>
    <row r="2359" spans="1:8" hidden="1" x14ac:dyDescent="0.3">
      <c r="A2359" s="237"/>
      <c r="B2359" s="237"/>
      <c r="C2359" s="238"/>
      <c r="D2359" s="237"/>
      <c r="E2359" s="237"/>
      <c r="F2359" s="237"/>
      <c r="G2359" s="237"/>
      <c r="H2359" s="237"/>
    </row>
    <row r="2360" spans="1:8" hidden="1" x14ac:dyDescent="0.3">
      <c r="A2360" s="237"/>
      <c r="B2360" s="237"/>
      <c r="C2360" s="238"/>
      <c r="D2360" s="237"/>
      <c r="E2360" s="237"/>
      <c r="F2360" s="237"/>
      <c r="G2360" s="237"/>
      <c r="H2360" s="237"/>
    </row>
    <row r="2361" spans="1:8" hidden="1" x14ac:dyDescent="0.3">
      <c r="A2361" s="237"/>
      <c r="B2361" s="237"/>
      <c r="C2361" s="238"/>
      <c r="D2361" s="237"/>
      <c r="E2361" s="237"/>
      <c r="F2361" s="237"/>
      <c r="G2361" s="237"/>
      <c r="H2361" s="237"/>
    </row>
    <row r="2362" spans="1:8" hidden="1" x14ac:dyDescent="0.3">
      <c r="A2362" s="237"/>
      <c r="B2362" s="237"/>
      <c r="C2362" s="238"/>
      <c r="D2362" s="237"/>
      <c r="E2362" s="237"/>
      <c r="F2362" s="237"/>
      <c r="G2362" s="237"/>
      <c r="H2362" s="237"/>
    </row>
    <row r="2363" spans="1:8" hidden="1" x14ac:dyDescent="0.3">
      <c r="A2363" s="237"/>
      <c r="B2363" s="237"/>
      <c r="C2363" s="238"/>
      <c r="D2363" s="237"/>
      <c r="E2363" s="237"/>
      <c r="F2363" s="237"/>
      <c r="G2363" s="237"/>
      <c r="H2363" s="237"/>
    </row>
    <row r="2364" spans="1:8" hidden="1" x14ac:dyDescent="0.3">
      <c r="A2364" s="237"/>
      <c r="B2364" s="237"/>
      <c r="C2364" s="238"/>
      <c r="D2364" s="237"/>
      <c r="E2364" s="237"/>
      <c r="F2364" s="237"/>
      <c r="G2364" s="237"/>
      <c r="H2364" s="237"/>
    </row>
    <row r="2365" spans="1:8" hidden="1" x14ac:dyDescent="0.3">
      <c r="A2365" s="237"/>
      <c r="B2365" s="237"/>
      <c r="C2365" s="238"/>
      <c r="D2365" s="237"/>
      <c r="E2365" s="237"/>
      <c r="F2365" s="237"/>
      <c r="G2365" s="237"/>
      <c r="H2365" s="237"/>
    </row>
    <row r="2366" spans="1:8" hidden="1" x14ac:dyDescent="0.3">
      <c r="A2366" s="237"/>
      <c r="B2366" s="237"/>
      <c r="C2366" s="238"/>
      <c r="D2366" s="237"/>
      <c r="E2366" s="237"/>
      <c r="F2366" s="237"/>
      <c r="G2366" s="237"/>
      <c r="H2366" s="237"/>
    </row>
    <row r="2367" spans="1:8" hidden="1" x14ac:dyDescent="0.3">
      <c r="A2367" s="237"/>
      <c r="B2367" s="237"/>
      <c r="C2367" s="238"/>
      <c r="D2367" s="237"/>
      <c r="E2367" s="237"/>
      <c r="F2367" s="237"/>
      <c r="G2367" s="237"/>
      <c r="H2367" s="237"/>
    </row>
    <row r="2368" spans="1:8" hidden="1" x14ac:dyDescent="0.3">
      <c r="A2368" s="237"/>
      <c r="B2368" s="237"/>
      <c r="C2368" s="238"/>
      <c r="D2368" s="237"/>
      <c r="E2368" s="237"/>
      <c r="F2368" s="237"/>
      <c r="G2368" s="237"/>
      <c r="H2368" s="237"/>
    </row>
    <row r="2369" spans="1:8" hidden="1" x14ac:dyDescent="0.3">
      <c r="A2369" s="237"/>
      <c r="B2369" s="237"/>
      <c r="C2369" s="238"/>
      <c r="D2369" s="237"/>
      <c r="E2369" s="237"/>
      <c r="F2369" s="237"/>
      <c r="G2369" s="237"/>
      <c r="H2369" s="237"/>
    </row>
    <row r="2370" spans="1:8" hidden="1" x14ac:dyDescent="0.3">
      <c r="A2370" s="237"/>
      <c r="B2370" s="237"/>
      <c r="C2370" s="238"/>
      <c r="D2370" s="237"/>
      <c r="E2370" s="237"/>
      <c r="F2370" s="237"/>
      <c r="G2370" s="237"/>
      <c r="H2370" s="237"/>
    </row>
    <row r="2371" spans="1:8" hidden="1" x14ac:dyDescent="0.3">
      <c r="A2371" s="237"/>
      <c r="B2371" s="237"/>
      <c r="C2371" s="238"/>
      <c r="D2371" s="237"/>
      <c r="E2371" s="237"/>
      <c r="F2371" s="237"/>
      <c r="G2371" s="237"/>
      <c r="H2371" s="237"/>
    </row>
    <row r="2372" spans="1:8" hidden="1" x14ac:dyDescent="0.3">
      <c r="A2372" s="237"/>
      <c r="B2372" s="237"/>
      <c r="C2372" s="238"/>
      <c r="D2372" s="237"/>
      <c r="E2372" s="237"/>
      <c r="F2372" s="237"/>
      <c r="G2372" s="237"/>
      <c r="H2372" s="237"/>
    </row>
    <row r="2373" spans="1:8" hidden="1" x14ac:dyDescent="0.3">
      <c r="A2373" s="237"/>
      <c r="B2373" s="237"/>
      <c r="C2373" s="238"/>
      <c r="D2373" s="237"/>
      <c r="E2373" s="237"/>
      <c r="F2373" s="237"/>
      <c r="G2373" s="237"/>
      <c r="H2373" s="237"/>
    </row>
    <row r="2374" spans="1:8" hidden="1" x14ac:dyDescent="0.3">
      <c r="A2374" s="237"/>
      <c r="B2374" s="237"/>
      <c r="C2374" s="238"/>
      <c r="D2374" s="237"/>
      <c r="E2374" s="237"/>
      <c r="F2374" s="237"/>
      <c r="G2374" s="237"/>
      <c r="H2374" s="237"/>
    </row>
    <row r="2375" spans="1:8" hidden="1" x14ac:dyDescent="0.3">
      <c r="A2375" s="237"/>
      <c r="B2375" s="237"/>
      <c r="C2375" s="238"/>
      <c r="D2375" s="237"/>
      <c r="E2375" s="237"/>
      <c r="F2375" s="237"/>
      <c r="G2375" s="237"/>
      <c r="H2375" s="237"/>
    </row>
    <row r="2376" spans="1:8" hidden="1" x14ac:dyDescent="0.3">
      <c r="A2376" s="237"/>
      <c r="B2376" s="237"/>
      <c r="C2376" s="238"/>
      <c r="D2376" s="237"/>
      <c r="E2376" s="237"/>
      <c r="F2376" s="237"/>
      <c r="G2376" s="237"/>
      <c r="H2376" s="237"/>
    </row>
    <row r="2377" spans="1:8" hidden="1" x14ac:dyDescent="0.3">
      <c r="A2377" s="237"/>
      <c r="B2377" s="237"/>
      <c r="C2377" s="238"/>
      <c r="D2377" s="237"/>
      <c r="E2377" s="237"/>
      <c r="F2377" s="237"/>
      <c r="G2377" s="237"/>
      <c r="H2377" s="237"/>
    </row>
    <row r="2378" spans="1:8" hidden="1" x14ac:dyDescent="0.3">
      <c r="A2378" s="237"/>
      <c r="B2378" s="237"/>
      <c r="C2378" s="238"/>
      <c r="D2378" s="237"/>
      <c r="E2378" s="237"/>
      <c r="F2378" s="237"/>
      <c r="G2378" s="237"/>
      <c r="H2378" s="237"/>
    </row>
    <row r="2379" spans="1:8" hidden="1" x14ac:dyDescent="0.3">
      <c r="A2379" s="237"/>
      <c r="B2379" s="237"/>
      <c r="C2379" s="238"/>
      <c r="D2379" s="237"/>
      <c r="E2379" s="237"/>
      <c r="F2379" s="237"/>
      <c r="G2379" s="237"/>
      <c r="H2379" s="237"/>
    </row>
    <row r="2380" spans="1:8" hidden="1" x14ac:dyDescent="0.3">
      <c r="A2380" s="237"/>
      <c r="B2380" s="237"/>
      <c r="C2380" s="238"/>
      <c r="D2380" s="237"/>
      <c r="E2380" s="237"/>
      <c r="F2380" s="237"/>
      <c r="G2380" s="237"/>
      <c r="H2380" s="237"/>
    </row>
    <row r="2381" spans="1:8" hidden="1" x14ac:dyDescent="0.3">
      <c r="A2381" s="237"/>
      <c r="B2381" s="237"/>
      <c r="C2381" s="238"/>
      <c r="D2381" s="237"/>
      <c r="E2381" s="237"/>
      <c r="F2381" s="237"/>
      <c r="G2381" s="237"/>
      <c r="H2381" s="237"/>
    </row>
    <row r="2382" spans="1:8" hidden="1" x14ac:dyDescent="0.3">
      <c r="A2382" s="237"/>
      <c r="B2382" s="237"/>
      <c r="C2382" s="238"/>
      <c r="D2382" s="237"/>
      <c r="E2382" s="237"/>
      <c r="F2382" s="237"/>
      <c r="G2382" s="237"/>
      <c r="H2382" s="237"/>
    </row>
    <row r="2383" spans="1:8" hidden="1" x14ac:dyDescent="0.3">
      <c r="A2383" s="237"/>
      <c r="B2383" s="237"/>
      <c r="C2383" s="238"/>
      <c r="D2383" s="237"/>
      <c r="E2383" s="237"/>
      <c r="F2383" s="237"/>
      <c r="G2383" s="237"/>
      <c r="H2383" s="237"/>
    </row>
    <row r="2384" spans="1:8" hidden="1" x14ac:dyDescent="0.3">
      <c r="A2384" s="237"/>
      <c r="B2384" s="237"/>
      <c r="C2384" s="238"/>
      <c r="D2384" s="237"/>
      <c r="E2384" s="237"/>
      <c r="F2384" s="237"/>
      <c r="G2384" s="237"/>
      <c r="H2384" s="237"/>
    </row>
    <row r="2385" spans="1:8" hidden="1" x14ac:dyDescent="0.3">
      <c r="A2385" s="237"/>
      <c r="B2385" s="237"/>
      <c r="C2385" s="238"/>
      <c r="D2385" s="237"/>
      <c r="E2385" s="237"/>
      <c r="F2385" s="237"/>
      <c r="G2385" s="237"/>
      <c r="H2385" s="237"/>
    </row>
    <row r="2386" spans="1:8" hidden="1" x14ac:dyDescent="0.3">
      <c r="A2386" s="237"/>
      <c r="B2386" s="237"/>
      <c r="C2386" s="238"/>
      <c r="D2386" s="237"/>
      <c r="E2386" s="237"/>
      <c r="F2386" s="237"/>
      <c r="G2386" s="237"/>
      <c r="H2386" s="237"/>
    </row>
    <row r="2387" spans="1:8" hidden="1" x14ac:dyDescent="0.3">
      <c r="A2387" s="237"/>
      <c r="B2387" s="237"/>
      <c r="C2387" s="238"/>
      <c r="D2387" s="237"/>
      <c r="E2387" s="237"/>
      <c r="F2387" s="237"/>
      <c r="G2387" s="237"/>
      <c r="H2387" s="237"/>
    </row>
    <row r="2388" spans="1:8" hidden="1" x14ac:dyDescent="0.3">
      <c r="A2388" s="237"/>
      <c r="B2388" s="237"/>
      <c r="C2388" s="238"/>
      <c r="D2388" s="237"/>
      <c r="E2388" s="237"/>
      <c r="F2388" s="237"/>
      <c r="G2388" s="237"/>
      <c r="H2388" s="237"/>
    </row>
    <row r="2389" spans="1:8" hidden="1" x14ac:dyDescent="0.3">
      <c r="A2389" s="237"/>
      <c r="B2389" s="237"/>
      <c r="C2389" s="238"/>
      <c r="D2389" s="237"/>
      <c r="E2389" s="237"/>
      <c r="F2389" s="237"/>
      <c r="G2389" s="237"/>
      <c r="H2389" s="237"/>
    </row>
    <row r="2390" spans="1:8" hidden="1" x14ac:dyDescent="0.3">
      <c r="A2390" s="237"/>
      <c r="B2390" s="237"/>
      <c r="C2390" s="238"/>
      <c r="D2390" s="237"/>
      <c r="E2390" s="237"/>
      <c r="F2390" s="237"/>
      <c r="G2390" s="237"/>
      <c r="H2390" s="237"/>
    </row>
    <row r="2391" spans="1:8" hidden="1" x14ac:dyDescent="0.3">
      <c r="A2391" s="237"/>
      <c r="B2391" s="237"/>
      <c r="C2391" s="238"/>
      <c r="D2391" s="237"/>
      <c r="E2391" s="237"/>
      <c r="F2391" s="237"/>
      <c r="G2391" s="237"/>
      <c r="H2391" s="237"/>
    </row>
    <row r="2392" spans="1:8" hidden="1" x14ac:dyDescent="0.3">
      <c r="A2392" s="237"/>
      <c r="B2392" s="237"/>
      <c r="C2392" s="238"/>
      <c r="D2392" s="237"/>
      <c r="E2392" s="237"/>
      <c r="F2392" s="237"/>
      <c r="G2392" s="237"/>
      <c r="H2392" s="237"/>
    </row>
    <row r="2393" spans="1:8" hidden="1" x14ac:dyDescent="0.3">
      <c r="A2393" s="237"/>
      <c r="B2393" s="237"/>
      <c r="C2393" s="238"/>
      <c r="D2393" s="237"/>
      <c r="E2393" s="237"/>
      <c r="F2393" s="237"/>
      <c r="G2393" s="237"/>
      <c r="H2393" s="237"/>
    </row>
    <row r="2394" spans="1:8" hidden="1" x14ac:dyDescent="0.3">
      <c r="A2394" s="237"/>
      <c r="B2394" s="237"/>
      <c r="C2394" s="238"/>
      <c r="D2394" s="237"/>
      <c r="E2394" s="237"/>
      <c r="F2394" s="237"/>
      <c r="G2394" s="237"/>
      <c r="H2394" s="237"/>
    </row>
    <row r="2395" spans="1:8" hidden="1" x14ac:dyDescent="0.3">
      <c r="A2395" s="237"/>
      <c r="B2395" s="237"/>
      <c r="C2395" s="238"/>
      <c r="D2395" s="237"/>
      <c r="E2395" s="237"/>
      <c r="F2395" s="237"/>
      <c r="G2395" s="237"/>
      <c r="H2395" s="237"/>
    </row>
    <row r="2396" spans="1:8" hidden="1" x14ac:dyDescent="0.3">
      <c r="A2396" s="237"/>
      <c r="B2396" s="237"/>
      <c r="C2396" s="238"/>
      <c r="D2396" s="237"/>
      <c r="E2396" s="237"/>
      <c r="F2396" s="237"/>
      <c r="G2396" s="237"/>
      <c r="H2396" s="237"/>
    </row>
    <row r="2397" spans="1:8" hidden="1" x14ac:dyDescent="0.3">
      <c r="A2397" s="237"/>
      <c r="B2397" s="237"/>
      <c r="C2397" s="238"/>
      <c r="D2397" s="237"/>
      <c r="E2397" s="237"/>
      <c r="F2397" s="237"/>
      <c r="G2397" s="237"/>
      <c r="H2397" s="237"/>
    </row>
    <row r="2398" spans="1:8" hidden="1" x14ac:dyDescent="0.3">
      <c r="A2398" s="237"/>
      <c r="B2398" s="237"/>
      <c r="C2398" s="238"/>
      <c r="D2398" s="237"/>
      <c r="E2398" s="237"/>
      <c r="F2398" s="237"/>
      <c r="G2398" s="237"/>
      <c r="H2398" s="237"/>
    </row>
    <row r="2399" spans="1:8" hidden="1" x14ac:dyDescent="0.3">
      <c r="A2399" s="237"/>
      <c r="B2399" s="237"/>
      <c r="C2399" s="238"/>
      <c r="D2399" s="237"/>
      <c r="E2399" s="237"/>
      <c r="F2399" s="237"/>
      <c r="G2399" s="237"/>
      <c r="H2399" s="237"/>
    </row>
    <row r="2400" spans="1:8" hidden="1" x14ac:dyDescent="0.3">
      <c r="A2400" s="237"/>
      <c r="B2400" s="237"/>
      <c r="C2400" s="238"/>
      <c r="D2400" s="237"/>
      <c r="E2400" s="237"/>
      <c r="F2400" s="237"/>
      <c r="G2400" s="237"/>
      <c r="H2400" s="237"/>
    </row>
    <row r="2401" spans="1:8" hidden="1" x14ac:dyDescent="0.3">
      <c r="A2401" s="237"/>
      <c r="B2401" s="237"/>
      <c r="C2401" s="238"/>
      <c r="D2401" s="237"/>
      <c r="E2401" s="237"/>
      <c r="F2401" s="237"/>
      <c r="G2401" s="237"/>
      <c r="H2401" s="237"/>
    </row>
    <row r="2402" spans="1:8" hidden="1" x14ac:dyDescent="0.3">
      <c r="A2402" s="237"/>
      <c r="B2402" s="237"/>
      <c r="C2402" s="238"/>
      <c r="D2402" s="237"/>
      <c r="E2402" s="237"/>
      <c r="F2402" s="237"/>
      <c r="G2402" s="237"/>
      <c r="H2402" s="237"/>
    </row>
    <row r="2403" spans="1:8" hidden="1" x14ac:dyDescent="0.3">
      <c r="A2403" s="237"/>
      <c r="B2403" s="237"/>
      <c r="C2403" s="238"/>
      <c r="D2403" s="237"/>
      <c r="E2403" s="237"/>
      <c r="F2403" s="237"/>
      <c r="G2403" s="237"/>
      <c r="H2403" s="237"/>
    </row>
    <row r="2404" spans="1:8" hidden="1" x14ac:dyDescent="0.3">
      <c r="A2404" s="237"/>
      <c r="B2404" s="237"/>
      <c r="C2404" s="238"/>
      <c r="D2404" s="237"/>
      <c r="E2404" s="237"/>
      <c r="F2404" s="237"/>
      <c r="G2404" s="237"/>
      <c r="H2404" s="237"/>
    </row>
    <row r="2405" spans="1:8" hidden="1" x14ac:dyDescent="0.3">
      <c r="A2405" s="237"/>
      <c r="B2405" s="237"/>
      <c r="C2405" s="238"/>
      <c r="D2405" s="237"/>
      <c r="E2405" s="237"/>
      <c r="F2405" s="237"/>
      <c r="G2405" s="237"/>
      <c r="H2405" s="237"/>
    </row>
    <row r="2406" spans="1:8" hidden="1" x14ac:dyDescent="0.3">
      <c r="A2406" s="237"/>
      <c r="B2406" s="237"/>
      <c r="C2406" s="238"/>
      <c r="D2406" s="237"/>
      <c r="E2406" s="237"/>
      <c r="F2406" s="237"/>
      <c r="G2406" s="237"/>
      <c r="H2406" s="237"/>
    </row>
    <row r="2407" spans="1:8" hidden="1" x14ac:dyDescent="0.3">
      <c r="A2407" s="237"/>
      <c r="B2407" s="237"/>
      <c r="C2407" s="238"/>
      <c r="D2407" s="237"/>
      <c r="E2407" s="237"/>
      <c r="F2407" s="237"/>
      <c r="G2407" s="237"/>
      <c r="H2407" s="237"/>
    </row>
    <row r="2408" spans="1:8" hidden="1" x14ac:dyDescent="0.3">
      <c r="A2408" s="237"/>
      <c r="B2408" s="237"/>
      <c r="C2408" s="238"/>
      <c r="D2408" s="237"/>
      <c r="E2408" s="237"/>
      <c r="F2408" s="237"/>
      <c r="G2408" s="237"/>
      <c r="H2408" s="237"/>
    </row>
    <row r="2409" spans="1:8" hidden="1" x14ac:dyDescent="0.3">
      <c r="A2409" s="237"/>
      <c r="B2409" s="237"/>
      <c r="C2409" s="238"/>
      <c r="D2409" s="237"/>
      <c r="E2409" s="237"/>
      <c r="F2409" s="237"/>
      <c r="G2409" s="237"/>
      <c r="H2409" s="237"/>
    </row>
    <row r="2410" spans="1:8" hidden="1" x14ac:dyDescent="0.3">
      <c r="A2410" s="237"/>
      <c r="B2410" s="237"/>
      <c r="C2410" s="238"/>
      <c r="D2410" s="237"/>
      <c r="E2410" s="237"/>
      <c r="F2410" s="237"/>
      <c r="G2410" s="237"/>
      <c r="H2410" s="237"/>
    </row>
    <row r="2411" spans="1:8" hidden="1" x14ac:dyDescent="0.3">
      <c r="A2411" s="237"/>
      <c r="B2411" s="237"/>
      <c r="C2411" s="238"/>
      <c r="D2411" s="237"/>
      <c r="E2411" s="237"/>
      <c r="F2411" s="237"/>
      <c r="G2411" s="237"/>
      <c r="H2411" s="237"/>
    </row>
    <row r="2412" spans="1:8" hidden="1" x14ac:dyDescent="0.3">
      <c r="A2412" s="237"/>
      <c r="B2412" s="237"/>
      <c r="C2412" s="238"/>
      <c r="D2412" s="237"/>
      <c r="E2412" s="237"/>
      <c r="F2412" s="237"/>
      <c r="G2412" s="237"/>
      <c r="H2412" s="237"/>
    </row>
    <row r="2413" spans="1:8" hidden="1" x14ac:dyDescent="0.3">
      <c r="A2413" s="237"/>
      <c r="B2413" s="237"/>
      <c r="C2413" s="238"/>
      <c r="D2413" s="237"/>
      <c r="E2413" s="237"/>
      <c r="F2413" s="237"/>
      <c r="G2413" s="237"/>
      <c r="H2413" s="237"/>
    </row>
    <row r="2414" spans="1:8" hidden="1" x14ac:dyDescent="0.3">
      <c r="A2414" s="237"/>
      <c r="B2414" s="237"/>
      <c r="C2414" s="238"/>
      <c r="D2414" s="237"/>
      <c r="E2414" s="237"/>
      <c r="F2414" s="237"/>
      <c r="G2414" s="237"/>
      <c r="H2414" s="237"/>
    </row>
    <row r="2415" spans="1:8" hidden="1" x14ac:dyDescent="0.3">
      <c r="A2415" s="237"/>
      <c r="B2415" s="237"/>
      <c r="C2415" s="238"/>
      <c r="D2415" s="237"/>
      <c r="E2415" s="237"/>
      <c r="F2415" s="237"/>
      <c r="G2415" s="237"/>
      <c r="H2415" s="237"/>
    </row>
    <row r="2416" spans="1:8" hidden="1" x14ac:dyDescent="0.3">
      <c r="A2416" s="237"/>
      <c r="B2416" s="237"/>
      <c r="C2416" s="238"/>
      <c r="D2416" s="237"/>
      <c r="E2416" s="237"/>
      <c r="F2416" s="237"/>
      <c r="G2416" s="237"/>
      <c r="H2416" s="237"/>
    </row>
    <row r="2417" spans="1:8" hidden="1" x14ac:dyDescent="0.3">
      <c r="A2417" s="237"/>
      <c r="B2417" s="237"/>
      <c r="C2417" s="238"/>
      <c r="D2417" s="237"/>
      <c r="E2417" s="237"/>
      <c r="F2417" s="237"/>
      <c r="G2417" s="237"/>
      <c r="H2417" s="237"/>
    </row>
    <row r="2418" spans="1:8" hidden="1" x14ac:dyDescent="0.3">
      <c r="A2418" s="237"/>
      <c r="B2418" s="237"/>
      <c r="C2418" s="238"/>
      <c r="D2418" s="237"/>
      <c r="E2418" s="237"/>
      <c r="F2418" s="237"/>
      <c r="G2418" s="237"/>
      <c r="H2418" s="237"/>
    </row>
    <row r="2419" spans="1:8" hidden="1" x14ac:dyDescent="0.3">
      <c r="A2419" s="237"/>
      <c r="B2419" s="237"/>
      <c r="C2419" s="238"/>
      <c r="D2419" s="237"/>
      <c r="E2419" s="237"/>
      <c r="F2419" s="237"/>
      <c r="G2419" s="237"/>
      <c r="H2419" s="237"/>
    </row>
    <row r="2420" spans="1:8" hidden="1" x14ac:dyDescent="0.3">
      <c r="A2420" s="237"/>
      <c r="B2420" s="237"/>
      <c r="C2420" s="238"/>
      <c r="D2420" s="237"/>
      <c r="E2420" s="237"/>
      <c r="F2420" s="237"/>
      <c r="G2420" s="237"/>
      <c r="H2420" s="237"/>
    </row>
    <row r="2421" spans="1:8" hidden="1" x14ac:dyDescent="0.3">
      <c r="A2421" s="237"/>
      <c r="B2421" s="237"/>
      <c r="C2421" s="238"/>
      <c r="D2421" s="237"/>
      <c r="E2421" s="237"/>
      <c r="F2421" s="237"/>
      <c r="G2421" s="237"/>
      <c r="H2421" s="237"/>
    </row>
    <row r="2422" spans="1:8" hidden="1" x14ac:dyDescent="0.3">
      <c r="A2422" s="237"/>
      <c r="B2422" s="237"/>
      <c r="C2422" s="238"/>
      <c r="D2422" s="237"/>
      <c r="E2422" s="237"/>
      <c r="F2422" s="237"/>
      <c r="G2422" s="237"/>
      <c r="H2422" s="237"/>
    </row>
    <row r="2423" spans="1:8" hidden="1" x14ac:dyDescent="0.3">
      <c r="A2423" s="237"/>
      <c r="B2423" s="237"/>
      <c r="C2423" s="238"/>
      <c r="D2423" s="237"/>
      <c r="E2423" s="237"/>
      <c r="F2423" s="237"/>
      <c r="G2423" s="237"/>
      <c r="H2423" s="237"/>
    </row>
    <row r="2424" spans="1:8" hidden="1" x14ac:dyDescent="0.3">
      <c r="A2424" s="237"/>
      <c r="B2424" s="237"/>
      <c r="C2424" s="238"/>
      <c r="D2424" s="237"/>
      <c r="E2424" s="237"/>
      <c r="F2424" s="237"/>
      <c r="G2424" s="237"/>
      <c r="H2424" s="237"/>
    </row>
    <row r="2425" spans="1:8" hidden="1" x14ac:dyDescent="0.3">
      <c r="A2425" s="237"/>
      <c r="B2425" s="237"/>
      <c r="C2425" s="238"/>
      <c r="D2425" s="237"/>
      <c r="E2425" s="237"/>
      <c r="F2425" s="237"/>
      <c r="G2425" s="237"/>
      <c r="H2425" s="237"/>
    </row>
    <row r="2426" spans="1:8" hidden="1" x14ac:dyDescent="0.3">
      <c r="A2426" s="237"/>
      <c r="B2426" s="237"/>
      <c r="C2426" s="238"/>
      <c r="D2426" s="237"/>
      <c r="E2426" s="237"/>
      <c r="F2426" s="237"/>
      <c r="G2426" s="237"/>
      <c r="H2426" s="237"/>
    </row>
    <row r="2427" spans="1:8" hidden="1" x14ac:dyDescent="0.3">
      <c r="A2427" s="237"/>
      <c r="B2427" s="237"/>
      <c r="C2427" s="238"/>
      <c r="D2427" s="237"/>
      <c r="E2427" s="237"/>
      <c r="F2427" s="237"/>
      <c r="G2427" s="237"/>
      <c r="H2427" s="237"/>
    </row>
    <row r="2428" spans="1:8" hidden="1" x14ac:dyDescent="0.3">
      <c r="A2428" s="237"/>
      <c r="B2428" s="237"/>
      <c r="C2428" s="238"/>
      <c r="D2428" s="237"/>
      <c r="E2428" s="237"/>
      <c r="F2428" s="237"/>
      <c r="G2428" s="237"/>
      <c r="H2428" s="237"/>
    </row>
    <row r="2429" spans="1:8" hidden="1" x14ac:dyDescent="0.3">
      <c r="A2429" s="237"/>
      <c r="B2429" s="237"/>
      <c r="C2429" s="238"/>
      <c r="D2429" s="237"/>
      <c r="E2429" s="237"/>
      <c r="F2429" s="237"/>
      <c r="G2429" s="237"/>
      <c r="H2429" s="237"/>
    </row>
    <row r="2430" spans="1:8" hidden="1" x14ac:dyDescent="0.3">
      <c r="A2430" s="237"/>
      <c r="B2430" s="237"/>
      <c r="C2430" s="238"/>
      <c r="D2430" s="237"/>
      <c r="E2430" s="237"/>
      <c r="F2430" s="237"/>
      <c r="G2430" s="237"/>
      <c r="H2430" s="237"/>
    </row>
    <row r="2431" spans="1:8" hidden="1" x14ac:dyDescent="0.3">
      <c r="A2431" s="237"/>
      <c r="B2431" s="237"/>
      <c r="C2431" s="238"/>
      <c r="D2431" s="237"/>
      <c r="E2431" s="237"/>
      <c r="F2431" s="237"/>
      <c r="G2431" s="237"/>
      <c r="H2431" s="237"/>
    </row>
    <row r="2432" spans="1:8" hidden="1" x14ac:dyDescent="0.3">
      <c r="A2432" s="237"/>
      <c r="B2432" s="237"/>
      <c r="C2432" s="238"/>
      <c r="D2432" s="237"/>
      <c r="E2432" s="237"/>
      <c r="F2432" s="237"/>
      <c r="G2432" s="237"/>
      <c r="H2432" s="237"/>
    </row>
    <row r="2433" spans="1:8" hidden="1" x14ac:dyDescent="0.3">
      <c r="A2433" s="237"/>
      <c r="B2433" s="237"/>
      <c r="C2433" s="238"/>
      <c r="D2433" s="237"/>
      <c r="E2433" s="237"/>
      <c r="F2433" s="237"/>
      <c r="G2433" s="237"/>
      <c r="H2433" s="237"/>
    </row>
    <row r="2434" spans="1:8" hidden="1" x14ac:dyDescent="0.3">
      <c r="A2434" s="237"/>
      <c r="B2434" s="237"/>
      <c r="C2434" s="238"/>
      <c r="D2434" s="237"/>
      <c r="E2434" s="237"/>
      <c r="F2434" s="237"/>
      <c r="G2434" s="237"/>
      <c r="H2434" s="237"/>
    </row>
    <row r="2435" spans="1:8" hidden="1" x14ac:dyDescent="0.3">
      <c r="A2435" s="237"/>
      <c r="B2435" s="237"/>
      <c r="C2435" s="238"/>
      <c r="D2435" s="237"/>
      <c r="E2435" s="237"/>
      <c r="F2435" s="237"/>
      <c r="G2435" s="237"/>
      <c r="H2435" s="237"/>
    </row>
    <row r="2436" spans="1:8" hidden="1" x14ac:dyDescent="0.3">
      <c r="A2436" s="237"/>
      <c r="B2436" s="237"/>
      <c r="C2436" s="238"/>
      <c r="D2436" s="237"/>
      <c r="E2436" s="237"/>
      <c r="F2436" s="237"/>
      <c r="G2436" s="237"/>
      <c r="H2436" s="237"/>
    </row>
    <row r="2437" spans="1:8" hidden="1" x14ac:dyDescent="0.3">
      <c r="A2437" s="237"/>
      <c r="B2437" s="237"/>
      <c r="C2437" s="238"/>
      <c r="D2437" s="237"/>
      <c r="E2437" s="237"/>
      <c r="F2437" s="237"/>
      <c r="G2437" s="237"/>
      <c r="H2437" s="237"/>
    </row>
    <row r="2438" spans="1:8" hidden="1" x14ac:dyDescent="0.3">
      <c r="A2438" s="237"/>
      <c r="B2438" s="237"/>
      <c r="C2438" s="238"/>
      <c r="D2438" s="237"/>
      <c r="E2438" s="237"/>
      <c r="F2438" s="237"/>
      <c r="G2438" s="237"/>
      <c r="H2438" s="237"/>
    </row>
    <row r="2439" spans="1:8" hidden="1" x14ac:dyDescent="0.3">
      <c r="A2439" s="237"/>
      <c r="B2439" s="237"/>
      <c r="C2439" s="238"/>
      <c r="D2439" s="237"/>
      <c r="E2439" s="237"/>
      <c r="F2439" s="237"/>
      <c r="G2439" s="237"/>
      <c r="H2439" s="237"/>
    </row>
    <row r="2440" spans="1:8" hidden="1" x14ac:dyDescent="0.3">
      <c r="A2440" s="237"/>
      <c r="B2440" s="237"/>
      <c r="C2440" s="238"/>
      <c r="D2440" s="237"/>
      <c r="E2440" s="237"/>
      <c r="F2440" s="237"/>
      <c r="G2440" s="237"/>
      <c r="H2440" s="237"/>
    </row>
    <row r="2441" spans="1:8" hidden="1" x14ac:dyDescent="0.3">
      <c r="A2441" s="237"/>
      <c r="B2441" s="237"/>
      <c r="C2441" s="238"/>
      <c r="D2441" s="237"/>
      <c r="E2441" s="237"/>
      <c r="F2441" s="237"/>
      <c r="G2441" s="237"/>
      <c r="H2441" s="237"/>
    </row>
    <row r="2442" spans="1:8" hidden="1" x14ac:dyDescent="0.3">
      <c r="A2442" s="237"/>
      <c r="B2442" s="237"/>
      <c r="C2442" s="238"/>
      <c r="D2442" s="237"/>
      <c r="E2442" s="237"/>
      <c r="F2442" s="237"/>
      <c r="G2442" s="237"/>
      <c r="H2442" s="237"/>
    </row>
    <row r="2443" spans="1:8" hidden="1" x14ac:dyDescent="0.3">
      <c r="A2443" s="237"/>
      <c r="B2443" s="237"/>
      <c r="C2443" s="238"/>
      <c r="D2443" s="237"/>
      <c r="E2443" s="237"/>
      <c r="F2443" s="237"/>
      <c r="G2443" s="237"/>
      <c r="H2443" s="237"/>
    </row>
    <row r="2444" spans="1:8" hidden="1" x14ac:dyDescent="0.3">
      <c r="A2444" s="237"/>
      <c r="B2444" s="237"/>
      <c r="C2444" s="238"/>
      <c r="D2444" s="237"/>
      <c r="E2444" s="237"/>
      <c r="F2444" s="237"/>
      <c r="G2444" s="237"/>
      <c r="H2444" s="237"/>
    </row>
    <row r="2445" spans="1:8" hidden="1" x14ac:dyDescent="0.3">
      <c r="A2445" s="237"/>
      <c r="B2445" s="237"/>
      <c r="C2445" s="238"/>
      <c r="D2445" s="237"/>
      <c r="E2445" s="237"/>
      <c r="F2445" s="237"/>
      <c r="G2445" s="237"/>
      <c r="H2445" s="237"/>
    </row>
    <row r="2446" spans="1:8" hidden="1" x14ac:dyDescent="0.3">
      <c r="A2446" s="237"/>
      <c r="B2446" s="237"/>
      <c r="C2446" s="238"/>
      <c r="D2446" s="237"/>
      <c r="E2446" s="237"/>
      <c r="F2446" s="237"/>
      <c r="G2446" s="237"/>
      <c r="H2446" s="237"/>
    </row>
    <row r="2447" spans="1:8" hidden="1" x14ac:dyDescent="0.3">
      <c r="A2447" s="237"/>
      <c r="B2447" s="237"/>
      <c r="C2447" s="238"/>
      <c r="D2447" s="237"/>
      <c r="E2447" s="237"/>
      <c r="F2447" s="237"/>
      <c r="G2447" s="237"/>
      <c r="H2447" s="237"/>
    </row>
    <row r="2448" spans="1:8" hidden="1" x14ac:dyDescent="0.3">
      <c r="A2448" s="237"/>
      <c r="B2448" s="237"/>
      <c r="C2448" s="238"/>
      <c r="D2448" s="237"/>
      <c r="E2448" s="237"/>
      <c r="F2448" s="237"/>
      <c r="G2448" s="237"/>
      <c r="H2448" s="237"/>
    </row>
    <row r="2449" spans="1:8" hidden="1" x14ac:dyDescent="0.3">
      <c r="A2449" s="237"/>
      <c r="B2449" s="237"/>
      <c r="C2449" s="238"/>
      <c r="D2449" s="237"/>
      <c r="E2449" s="237"/>
      <c r="F2449" s="237"/>
      <c r="G2449" s="237"/>
      <c r="H2449" s="237"/>
    </row>
    <row r="2450" spans="1:8" hidden="1" x14ac:dyDescent="0.3">
      <c r="A2450" s="237"/>
      <c r="B2450" s="237"/>
      <c r="C2450" s="238"/>
      <c r="D2450" s="237"/>
      <c r="E2450" s="237"/>
      <c r="F2450" s="237"/>
      <c r="G2450" s="237"/>
      <c r="H2450" s="237"/>
    </row>
    <row r="2451" spans="1:8" hidden="1" x14ac:dyDescent="0.3">
      <c r="A2451" s="237"/>
      <c r="B2451" s="237"/>
      <c r="C2451" s="238"/>
      <c r="D2451" s="237"/>
      <c r="E2451" s="237"/>
      <c r="F2451" s="237"/>
      <c r="G2451" s="237"/>
      <c r="H2451" s="237"/>
    </row>
    <row r="2452" spans="1:8" hidden="1" x14ac:dyDescent="0.3">
      <c r="A2452" s="237"/>
      <c r="B2452" s="237"/>
      <c r="C2452" s="238"/>
      <c r="D2452" s="237"/>
      <c r="E2452" s="237"/>
      <c r="F2452" s="237"/>
      <c r="G2452" s="237"/>
      <c r="H2452" s="237"/>
    </row>
    <row r="2453" spans="1:8" hidden="1" x14ac:dyDescent="0.3">
      <c r="A2453" s="237"/>
      <c r="B2453" s="237"/>
      <c r="C2453" s="238"/>
      <c r="D2453" s="237"/>
      <c r="E2453" s="237"/>
      <c r="F2453" s="237"/>
      <c r="G2453" s="237"/>
      <c r="H2453" s="237"/>
    </row>
    <row r="2454" spans="1:8" hidden="1" x14ac:dyDescent="0.3">
      <c r="A2454" s="237"/>
      <c r="B2454" s="237"/>
      <c r="C2454" s="238"/>
      <c r="D2454" s="237"/>
      <c r="E2454" s="237"/>
      <c r="F2454" s="237"/>
      <c r="G2454" s="237"/>
      <c r="H2454" s="237"/>
    </row>
    <row r="2455" spans="1:8" hidden="1" x14ac:dyDescent="0.3">
      <c r="A2455" s="237"/>
      <c r="B2455" s="237"/>
      <c r="C2455" s="238"/>
      <c r="D2455" s="237"/>
      <c r="E2455" s="237"/>
      <c r="F2455" s="237"/>
      <c r="G2455" s="237"/>
      <c r="H2455" s="237"/>
    </row>
    <row r="2456" spans="1:8" hidden="1" x14ac:dyDescent="0.3">
      <c r="A2456" s="237"/>
      <c r="B2456" s="237"/>
      <c r="C2456" s="238"/>
      <c r="D2456" s="237"/>
      <c r="E2456" s="237"/>
      <c r="F2456" s="237"/>
      <c r="G2456" s="237"/>
      <c r="H2456" s="237"/>
    </row>
    <row r="2457" spans="1:8" hidden="1" x14ac:dyDescent="0.3">
      <c r="A2457" s="237"/>
      <c r="B2457" s="237"/>
      <c r="C2457" s="238"/>
      <c r="D2457" s="237"/>
      <c r="E2457" s="237"/>
      <c r="F2457" s="237"/>
      <c r="G2457" s="237"/>
      <c r="H2457" s="237"/>
    </row>
    <row r="2458" spans="1:8" hidden="1" x14ac:dyDescent="0.3">
      <c r="A2458" s="237"/>
      <c r="B2458" s="237"/>
      <c r="C2458" s="238"/>
      <c r="D2458" s="237"/>
      <c r="E2458" s="237"/>
      <c r="F2458" s="237"/>
      <c r="G2458" s="237"/>
      <c r="H2458" s="237"/>
    </row>
    <row r="2459" spans="1:8" hidden="1" x14ac:dyDescent="0.3">
      <c r="A2459" s="237"/>
      <c r="B2459" s="237"/>
      <c r="C2459" s="238"/>
      <c r="D2459" s="237"/>
      <c r="E2459" s="237"/>
      <c r="F2459" s="237"/>
      <c r="G2459" s="237"/>
      <c r="H2459" s="237"/>
    </row>
    <row r="2460" spans="1:8" hidden="1" x14ac:dyDescent="0.3">
      <c r="A2460" s="237"/>
      <c r="B2460" s="237"/>
      <c r="C2460" s="238"/>
      <c r="D2460" s="237"/>
      <c r="E2460" s="237"/>
      <c r="F2460" s="237"/>
      <c r="G2460" s="237"/>
      <c r="H2460" s="237"/>
    </row>
    <row r="2461" spans="1:8" hidden="1" x14ac:dyDescent="0.3">
      <c r="A2461" s="237"/>
      <c r="B2461" s="237"/>
      <c r="C2461" s="238"/>
      <c r="D2461" s="237"/>
      <c r="E2461" s="237"/>
      <c r="F2461" s="237"/>
      <c r="G2461" s="237"/>
      <c r="H2461" s="237"/>
    </row>
    <row r="2462" spans="1:8" hidden="1" x14ac:dyDescent="0.3">
      <c r="A2462" s="237"/>
      <c r="B2462" s="237"/>
      <c r="C2462" s="238"/>
      <c r="D2462" s="237"/>
      <c r="E2462" s="237"/>
      <c r="F2462" s="237"/>
      <c r="G2462" s="237"/>
      <c r="H2462" s="237"/>
    </row>
    <row r="2463" spans="1:8" hidden="1" x14ac:dyDescent="0.3">
      <c r="A2463" s="237"/>
      <c r="B2463" s="237"/>
      <c r="C2463" s="238"/>
      <c r="D2463" s="237"/>
      <c r="E2463" s="237"/>
      <c r="F2463" s="237"/>
      <c r="G2463" s="237"/>
      <c r="H2463" s="237"/>
    </row>
    <row r="2464" spans="1:8" hidden="1" x14ac:dyDescent="0.3">
      <c r="A2464" s="237"/>
      <c r="B2464" s="237"/>
      <c r="C2464" s="238"/>
      <c r="D2464" s="237"/>
      <c r="E2464" s="237"/>
      <c r="F2464" s="237"/>
      <c r="G2464" s="237"/>
      <c r="H2464" s="237"/>
    </row>
    <row r="2465" spans="1:8" hidden="1" x14ac:dyDescent="0.3">
      <c r="A2465" s="237"/>
      <c r="B2465" s="237"/>
      <c r="C2465" s="238"/>
      <c r="D2465" s="237"/>
      <c r="E2465" s="237"/>
      <c r="F2465" s="237"/>
      <c r="G2465" s="237"/>
      <c r="H2465" s="237"/>
    </row>
    <row r="2466" spans="1:8" hidden="1" x14ac:dyDescent="0.3">
      <c r="A2466" s="237"/>
      <c r="B2466" s="237"/>
      <c r="C2466" s="238"/>
      <c r="D2466" s="237"/>
      <c r="E2466" s="237"/>
      <c r="F2466" s="237"/>
      <c r="G2466" s="237"/>
      <c r="H2466" s="237"/>
    </row>
    <row r="2467" spans="1:8" hidden="1" x14ac:dyDescent="0.3">
      <c r="A2467" s="237"/>
      <c r="B2467" s="237"/>
      <c r="C2467" s="238"/>
      <c r="D2467" s="237"/>
      <c r="E2467" s="237"/>
      <c r="F2467" s="237"/>
      <c r="G2467" s="237"/>
      <c r="H2467" s="237"/>
    </row>
    <row r="2468" spans="1:8" hidden="1" x14ac:dyDescent="0.3">
      <c r="A2468" s="237"/>
      <c r="B2468" s="237"/>
      <c r="C2468" s="238"/>
      <c r="D2468" s="237"/>
      <c r="E2468" s="237"/>
      <c r="F2468" s="237"/>
      <c r="G2468" s="237"/>
      <c r="H2468" s="237"/>
    </row>
    <row r="2469" spans="1:8" hidden="1" x14ac:dyDescent="0.3">
      <c r="A2469" s="237"/>
      <c r="B2469" s="237"/>
      <c r="C2469" s="238"/>
      <c r="D2469" s="237"/>
      <c r="E2469" s="237"/>
      <c r="F2469" s="237"/>
      <c r="G2469" s="237"/>
      <c r="H2469" s="237"/>
    </row>
    <row r="2470" spans="1:8" hidden="1" x14ac:dyDescent="0.3">
      <c r="A2470" s="237"/>
      <c r="B2470" s="237"/>
      <c r="C2470" s="238"/>
      <c r="D2470" s="237"/>
      <c r="E2470" s="237"/>
      <c r="F2470" s="237"/>
      <c r="G2470" s="237"/>
      <c r="H2470" s="237"/>
    </row>
    <row r="2471" spans="1:8" hidden="1" x14ac:dyDescent="0.3">
      <c r="A2471" s="237"/>
      <c r="B2471" s="237"/>
      <c r="C2471" s="238"/>
      <c r="D2471" s="237"/>
      <c r="E2471" s="237"/>
      <c r="F2471" s="237"/>
      <c r="G2471" s="237"/>
      <c r="H2471" s="237"/>
    </row>
    <row r="2472" spans="1:8" hidden="1" x14ac:dyDescent="0.3">
      <c r="A2472" s="237"/>
      <c r="B2472" s="237"/>
      <c r="C2472" s="238"/>
      <c r="D2472" s="237"/>
      <c r="E2472" s="237"/>
      <c r="F2472" s="237"/>
      <c r="G2472" s="237"/>
      <c r="H2472" s="237"/>
    </row>
    <row r="2473" spans="1:8" hidden="1" x14ac:dyDescent="0.3">
      <c r="A2473" s="237"/>
      <c r="B2473" s="237"/>
      <c r="C2473" s="238"/>
      <c r="D2473" s="237"/>
      <c r="E2473" s="237"/>
      <c r="F2473" s="237"/>
      <c r="G2473" s="237"/>
      <c r="H2473" s="237"/>
    </row>
    <row r="2474" spans="1:8" hidden="1" x14ac:dyDescent="0.3">
      <c r="A2474" s="237"/>
      <c r="B2474" s="237"/>
      <c r="C2474" s="238"/>
      <c r="D2474" s="237"/>
      <c r="E2474" s="237"/>
      <c r="F2474" s="237"/>
      <c r="G2474" s="237"/>
      <c r="H2474" s="237"/>
    </row>
    <row r="2475" spans="1:8" hidden="1" x14ac:dyDescent="0.3">
      <c r="A2475" s="237"/>
      <c r="B2475" s="237"/>
      <c r="C2475" s="238"/>
      <c r="D2475" s="237"/>
      <c r="E2475" s="237"/>
      <c r="F2475" s="237"/>
      <c r="G2475" s="237"/>
      <c r="H2475" s="237"/>
    </row>
    <row r="2476" spans="1:8" hidden="1" x14ac:dyDescent="0.3">
      <c r="A2476" s="237"/>
      <c r="B2476" s="237"/>
      <c r="C2476" s="238"/>
      <c r="D2476" s="237"/>
      <c r="E2476" s="237"/>
      <c r="F2476" s="237"/>
      <c r="G2476" s="237"/>
      <c r="H2476" s="237"/>
    </row>
    <row r="2477" spans="1:8" hidden="1" x14ac:dyDescent="0.3">
      <c r="A2477" s="237"/>
      <c r="B2477" s="237"/>
      <c r="C2477" s="238"/>
      <c r="D2477" s="237"/>
      <c r="E2477" s="237"/>
      <c r="F2477" s="237"/>
      <c r="G2477" s="237"/>
      <c r="H2477" s="237"/>
    </row>
    <row r="2478" spans="1:8" hidden="1" x14ac:dyDescent="0.3">
      <c r="A2478" s="237"/>
      <c r="B2478" s="237"/>
      <c r="C2478" s="238"/>
      <c r="D2478" s="237"/>
      <c r="E2478" s="237"/>
      <c r="F2478" s="237"/>
      <c r="G2478" s="237"/>
      <c r="H2478" s="237"/>
    </row>
    <row r="2479" spans="1:8" hidden="1" x14ac:dyDescent="0.3">
      <c r="A2479" s="237"/>
      <c r="B2479" s="237"/>
      <c r="C2479" s="238"/>
      <c r="D2479" s="237"/>
      <c r="E2479" s="237"/>
      <c r="F2479" s="237"/>
      <c r="G2479" s="237"/>
      <c r="H2479" s="237"/>
    </row>
    <row r="2480" spans="1:8" hidden="1" x14ac:dyDescent="0.3">
      <c r="A2480" s="237"/>
      <c r="B2480" s="237"/>
      <c r="C2480" s="238"/>
      <c r="D2480" s="237"/>
      <c r="E2480" s="237"/>
      <c r="F2480" s="237"/>
      <c r="G2480" s="237"/>
      <c r="H2480" s="237"/>
    </row>
    <row r="2481" spans="1:8" hidden="1" x14ac:dyDescent="0.3">
      <c r="A2481" s="237"/>
      <c r="B2481" s="237"/>
      <c r="C2481" s="238"/>
      <c r="D2481" s="237"/>
      <c r="E2481" s="237"/>
      <c r="F2481" s="237"/>
      <c r="G2481" s="237"/>
      <c r="H2481" s="237"/>
    </row>
    <row r="2482" spans="1:8" hidden="1" x14ac:dyDescent="0.3">
      <c r="A2482" s="237"/>
      <c r="B2482" s="237"/>
      <c r="C2482" s="238"/>
      <c r="D2482" s="237"/>
      <c r="E2482" s="237"/>
      <c r="F2482" s="237"/>
      <c r="G2482" s="237"/>
      <c r="H2482" s="237"/>
    </row>
    <row r="2483" spans="1:8" hidden="1" x14ac:dyDescent="0.3">
      <c r="A2483" s="237"/>
      <c r="B2483" s="237"/>
      <c r="C2483" s="238"/>
      <c r="D2483" s="237"/>
      <c r="E2483" s="237"/>
      <c r="F2483" s="237"/>
      <c r="G2483" s="237"/>
      <c r="H2483" s="237"/>
    </row>
    <row r="2484" spans="1:8" hidden="1" x14ac:dyDescent="0.3">
      <c r="A2484" s="237"/>
      <c r="B2484" s="237"/>
      <c r="C2484" s="238"/>
      <c r="D2484" s="237"/>
      <c r="E2484" s="237"/>
      <c r="F2484" s="237"/>
      <c r="G2484" s="237"/>
      <c r="H2484" s="237"/>
    </row>
    <row r="2485" spans="1:8" hidden="1" x14ac:dyDescent="0.3">
      <c r="A2485" s="237"/>
      <c r="B2485" s="237"/>
      <c r="C2485" s="238"/>
      <c r="D2485" s="237"/>
      <c r="E2485" s="237"/>
      <c r="F2485" s="237"/>
      <c r="G2485" s="237"/>
      <c r="H2485" s="237"/>
    </row>
    <row r="2486" spans="1:8" hidden="1" x14ac:dyDescent="0.3">
      <c r="A2486" s="237"/>
      <c r="B2486" s="237"/>
      <c r="C2486" s="238"/>
      <c r="D2486" s="237"/>
      <c r="E2486" s="237"/>
      <c r="F2486" s="237"/>
      <c r="G2486" s="237"/>
      <c r="H2486" s="237"/>
    </row>
    <row r="2487" spans="1:8" hidden="1" x14ac:dyDescent="0.3">
      <c r="A2487" s="237"/>
      <c r="B2487" s="237"/>
      <c r="C2487" s="238"/>
      <c r="D2487" s="237"/>
      <c r="E2487" s="237"/>
      <c r="F2487" s="237"/>
      <c r="G2487" s="237"/>
      <c r="H2487" s="237"/>
    </row>
    <row r="2488" spans="1:8" hidden="1" x14ac:dyDescent="0.3">
      <c r="A2488" s="237"/>
      <c r="B2488" s="237"/>
      <c r="C2488" s="238"/>
      <c r="D2488" s="237"/>
      <c r="E2488" s="237"/>
      <c r="F2488" s="237"/>
      <c r="G2488" s="237"/>
      <c r="H2488" s="237"/>
    </row>
    <row r="2489" spans="1:8" hidden="1" x14ac:dyDescent="0.3">
      <c r="A2489" s="237"/>
      <c r="B2489" s="237"/>
      <c r="C2489" s="238"/>
      <c r="D2489" s="237"/>
      <c r="E2489" s="237"/>
      <c r="F2489" s="237"/>
      <c r="G2489" s="237"/>
      <c r="H2489" s="237"/>
    </row>
    <row r="2490" spans="1:8" hidden="1" x14ac:dyDescent="0.3">
      <c r="A2490" s="237"/>
      <c r="B2490" s="237"/>
      <c r="C2490" s="238"/>
      <c r="D2490" s="237"/>
      <c r="E2490" s="237"/>
      <c r="F2490" s="237"/>
      <c r="G2490" s="237"/>
      <c r="H2490" s="237"/>
    </row>
    <row r="2491" spans="1:8" hidden="1" x14ac:dyDescent="0.3">
      <c r="A2491" s="237"/>
      <c r="B2491" s="237"/>
      <c r="C2491" s="238"/>
      <c r="D2491" s="237"/>
      <c r="E2491" s="237"/>
      <c r="F2491" s="237"/>
      <c r="G2491" s="237"/>
      <c r="H2491" s="237"/>
    </row>
    <row r="2492" spans="1:8" hidden="1" x14ac:dyDescent="0.3">
      <c r="A2492" s="237"/>
      <c r="B2492" s="237"/>
      <c r="C2492" s="238"/>
      <c r="D2492" s="237"/>
      <c r="E2492" s="237"/>
      <c r="F2492" s="237"/>
      <c r="G2492" s="237"/>
      <c r="H2492" s="237"/>
    </row>
    <row r="2493" spans="1:8" hidden="1" x14ac:dyDescent="0.3">
      <c r="A2493" s="237"/>
      <c r="B2493" s="237"/>
      <c r="C2493" s="238"/>
      <c r="D2493" s="237"/>
      <c r="E2493" s="237"/>
      <c r="F2493" s="237"/>
      <c r="G2493" s="237"/>
      <c r="H2493" s="237"/>
    </row>
    <row r="2494" spans="1:8" hidden="1" x14ac:dyDescent="0.3">
      <c r="A2494" s="237"/>
      <c r="B2494" s="237"/>
      <c r="C2494" s="238"/>
      <c r="D2494" s="237"/>
      <c r="E2494" s="237"/>
      <c r="F2494" s="237"/>
      <c r="G2494" s="237"/>
      <c r="H2494" s="237"/>
    </row>
    <row r="2495" spans="1:8" hidden="1" x14ac:dyDescent="0.3">
      <c r="A2495" s="237"/>
      <c r="B2495" s="237"/>
      <c r="C2495" s="238"/>
      <c r="D2495" s="237"/>
      <c r="E2495" s="237"/>
      <c r="F2495" s="237"/>
      <c r="G2495" s="237"/>
      <c r="H2495" s="237"/>
    </row>
    <row r="2496" spans="1:8" hidden="1" x14ac:dyDescent="0.3">
      <c r="A2496" s="237"/>
      <c r="B2496" s="237"/>
      <c r="C2496" s="238"/>
      <c r="D2496" s="237"/>
      <c r="E2496" s="237"/>
      <c r="F2496" s="237"/>
      <c r="G2496" s="237"/>
      <c r="H2496" s="237"/>
    </row>
    <row r="2497" spans="1:8" hidden="1" x14ac:dyDescent="0.3">
      <c r="A2497" s="237"/>
      <c r="B2497" s="237"/>
      <c r="C2497" s="238"/>
      <c r="D2497" s="237"/>
      <c r="E2497" s="237"/>
      <c r="F2497" s="237"/>
      <c r="G2497" s="237"/>
      <c r="H2497" s="237"/>
    </row>
    <row r="2498" spans="1:8" hidden="1" x14ac:dyDescent="0.3">
      <c r="A2498" s="237"/>
      <c r="B2498" s="237"/>
      <c r="C2498" s="238"/>
      <c r="D2498" s="237"/>
      <c r="E2498" s="237"/>
      <c r="F2498" s="237"/>
      <c r="G2498" s="237"/>
      <c r="H2498" s="237"/>
    </row>
    <row r="2499" spans="1:8" hidden="1" x14ac:dyDescent="0.3">
      <c r="A2499" s="237"/>
      <c r="B2499" s="237"/>
      <c r="C2499" s="238"/>
      <c r="D2499" s="237"/>
      <c r="E2499" s="237"/>
      <c r="F2499" s="237"/>
      <c r="G2499" s="237"/>
      <c r="H2499" s="237"/>
    </row>
    <row r="2500" spans="1:8" hidden="1" x14ac:dyDescent="0.3">
      <c r="A2500" s="237"/>
      <c r="B2500" s="237"/>
      <c r="C2500" s="238"/>
      <c r="D2500" s="237"/>
      <c r="E2500" s="237"/>
      <c r="F2500" s="237"/>
      <c r="G2500" s="237"/>
      <c r="H2500" s="237"/>
    </row>
    <row r="2501" spans="1:8" hidden="1" x14ac:dyDescent="0.3">
      <c r="A2501" s="237"/>
      <c r="B2501" s="237"/>
      <c r="C2501" s="238"/>
      <c r="D2501" s="237"/>
      <c r="E2501" s="237"/>
      <c r="F2501" s="237"/>
      <c r="G2501" s="237"/>
      <c r="H2501" s="237"/>
    </row>
    <row r="2502" spans="1:8" hidden="1" x14ac:dyDescent="0.3">
      <c r="A2502" s="237"/>
      <c r="B2502" s="237"/>
      <c r="C2502" s="238"/>
      <c r="D2502" s="237"/>
      <c r="E2502" s="237"/>
      <c r="F2502" s="237"/>
      <c r="G2502" s="237"/>
      <c r="H2502" s="237"/>
    </row>
    <row r="2503" spans="1:8" hidden="1" x14ac:dyDescent="0.3">
      <c r="A2503" s="237"/>
      <c r="B2503" s="237"/>
      <c r="C2503" s="238"/>
      <c r="D2503" s="237"/>
      <c r="E2503" s="237"/>
      <c r="F2503" s="237"/>
      <c r="G2503" s="237"/>
      <c r="H2503" s="237"/>
    </row>
    <row r="2504" spans="1:8" hidden="1" x14ac:dyDescent="0.3">
      <c r="A2504" s="237"/>
      <c r="B2504" s="237"/>
      <c r="C2504" s="238"/>
      <c r="D2504" s="237"/>
      <c r="E2504" s="237"/>
      <c r="F2504" s="237"/>
      <c r="G2504" s="237"/>
      <c r="H2504" s="237"/>
    </row>
    <row r="2505" spans="1:8" hidden="1" x14ac:dyDescent="0.3">
      <c r="A2505" s="237"/>
      <c r="B2505" s="237"/>
      <c r="C2505" s="238"/>
      <c r="D2505" s="237"/>
      <c r="E2505" s="237"/>
      <c r="F2505" s="237"/>
      <c r="G2505" s="237"/>
      <c r="H2505" s="237"/>
    </row>
    <row r="2506" spans="1:8" hidden="1" x14ac:dyDescent="0.3">
      <c r="A2506" s="237"/>
      <c r="B2506" s="237"/>
      <c r="C2506" s="238"/>
      <c r="D2506" s="237"/>
      <c r="E2506" s="237"/>
      <c r="F2506" s="237"/>
      <c r="G2506" s="237"/>
      <c r="H2506" s="237"/>
    </row>
    <row r="2507" spans="1:8" hidden="1" x14ac:dyDescent="0.3">
      <c r="A2507" s="237"/>
      <c r="B2507" s="237"/>
      <c r="C2507" s="238"/>
      <c r="D2507" s="237"/>
      <c r="E2507" s="237"/>
      <c r="F2507" s="237"/>
      <c r="G2507" s="237"/>
      <c r="H2507" s="237"/>
    </row>
    <row r="2508" spans="1:8" hidden="1" x14ac:dyDescent="0.3">
      <c r="A2508" s="237"/>
      <c r="B2508" s="237"/>
      <c r="C2508" s="238"/>
      <c r="D2508" s="237"/>
      <c r="E2508" s="237"/>
      <c r="F2508" s="237"/>
      <c r="G2508" s="237"/>
      <c r="H2508" s="237"/>
    </row>
    <row r="2509" spans="1:8" hidden="1" x14ac:dyDescent="0.3">
      <c r="A2509" s="237"/>
      <c r="B2509" s="237"/>
      <c r="C2509" s="238"/>
      <c r="D2509" s="237"/>
      <c r="E2509" s="237"/>
      <c r="F2509" s="237"/>
      <c r="G2509" s="237"/>
      <c r="H2509" s="237"/>
    </row>
    <row r="2510" spans="1:8" hidden="1" x14ac:dyDescent="0.3">
      <c r="A2510" s="237"/>
      <c r="B2510" s="237"/>
      <c r="C2510" s="238"/>
      <c r="D2510" s="237"/>
      <c r="E2510" s="237"/>
      <c r="F2510" s="237"/>
      <c r="G2510" s="237"/>
      <c r="H2510" s="237"/>
    </row>
    <row r="2511" spans="1:8" hidden="1" x14ac:dyDescent="0.3">
      <c r="A2511" s="237"/>
      <c r="B2511" s="237"/>
      <c r="C2511" s="238"/>
      <c r="D2511" s="237"/>
      <c r="E2511" s="237"/>
      <c r="F2511" s="237"/>
      <c r="G2511" s="237"/>
      <c r="H2511" s="237"/>
    </row>
    <row r="2512" spans="1:8" hidden="1" x14ac:dyDescent="0.3">
      <c r="A2512" s="237"/>
      <c r="B2512" s="237"/>
      <c r="C2512" s="238"/>
      <c r="D2512" s="237"/>
      <c r="E2512" s="237"/>
      <c r="F2512" s="237"/>
      <c r="G2512" s="237"/>
      <c r="H2512" s="237"/>
    </row>
    <row r="2513" spans="1:8" hidden="1" x14ac:dyDescent="0.3">
      <c r="A2513" s="237"/>
      <c r="B2513" s="237"/>
      <c r="C2513" s="238"/>
      <c r="D2513" s="237"/>
      <c r="E2513" s="237"/>
      <c r="F2513" s="237"/>
      <c r="G2513" s="237"/>
      <c r="H2513" s="237"/>
    </row>
    <row r="2514" spans="1:8" hidden="1" x14ac:dyDescent="0.3">
      <c r="A2514" s="237"/>
      <c r="B2514" s="237"/>
      <c r="C2514" s="238"/>
      <c r="D2514" s="237"/>
      <c r="E2514" s="237"/>
      <c r="F2514" s="237"/>
      <c r="G2514" s="237"/>
      <c r="H2514" s="237"/>
    </row>
    <row r="2515" spans="1:8" hidden="1" x14ac:dyDescent="0.3">
      <c r="A2515" s="237"/>
      <c r="B2515" s="237"/>
      <c r="C2515" s="238"/>
      <c r="D2515" s="237"/>
      <c r="E2515" s="237"/>
      <c r="F2515" s="237"/>
      <c r="G2515" s="237"/>
      <c r="H2515" s="237"/>
    </row>
    <row r="2516" spans="1:8" hidden="1" x14ac:dyDescent="0.3">
      <c r="A2516" s="237"/>
      <c r="B2516" s="237"/>
      <c r="C2516" s="238"/>
      <c r="D2516" s="237"/>
      <c r="E2516" s="237"/>
      <c r="F2516" s="237"/>
      <c r="G2516" s="237"/>
      <c r="H2516" s="237"/>
    </row>
    <row r="2517" spans="1:8" hidden="1" x14ac:dyDescent="0.3">
      <c r="A2517" s="237"/>
      <c r="B2517" s="237"/>
      <c r="C2517" s="238"/>
      <c r="D2517" s="237"/>
      <c r="E2517" s="237"/>
      <c r="F2517" s="237"/>
      <c r="G2517" s="237"/>
      <c r="H2517" s="237"/>
    </row>
    <row r="2518" spans="1:8" hidden="1" x14ac:dyDescent="0.3">
      <c r="A2518" s="237"/>
      <c r="B2518" s="237"/>
      <c r="C2518" s="238"/>
      <c r="D2518" s="237"/>
      <c r="E2518" s="237"/>
      <c r="F2518" s="237"/>
      <c r="G2518" s="237"/>
      <c r="H2518" s="237"/>
    </row>
    <row r="2519" spans="1:8" hidden="1" x14ac:dyDescent="0.3">
      <c r="A2519" s="237"/>
      <c r="B2519" s="237"/>
      <c r="C2519" s="238"/>
      <c r="D2519" s="237"/>
      <c r="E2519" s="237"/>
      <c r="F2519" s="237"/>
      <c r="G2519" s="237"/>
      <c r="H2519" s="237"/>
    </row>
    <row r="2520" spans="1:8" hidden="1" x14ac:dyDescent="0.3">
      <c r="A2520" s="237"/>
      <c r="B2520" s="237"/>
      <c r="C2520" s="238"/>
      <c r="D2520" s="237"/>
      <c r="E2520" s="237"/>
      <c r="F2520" s="237"/>
      <c r="G2520" s="237"/>
      <c r="H2520" s="237"/>
    </row>
    <row r="2521" spans="1:8" hidden="1" x14ac:dyDescent="0.3">
      <c r="A2521" s="237"/>
      <c r="B2521" s="237"/>
      <c r="C2521" s="238"/>
      <c r="D2521" s="237"/>
      <c r="E2521" s="237"/>
      <c r="F2521" s="237"/>
      <c r="G2521" s="237"/>
      <c r="H2521" s="237"/>
    </row>
    <row r="2522" spans="1:8" hidden="1" x14ac:dyDescent="0.3">
      <c r="A2522" s="237"/>
      <c r="B2522" s="237"/>
      <c r="C2522" s="238"/>
      <c r="D2522" s="237"/>
      <c r="E2522" s="237"/>
      <c r="F2522" s="237"/>
      <c r="G2522" s="237"/>
      <c r="H2522" s="237"/>
    </row>
    <row r="2523" spans="1:8" hidden="1" x14ac:dyDescent="0.3">
      <c r="A2523" s="237"/>
      <c r="B2523" s="237"/>
      <c r="C2523" s="238"/>
      <c r="D2523" s="237"/>
      <c r="E2523" s="237"/>
      <c r="F2523" s="237"/>
      <c r="G2523" s="237"/>
      <c r="H2523" s="237"/>
    </row>
    <row r="2524" spans="1:8" hidden="1" x14ac:dyDescent="0.3">
      <c r="A2524" s="237"/>
      <c r="B2524" s="237"/>
      <c r="C2524" s="238"/>
      <c r="D2524" s="237"/>
      <c r="E2524" s="237"/>
      <c r="F2524" s="237"/>
      <c r="G2524" s="237"/>
      <c r="H2524" s="237"/>
    </row>
    <row r="2525" spans="1:8" hidden="1" x14ac:dyDescent="0.3">
      <c r="A2525" s="237"/>
      <c r="B2525" s="237"/>
      <c r="C2525" s="238"/>
      <c r="D2525" s="237"/>
      <c r="E2525" s="237"/>
      <c r="F2525" s="237"/>
      <c r="G2525" s="237"/>
      <c r="H2525" s="237"/>
    </row>
    <row r="2526" spans="1:8" hidden="1" x14ac:dyDescent="0.3">
      <c r="A2526" s="237"/>
      <c r="B2526" s="237"/>
      <c r="C2526" s="238"/>
      <c r="D2526" s="237"/>
      <c r="E2526" s="237"/>
      <c r="F2526" s="237"/>
      <c r="G2526" s="237"/>
      <c r="H2526" s="237"/>
    </row>
    <row r="2527" spans="1:8" hidden="1" x14ac:dyDescent="0.3">
      <c r="A2527" s="237"/>
      <c r="B2527" s="237"/>
      <c r="C2527" s="238"/>
      <c r="D2527" s="237"/>
      <c r="E2527" s="237"/>
      <c r="F2527" s="237"/>
      <c r="G2527" s="237"/>
      <c r="H2527" s="237"/>
    </row>
    <row r="2528" spans="1:8" hidden="1" x14ac:dyDescent="0.3">
      <c r="A2528" s="237"/>
      <c r="B2528" s="237"/>
      <c r="C2528" s="238"/>
      <c r="D2528" s="237"/>
      <c r="E2528" s="237"/>
      <c r="F2528" s="237"/>
      <c r="G2528" s="237"/>
      <c r="H2528" s="237"/>
    </row>
    <row r="2529" spans="1:8" hidden="1" x14ac:dyDescent="0.3">
      <c r="A2529" s="237"/>
      <c r="B2529" s="237"/>
      <c r="C2529" s="238"/>
      <c r="D2529" s="237"/>
      <c r="E2529" s="237"/>
      <c r="F2529" s="237"/>
      <c r="G2529" s="237"/>
      <c r="H2529" s="237"/>
    </row>
    <row r="2530" spans="1:8" hidden="1" x14ac:dyDescent="0.3">
      <c r="A2530" s="237"/>
      <c r="B2530" s="237"/>
      <c r="C2530" s="238"/>
      <c r="D2530" s="237"/>
      <c r="E2530" s="237"/>
      <c r="F2530" s="237"/>
      <c r="G2530" s="237"/>
      <c r="H2530" s="237"/>
    </row>
    <row r="2531" spans="1:8" hidden="1" x14ac:dyDescent="0.3">
      <c r="A2531" s="237"/>
      <c r="B2531" s="237"/>
      <c r="C2531" s="238"/>
      <c r="D2531" s="237"/>
      <c r="E2531" s="237"/>
      <c r="F2531" s="237"/>
      <c r="G2531" s="237"/>
      <c r="H2531" s="237"/>
    </row>
    <row r="2532" spans="1:8" hidden="1" x14ac:dyDescent="0.3">
      <c r="A2532" s="237"/>
      <c r="B2532" s="237"/>
      <c r="C2532" s="238"/>
      <c r="D2532" s="237"/>
      <c r="E2532" s="237"/>
      <c r="F2532" s="237"/>
      <c r="G2532" s="237"/>
      <c r="H2532" s="237"/>
    </row>
    <row r="2533" spans="1:8" hidden="1" x14ac:dyDescent="0.3">
      <c r="A2533" s="237"/>
      <c r="B2533" s="237"/>
      <c r="C2533" s="238"/>
      <c r="D2533" s="237"/>
      <c r="E2533" s="237"/>
      <c r="F2533" s="237"/>
      <c r="G2533" s="237"/>
      <c r="H2533" s="237"/>
    </row>
    <row r="2534" spans="1:8" hidden="1" x14ac:dyDescent="0.3">
      <c r="A2534" s="237"/>
      <c r="B2534" s="237"/>
      <c r="C2534" s="238"/>
      <c r="D2534" s="237"/>
      <c r="E2534" s="237"/>
      <c r="F2534" s="237"/>
      <c r="G2534" s="237"/>
      <c r="H2534" s="237"/>
    </row>
    <row r="2535" spans="1:8" hidden="1" x14ac:dyDescent="0.3">
      <c r="A2535" s="237"/>
      <c r="B2535" s="237"/>
      <c r="C2535" s="238"/>
      <c r="D2535" s="237"/>
      <c r="E2535" s="237"/>
      <c r="F2535" s="237"/>
      <c r="G2535" s="237"/>
      <c r="H2535" s="237"/>
    </row>
    <row r="2536" spans="1:8" hidden="1" x14ac:dyDescent="0.3">
      <c r="A2536" s="237"/>
      <c r="B2536" s="237"/>
      <c r="C2536" s="238"/>
      <c r="D2536" s="237"/>
      <c r="E2536" s="237"/>
      <c r="F2536" s="237"/>
      <c r="G2536" s="237"/>
      <c r="H2536" s="237"/>
    </row>
    <row r="2537" spans="1:8" hidden="1" x14ac:dyDescent="0.3">
      <c r="A2537" s="237"/>
      <c r="B2537" s="237"/>
      <c r="C2537" s="238"/>
      <c r="D2537" s="237"/>
      <c r="E2537" s="237"/>
      <c r="F2537" s="237"/>
      <c r="G2537" s="237"/>
      <c r="H2537" s="237"/>
    </row>
    <row r="2538" spans="1:8" hidden="1" x14ac:dyDescent="0.3">
      <c r="A2538" s="237"/>
      <c r="B2538" s="237"/>
      <c r="C2538" s="238"/>
      <c r="D2538" s="237"/>
      <c r="E2538" s="237"/>
      <c r="F2538" s="237"/>
      <c r="G2538" s="237"/>
      <c r="H2538" s="237"/>
    </row>
    <row r="2539" spans="1:8" hidden="1" x14ac:dyDescent="0.3">
      <c r="A2539" s="237"/>
      <c r="B2539" s="237"/>
      <c r="C2539" s="238"/>
      <c r="D2539" s="237"/>
      <c r="E2539" s="237"/>
      <c r="F2539" s="237"/>
      <c r="G2539" s="237"/>
      <c r="H2539" s="237"/>
    </row>
    <row r="2540" spans="1:8" hidden="1" x14ac:dyDescent="0.3">
      <c r="A2540" s="237"/>
      <c r="B2540" s="237"/>
      <c r="C2540" s="238"/>
      <c r="D2540" s="237"/>
      <c r="E2540" s="237"/>
      <c r="F2540" s="237"/>
      <c r="G2540" s="237"/>
      <c r="H2540" s="237"/>
    </row>
    <row r="2541" spans="1:8" hidden="1" x14ac:dyDescent="0.3">
      <c r="A2541" s="237"/>
      <c r="B2541" s="237"/>
      <c r="C2541" s="238"/>
      <c r="D2541" s="237"/>
      <c r="E2541" s="237"/>
      <c r="F2541" s="237"/>
      <c r="G2541" s="237"/>
      <c r="H2541" s="237"/>
    </row>
    <row r="2542" spans="1:8" hidden="1" x14ac:dyDescent="0.3">
      <c r="A2542" s="237"/>
      <c r="B2542" s="237"/>
      <c r="C2542" s="238"/>
      <c r="D2542" s="237"/>
      <c r="E2542" s="237"/>
      <c r="F2542" s="237"/>
      <c r="G2542" s="237"/>
      <c r="H2542" s="237"/>
    </row>
    <row r="2543" spans="1:8" hidden="1" x14ac:dyDescent="0.3">
      <c r="A2543" s="237"/>
      <c r="B2543" s="237"/>
      <c r="C2543" s="238"/>
      <c r="D2543" s="237"/>
      <c r="E2543" s="237"/>
      <c r="F2543" s="237"/>
      <c r="G2543" s="237"/>
      <c r="H2543" s="237"/>
    </row>
    <row r="2544" spans="1:8" hidden="1" x14ac:dyDescent="0.3">
      <c r="A2544" s="237"/>
      <c r="B2544" s="237"/>
      <c r="C2544" s="238"/>
      <c r="D2544" s="237"/>
      <c r="E2544" s="237"/>
      <c r="F2544" s="237"/>
      <c r="G2544" s="237"/>
      <c r="H2544" s="237"/>
    </row>
    <row r="2545" spans="1:8" hidden="1" x14ac:dyDescent="0.3">
      <c r="A2545" s="237"/>
      <c r="B2545" s="237"/>
      <c r="C2545" s="238"/>
      <c r="D2545" s="237"/>
      <c r="E2545" s="237"/>
      <c r="F2545" s="237"/>
      <c r="G2545" s="237"/>
      <c r="H2545" s="237"/>
    </row>
    <row r="2546" spans="1:8" hidden="1" x14ac:dyDescent="0.3">
      <c r="A2546" s="237"/>
      <c r="B2546" s="237"/>
      <c r="C2546" s="238"/>
      <c r="D2546" s="237"/>
      <c r="E2546" s="237"/>
      <c r="F2546" s="237"/>
      <c r="G2546" s="237"/>
      <c r="H2546" s="237"/>
    </row>
    <row r="2547" spans="1:8" hidden="1" x14ac:dyDescent="0.3">
      <c r="A2547" s="237"/>
      <c r="B2547" s="237"/>
      <c r="C2547" s="238"/>
      <c r="D2547" s="237"/>
      <c r="E2547" s="237"/>
      <c r="F2547" s="237"/>
      <c r="G2547" s="237"/>
      <c r="H2547" s="237"/>
    </row>
    <row r="2548" spans="1:8" hidden="1" x14ac:dyDescent="0.3">
      <c r="A2548" s="237"/>
      <c r="B2548" s="237"/>
      <c r="C2548" s="238"/>
      <c r="D2548" s="237"/>
      <c r="E2548" s="237"/>
      <c r="F2548" s="237"/>
      <c r="G2548" s="237"/>
      <c r="H2548" s="237"/>
    </row>
    <row r="2549" spans="1:8" hidden="1" x14ac:dyDescent="0.3">
      <c r="A2549" s="237"/>
      <c r="B2549" s="237"/>
      <c r="C2549" s="238"/>
      <c r="D2549" s="237"/>
      <c r="E2549" s="237"/>
      <c r="F2549" s="237"/>
      <c r="G2549" s="237"/>
      <c r="H2549" s="237"/>
    </row>
    <row r="2550" spans="1:8" hidden="1" x14ac:dyDescent="0.3">
      <c r="A2550" s="237"/>
      <c r="B2550" s="237"/>
      <c r="C2550" s="238"/>
      <c r="D2550" s="237"/>
      <c r="E2550" s="237"/>
      <c r="F2550" s="237"/>
      <c r="G2550" s="237"/>
      <c r="H2550" s="237"/>
    </row>
    <row r="2551" spans="1:8" hidden="1" x14ac:dyDescent="0.3">
      <c r="A2551" s="237"/>
      <c r="B2551" s="237"/>
      <c r="C2551" s="238"/>
      <c r="D2551" s="237"/>
      <c r="E2551" s="237"/>
      <c r="F2551" s="237"/>
      <c r="G2551" s="237"/>
      <c r="H2551" s="237"/>
    </row>
    <row r="2552" spans="1:8" hidden="1" x14ac:dyDescent="0.3">
      <c r="A2552" s="237"/>
      <c r="B2552" s="237"/>
      <c r="C2552" s="238"/>
      <c r="D2552" s="237"/>
      <c r="E2552" s="237"/>
      <c r="F2552" s="237"/>
      <c r="G2552" s="237"/>
      <c r="H2552" s="237"/>
    </row>
    <row r="2553" spans="1:8" hidden="1" x14ac:dyDescent="0.3">
      <c r="A2553" s="237"/>
      <c r="B2553" s="237"/>
      <c r="C2553" s="238"/>
      <c r="D2553" s="237"/>
      <c r="E2553" s="237"/>
      <c r="F2553" s="237"/>
      <c r="G2553" s="237"/>
      <c r="H2553" s="237"/>
    </row>
    <row r="2554" spans="1:8" hidden="1" x14ac:dyDescent="0.3">
      <c r="A2554" s="237"/>
      <c r="B2554" s="237"/>
      <c r="C2554" s="238"/>
      <c r="D2554" s="237"/>
      <c r="E2554" s="237"/>
      <c r="F2554" s="237"/>
      <c r="G2554" s="237"/>
      <c r="H2554" s="237"/>
    </row>
    <row r="2555" spans="1:8" hidden="1" x14ac:dyDescent="0.3">
      <c r="A2555" s="237"/>
      <c r="B2555" s="237"/>
      <c r="C2555" s="238"/>
      <c r="D2555" s="237"/>
      <c r="E2555" s="237"/>
      <c r="F2555" s="237"/>
      <c r="G2555" s="237"/>
      <c r="H2555" s="237"/>
    </row>
    <row r="2556" spans="1:8" hidden="1" x14ac:dyDescent="0.3">
      <c r="A2556" s="237"/>
      <c r="B2556" s="237"/>
      <c r="C2556" s="238"/>
      <c r="D2556" s="237"/>
      <c r="E2556" s="237"/>
      <c r="F2556" s="237"/>
      <c r="G2556" s="237"/>
      <c r="H2556" s="237"/>
    </row>
    <row r="2557" spans="1:8" hidden="1" x14ac:dyDescent="0.3">
      <c r="A2557" s="237"/>
      <c r="B2557" s="237"/>
      <c r="C2557" s="238"/>
      <c r="D2557" s="237"/>
      <c r="E2557" s="237"/>
      <c r="F2557" s="237"/>
      <c r="G2557" s="237"/>
      <c r="H2557" s="237"/>
    </row>
    <row r="2558" spans="1:8" hidden="1" x14ac:dyDescent="0.3">
      <c r="A2558" s="237"/>
      <c r="B2558" s="237"/>
      <c r="C2558" s="238"/>
      <c r="D2558" s="237"/>
      <c r="E2558" s="237"/>
      <c r="F2558" s="237"/>
      <c r="G2558" s="237"/>
      <c r="H2558" s="237"/>
    </row>
    <row r="2559" spans="1:8" hidden="1" x14ac:dyDescent="0.3">
      <c r="A2559" s="237"/>
      <c r="B2559" s="237"/>
      <c r="C2559" s="238"/>
      <c r="D2559" s="237"/>
      <c r="E2559" s="237"/>
      <c r="F2559" s="237"/>
      <c r="G2559" s="237"/>
      <c r="H2559" s="237"/>
    </row>
    <row r="2560" spans="1:8" hidden="1" x14ac:dyDescent="0.3">
      <c r="A2560" s="237"/>
      <c r="B2560" s="237"/>
      <c r="C2560" s="238"/>
      <c r="D2560" s="237"/>
      <c r="E2560" s="237"/>
      <c r="F2560" s="237"/>
      <c r="G2560" s="237"/>
      <c r="H2560" s="237"/>
    </row>
    <row r="2561" spans="1:8" hidden="1" x14ac:dyDescent="0.3">
      <c r="A2561" s="237"/>
      <c r="B2561" s="237"/>
      <c r="C2561" s="238"/>
      <c r="D2561" s="237"/>
      <c r="E2561" s="237"/>
      <c r="F2561" s="237"/>
      <c r="G2561" s="237"/>
      <c r="H2561" s="237"/>
    </row>
    <row r="2562" spans="1:8" hidden="1" x14ac:dyDescent="0.3">
      <c r="A2562" s="237"/>
      <c r="B2562" s="237"/>
      <c r="C2562" s="238"/>
      <c r="D2562" s="237"/>
      <c r="E2562" s="237"/>
      <c r="F2562" s="237"/>
      <c r="G2562" s="237"/>
      <c r="H2562" s="237"/>
    </row>
    <row r="2563" spans="1:8" hidden="1" x14ac:dyDescent="0.3">
      <c r="A2563" s="237"/>
      <c r="B2563" s="237"/>
      <c r="C2563" s="238"/>
      <c r="D2563" s="237"/>
      <c r="E2563" s="237"/>
      <c r="F2563" s="237"/>
      <c r="G2563" s="237"/>
      <c r="H2563" s="237"/>
    </row>
    <row r="2564" spans="1:8" hidden="1" x14ac:dyDescent="0.3">
      <c r="A2564" s="237"/>
      <c r="B2564" s="237"/>
      <c r="C2564" s="238"/>
      <c r="D2564" s="237"/>
      <c r="E2564" s="237"/>
      <c r="F2564" s="237"/>
      <c r="G2564" s="237"/>
      <c r="H2564" s="237"/>
    </row>
    <row r="2565" spans="1:8" hidden="1" x14ac:dyDescent="0.3">
      <c r="A2565" s="237"/>
      <c r="B2565" s="237"/>
      <c r="C2565" s="238"/>
      <c r="D2565" s="237"/>
      <c r="E2565" s="237"/>
      <c r="F2565" s="237"/>
      <c r="G2565" s="237"/>
      <c r="H2565" s="237"/>
    </row>
    <row r="2566" spans="1:8" hidden="1" x14ac:dyDescent="0.3">
      <c r="A2566" s="237"/>
      <c r="B2566" s="237"/>
      <c r="C2566" s="238"/>
      <c r="D2566" s="237"/>
      <c r="E2566" s="237"/>
      <c r="F2566" s="237"/>
      <c r="G2566" s="237"/>
      <c r="H2566" s="237"/>
    </row>
    <row r="2567" spans="1:8" hidden="1" x14ac:dyDescent="0.3">
      <c r="A2567" s="237"/>
      <c r="B2567" s="237"/>
      <c r="C2567" s="238"/>
      <c r="D2567" s="237"/>
      <c r="E2567" s="237"/>
      <c r="F2567" s="237"/>
      <c r="G2567" s="237"/>
      <c r="H2567" s="237"/>
    </row>
    <row r="2568" spans="1:8" hidden="1" x14ac:dyDescent="0.3">
      <c r="A2568" s="237"/>
      <c r="B2568" s="237"/>
      <c r="C2568" s="238"/>
      <c r="D2568" s="237"/>
      <c r="E2568" s="237"/>
      <c r="F2568" s="237"/>
      <c r="G2568" s="237"/>
      <c r="H2568" s="237"/>
    </row>
    <row r="2569" spans="1:8" hidden="1" x14ac:dyDescent="0.3">
      <c r="A2569" s="237"/>
      <c r="B2569" s="237"/>
      <c r="C2569" s="238"/>
      <c r="D2569" s="237"/>
      <c r="E2569" s="237"/>
      <c r="F2569" s="237"/>
      <c r="G2569" s="237"/>
      <c r="H2569" s="237"/>
    </row>
    <row r="2570" spans="1:8" hidden="1" x14ac:dyDescent="0.3">
      <c r="A2570" s="237"/>
      <c r="B2570" s="237"/>
      <c r="C2570" s="238"/>
      <c r="D2570" s="237"/>
      <c r="E2570" s="237"/>
      <c r="F2570" s="237"/>
      <c r="G2570" s="237"/>
      <c r="H2570" s="237"/>
    </row>
    <row r="2571" spans="1:8" hidden="1" x14ac:dyDescent="0.3">
      <c r="A2571" s="237"/>
      <c r="B2571" s="237"/>
      <c r="C2571" s="238"/>
      <c r="D2571" s="237"/>
      <c r="E2571" s="237"/>
      <c r="F2571" s="237"/>
      <c r="G2571" s="237"/>
      <c r="H2571" s="237"/>
    </row>
    <row r="2572" spans="1:8" hidden="1" x14ac:dyDescent="0.3">
      <c r="A2572" s="237"/>
      <c r="B2572" s="237"/>
      <c r="C2572" s="238"/>
      <c r="D2572" s="237"/>
      <c r="E2572" s="237"/>
      <c r="F2572" s="237"/>
      <c r="G2572" s="237"/>
      <c r="H2572" s="237"/>
    </row>
    <row r="2573" spans="1:8" hidden="1" x14ac:dyDescent="0.3">
      <c r="A2573" s="237"/>
      <c r="B2573" s="237"/>
      <c r="C2573" s="238"/>
      <c r="D2573" s="237"/>
      <c r="E2573" s="237"/>
      <c r="F2573" s="237"/>
      <c r="G2573" s="237"/>
      <c r="H2573" s="237"/>
    </row>
    <row r="2574" spans="1:8" hidden="1" x14ac:dyDescent="0.3">
      <c r="A2574" s="237"/>
      <c r="B2574" s="237"/>
      <c r="C2574" s="238"/>
      <c r="D2574" s="237"/>
      <c r="E2574" s="237"/>
      <c r="F2574" s="237"/>
      <c r="G2574" s="237"/>
      <c r="H2574" s="237"/>
    </row>
    <row r="2575" spans="1:8" hidden="1" x14ac:dyDescent="0.3">
      <c r="A2575" s="237"/>
      <c r="B2575" s="237"/>
      <c r="C2575" s="238"/>
      <c r="D2575" s="237"/>
      <c r="E2575" s="237"/>
      <c r="F2575" s="237"/>
      <c r="G2575" s="237"/>
      <c r="H2575" s="237"/>
    </row>
    <row r="2576" spans="1:8" hidden="1" x14ac:dyDescent="0.3">
      <c r="A2576" s="237"/>
      <c r="B2576" s="237"/>
      <c r="C2576" s="238"/>
      <c r="D2576" s="237"/>
      <c r="E2576" s="237"/>
      <c r="F2576" s="237"/>
      <c r="G2576" s="237"/>
      <c r="H2576" s="237"/>
    </row>
    <row r="2577" spans="1:8" hidden="1" x14ac:dyDescent="0.3">
      <c r="A2577" s="237"/>
      <c r="B2577" s="237"/>
      <c r="C2577" s="238"/>
      <c r="D2577" s="237"/>
      <c r="E2577" s="237"/>
      <c r="F2577" s="237"/>
      <c r="G2577" s="237"/>
      <c r="H2577" s="237"/>
    </row>
    <row r="2578" spans="1:8" hidden="1" x14ac:dyDescent="0.3">
      <c r="A2578" s="237"/>
      <c r="B2578" s="237"/>
      <c r="C2578" s="238"/>
      <c r="D2578" s="237"/>
      <c r="E2578" s="237"/>
      <c r="F2578" s="237"/>
      <c r="G2578" s="237"/>
      <c r="H2578" s="237"/>
    </row>
    <row r="2579" spans="1:8" hidden="1" x14ac:dyDescent="0.3">
      <c r="A2579" s="237"/>
      <c r="B2579" s="237"/>
      <c r="C2579" s="238"/>
      <c r="D2579" s="237"/>
      <c r="E2579" s="237"/>
      <c r="F2579" s="237"/>
      <c r="G2579" s="237"/>
      <c r="H2579" s="237"/>
    </row>
    <row r="2580" spans="1:8" hidden="1" x14ac:dyDescent="0.3">
      <c r="A2580" s="237"/>
      <c r="B2580" s="237"/>
      <c r="C2580" s="238"/>
      <c r="D2580" s="237"/>
      <c r="E2580" s="237"/>
      <c r="F2580" s="237"/>
      <c r="G2580" s="237"/>
      <c r="H2580" s="237"/>
    </row>
    <row r="2581" spans="1:8" hidden="1" x14ac:dyDescent="0.3">
      <c r="A2581" s="237"/>
      <c r="B2581" s="237"/>
      <c r="C2581" s="238"/>
      <c r="D2581" s="237"/>
      <c r="E2581" s="237"/>
      <c r="F2581" s="237"/>
      <c r="G2581" s="237"/>
      <c r="H2581" s="237"/>
    </row>
    <row r="2582" spans="1:8" hidden="1" x14ac:dyDescent="0.3">
      <c r="A2582" s="237"/>
      <c r="B2582" s="237"/>
      <c r="C2582" s="238"/>
      <c r="D2582" s="237"/>
      <c r="E2582" s="237"/>
      <c r="F2582" s="237"/>
      <c r="G2582" s="237"/>
      <c r="H2582" s="237"/>
    </row>
    <row r="2583" spans="1:8" hidden="1" x14ac:dyDescent="0.3">
      <c r="A2583" s="237"/>
      <c r="B2583" s="237"/>
      <c r="C2583" s="238"/>
      <c r="D2583" s="237"/>
      <c r="E2583" s="237"/>
      <c r="F2583" s="237"/>
      <c r="G2583" s="237"/>
      <c r="H2583" s="237"/>
    </row>
    <row r="2584" spans="1:8" hidden="1" x14ac:dyDescent="0.3">
      <c r="A2584" s="237"/>
      <c r="B2584" s="237"/>
      <c r="C2584" s="238"/>
      <c r="D2584" s="237"/>
      <c r="E2584" s="237"/>
      <c r="F2584" s="237"/>
      <c r="G2584" s="237"/>
      <c r="H2584" s="237"/>
    </row>
    <row r="2585" spans="1:8" hidden="1" x14ac:dyDescent="0.3">
      <c r="A2585" s="237"/>
      <c r="B2585" s="237"/>
      <c r="C2585" s="238"/>
      <c r="D2585" s="237"/>
      <c r="E2585" s="237"/>
      <c r="F2585" s="237"/>
      <c r="G2585" s="237"/>
      <c r="H2585" s="237"/>
    </row>
    <row r="2586" spans="1:8" hidden="1" x14ac:dyDescent="0.3">
      <c r="A2586" s="237"/>
      <c r="B2586" s="237"/>
      <c r="C2586" s="238"/>
      <c r="D2586" s="237"/>
      <c r="E2586" s="237"/>
      <c r="F2586" s="237"/>
      <c r="G2586" s="237"/>
      <c r="H2586" s="237"/>
    </row>
    <row r="2587" spans="1:8" hidden="1" x14ac:dyDescent="0.3">
      <c r="A2587" s="237"/>
      <c r="B2587" s="237"/>
      <c r="C2587" s="238"/>
      <c r="D2587" s="237"/>
      <c r="E2587" s="237"/>
      <c r="F2587" s="237"/>
      <c r="G2587" s="237"/>
      <c r="H2587" s="237"/>
    </row>
    <row r="2588" spans="1:8" hidden="1" x14ac:dyDescent="0.3">
      <c r="A2588" s="237"/>
      <c r="B2588" s="237"/>
      <c r="C2588" s="238"/>
      <c r="D2588" s="237"/>
      <c r="E2588" s="237"/>
      <c r="F2588" s="237"/>
      <c r="G2588" s="237"/>
      <c r="H2588" s="237"/>
    </row>
    <row r="2589" spans="1:8" hidden="1" x14ac:dyDescent="0.3">
      <c r="A2589" s="237"/>
      <c r="B2589" s="237"/>
      <c r="C2589" s="238"/>
      <c r="D2589" s="237"/>
      <c r="E2589" s="237"/>
      <c r="F2589" s="237"/>
      <c r="G2589" s="237"/>
      <c r="H2589" s="237"/>
    </row>
    <row r="2590" spans="1:8" hidden="1" x14ac:dyDescent="0.3">
      <c r="A2590" s="237"/>
      <c r="B2590" s="237"/>
      <c r="C2590" s="238"/>
      <c r="D2590" s="237"/>
      <c r="E2590" s="237"/>
      <c r="F2590" s="237"/>
      <c r="G2590" s="237"/>
      <c r="H2590" s="237"/>
    </row>
    <row r="2591" spans="1:8" hidden="1" x14ac:dyDescent="0.3">
      <c r="A2591" s="237"/>
      <c r="B2591" s="237"/>
      <c r="C2591" s="238"/>
      <c r="D2591" s="237"/>
      <c r="E2591" s="237"/>
      <c r="F2591" s="237"/>
      <c r="G2591" s="237"/>
      <c r="H2591" s="237"/>
    </row>
    <row r="2592" spans="1:8" hidden="1" x14ac:dyDescent="0.3">
      <c r="A2592" s="237"/>
      <c r="B2592" s="237"/>
      <c r="C2592" s="238"/>
      <c r="D2592" s="237"/>
      <c r="E2592" s="237"/>
      <c r="F2592" s="237"/>
      <c r="G2592" s="237"/>
      <c r="H2592" s="237"/>
    </row>
    <row r="2593" spans="1:8" hidden="1" x14ac:dyDescent="0.3">
      <c r="A2593" s="237"/>
      <c r="B2593" s="237"/>
      <c r="C2593" s="238"/>
      <c r="D2593" s="237"/>
      <c r="E2593" s="237"/>
      <c r="F2593" s="237"/>
      <c r="G2593" s="237"/>
      <c r="H2593" s="237"/>
    </row>
    <row r="2594" spans="1:8" hidden="1" x14ac:dyDescent="0.3">
      <c r="A2594" s="237"/>
      <c r="B2594" s="237"/>
      <c r="C2594" s="238"/>
      <c r="D2594" s="237"/>
      <c r="E2594" s="237"/>
      <c r="F2594" s="237"/>
      <c r="G2594" s="237"/>
      <c r="H2594" s="237"/>
    </row>
    <row r="2595" spans="1:8" hidden="1" x14ac:dyDescent="0.3">
      <c r="A2595" s="237"/>
      <c r="B2595" s="237"/>
      <c r="C2595" s="238"/>
      <c r="D2595" s="237"/>
      <c r="E2595" s="237"/>
      <c r="F2595" s="237"/>
      <c r="G2595" s="237"/>
      <c r="H2595" s="237"/>
    </row>
    <row r="2596" spans="1:8" hidden="1" x14ac:dyDescent="0.3">
      <c r="A2596" s="237"/>
      <c r="B2596" s="237"/>
      <c r="C2596" s="238"/>
      <c r="D2596" s="237"/>
      <c r="E2596" s="237"/>
      <c r="F2596" s="237"/>
      <c r="G2596" s="237"/>
      <c r="H2596" s="237"/>
    </row>
    <row r="2597" spans="1:8" hidden="1" x14ac:dyDescent="0.3">
      <c r="A2597" s="237"/>
      <c r="B2597" s="237"/>
      <c r="C2597" s="238"/>
      <c r="D2597" s="237"/>
      <c r="E2597" s="237"/>
      <c r="F2597" s="237"/>
      <c r="G2597" s="237"/>
      <c r="H2597" s="237"/>
    </row>
    <row r="2598" spans="1:8" hidden="1" x14ac:dyDescent="0.3">
      <c r="A2598" s="237"/>
      <c r="B2598" s="237"/>
      <c r="C2598" s="238"/>
      <c r="D2598" s="237"/>
      <c r="E2598" s="237"/>
      <c r="F2598" s="237"/>
      <c r="G2598" s="237"/>
      <c r="H2598" s="237"/>
    </row>
    <row r="2599" spans="1:8" hidden="1" x14ac:dyDescent="0.3">
      <c r="A2599" s="237"/>
      <c r="B2599" s="237"/>
      <c r="C2599" s="238"/>
      <c r="D2599" s="237"/>
      <c r="E2599" s="237"/>
      <c r="F2599" s="237"/>
      <c r="G2599" s="237"/>
      <c r="H2599" s="237"/>
    </row>
    <row r="2600" spans="1:8" hidden="1" x14ac:dyDescent="0.3">
      <c r="A2600" s="237"/>
      <c r="B2600" s="237"/>
      <c r="C2600" s="238"/>
      <c r="D2600" s="237"/>
      <c r="E2600" s="237"/>
      <c r="F2600" s="237"/>
      <c r="G2600" s="237"/>
      <c r="H2600" s="237"/>
    </row>
    <row r="2601" spans="1:8" hidden="1" x14ac:dyDescent="0.3">
      <c r="A2601" s="237"/>
      <c r="B2601" s="237"/>
      <c r="C2601" s="238"/>
      <c r="D2601" s="237"/>
      <c r="E2601" s="237"/>
      <c r="F2601" s="237"/>
      <c r="G2601" s="237"/>
      <c r="H2601" s="237"/>
    </row>
    <row r="2602" spans="1:8" hidden="1" x14ac:dyDescent="0.3">
      <c r="A2602" s="237"/>
      <c r="B2602" s="237"/>
      <c r="C2602" s="238"/>
      <c r="D2602" s="237"/>
      <c r="E2602" s="237"/>
      <c r="F2602" s="237"/>
      <c r="G2602" s="237"/>
      <c r="H2602" s="237"/>
    </row>
    <row r="2603" spans="1:8" hidden="1" x14ac:dyDescent="0.3">
      <c r="A2603" s="237"/>
      <c r="B2603" s="237"/>
      <c r="C2603" s="238"/>
      <c r="D2603" s="237"/>
      <c r="E2603" s="237"/>
      <c r="F2603" s="237"/>
      <c r="G2603" s="237"/>
      <c r="H2603" s="237"/>
    </row>
    <row r="2604" spans="1:8" hidden="1" x14ac:dyDescent="0.3">
      <c r="A2604" s="237"/>
      <c r="B2604" s="237"/>
      <c r="C2604" s="238"/>
      <c r="D2604" s="237"/>
      <c r="E2604" s="237"/>
      <c r="F2604" s="237"/>
      <c r="G2604" s="237"/>
      <c r="H2604" s="237"/>
    </row>
    <row r="2605" spans="1:8" hidden="1" x14ac:dyDescent="0.3">
      <c r="A2605" s="237"/>
      <c r="B2605" s="237"/>
      <c r="C2605" s="238"/>
      <c r="D2605" s="237"/>
      <c r="E2605" s="237"/>
      <c r="F2605" s="237"/>
      <c r="G2605" s="237"/>
      <c r="H2605" s="237"/>
    </row>
    <row r="2606" spans="1:8" hidden="1" x14ac:dyDescent="0.3">
      <c r="A2606" s="237"/>
      <c r="B2606" s="237"/>
      <c r="C2606" s="238"/>
      <c r="D2606" s="237"/>
      <c r="E2606" s="237"/>
      <c r="F2606" s="237"/>
      <c r="G2606" s="237"/>
      <c r="H2606" s="237"/>
    </row>
    <row r="2607" spans="1:8" hidden="1" x14ac:dyDescent="0.3">
      <c r="A2607" s="237"/>
      <c r="B2607" s="237"/>
      <c r="C2607" s="238"/>
      <c r="D2607" s="237"/>
      <c r="E2607" s="237"/>
      <c r="F2607" s="237"/>
      <c r="G2607" s="237"/>
      <c r="H2607" s="237"/>
    </row>
    <row r="2608" spans="1:8" hidden="1" x14ac:dyDescent="0.3">
      <c r="A2608" s="237"/>
      <c r="B2608" s="237"/>
      <c r="C2608" s="238"/>
      <c r="D2608" s="237"/>
      <c r="E2608" s="237"/>
      <c r="F2608" s="237"/>
      <c r="G2608" s="237"/>
      <c r="H2608" s="237"/>
    </row>
    <row r="2609" spans="1:8" hidden="1" x14ac:dyDescent="0.3">
      <c r="A2609" s="237"/>
      <c r="B2609" s="237"/>
      <c r="C2609" s="238"/>
      <c r="D2609" s="237"/>
      <c r="E2609" s="237"/>
      <c r="F2609" s="237"/>
      <c r="G2609" s="237"/>
      <c r="H2609" s="237"/>
    </row>
    <row r="2610" spans="1:8" hidden="1" x14ac:dyDescent="0.3">
      <c r="A2610" s="237"/>
      <c r="B2610" s="237"/>
      <c r="C2610" s="238"/>
      <c r="D2610" s="237"/>
      <c r="E2610" s="237"/>
      <c r="F2610" s="237"/>
      <c r="G2610" s="237"/>
      <c r="H2610" s="237"/>
    </row>
    <row r="2611" spans="1:8" hidden="1" x14ac:dyDescent="0.3">
      <c r="A2611" s="237"/>
      <c r="B2611" s="237"/>
      <c r="C2611" s="238"/>
      <c r="D2611" s="237"/>
      <c r="E2611" s="237"/>
      <c r="F2611" s="237"/>
      <c r="G2611" s="237"/>
      <c r="H2611" s="237"/>
    </row>
    <row r="2612" spans="1:8" hidden="1" x14ac:dyDescent="0.3">
      <c r="A2612" s="237"/>
      <c r="B2612" s="237"/>
      <c r="C2612" s="238"/>
      <c r="D2612" s="237"/>
      <c r="E2612" s="237"/>
      <c r="F2612" s="237"/>
      <c r="G2612" s="237"/>
      <c r="H2612" s="237"/>
    </row>
    <row r="2613" spans="1:8" hidden="1" x14ac:dyDescent="0.3">
      <c r="A2613" s="237"/>
      <c r="B2613" s="237"/>
      <c r="C2613" s="238"/>
      <c r="D2613" s="237"/>
      <c r="E2613" s="237"/>
      <c r="F2613" s="237"/>
      <c r="G2613" s="237"/>
      <c r="H2613" s="237"/>
    </row>
    <row r="2614" spans="1:8" hidden="1" x14ac:dyDescent="0.3">
      <c r="A2614" s="237"/>
      <c r="B2614" s="237"/>
      <c r="C2614" s="238"/>
      <c r="D2614" s="237"/>
      <c r="E2614" s="237"/>
      <c r="F2614" s="237"/>
      <c r="G2614" s="237"/>
      <c r="H2614" s="237"/>
    </row>
    <row r="2615" spans="1:8" hidden="1" x14ac:dyDescent="0.3">
      <c r="A2615" s="237"/>
      <c r="B2615" s="237"/>
      <c r="C2615" s="238"/>
      <c r="D2615" s="237"/>
      <c r="E2615" s="237"/>
      <c r="F2615" s="237"/>
      <c r="G2615" s="237"/>
      <c r="H2615" s="237"/>
    </row>
    <row r="2616" spans="1:8" hidden="1" x14ac:dyDescent="0.3">
      <c r="A2616" s="237"/>
      <c r="B2616" s="237"/>
      <c r="C2616" s="238"/>
      <c r="D2616" s="237"/>
      <c r="E2616" s="237"/>
      <c r="F2616" s="237"/>
      <c r="G2616" s="237"/>
      <c r="H2616" s="237"/>
    </row>
    <row r="2617" spans="1:8" hidden="1" x14ac:dyDescent="0.3">
      <c r="A2617" s="237"/>
      <c r="B2617" s="237"/>
      <c r="C2617" s="238"/>
      <c r="D2617" s="237"/>
      <c r="E2617" s="237"/>
      <c r="F2617" s="237"/>
      <c r="G2617" s="237"/>
      <c r="H2617" s="237"/>
    </row>
    <row r="2618" spans="1:8" hidden="1" x14ac:dyDescent="0.3">
      <c r="A2618" s="237"/>
      <c r="B2618" s="237"/>
      <c r="C2618" s="238"/>
      <c r="D2618" s="237"/>
      <c r="E2618" s="237"/>
      <c r="F2618" s="237"/>
      <c r="G2618" s="237"/>
      <c r="H2618" s="237"/>
    </row>
    <row r="2619" spans="1:8" hidden="1" x14ac:dyDescent="0.3">
      <c r="A2619" s="237"/>
      <c r="B2619" s="237"/>
      <c r="C2619" s="238"/>
      <c r="D2619" s="237"/>
      <c r="E2619" s="237"/>
      <c r="F2619" s="237"/>
      <c r="G2619" s="237"/>
      <c r="H2619" s="237"/>
    </row>
    <row r="2620" spans="1:8" hidden="1" x14ac:dyDescent="0.3">
      <c r="A2620" s="237"/>
      <c r="B2620" s="237"/>
      <c r="C2620" s="238"/>
      <c r="D2620" s="237"/>
      <c r="E2620" s="237"/>
      <c r="F2620" s="237"/>
      <c r="G2620" s="237"/>
      <c r="H2620" s="237"/>
    </row>
    <row r="2621" spans="1:8" hidden="1" x14ac:dyDescent="0.3">
      <c r="A2621" s="237"/>
      <c r="B2621" s="237"/>
      <c r="C2621" s="238"/>
      <c r="D2621" s="237"/>
      <c r="E2621" s="237"/>
      <c r="F2621" s="237"/>
      <c r="G2621" s="237"/>
      <c r="H2621" s="237"/>
    </row>
    <row r="2622" spans="1:8" hidden="1" x14ac:dyDescent="0.3">
      <c r="A2622" s="237"/>
      <c r="B2622" s="237"/>
      <c r="C2622" s="238"/>
      <c r="D2622" s="237"/>
      <c r="E2622" s="237"/>
      <c r="F2622" s="237"/>
      <c r="G2622" s="237"/>
      <c r="H2622" s="237"/>
    </row>
    <row r="2623" spans="1:8" hidden="1" x14ac:dyDescent="0.3">
      <c r="A2623" s="237"/>
      <c r="B2623" s="237"/>
      <c r="C2623" s="238"/>
      <c r="D2623" s="237"/>
      <c r="E2623" s="237"/>
      <c r="F2623" s="237"/>
      <c r="G2623" s="237"/>
      <c r="H2623" s="237"/>
    </row>
    <row r="2624" spans="1:8" hidden="1" x14ac:dyDescent="0.3">
      <c r="A2624" s="237"/>
      <c r="B2624" s="237"/>
      <c r="C2624" s="238"/>
      <c r="D2624" s="237"/>
      <c r="E2624" s="237"/>
      <c r="F2624" s="237"/>
      <c r="G2624" s="237"/>
      <c r="H2624" s="237"/>
    </row>
    <row r="2625" spans="1:8" hidden="1" x14ac:dyDescent="0.3">
      <c r="A2625" s="237"/>
      <c r="B2625" s="237"/>
      <c r="C2625" s="238"/>
      <c r="D2625" s="237"/>
      <c r="E2625" s="237"/>
      <c r="F2625" s="237"/>
      <c r="G2625" s="237"/>
      <c r="H2625" s="237"/>
    </row>
    <row r="2626" spans="1:8" hidden="1" x14ac:dyDescent="0.3">
      <c r="A2626" s="237"/>
      <c r="B2626" s="237"/>
      <c r="C2626" s="238"/>
      <c r="D2626" s="237"/>
      <c r="E2626" s="237"/>
      <c r="F2626" s="237"/>
      <c r="G2626" s="237"/>
      <c r="H2626" s="237"/>
    </row>
    <row r="2627" spans="1:8" hidden="1" x14ac:dyDescent="0.3">
      <c r="A2627" s="237"/>
      <c r="B2627" s="237"/>
      <c r="C2627" s="238"/>
      <c r="D2627" s="237"/>
      <c r="E2627" s="237"/>
      <c r="F2627" s="237"/>
      <c r="G2627" s="237"/>
      <c r="H2627" s="237"/>
    </row>
    <row r="2628" spans="1:8" hidden="1" x14ac:dyDescent="0.3">
      <c r="A2628" s="237"/>
      <c r="B2628" s="237"/>
      <c r="C2628" s="238"/>
      <c r="D2628" s="237"/>
      <c r="E2628" s="237"/>
      <c r="F2628" s="237"/>
      <c r="G2628" s="237"/>
      <c r="H2628" s="237"/>
    </row>
    <row r="2629" spans="1:8" hidden="1" x14ac:dyDescent="0.3">
      <c r="A2629" s="237"/>
      <c r="B2629" s="237"/>
      <c r="C2629" s="238"/>
      <c r="D2629" s="237"/>
      <c r="E2629" s="237"/>
      <c r="F2629" s="237"/>
      <c r="G2629" s="237"/>
      <c r="H2629" s="237"/>
    </row>
    <row r="2630" spans="1:8" hidden="1" x14ac:dyDescent="0.3">
      <c r="A2630" s="237"/>
      <c r="B2630" s="237"/>
      <c r="C2630" s="238"/>
      <c r="D2630" s="237"/>
      <c r="E2630" s="237"/>
      <c r="F2630" s="237"/>
      <c r="G2630" s="237"/>
      <c r="H2630" s="237"/>
    </row>
    <row r="2631" spans="1:8" hidden="1" x14ac:dyDescent="0.3">
      <c r="A2631" s="237"/>
      <c r="B2631" s="237"/>
      <c r="C2631" s="238"/>
      <c r="D2631" s="237"/>
      <c r="E2631" s="237"/>
      <c r="F2631" s="237"/>
      <c r="G2631" s="237"/>
      <c r="H2631" s="237"/>
    </row>
    <row r="2632" spans="1:8" hidden="1" x14ac:dyDescent="0.3">
      <c r="A2632" s="237"/>
      <c r="B2632" s="237"/>
      <c r="C2632" s="238"/>
      <c r="D2632" s="237"/>
      <c r="E2632" s="237"/>
      <c r="F2632" s="237"/>
      <c r="G2632" s="237"/>
      <c r="H2632" s="237"/>
    </row>
    <row r="2633" spans="1:8" hidden="1" x14ac:dyDescent="0.3">
      <c r="A2633" s="237"/>
      <c r="B2633" s="237"/>
      <c r="C2633" s="238"/>
      <c r="D2633" s="237"/>
      <c r="E2633" s="237"/>
      <c r="F2633" s="237"/>
      <c r="G2633" s="237"/>
      <c r="H2633" s="237"/>
    </row>
    <row r="2634" spans="1:8" hidden="1" x14ac:dyDescent="0.3">
      <c r="A2634" s="237"/>
      <c r="B2634" s="237"/>
      <c r="C2634" s="238"/>
      <c r="D2634" s="237"/>
      <c r="E2634" s="237"/>
      <c r="F2634" s="237"/>
      <c r="G2634" s="237"/>
      <c r="H2634" s="237"/>
    </row>
    <row r="2635" spans="1:8" hidden="1" x14ac:dyDescent="0.3">
      <c r="A2635" s="237"/>
      <c r="B2635" s="237"/>
      <c r="C2635" s="238"/>
      <c r="D2635" s="237"/>
      <c r="E2635" s="237"/>
      <c r="F2635" s="237"/>
      <c r="G2635" s="237"/>
      <c r="H2635" s="237"/>
    </row>
    <row r="2636" spans="1:8" hidden="1" x14ac:dyDescent="0.3">
      <c r="A2636" s="237"/>
      <c r="B2636" s="237"/>
      <c r="C2636" s="238"/>
      <c r="D2636" s="237"/>
      <c r="E2636" s="237"/>
      <c r="F2636" s="237"/>
      <c r="G2636" s="237"/>
      <c r="H2636" s="237"/>
    </row>
    <row r="2637" spans="1:8" hidden="1" x14ac:dyDescent="0.3">
      <c r="A2637" s="237"/>
      <c r="B2637" s="237"/>
      <c r="C2637" s="238"/>
      <c r="D2637" s="237"/>
      <c r="E2637" s="237"/>
      <c r="F2637" s="237"/>
      <c r="G2637" s="237"/>
      <c r="H2637" s="237"/>
    </row>
    <row r="2638" spans="1:8" hidden="1" x14ac:dyDescent="0.3">
      <c r="A2638" s="237"/>
      <c r="B2638" s="237"/>
      <c r="C2638" s="238"/>
      <c r="D2638" s="237"/>
      <c r="E2638" s="237"/>
      <c r="F2638" s="237"/>
      <c r="G2638" s="237"/>
      <c r="H2638" s="237"/>
    </row>
    <row r="2639" spans="1:8" hidden="1" x14ac:dyDescent="0.3">
      <c r="A2639" s="237"/>
      <c r="B2639" s="237"/>
      <c r="C2639" s="238"/>
      <c r="D2639" s="237"/>
      <c r="E2639" s="237"/>
      <c r="F2639" s="237"/>
      <c r="G2639" s="237"/>
      <c r="H2639" s="237"/>
    </row>
    <row r="2640" spans="1:8" hidden="1" x14ac:dyDescent="0.3">
      <c r="A2640" s="237"/>
      <c r="B2640" s="237"/>
      <c r="C2640" s="238"/>
      <c r="D2640" s="237"/>
      <c r="E2640" s="237"/>
      <c r="F2640" s="237"/>
      <c r="G2640" s="237"/>
      <c r="H2640" s="237"/>
    </row>
    <row r="2641" spans="1:8" hidden="1" x14ac:dyDescent="0.3">
      <c r="A2641" s="237"/>
      <c r="B2641" s="237"/>
      <c r="C2641" s="238"/>
      <c r="D2641" s="237"/>
      <c r="E2641" s="237"/>
      <c r="F2641" s="237"/>
      <c r="G2641" s="237"/>
      <c r="H2641" s="237"/>
    </row>
    <row r="2642" spans="1:8" hidden="1" x14ac:dyDescent="0.3">
      <c r="A2642" s="237"/>
      <c r="B2642" s="237"/>
      <c r="C2642" s="238"/>
      <c r="D2642" s="237"/>
      <c r="E2642" s="237"/>
      <c r="F2642" s="237"/>
      <c r="G2642" s="237"/>
      <c r="H2642" s="237"/>
    </row>
    <row r="2643" spans="1:8" hidden="1" x14ac:dyDescent="0.3">
      <c r="A2643" s="237"/>
      <c r="B2643" s="237"/>
      <c r="C2643" s="238"/>
      <c r="D2643" s="237"/>
      <c r="E2643" s="237"/>
      <c r="F2643" s="237"/>
      <c r="G2643" s="237"/>
      <c r="H2643" s="237"/>
    </row>
    <row r="2644" spans="1:8" hidden="1" x14ac:dyDescent="0.3">
      <c r="A2644" s="237"/>
      <c r="B2644" s="237"/>
      <c r="C2644" s="238"/>
      <c r="D2644" s="237"/>
      <c r="E2644" s="237"/>
      <c r="F2644" s="237"/>
      <c r="G2644" s="237"/>
      <c r="H2644" s="237"/>
    </row>
    <row r="2645" spans="1:8" hidden="1" x14ac:dyDescent="0.3">
      <c r="A2645" s="237"/>
      <c r="B2645" s="237"/>
      <c r="C2645" s="238"/>
      <c r="D2645" s="237"/>
      <c r="E2645" s="237"/>
      <c r="F2645" s="237"/>
      <c r="G2645" s="237"/>
      <c r="H2645" s="237"/>
    </row>
    <row r="2646" spans="1:8" hidden="1" x14ac:dyDescent="0.3">
      <c r="A2646" s="237"/>
      <c r="B2646" s="237"/>
      <c r="C2646" s="238"/>
      <c r="D2646" s="237"/>
      <c r="E2646" s="237"/>
      <c r="F2646" s="237"/>
      <c r="G2646" s="237"/>
      <c r="H2646" s="237"/>
    </row>
    <row r="2647" spans="1:8" hidden="1" x14ac:dyDescent="0.3">
      <c r="A2647" s="237"/>
      <c r="B2647" s="237"/>
      <c r="C2647" s="238"/>
      <c r="D2647" s="237"/>
      <c r="E2647" s="237"/>
      <c r="F2647" s="237"/>
      <c r="G2647" s="237"/>
      <c r="H2647" s="237"/>
    </row>
    <row r="2648" spans="1:8" hidden="1" x14ac:dyDescent="0.3">
      <c r="A2648" s="237"/>
      <c r="B2648" s="237"/>
      <c r="C2648" s="238"/>
      <c r="D2648" s="237"/>
      <c r="E2648" s="237"/>
      <c r="F2648" s="237"/>
      <c r="G2648" s="237"/>
      <c r="H2648" s="237"/>
    </row>
    <row r="2649" spans="1:8" hidden="1" x14ac:dyDescent="0.3">
      <c r="A2649" s="237"/>
      <c r="B2649" s="237"/>
      <c r="C2649" s="238"/>
      <c r="D2649" s="237"/>
      <c r="E2649" s="237"/>
      <c r="F2649" s="237"/>
      <c r="G2649" s="237"/>
      <c r="H2649" s="237"/>
    </row>
    <row r="2650" spans="1:8" hidden="1" x14ac:dyDescent="0.3">
      <c r="A2650" s="237"/>
      <c r="B2650" s="237"/>
      <c r="C2650" s="238"/>
      <c r="D2650" s="237"/>
      <c r="E2650" s="237"/>
      <c r="F2650" s="237"/>
      <c r="G2650" s="237"/>
      <c r="H2650" s="237"/>
    </row>
    <row r="2651" spans="1:8" hidden="1" x14ac:dyDescent="0.3">
      <c r="A2651" s="237"/>
      <c r="B2651" s="237"/>
      <c r="C2651" s="238"/>
      <c r="D2651" s="237"/>
      <c r="E2651" s="237"/>
      <c r="F2651" s="237"/>
      <c r="G2651" s="237"/>
      <c r="H2651" s="237"/>
    </row>
    <row r="2652" spans="1:8" hidden="1" x14ac:dyDescent="0.3">
      <c r="A2652" s="237"/>
      <c r="B2652" s="237"/>
      <c r="C2652" s="238"/>
      <c r="D2652" s="237"/>
      <c r="E2652" s="237"/>
      <c r="F2652" s="237"/>
      <c r="G2652" s="237"/>
      <c r="H2652" s="237"/>
    </row>
    <row r="2653" spans="1:8" hidden="1" x14ac:dyDescent="0.3">
      <c r="A2653" s="237"/>
      <c r="B2653" s="237"/>
      <c r="C2653" s="238"/>
      <c r="D2653" s="237"/>
      <c r="E2653" s="237"/>
      <c r="F2653" s="237"/>
      <c r="G2653" s="237"/>
      <c r="H2653" s="237"/>
    </row>
    <row r="2654" spans="1:8" hidden="1" x14ac:dyDescent="0.3">
      <c r="A2654" s="237"/>
      <c r="B2654" s="237"/>
      <c r="C2654" s="238"/>
      <c r="D2654" s="237"/>
      <c r="E2654" s="237"/>
      <c r="F2654" s="237"/>
      <c r="G2654" s="237"/>
      <c r="H2654" s="237"/>
    </row>
    <row r="2655" spans="1:8" hidden="1" x14ac:dyDescent="0.3">
      <c r="A2655" s="237"/>
      <c r="B2655" s="237"/>
      <c r="C2655" s="238"/>
      <c r="D2655" s="237"/>
      <c r="E2655" s="237"/>
      <c r="F2655" s="237"/>
      <c r="G2655" s="237"/>
      <c r="H2655" s="237"/>
    </row>
    <row r="2656" spans="1:8" hidden="1" x14ac:dyDescent="0.3">
      <c r="A2656" s="237"/>
      <c r="B2656" s="237"/>
      <c r="C2656" s="238"/>
      <c r="D2656" s="237"/>
      <c r="E2656" s="237"/>
      <c r="F2656" s="237"/>
      <c r="G2656" s="237"/>
      <c r="H2656" s="237"/>
    </row>
    <row r="2657" spans="1:8" hidden="1" x14ac:dyDescent="0.3">
      <c r="A2657" s="237"/>
      <c r="B2657" s="237"/>
      <c r="C2657" s="238"/>
      <c r="D2657" s="237"/>
      <c r="E2657" s="237"/>
      <c r="F2657" s="237"/>
      <c r="G2657" s="237"/>
      <c r="H2657" s="237"/>
    </row>
    <row r="2658" spans="1:8" hidden="1" x14ac:dyDescent="0.3">
      <c r="A2658" s="237"/>
      <c r="B2658" s="237"/>
      <c r="C2658" s="238"/>
      <c r="D2658" s="237"/>
      <c r="E2658" s="237"/>
      <c r="F2658" s="237"/>
      <c r="G2658" s="237"/>
      <c r="H2658" s="237"/>
    </row>
    <row r="2659" spans="1:8" hidden="1" x14ac:dyDescent="0.3">
      <c r="A2659" s="237"/>
      <c r="B2659" s="237"/>
      <c r="C2659" s="238"/>
      <c r="D2659" s="237"/>
      <c r="E2659" s="237"/>
      <c r="F2659" s="237"/>
      <c r="G2659" s="237"/>
      <c r="H2659" s="237"/>
    </row>
    <row r="2660" spans="1:8" hidden="1" x14ac:dyDescent="0.3">
      <c r="A2660" s="237"/>
      <c r="B2660" s="237"/>
      <c r="C2660" s="238"/>
      <c r="D2660" s="237"/>
      <c r="E2660" s="237"/>
      <c r="F2660" s="237"/>
      <c r="G2660" s="237"/>
      <c r="H2660" s="237"/>
    </row>
    <row r="2661" spans="1:8" hidden="1" x14ac:dyDescent="0.3">
      <c r="A2661" s="237"/>
      <c r="B2661" s="237"/>
      <c r="C2661" s="238"/>
      <c r="D2661" s="237"/>
      <c r="E2661" s="237"/>
      <c r="F2661" s="237"/>
      <c r="G2661" s="237"/>
      <c r="H2661" s="237"/>
    </row>
    <row r="2662" spans="1:8" hidden="1" x14ac:dyDescent="0.3">
      <c r="A2662" s="237"/>
      <c r="B2662" s="237"/>
      <c r="C2662" s="238"/>
      <c r="D2662" s="237"/>
      <c r="E2662" s="237"/>
      <c r="F2662" s="237"/>
      <c r="G2662" s="237"/>
      <c r="H2662" s="237"/>
    </row>
    <row r="2663" spans="1:8" hidden="1" x14ac:dyDescent="0.3">
      <c r="A2663" s="237"/>
      <c r="B2663" s="237"/>
      <c r="C2663" s="238"/>
      <c r="D2663" s="237"/>
      <c r="E2663" s="237"/>
      <c r="F2663" s="237"/>
      <c r="G2663" s="237"/>
      <c r="H2663" s="237"/>
    </row>
    <row r="2664" spans="1:8" hidden="1" x14ac:dyDescent="0.3">
      <c r="A2664" s="237"/>
      <c r="B2664" s="237"/>
      <c r="C2664" s="238"/>
      <c r="D2664" s="237"/>
      <c r="E2664" s="237"/>
      <c r="F2664" s="237"/>
      <c r="G2664" s="237"/>
      <c r="H2664" s="237"/>
    </row>
    <row r="2665" spans="1:8" hidden="1" x14ac:dyDescent="0.3">
      <c r="A2665" s="237"/>
      <c r="B2665" s="237"/>
      <c r="C2665" s="238"/>
      <c r="D2665" s="237"/>
      <c r="E2665" s="237"/>
      <c r="F2665" s="237"/>
      <c r="G2665" s="237"/>
      <c r="H2665" s="237"/>
    </row>
    <row r="2666" spans="1:8" hidden="1" x14ac:dyDescent="0.3">
      <c r="A2666" s="237"/>
      <c r="B2666" s="237"/>
      <c r="C2666" s="238"/>
      <c r="D2666" s="237"/>
      <c r="E2666" s="237"/>
      <c r="F2666" s="237"/>
      <c r="G2666" s="237"/>
      <c r="H2666" s="237"/>
    </row>
    <row r="2667" spans="1:8" hidden="1" x14ac:dyDescent="0.3">
      <c r="A2667" s="237"/>
      <c r="B2667" s="237"/>
      <c r="C2667" s="238"/>
      <c r="D2667" s="237"/>
      <c r="E2667" s="237"/>
      <c r="F2667" s="237"/>
      <c r="G2667" s="237"/>
      <c r="H2667" s="237"/>
    </row>
    <row r="2668" spans="1:8" hidden="1" x14ac:dyDescent="0.3">
      <c r="A2668" s="237"/>
      <c r="B2668" s="237"/>
      <c r="C2668" s="238"/>
      <c r="D2668" s="237"/>
      <c r="E2668" s="237"/>
      <c r="F2668" s="237"/>
      <c r="G2668" s="237"/>
      <c r="H2668" s="237"/>
    </row>
    <row r="2669" spans="1:8" hidden="1" x14ac:dyDescent="0.3">
      <c r="A2669" s="237"/>
      <c r="B2669" s="237"/>
      <c r="C2669" s="238"/>
      <c r="D2669" s="237"/>
      <c r="E2669" s="237"/>
      <c r="F2669" s="237"/>
      <c r="G2669" s="237"/>
      <c r="H2669" s="237"/>
    </row>
    <row r="2670" spans="1:8" hidden="1" x14ac:dyDescent="0.3">
      <c r="A2670" s="237"/>
      <c r="B2670" s="237"/>
      <c r="C2670" s="238"/>
      <c r="D2670" s="237"/>
      <c r="E2670" s="237"/>
      <c r="F2670" s="237"/>
      <c r="G2670" s="237"/>
      <c r="H2670" s="237"/>
    </row>
    <row r="2671" spans="1:8" hidden="1" x14ac:dyDescent="0.3">
      <c r="A2671" s="237"/>
      <c r="B2671" s="237"/>
      <c r="C2671" s="238"/>
      <c r="D2671" s="237"/>
      <c r="E2671" s="237"/>
      <c r="F2671" s="237"/>
      <c r="G2671" s="237"/>
      <c r="H2671" s="237"/>
    </row>
    <row r="2672" spans="1:8" hidden="1" x14ac:dyDescent="0.3">
      <c r="A2672" s="237"/>
      <c r="B2672" s="237"/>
      <c r="C2672" s="238"/>
      <c r="D2672" s="237"/>
      <c r="E2672" s="237"/>
      <c r="F2672" s="237"/>
      <c r="G2672" s="237"/>
      <c r="H2672" s="237"/>
    </row>
    <row r="2673" spans="1:8" hidden="1" x14ac:dyDescent="0.3">
      <c r="A2673" s="237"/>
      <c r="B2673" s="237"/>
      <c r="C2673" s="238"/>
      <c r="D2673" s="237"/>
      <c r="E2673" s="237"/>
      <c r="F2673" s="237"/>
      <c r="G2673" s="237"/>
      <c r="H2673" s="237"/>
    </row>
    <row r="2674" spans="1:8" hidden="1" x14ac:dyDescent="0.3">
      <c r="A2674" s="237"/>
      <c r="B2674" s="237"/>
      <c r="C2674" s="238"/>
      <c r="D2674" s="237"/>
      <c r="E2674" s="237"/>
      <c r="F2674" s="237"/>
      <c r="G2674" s="237"/>
      <c r="H2674" s="237"/>
    </row>
    <row r="2675" spans="1:8" hidden="1" x14ac:dyDescent="0.3">
      <c r="A2675" s="237"/>
      <c r="B2675" s="237"/>
      <c r="C2675" s="238"/>
      <c r="D2675" s="237"/>
      <c r="E2675" s="237"/>
      <c r="F2675" s="237"/>
      <c r="G2675" s="237"/>
      <c r="H2675" s="237"/>
    </row>
    <row r="2676" spans="1:8" hidden="1" x14ac:dyDescent="0.3">
      <c r="A2676" s="237"/>
      <c r="B2676" s="237"/>
      <c r="C2676" s="238"/>
      <c r="D2676" s="237"/>
      <c r="E2676" s="237"/>
      <c r="F2676" s="237"/>
      <c r="G2676" s="237"/>
      <c r="H2676" s="237"/>
    </row>
    <row r="2677" spans="1:8" hidden="1" x14ac:dyDescent="0.3">
      <c r="A2677" s="237"/>
      <c r="B2677" s="237"/>
      <c r="C2677" s="238"/>
      <c r="D2677" s="237"/>
      <c r="E2677" s="237"/>
      <c r="F2677" s="237"/>
      <c r="G2677" s="237"/>
      <c r="H2677" s="237"/>
    </row>
    <row r="2678" spans="1:8" hidden="1" x14ac:dyDescent="0.3">
      <c r="A2678" s="237"/>
      <c r="B2678" s="237"/>
      <c r="C2678" s="238"/>
      <c r="D2678" s="237"/>
      <c r="E2678" s="237"/>
      <c r="F2678" s="237"/>
      <c r="G2678" s="237"/>
      <c r="H2678" s="237"/>
    </row>
    <row r="2679" spans="1:8" hidden="1" x14ac:dyDescent="0.3">
      <c r="A2679" s="237"/>
      <c r="B2679" s="237"/>
      <c r="C2679" s="238"/>
      <c r="D2679" s="237"/>
      <c r="E2679" s="237"/>
      <c r="F2679" s="237"/>
      <c r="G2679" s="237"/>
      <c r="H2679" s="237"/>
    </row>
    <row r="2680" spans="1:8" hidden="1" x14ac:dyDescent="0.3">
      <c r="A2680" s="237"/>
      <c r="B2680" s="237"/>
      <c r="C2680" s="238"/>
      <c r="D2680" s="237"/>
      <c r="E2680" s="237"/>
      <c r="F2680" s="237"/>
      <c r="G2680" s="237"/>
      <c r="H2680" s="237"/>
    </row>
    <row r="2681" spans="1:8" hidden="1" x14ac:dyDescent="0.3">
      <c r="A2681" s="237"/>
      <c r="B2681" s="237"/>
      <c r="C2681" s="238"/>
      <c r="D2681" s="237"/>
      <c r="E2681" s="237"/>
      <c r="F2681" s="237"/>
      <c r="G2681" s="237"/>
      <c r="H2681" s="237"/>
    </row>
    <row r="2682" spans="1:8" hidden="1" x14ac:dyDescent="0.3">
      <c r="A2682" s="237"/>
      <c r="B2682" s="237"/>
      <c r="C2682" s="238"/>
      <c r="D2682" s="237"/>
      <c r="E2682" s="237"/>
      <c r="F2682" s="237"/>
      <c r="G2682" s="237"/>
      <c r="H2682" s="237"/>
    </row>
    <row r="2683" spans="1:8" hidden="1" x14ac:dyDescent="0.3">
      <c r="A2683" s="237"/>
      <c r="B2683" s="237"/>
      <c r="C2683" s="238"/>
      <c r="D2683" s="237"/>
      <c r="E2683" s="237"/>
      <c r="F2683" s="237"/>
      <c r="G2683" s="237"/>
      <c r="H2683" s="237"/>
    </row>
    <row r="2684" spans="1:8" hidden="1" x14ac:dyDescent="0.3">
      <c r="A2684" s="237"/>
      <c r="B2684" s="237"/>
      <c r="C2684" s="238"/>
      <c r="D2684" s="237"/>
      <c r="E2684" s="237"/>
      <c r="F2684" s="237"/>
      <c r="G2684" s="237"/>
      <c r="H2684" s="237"/>
    </row>
    <row r="2685" spans="1:8" hidden="1" x14ac:dyDescent="0.3">
      <c r="A2685" s="237"/>
      <c r="B2685" s="237"/>
      <c r="C2685" s="238"/>
      <c r="D2685" s="237"/>
      <c r="E2685" s="237"/>
      <c r="F2685" s="237"/>
      <c r="G2685" s="237"/>
      <c r="H2685" s="237"/>
    </row>
    <row r="2686" spans="1:8" hidden="1" x14ac:dyDescent="0.3">
      <c r="A2686" s="237"/>
      <c r="B2686" s="237"/>
      <c r="C2686" s="238"/>
      <c r="D2686" s="237"/>
      <c r="E2686" s="237"/>
      <c r="F2686" s="237"/>
      <c r="G2686" s="237"/>
      <c r="H2686" s="237"/>
    </row>
    <row r="2687" spans="1:8" hidden="1" x14ac:dyDescent="0.3">
      <c r="A2687" s="237"/>
      <c r="B2687" s="237"/>
      <c r="C2687" s="238"/>
      <c r="D2687" s="237"/>
      <c r="E2687" s="237"/>
      <c r="F2687" s="237"/>
      <c r="G2687" s="237"/>
      <c r="H2687" s="237"/>
    </row>
    <row r="2688" spans="1:8" hidden="1" x14ac:dyDescent="0.3">
      <c r="A2688" s="237"/>
      <c r="B2688" s="237"/>
      <c r="C2688" s="238"/>
      <c r="D2688" s="237"/>
      <c r="E2688" s="237"/>
      <c r="F2688" s="237"/>
      <c r="G2688" s="237"/>
      <c r="H2688" s="237"/>
    </row>
    <row r="2689" spans="1:8" hidden="1" x14ac:dyDescent="0.3">
      <c r="A2689" s="237"/>
      <c r="B2689" s="237"/>
      <c r="C2689" s="238"/>
      <c r="D2689" s="237"/>
      <c r="E2689" s="237"/>
      <c r="F2689" s="237"/>
      <c r="G2689" s="237"/>
      <c r="H2689" s="237"/>
    </row>
    <row r="2690" spans="1:8" hidden="1" x14ac:dyDescent="0.3">
      <c r="A2690" s="237"/>
      <c r="B2690" s="237"/>
      <c r="C2690" s="238"/>
      <c r="D2690" s="237"/>
      <c r="E2690" s="237"/>
      <c r="F2690" s="237"/>
      <c r="G2690" s="237"/>
      <c r="H2690" s="237"/>
    </row>
    <row r="2691" spans="1:8" hidden="1" x14ac:dyDescent="0.3">
      <c r="A2691" s="237"/>
      <c r="B2691" s="237"/>
      <c r="C2691" s="238"/>
      <c r="D2691" s="237"/>
      <c r="E2691" s="237"/>
      <c r="F2691" s="237"/>
      <c r="G2691" s="237"/>
      <c r="H2691" s="237"/>
    </row>
    <row r="2692" spans="1:8" hidden="1" x14ac:dyDescent="0.3">
      <c r="A2692" s="237"/>
      <c r="B2692" s="237"/>
      <c r="C2692" s="238"/>
      <c r="D2692" s="237"/>
      <c r="E2692" s="237"/>
      <c r="F2692" s="237"/>
      <c r="G2692" s="237"/>
      <c r="H2692" s="237"/>
    </row>
    <row r="2693" spans="1:8" hidden="1" x14ac:dyDescent="0.3">
      <c r="A2693" s="237"/>
      <c r="B2693" s="237"/>
      <c r="C2693" s="238"/>
      <c r="D2693" s="237"/>
      <c r="E2693" s="237"/>
      <c r="F2693" s="237"/>
      <c r="G2693" s="237"/>
      <c r="H2693" s="237"/>
    </row>
    <row r="2694" spans="1:8" hidden="1" x14ac:dyDescent="0.3">
      <c r="A2694" s="237"/>
      <c r="B2694" s="237"/>
      <c r="C2694" s="238"/>
      <c r="D2694" s="237"/>
      <c r="E2694" s="237"/>
      <c r="F2694" s="237"/>
      <c r="G2694" s="237"/>
      <c r="H2694" s="237"/>
    </row>
    <row r="2695" spans="1:8" hidden="1" x14ac:dyDescent="0.3">
      <c r="A2695" s="237"/>
      <c r="B2695" s="237"/>
      <c r="C2695" s="238"/>
      <c r="D2695" s="237"/>
      <c r="E2695" s="237"/>
      <c r="F2695" s="237"/>
      <c r="G2695" s="237"/>
      <c r="H2695" s="237"/>
    </row>
    <row r="2696" spans="1:8" hidden="1" x14ac:dyDescent="0.3">
      <c r="A2696" s="237"/>
      <c r="B2696" s="237"/>
      <c r="C2696" s="238"/>
      <c r="D2696" s="237"/>
      <c r="E2696" s="237"/>
      <c r="F2696" s="237"/>
      <c r="G2696" s="237"/>
      <c r="H2696" s="237"/>
    </row>
    <row r="2697" spans="1:8" hidden="1" x14ac:dyDescent="0.3">
      <c r="A2697" s="237"/>
      <c r="B2697" s="237"/>
      <c r="C2697" s="238"/>
      <c r="D2697" s="237"/>
      <c r="E2697" s="237"/>
      <c r="F2697" s="237"/>
      <c r="G2697" s="237"/>
      <c r="H2697" s="237"/>
    </row>
    <row r="2698" spans="1:8" hidden="1" x14ac:dyDescent="0.3">
      <c r="A2698" s="237"/>
      <c r="B2698" s="237"/>
      <c r="C2698" s="238"/>
      <c r="D2698" s="237"/>
      <c r="E2698" s="237"/>
      <c r="F2698" s="237"/>
      <c r="G2698" s="237"/>
      <c r="H2698" s="237"/>
    </row>
    <row r="2699" spans="1:8" hidden="1" x14ac:dyDescent="0.3">
      <c r="A2699" s="237"/>
      <c r="B2699" s="237"/>
      <c r="C2699" s="238"/>
      <c r="D2699" s="237"/>
      <c r="E2699" s="237"/>
      <c r="F2699" s="237"/>
      <c r="G2699" s="237"/>
      <c r="H2699" s="237"/>
    </row>
    <row r="2700" spans="1:8" hidden="1" x14ac:dyDescent="0.3">
      <c r="A2700" s="237"/>
      <c r="B2700" s="237"/>
      <c r="C2700" s="238"/>
      <c r="D2700" s="237"/>
      <c r="E2700" s="237"/>
      <c r="F2700" s="237"/>
      <c r="G2700" s="237"/>
      <c r="H2700" s="237"/>
    </row>
    <row r="2701" spans="1:8" hidden="1" x14ac:dyDescent="0.3">
      <c r="A2701" s="237"/>
      <c r="B2701" s="237"/>
      <c r="C2701" s="238"/>
      <c r="D2701" s="237"/>
      <c r="E2701" s="237"/>
      <c r="F2701" s="237"/>
      <c r="G2701" s="237"/>
      <c r="H2701" s="237"/>
    </row>
    <row r="2702" spans="1:8" hidden="1" x14ac:dyDescent="0.3">
      <c r="A2702" s="237"/>
      <c r="B2702" s="237"/>
      <c r="C2702" s="238"/>
      <c r="D2702" s="237"/>
      <c r="E2702" s="237"/>
      <c r="F2702" s="237"/>
      <c r="G2702" s="237"/>
      <c r="H2702" s="237"/>
    </row>
    <row r="2703" spans="1:8" hidden="1" x14ac:dyDescent="0.3">
      <c r="A2703" s="237"/>
      <c r="B2703" s="237"/>
      <c r="C2703" s="238"/>
      <c r="D2703" s="237"/>
      <c r="E2703" s="237"/>
      <c r="F2703" s="237"/>
      <c r="G2703" s="237"/>
      <c r="H2703" s="237"/>
    </row>
    <row r="2704" spans="1:8" hidden="1" x14ac:dyDescent="0.3">
      <c r="A2704" s="237"/>
      <c r="B2704" s="237"/>
      <c r="C2704" s="238"/>
      <c r="D2704" s="237"/>
      <c r="E2704" s="237"/>
      <c r="F2704" s="237"/>
      <c r="G2704" s="237"/>
      <c r="H2704" s="237"/>
    </row>
    <row r="2705" spans="1:8" hidden="1" x14ac:dyDescent="0.3">
      <c r="A2705" s="237"/>
      <c r="B2705" s="237"/>
      <c r="C2705" s="238"/>
      <c r="D2705" s="237"/>
      <c r="E2705" s="237"/>
      <c r="F2705" s="237"/>
      <c r="G2705" s="237"/>
      <c r="H2705" s="237"/>
    </row>
    <row r="2706" spans="1:8" hidden="1" x14ac:dyDescent="0.3">
      <c r="A2706" s="237"/>
      <c r="B2706" s="237"/>
      <c r="C2706" s="238"/>
      <c r="D2706" s="237"/>
      <c r="E2706" s="237"/>
      <c r="F2706" s="237"/>
      <c r="G2706" s="237"/>
      <c r="H2706" s="237"/>
    </row>
    <row r="2707" spans="1:8" hidden="1" x14ac:dyDescent="0.3">
      <c r="A2707" s="237"/>
      <c r="B2707" s="237"/>
      <c r="C2707" s="238"/>
      <c r="D2707" s="237"/>
      <c r="E2707" s="237"/>
      <c r="F2707" s="237"/>
      <c r="G2707" s="237"/>
      <c r="H2707" s="237"/>
    </row>
    <row r="2708" spans="1:8" hidden="1" x14ac:dyDescent="0.3">
      <c r="A2708" s="237"/>
      <c r="B2708" s="237"/>
      <c r="C2708" s="238"/>
      <c r="D2708" s="237"/>
      <c r="E2708" s="237"/>
      <c r="F2708" s="237"/>
      <c r="G2708" s="237"/>
      <c r="H2708" s="237"/>
    </row>
    <row r="2709" spans="1:8" hidden="1" x14ac:dyDescent="0.3">
      <c r="A2709" s="237"/>
      <c r="B2709" s="237"/>
      <c r="C2709" s="238"/>
      <c r="D2709" s="237"/>
      <c r="E2709" s="237"/>
      <c r="F2709" s="237"/>
      <c r="G2709" s="237"/>
      <c r="H2709" s="237"/>
    </row>
    <row r="2710" spans="1:8" hidden="1" x14ac:dyDescent="0.3">
      <c r="A2710" s="237"/>
      <c r="B2710" s="237"/>
      <c r="C2710" s="238"/>
      <c r="D2710" s="237"/>
      <c r="E2710" s="237"/>
      <c r="F2710" s="237"/>
      <c r="G2710" s="237"/>
      <c r="H2710" s="237"/>
    </row>
    <row r="2711" spans="1:8" hidden="1" x14ac:dyDescent="0.3">
      <c r="A2711" s="237"/>
      <c r="B2711" s="237"/>
      <c r="C2711" s="238"/>
      <c r="D2711" s="237"/>
      <c r="E2711" s="237"/>
      <c r="F2711" s="237"/>
      <c r="G2711" s="237"/>
      <c r="H2711" s="237"/>
    </row>
    <row r="2712" spans="1:8" hidden="1" x14ac:dyDescent="0.3">
      <c r="A2712" s="237"/>
      <c r="B2712" s="237"/>
      <c r="C2712" s="238"/>
      <c r="D2712" s="237"/>
      <c r="E2712" s="237"/>
      <c r="F2712" s="237"/>
      <c r="G2712" s="237"/>
      <c r="H2712" s="237"/>
    </row>
    <row r="2713" spans="1:8" hidden="1" x14ac:dyDescent="0.3">
      <c r="A2713" s="237"/>
      <c r="B2713" s="237"/>
      <c r="C2713" s="238"/>
      <c r="D2713" s="237"/>
      <c r="E2713" s="237"/>
      <c r="F2713" s="237"/>
      <c r="G2713" s="237"/>
      <c r="H2713" s="237"/>
    </row>
    <row r="2714" spans="1:8" hidden="1" x14ac:dyDescent="0.3">
      <c r="A2714" s="237"/>
      <c r="B2714" s="237"/>
      <c r="C2714" s="238"/>
      <c r="D2714" s="237"/>
      <c r="E2714" s="237"/>
      <c r="F2714" s="237"/>
      <c r="G2714" s="237"/>
      <c r="H2714" s="237"/>
    </row>
    <row r="2715" spans="1:8" hidden="1" x14ac:dyDescent="0.3">
      <c r="A2715" s="237"/>
      <c r="B2715" s="237"/>
      <c r="C2715" s="238"/>
      <c r="D2715" s="237"/>
      <c r="E2715" s="237"/>
      <c r="F2715" s="237"/>
      <c r="G2715" s="237"/>
      <c r="H2715" s="237"/>
    </row>
    <row r="2716" spans="1:8" hidden="1" x14ac:dyDescent="0.3">
      <c r="A2716" s="237"/>
      <c r="B2716" s="237"/>
      <c r="C2716" s="238"/>
      <c r="D2716" s="237"/>
      <c r="E2716" s="237"/>
      <c r="F2716" s="237"/>
      <c r="G2716" s="237"/>
      <c r="H2716" s="237"/>
    </row>
    <row r="2717" spans="1:8" hidden="1" x14ac:dyDescent="0.3">
      <c r="A2717" s="237"/>
      <c r="B2717" s="237"/>
      <c r="C2717" s="238"/>
      <c r="D2717" s="237"/>
      <c r="E2717" s="237"/>
      <c r="F2717" s="237"/>
      <c r="G2717" s="237"/>
      <c r="H2717" s="237"/>
    </row>
    <row r="2718" spans="1:8" hidden="1" x14ac:dyDescent="0.3">
      <c r="A2718" s="237"/>
      <c r="B2718" s="237"/>
      <c r="C2718" s="238"/>
      <c r="D2718" s="237"/>
      <c r="E2718" s="237"/>
      <c r="F2718" s="237"/>
      <c r="G2718" s="237"/>
      <c r="H2718" s="237"/>
    </row>
    <row r="2719" spans="1:8" hidden="1" x14ac:dyDescent="0.3">
      <c r="A2719" s="237"/>
      <c r="B2719" s="237"/>
      <c r="C2719" s="238"/>
      <c r="D2719" s="237"/>
      <c r="E2719" s="237"/>
      <c r="F2719" s="237"/>
      <c r="G2719" s="237"/>
      <c r="H2719" s="237"/>
    </row>
    <row r="2720" spans="1:8" hidden="1" x14ac:dyDescent="0.3">
      <c r="A2720" s="237"/>
      <c r="B2720" s="237"/>
      <c r="C2720" s="238"/>
      <c r="D2720" s="237"/>
      <c r="E2720" s="237"/>
      <c r="F2720" s="237"/>
      <c r="G2720" s="237"/>
      <c r="H2720" s="237"/>
    </row>
    <row r="2721" spans="1:8" hidden="1" x14ac:dyDescent="0.3">
      <c r="A2721" s="237"/>
      <c r="B2721" s="237"/>
      <c r="C2721" s="238"/>
      <c r="D2721" s="237"/>
      <c r="E2721" s="237"/>
      <c r="F2721" s="237"/>
      <c r="G2721" s="237"/>
      <c r="H2721" s="237"/>
    </row>
    <row r="2722" spans="1:8" hidden="1" x14ac:dyDescent="0.3">
      <c r="A2722" s="237"/>
      <c r="B2722" s="237"/>
      <c r="C2722" s="238"/>
      <c r="D2722" s="237"/>
      <c r="E2722" s="237"/>
      <c r="F2722" s="237"/>
      <c r="G2722" s="237"/>
      <c r="H2722" s="237"/>
    </row>
    <row r="2723" spans="1:8" hidden="1" x14ac:dyDescent="0.3">
      <c r="A2723" s="237"/>
      <c r="B2723" s="237"/>
      <c r="C2723" s="238"/>
      <c r="D2723" s="237"/>
      <c r="E2723" s="237"/>
      <c r="F2723" s="237"/>
      <c r="G2723" s="237"/>
      <c r="H2723" s="237"/>
    </row>
    <row r="2724" spans="1:8" hidden="1" x14ac:dyDescent="0.3">
      <c r="A2724" s="237"/>
      <c r="B2724" s="237"/>
      <c r="C2724" s="238"/>
      <c r="D2724" s="237"/>
      <c r="E2724" s="237"/>
      <c r="F2724" s="237"/>
      <c r="G2724" s="237"/>
      <c r="H2724" s="237"/>
    </row>
    <row r="2725" spans="1:8" hidden="1" x14ac:dyDescent="0.3">
      <c r="A2725" s="237"/>
      <c r="B2725" s="237"/>
      <c r="C2725" s="238"/>
      <c r="D2725" s="237"/>
      <c r="E2725" s="237"/>
      <c r="F2725" s="237"/>
      <c r="G2725" s="237"/>
      <c r="H2725" s="237"/>
    </row>
    <row r="2726" spans="1:8" hidden="1" x14ac:dyDescent="0.3">
      <c r="A2726" s="237"/>
      <c r="B2726" s="237"/>
      <c r="C2726" s="238"/>
      <c r="D2726" s="237"/>
      <c r="E2726" s="237"/>
      <c r="F2726" s="237"/>
      <c r="G2726" s="237"/>
      <c r="H2726" s="237"/>
    </row>
    <row r="2727" spans="1:8" hidden="1" x14ac:dyDescent="0.3">
      <c r="A2727" s="237"/>
      <c r="B2727" s="237"/>
      <c r="C2727" s="238"/>
      <c r="D2727" s="237"/>
      <c r="E2727" s="237"/>
      <c r="F2727" s="237"/>
      <c r="G2727" s="237"/>
      <c r="H2727" s="237"/>
    </row>
    <row r="2728" spans="1:8" hidden="1" x14ac:dyDescent="0.3">
      <c r="A2728" s="237"/>
      <c r="B2728" s="237"/>
      <c r="C2728" s="238"/>
      <c r="D2728" s="237"/>
      <c r="E2728" s="237"/>
      <c r="F2728" s="237"/>
      <c r="G2728" s="237"/>
      <c r="H2728" s="237"/>
    </row>
    <row r="2729" spans="1:8" hidden="1" x14ac:dyDescent="0.3">
      <c r="A2729" s="237"/>
      <c r="B2729" s="237"/>
      <c r="C2729" s="238"/>
      <c r="D2729" s="237"/>
      <c r="E2729" s="237"/>
      <c r="F2729" s="237"/>
      <c r="G2729" s="237"/>
      <c r="H2729" s="237"/>
    </row>
    <row r="2730" spans="1:8" hidden="1" x14ac:dyDescent="0.3">
      <c r="A2730" s="237"/>
      <c r="B2730" s="237"/>
      <c r="C2730" s="238"/>
      <c r="D2730" s="237"/>
      <c r="E2730" s="237"/>
      <c r="F2730" s="237"/>
      <c r="G2730" s="237"/>
      <c r="H2730" s="237"/>
    </row>
    <row r="2731" spans="1:8" hidden="1" x14ac:dyDescent="0.3">
      <c r="A2731" s="237"/>
      <c r="B2731" s="237"/>
      <c r="C2731" s="238"/>
      <c r="D2731" s="237"/>
      <c r="E2731" s="237"/>
      <c r="F2731" s="237"/>
      <c r="G2731" s="237"/>
      <c r="H2731" s="237"/>
    </row>
    <row r="2732" spans="1:8" hidden="1" x14ac:dyDescent="0.3">
      <c r="A2732" s="237"/>
      <c r="B2732" s="237"/>
      <c r="C2732" s="238"/>
      <c r="D2732" s="237"/>
      <c r="E2732" s="237"/>
      <c r="F2732" s="237"/>
      <c r="G2732" s="237"/>
      <c r="H2732" s="237"/>
    </row>
    <row r="2733" spans="1:8" hidden="1" x14ac:dyDescent="0.3">
      <c r="A2733" s="237"/>
      <c r="B2733" s="237"/>
      <c r="C2733" s="238"/>
      <c r="D2733" s="237"/>
      <c r="E2733" s="237"/>
      <c r="F2733" s="237"/>
      <c r="G2733" s="237"/>
      <c r="H2733" s="237"/>
    </row>
    <row r="2734" spans="1:8" hidden="1" x14ac:dyDescent="0.3">
      <c r="A2734" s="237"/>
      <c r="B2734" s="237"/>
      <c r="C2734" s="238"/>
      <c r="D2734" s="237"/>
      <c r="E2734" s="237"/>
      <c r="F2734" s="237"/>
      <c r="G2734" s="237"/>
      <c r="H2734" s="237"/>
    </row>
    <row r="2735" spans="1:8" hidden="1" x14ac:dyDescent="0.3">
      <c r="A2735" s="237"/>
      <c r="B2735" s="237"/>
      <c r="C2735" s="238"/>
      <c r="D2735" s="237"/>
      <c r="E2735" s="237"/>
      <c r="F2735" s="237"/>
      <c r="G2735" s="237"/>
      <c r="H2735" s="237"/>
    </row>
    <row r="2736" spans="1:8" hidden="1" x14ac:dyDescent="0.3">
      <c r="A2736" s="237"/>
      <c r="B2736" s="237"/>
      <c r="C2736" s="238"/>
      <c r="D2736" s="237"/>
      <c r="E2736" s="237"/>
      <c r="F2736" s="237"/>
      <c r="G2736" s="237"/>
      <c r="H2736" s="237"/>
    </row>
    <row r="2737" spans="1:8" hidden="1" x14ac:dyDescent="0.3">
      <c r="A2737" s="237"/>
      <c r="B2737" s="237"/>
      <c r="C2737" s="238"/>
      <c r="D2737" s="237"/>
      <c r="E2737" s="237"/>
      <c r="F2737" s="237"/>
      <c r="G2737" s="237"/>
      <c r="H2737" s="237"/>
    </row>
    <row r="2738" spans="1:8" hidden="1" x14ac:dyDescent="0.3">
      <c r="A2738" s="237"/>
      <c r="B2738" s="237"/>
      <c r="C2738" s="238"/>
      <c r="D2738" s="237"/>
      <c r="E2738" s="237"/>
      <c r="F2738" s="237"/>
      <c r="G2738" s="237"/>
      <c r="H2738" s="237"/>
    </row>
    <row r="2739" spans="1:8" hidden="1" x14ac:dyDescent="0.3">
      <c r="A2739" s="237"/>
      <c r="B2739" s="237"/>
      <c r="C2739" s="238"/>
      <c r="D2739" s="237"/>
      <c r="E2739" s="237"/>
      <c r="F2739" s="237"/>
      <c r="G2739" s="237"/>
      <c r="H2739" s="237"/>
    </row>
    <row r="2740" spans="1:8" hidden="1" x14ac:dyDescent="0.3">
      <c r="A2740" s="237"/>
      <c r="B2740" s="237"/>
      <c r="C2740" s="238"/>
      <c r="D2740" s="237"/>
      <c r="E2740" s="237"/>
      <c r="F2740" s="237"/>
      <c r="G2740" s="237"/>
      <c r="H2740" s="237"/>
    </row>
    <row r="2741" spans="1:8" hidden="1" x14ac:dyDescent="0.3">
      <c r="A2741" s="237"/>
      <c r="B2741" s="237"/>
      <c r="C2741" s="238"/>
      <c r="D2741" s="237"/>
      <c r="E2741" s="237"/>
      <c r="F2741" s="237"/>
      <c r="G2741" s="237"/>
      <c r="H2741" s="237"/>
    </row>
    <row r="2742" spans="1:8" hidden="1" x14ac:dyDescent="0.3">
      <c r="A2742" s="237"/>
      <c r="B2742" s="237"/>
      <c r="C2742" s="238"/>
      <c r="D2742" s="237"/>
      <c r="E2742" s="237"/>
      <c r="F2742" s="237"/>
      <c r="G2742" s="237"/>
      <c r="H2742" s="237"/>
    </row>
    <row r="2743" spans="1:8" hidden="1" x14ac:dyDescent="0.3">
      <c r="A2743" s="237"/>
      <c r="B2743" s="237"/>
      <c r="C2743" s="238"/>
      <c r="D2743" s="237"/>
      <c r="E2743" s="237"/>
      <c r="F2743" s="237"/>
      <c r="G2743" s="237"/>
      <c r="H2743" s="237"/>
    </row>
    <row r="2744" spans="1:8" hidden="1" x14ac:dyDescent="0.3">
      <c r="A2744" s="237"/>
      <c r="B2744" s="237"/>
      <c r="C2744" s="238"/>
      <c r="D2744" s="237"/>
      <c r="E2744" s="237"/>
      <c r="F2744" s="237"/>
      <c r="G2744" s="237"/>
      <c r="H2744" s="237"/>
    </row>
    <row r="2745" spans="1:8" hidden="1" x14ac:dyDescent="0.3">
      <c r="A2745" s="237"/>
      <c r="B2745" s="237"/>
      <c r="C2745" s="238"/>
      <c r="D2745" s="237"/>
      <c r="E2745" s="237"/>
      <c r="F2745" s="237"/>
      <c r="G2745" s="237"/>
      <c r="H2745" s="237"/>
    </row>
    <row r="2746" spans="1:8" hidden="1" x14ac:dyDescent="0.3">
      <c r="A2746" s="237"/>
      <c r="B2746" s="237"/>
      <c r="C2746" s="238"/>
      <c r="D2746" s="237"/>
      <c r="E2746" s="237"/>
      <c r="F2746" s="237"/>
      <c r="G2746" s="237"/>
      <c r="H2746" s="237"/>
    </row>
    <row r="2747" spans="1:8" hidden="1" x14ac:dyDescent="0.3">
      <c r="A2747" s="237"/>
      <c r="B2747" s="237"/>
      <c r="C2747" s="238"/>
      <c r="D2747" s="237"/>
      <c r="E2747" s="237"/>
      <c r="F2747" s="237"/>
      <c r="G2747" s="237"/>
      <c r="H2747" s="237"/>
    </row>
    <row r="2748" spans="1:8" hidden="1" x14ac:dyDescent="0.3">
      <c r="A2748" s="237"/>
      <c r="B2748" s="237"/>
      <c r="C2748" s="238"/>
      <c r="D2748" s="237"/>
      <c r="E2748" s="237"/>
      <c r="F2748" s="237"/>
      <c r="G2748" s="237"/>
      <c r="H2748" s="237"/>
    </row>
    <row r="2749" spans="1:8" hidden="1" x14ac:dyDescent="0.3">
      <c r="A2749" s="237"/>
      <c r="B2749" s="237"/>
      <c r="C2749" s="238"/>
      <c r="D2749" s="237"/>
      <c r="E2749" s="237"/>
      <c r="F2749" s="237"/>
      <c r="G2749" s="237"/>
      <c r="H2749" s="237"/>
    </row>
    <row r="2750" spans="1:8" hidden="1" x14ac:dyDescent="0.3">
      <c r="A2750" s="237"/>
      <c r="B2750" s="237"/>
      <c r="C2750" s="238"/>
      <c r="D2750" s="237"/>
      <c r="E2750" s="237"/>
      <c r="F2750" s="237"/>
      <c r="G2750" s="237"/>
      <c r="H2750" s="237"/>
    </row>
    <row r="2751" spans="1:8" hidden="1" x14ac:dyDescent="0.3">
      <c r="A2751" s="237"/>
      <c r="B2751" s="237"/>
      <c r="C2751" s="238"/>
      <c r="D2751" s="237"/>
      <c r="E2751" s="237"/>
      <c r="F2751" s="237"/>
      <c r="G2751" s="237"/>
      <c r="H2751" s="237"/>
    </row>
    <row r="2752" spans="1:8" hidden="1" x14ac:dyDescent="0.3">
      <c r="A2752" s="237"/>
      <c r="B2752" s="237"/>
      <c r="C2752" s="238"/>
      <c r="D2752" s="237"/>
      <c r="E2752" s="237"/>
      <c r="F2752" s="237"/>
      <c r="G2752" s="237"/>
      <c r="H2752" s="237"/>
    </row>
    <row r="2753" spans="1:8" hidden="1" x14ac:dyDescent="0.3">
      <c r="A2753" s="237"/>
      <c r="B2753" s="237"/>
      <c r="C2753" s="238"/>
      <c r="D2753" s="237"/>
      <c r="E2753" s="237"/>
      <c r="F2753" s="237"/>
      <c r="G2753" s="237"/>
      <c r="H2753" s="237"/>
    </row>
    <row r="2754" spans="1:8" hidden="1" x14ac:dyDescent="0.3">
      <c r="A2754" s="237"/>
      <c r="B2754" s="237"/>
      <c r="C2754" s="238"/>
      <c r="D2754" s="237"/>
      <c r="E2754" s="237"/>
      <c r="F2754" s="237"/>
      <c r="G2754" s="237"/>
      <c r="H2754" s="237"/>
    </row>
    <row r="2755" spans="1:8" hidden="1" x14ac:dyDescent="0.3">
      <c r="A2755" s="237"/>
      <c r="B2755" s="237"/>
      <c r="C2755" s="238"/>
      <c r="D2755" s="237"/>
      <c r="E2755" s="237"/>
      <c r="F2755" s="237"/>
      <c r="G2755" s="237"/>
      <c r="H2755" s="237"/>
    </row>
    <row r="2756" spans="1:8" hidden="1" x14ac:dyDescent="0.3">
      <c r="A2756" s="237"/>
      <c r="B2756" s="237"/>
      <c r="C2756" s="238"/>
      <c r="D2756" s="237"/>
      <c r="E2756" s="237"/>
      <c r="F2756" s="237"/>
      <c r="G2756" s="237"/>
      <c r="H2756" s="237"/>
    </row>
    <row r="2757" spans="1:8" hidden="1" x14ac:dyDescent="0.3">
      <c r="A2757" s="237"/>
      <c r="B2757" s="237"/>
      <c r="C2757" s="238"/>
      <c r="D2757" s="237"/>
      <c r="E2757" s="237"/>
      <c r="F2757" s="237"/>
      <c r="G2757" s="237"/>
      <c r="H2757" s="237"/>
    </row>
    <row r="2758" spans="1:8" hidden="1" x14ac:dyDescent="0.3">
      <c r="A2758" s="237"/>
      <c r="B2758" s="237"/>
      <c r="C2758" s="238"/>
      <c r="D2758" s="237"/>
      <c r="E2758" s="237"/>
      <c r="F2758" s="237"/>
      <c r="G2758" s="237"/>
      <c r="H2758" s="237"/>
    </row>
    <row r="2759" spans="1:8" hidden="1" x14ac:dyDescent="0.3">
      <c r="A2759" s="237"/>
      <c r="B2759" s="237"/>
      <c r="C2759" s="238"/>
      <c r="D2759" s="237"/>
      <c r="E2759" s="237"/>
      <c r="F2759" s="237"/>
      <c r="G2759" s="237"/>
      <c r="H2759" s="237"/>
    </row>
    <row r="2760" spans="1:8" hidden="1" x14ac:dyDescent="0.3">
      <c r="A2760" s="237"/>
      <c r="B2760" s="237"/>
      <c r="C2760" s="238"/>
      <c r="D2760" s="237"/>
      <c r="E2760" s="237"/>
      <c r="F2760" s="237"/>
      <c r="G2760" s="237"/>
      <c r="H2760" s="237"/>
    </row>
    <row r="2761" spans="1:8" hidden="1" x14ac:dyDescent="0.3">
      <c r="A2761" s="237"/>
      <c r="B2761" s="237"/>
      <c r="C2761" s="238"/>
      <c r="D2761" s="237"/>
      <c r="E2761" s="237"/>
      <c r="F2761" s="237"/>
      <c r="G2761" s="237"/>
      <c r="H2761" s="237"/>
    </row>
    <row r="2762" spans="1:8" hidden="1" x14ac:dyDescent="0.3">
      <c r="A2762" s="237"/>
      <c r="B2762" s="237"/>
      <c r="C2762" s="238"/>
      <c r="D2762" s="237"/>
      <c r="E2762" s="237"/>
      <c r="F2762" s="237"/>
      <c r="G2762" s="237"/>
      <c r="H2762" s="237"/>
    </row>
    <row r="2763" spans="1:8" hidden="1" x14ac:dyDescent="0.3">
      <c r="A2763" s="237"/>
      <c r="B2763" s="237"/>
      <c r="C2763" s="238"/>
      <c r="D2763" s="237"/>
      <c r="E2763" s="237"/>
      <c r="F2763" s="237"/>
      <c r="G2763" s="237"/>
      <c r="H2763" s="237"/>
    </row>
    <row r="2764" spans="1:8" hidden="1" x14ac:dyDescent="0.3">
      <c r="A2764" s="237"/>
      <c r="B2764" s="237"/>
      <c r="C2764" s="238"/>
      <c r="D2764" s="237"/>
      <c r="E2764" s="237"/>
      <c r="F2764" s="237"/>
      <c r="G2764" s="237"/>
      <c r="H2764" s="237"/>
    </row>
    <row r="2765" spans="1:8" hidden="1" x14ac:dyDescent="0.3">
      <c r="A2765" s="237"/>
      <c r="B2765" s="237"/>
      <c r="C2765" s="238"/>
      <c r="D2765" s="237"/>
      <c r="E2765" s="237"/>
      <c r="F2765" s="237"/>
      <c r="G2765" s="237"/>
      <c r="H2765" s="237"/>
    </row>
    <row r="2766" spans="1:8" hidden="1" x14ac:dyDescent="0.3">
      <c r="A2766" s="237"/>
      <c r="B2766" s="237"/>
      <c r="C2766" s="238"/>
      <c r="D2766" s="237"/>
      <c r="E2766" s="237"/>
      <c r="F2766" s="237"/>
      <c r="G2766" s="237"/>
      <c r="H2766" s="237"/>
    </row>
    <row r="2767" spans="1:8" hidden="1" x14ac:dyDescent="0.3">
      <c r="A2767" s="237"/>
      <c r="B2767" s="237"/>
      <c r="C2767" s="238"/>
      <c r="D2767" s="237"/>
      <c r="E2767" s="237"/>
      <c r="F2767" s="237"/>
      <c r="G2767" s="237"/>
      <c r="H2767" s="237"/>
    </row>
    <row r="2768" spans="1:8" hidden="1" x14ac:dyDescent="0.3">
      <c r="A2768" s="237"/>
      <c r="B2768" s="237"/>
      <c r="C2768" s="238"/>
      <c r="D2768" s="237"/>
      <c r="E2768" s="237"/>
      <c r="F2768" s="237"/>
      <c r="G2768" s="237"/>
      <c r="H2768" s="237"/>
    </row>
    <row r="2769" spans="1:8" hidden="1" x14ac:dyDescent="0.3">
      <c r="A2769" s="237"/>
      <c r="B2769" s="237"/>
      <c r="C2769" s="238"/>
      <c r="D2769" s="237"/>
      <c r="E2769" s="237"/>
      <c r="F2769" s="237"/>
      <c r="G2769" s="237"/>
      <c r="H2769" s="237"/>
    </row>
    <row r="2770" spans="1:8" hidden="1" x14ac:dyDescent="0.3">
      <c r="A2770" s="237"/>
      <c r="B2770" s="237"/>
      <c r="C2770" s="238"/>
      <c r="D2770" s="237"/>
      <c r="E2770" s="237"/>
      <c r="F2770" s="237"/>
      <c r="G2770" s="237"/>
      <c r="H2770" s="237"/>
    </row>
    <row r="2771" spans="1:8" hidden="1" x14ac:dyDescent="0.3">
      <c r="A2771" s="237"/>
      <c r="B2771" s="237"/>
      <c r="C2771" s="238"/>
      <c r="D2771" s="237"/>
      <c r="E2771" s="237"/>
      <c r="F2771" s="237"/>
      <c r="G2771" s="237"/>
      <c r="H2771" s="237"/>
    </row>
    <row r="2772" spans="1:8" hidden="1" x14ac:dyDescent="0.3">
      <c r="A2772" s="237"/>
      <c r="B2772" s="237"/>
      <c r="C2772" s="238"/>
      <c r="D2772" s="237"/>
      <c r="E2772" s="237"/>
      <c r="F2772" s="237"/>
      <c r="G2772" s="237"/>
      <c r="H2772" s="237"/>
    </row>
    <row r="2773" spans="1:8" hidden="1" x14ac:dyDescent="0.3">
      <c r="A2773" s="237"/>
      <c r="B2773" s="237"/>
      <c r="C2773" s="238"/>
      <c r="D2773" s="237"/>
      <c r="E2773" s="237"/>
      <c r="F2773" s="237"/>
      <c r="G2773" s="237"/>
      <c r="H2773" s="237"/>
    </row>
    <row r="2774" spans="1:8" hidden="1" x14ac:dyDescent="0.3">
      <c r="A2774" s="237"/>
      <c r="B2774" s="237"/>
      <c r="C2774" s="238"/>
      <c r="D2774" s="237"/>
      <c r="E2774" s="237"/>
      <c r="F2774" s="237"/>
      <c r="G2774" s="237"/>
      <c r="H2774" s="237"/>
    </row>
    <row r="2775" spans="1:8" hidden="1" x14ac:dyDescent="0.3">
      <c r="A2775" s="237"/>
      <c r="B2775" s="237"/>
      <c r="C2775" s="238"/>
      <c r="D2775" s="237"/>
      <c r="E2775" s="237"/>
      <c r="F2775" s="237"/>
      <c r="G2775" s="237"/>
      <c r="H2775" s="237"/>
    </row>
    <row r="2776" spans="1:8" hidden="1" x14ac:dyDescent="0.3">
      <c r="A2776" s="237"/>
      <c r="B2776" s="237"/>
      <c r="C2776" s="238"/>
      <c r="D2776" s="237"/>
      <c r="E2776" s="237"/>
      <c r="F2776" s="237"/>
      <c r="G2776" s="237"/>
      <c r="H2776" s="237"/>
    </row>
    <row r="2777" spans="1:8" hidden="1" x14ac:dyDescent="0.3">
      <c r="A2777" s="237"/>
      <c r="B2777" s="237"/>
      <c r="C2777" s="238"/>
      <c r="D2777" s="237"/>
      <c r="E2777" s="237"/>
      <c r="F2777" s="237"/>
      <c r="G2777" s="237"/>
      <c r="H2777" s="237"/>
    </row>
    <row r="2778" spans="1:8" hidden="1" x14ac:dyDescent="0.3">
      <c r="A2778" s="237"/>
      <c r="B2778" s="237"/>
      <c r="C2778" s="238"/>
      <c r="D2778" s="237"/>
      <c r="E2778" s="237"/>
      <c r="F2778" s="237"/>
      <c r="G2778" s="237"/>
      <c r="H2778" s="237"/>
    </row>
    <row r="2779" spans="1:8" hidden="1" x14ac:dyDescent="0.3">
      <c r="A2779" s="237"/>
      <c r="B2779" s="237"/>
      <c r="C2779" s="238"/>
      <c r="D2779" s="237"/>
      <c r="E2779" s="237"/>
      <c r="F2779" s="237"/>
      <c r="G2779" s="237"/>
      <c r="H2779" s="237"/>
    </row>
    <row r="2780" spans="1:8" hidden="1" x14ac:dyDescent="0.3">
      <c r="A2780" s="237"/>
      <c r="B2780" s="237"/>
      <c r="C2780" s="238"/>
      <c r="D2780" s="237"/>
      <c r="E2780" s="237"/>
      <c r="F2780" s="237"/>
      <c r="G2780" s="237"/>
      <c r="H2780" s="237"/>
    </row>
    <row r="2781" spans="1:8" hidden="1" x14ac:dyDescent="0.3">
      <c r="A2781" s="237"/>
      <c r="B2781" s="237"/>
      <c r="C2781" s="238"/>
      <c r="D2781" s="237"/>
      <c r="E2781" s="237"/>
      <c r="F2781" s="237"/>
      <c r="G2781" s="237"/>
      <c r="H2781" s="237"/>
    </row>
    <row r="2782" spans="1:8" hidden="1" x14ac:dyDescent="0.3">
      <c r="A2782" s="237"/>
      <c r="B2782" s="237"/>
      <c r="C2782" s="238"/>
      <c r="D2782" s="237"/>
      <c r="E2782" s="237"/>
      <c r="F2782" s="237"/>
      <c r="G2782" s="237"/>
      <c r="H2782" s="237"/>
    </row>
    <row r="2783" spans="1:8" hidden="1" x14ac:dyDescent="0.3">
      <c r="A2783" s="237"/>
      <c r="B2783" s="237"/>
      <c r="C2783" s="238"/>
      <c r="D2783" s="237"/>
      <c r="E2783" s="237"/>
      <c r="F2783" s="237"/>
      <c r="G2783" s="237"/>
      <c r="H2783" s="237"/>
    </row>
    <row r="2784" spans="1:8" hidden="1" x14ac:dyDescent="0.3">
      <c r="A2784" s="237"/>
      <c r="B2784" s="237"/>
      <c r="C2784" s="238"/>
      <c r="D2784" s="237"/>
      <c r="E2784" s="237"/>
      <c r="F2784" s="237"/>
      <c r="G2784" s="237"/>
      <c r="H2784" s="237"/>
    </row>
    <row r="2785" spans="1:8" hidden="1" x14ac:dyDescent="0.3">
      <c r="A2785" s="237"/>
      <c r="B2785" s="237"/>
      <c r="C2785" s="238"/>
      <c r="D2785" s="237"/>
      <c r="E2785" s="237"/>
      <c r="F2785" s="237"/>
      <c r="G2785" s="237"/>
      <c r="H2785" s="237"/>
    </row>
    <row r="2786" spans="1:8" hidden="1" x14ac:dyDescent="0.3">
      <c r="A2786" s="237"/>
      <c r="B2786" s="237"/>
      <c r="C2786" s="238"/>
      <c r="D2786" s="237"/>
      <c r="E2786" s="237"/>
      <c r="F2786" s="237"/>
      <c r="G2786" s="237"/>
      <c r="H2786" s="237"/>
    </row>
    <row r="2787" spans="1:8" hidden="1" x14ac:dyDescent="0.3">
      <c r="A2787" s="237"/>
      <c r="B2787" s="237"/>
      <c r="C2787" s="238"/>
      <c r="D2787" s="237"/>
      <c r="E2787" s="237"/>
      <c r="F2787" s="237"/>
      <c r="G2787" s="237"/>
      <c r="H2787" s="237"/>
    </row>
    <row r="2788" spans="1:8" hidden="1" x14ac:dyDescent="0.3">
      <c r="A2788" s="237"/>
      <c r="B2788" s="237"/>
      <c r="C2788" s="238"/>
      <c r="D2788" s="237"/>
      <c r="E2788" s="237"/>
      <c r="F2788" s="237"/>
      <c r="G2788" s="237"/>
      <c r="H2788" s="237"/>
    </row>
    <row r="2789" spans="1:8" hidden="1" x14ac:dyDescent="0.3">
      <c r="A2789" s="237"/>
      <c r="B2789" s="237"/>
      <c r="C2789" s="238"/>
      <c r="D2789" s="237"/>
      <c r="E2789" s="237"/>
      <c r="F2789" s="237"/>
      <c r="G2789" s="237"/>
      <c r="H2789" s="237"/>
    </row>
    <row r="2790" spans="1:8" hidden="1" x14ac:dyDescent="0.3">
      <c r="A2790" s="237"/>
      <c r="B2790" s="237"/>
      <c r="C2790" s="238"/>
      <c r="D2790" s="237"/>
      <c r="E2790" s="237"/>
      <c r="F2790" s="237"/>
      <c r="G2790" s="237"/>
      <c r="H2790" s="237"/>
    </row>
    <row r="2791" spans="1:8" hidden="1" x14ac:dyDescent="0.3">
      <c r="A2791" s="237"/>
      <c r="B2791" s="237"/>
      <c r="C2791" s="238"/>
      <c r="D2791" s="237"/>
      <c r="E2791" s="237"/>
      <c r="F2791" s="237"/>
      <c r="G2791" s="237"/>
      <c r="H2791" s="237"/>
    </row>
    <row r="2792" spans="1:8" hidden="1" x14ac:dyDescent="0.3">
      <c r="A2792" s="237"/>
      <c r="B2792" s="237"/>
      <c r="C2792" s="238"/>
      <c r="D2792" s="237"/>
      <c r="E2792" s="237"/>
      <c r="F2792" s="237"/>
      <c r="G2792" s="237"/>
      <c r="H2792" s="237"/>
    </row>
    <row r="2793" spans="1:8" hidden="1" x14ac:dyDescent="0.3">
      <c r="A2793" s="237"/>
      <c r="B2793" s="237"/>
      <c r="C2793" s="238"/>
      <c r="D2793" s="237"/>
      <c r="E2793" s="237"/>
      <c r="F2793" s="237"/>
      <c r="G2793" s="237"/>
      <c r="H2793" s="237"/>
    </row>
    <row r="2794" spans="1:8" hidden="1" x14ac:dyDescent="0.3">
      <c r="A2794" s="237"/>
      <c r="B2794" s="237"/>
      <c r="C2794" s="238"/>
      <c r="D2794" s="237"/>
      <c r="E2794" s="237"/>
      <c r="F2794" s="237"/>
      <c r="G2794" s="237"/>
      <c r="H2794" s="237"/>
    </row>
    <row r="2795" spans="1:8" hidden="1" x14ac:dyDescent="0.3">
      <c r="A2795" s="237"/>
      <c r="B2795" s="237"/>
      <c r="C2795" s="238"/>
      <c r="D2795" s="237"/>
      <c r="E2795" s="237"/>
      <c r="F2795" s="237"/>
      <c r="G2795" s="237"/>
      <c r="H2795" s="237"/>
    </row>
    <row r="2796" spans="1:8" hidden="1" x14ac:dyDescent="0.3">
      <c r="A2796" s="237"/>
      <c r="B2796" s="237"/>
      <c r="C2796" s="238"/>
      <c r="D2796" s="237"/>
      <c r="E2796" s="237"/>
      <c r="F2796" s="237"/>
      <c r="G2796" s="237"/>
      <c r="H2796" s="237"/>
    </row>
    <row r="2797" spans="1:8" hidden="1" x14ac:dyDescent="0.3">
      <c r="A2797" s="237"/>
      <c r="B2797" s="237"/>
      <c r="C2797" s="238"/>
      <c r="D2797" s="237"/>
      <c r="E2797" s="237"/>
      <c r="F2797" s="237"/>
      <c r="G2797" s="237"/>
      <c r="H2797" s="237"/>
    </row>
    <row r="2798" spans="1:8" hidden="1" x14ac:dyDescent="0.3">
      <c r="A2798" s="237"/>
      <c r="B2798" s="237"/>
      <c r="C2798" s="238"/>
      <c r="D2798" s="237"/>
      <c r="E2798" s="237"/>
      <c r="F2798" s="237"/>
      <c r="G2798" s="237"/>
      <c r="H2798" s="237"/>
    </row>
    <row r="2799" spans="1:8" hidden="1" x14ac:dyDescent="0.3">
      <c r="A2799" s="237"/>
      <c r="B2799" s="237"/>
      <c r="C2799" s="238"/>
      <c r="D2799" s="237"/>
      <c r="E2799" s="237"/>
      <c r="F2799" s="237"/>
      <c r="G2799" s="237"/>
      <c r="H2799" s="237"/>
    </row>
    <row r="2800" spans="1:8" hidden="1" x14ac:dyDescent="0.3">
      <c r="A2800" s="237"/>
      <c r="B2800" s="237"/>
      <c r="C2800" s="238"/>
      <c r="D2800" s="237"/>
      <c r="E2800" s="237"/>
      <c r="F2800" s="237"/>
      <c r="G2800" s="237"/>
      <c r="H2800" s="237"/>
    </row>
    <row r="2801" spans="1:8" hidden="1" x14ac:dyDescent="0.3">
      <c r="A2801" s="237"/>
      <c r="B2801" s="237"/>
      <c r="C2801" s="238"/>
      <c r="D2801" s="237"/>
      <c r="E2801" s="237"/>
      <c r="F2801" s="237"/>
      <c r="G2801" s="237"/>
      <c r="H2801" s="237"/>
    </row>
    <row r="2802" spans="1:8" hidden="1" x14ac:dyDescent="0.3">
      <c r="A2802" s="237"/>
      <c r="B2802" s="237"/>
      <c r="C2802" s="238"/>
      <c r="D2802" s="237"/>
      <c r="E2802" s="237"/>
      <c r="F2802" s="237"/>
      <c r="G2802" s="237"/>
      <c r="H2802" s="237"/>
    </row>
    <row r="2803" spans="1:8" hidden="1" x14ac:dyDescent="0.3">
      <c r="A2803" s="237"/>
      <c r="B2803" s="237"/>
      <c r="C2803" s="238"/>
      <c r="D2803" s="237"/>
      <c r="E2803" s="237"/>
      <c r="F2803" s="237"/>
      <c r="G2803" s="237"/>
      <c r="H2803" s="237"/>
    </row>
    <row r="2804" spans="1:8" hidden="1" x14ac:dyDescent="0.3">
      <c r="A2804" s="237"/>
      <c r="B2804" s="237"/>
      <c r="C2804" s="238"/>
      <c r="D2804" s="237"/>
      <c r="E2804" s="237"/>
      <c r="F2804" s="237"/>
      <c r="G2804" s="237"/>
      <c r="H2804" s="237"/>
    </row>
    <row r="2805" spans="1:8" hidden="1" x14ac:dyDescent="0.3">
      <c r="A2805" s="237"/>
      <c r="B2805" s="237"/>
      <c r="C2805" s="238"/>
      <c r="D2805" s="237"/>
      <c r="E2805" s="237"/>
      <c r="F2805" s="237"/>
      <c r="G2805" s="237"/>
      <c r="H2805" s="237"/>
    </row>
    <row r="2806" spans="1:8" hidden="1" x14ac:dyDescent="0.3">
      <c r="A2806" s="237"/>
      <c r="B2806" s="237"/>
      <c r="C2806" s="238"/>
      <c r="D2806" s="237"/>
      <c r="E2806" s="237"/>
      <c r="F2806" s="237"/>
      <c r="G2806" s="237"/>
      <c r="H2806" s="237"/>
    </row>
    <row r="2807" spans="1:8" hidden="1" x14ac:dyDescent="0.3">
      <c r="A2807" s="237"/>
      <c r="B2807" s="237"/>
      <c r="C2807" s="238"/>
      <c r="D2807" s="237"/>
      <c r="E2807" s="237"/>
      <c r="F2807" s="237"/>
      <c r="G2807" s="237"/>
      <c r="H2807" s="237"/>
    </row>
    <row r="2808" spans="1:8" hidden="1" x14ac:dyDescent="0.3">
      <c r="A2808" s="237"/>
      <c r="B2808" s="237"/>
      <c r="C2808" s="238"/>
      <c r="D2808" s="237"/>
      <c r="E2808" s="237"/>
      <c r="F2808" s="237"/>
      <c r="G2808" s="237"/>
      <c r="H2808" s="237"/>
    </row>
    <row r="2809" spans="1:8" hidden="1" x14ac:dyDescent="0.3">
      <c r="A2809" s="237"/>
      <c r="B2809" s="237"/>
      <c r="C2809" s="238"/>
      <c r="D2809" s="237"/>
      <c r="E2809" s="237"/>
      <c r="F2809" s="237"/>
      <c r="G2809" s="237"/>
      <c r="H2809" s="237"/>
    </row>
    <row r="2810" spans="1:8" hidden="1" x14ac:dyDescent="0.3">
      <c r="A2810" s="237"/>
      <c r="B2810" s="237"/>
      <c r="C2810" s="238"/>
      <c r="D2810" s="237"/>
      <c r="E2810" s="237"/>
      <c r="F2810" s="237"/>
      <c r="G2810" s="237"/>
      <c r="H2810" s="237"/>
    </row>
    <row r="2811" spans="1:8" hidden="1" x14ac:dyDescent="0.3">
      <c r="A2811" s="237"/>
      <c r="B2811" s="237"/>
      <c r="C2811" s="238"/>
      <c r="D2811" s="237"/>
      <c r="E2811" s="237"/>
      <c r="F2811" s="237"/>
      <c r="G2811" s="237"/>
      <c r="H2811" s="237"/>
    </row>
    <row r="2812" spans="1:8" hidden="1" x14ac:dyDescent="0.3">
      <c r="A2812" s="237"/>
      <c r="B2812" s="237"/>
      <c r="C2812" s="238"/>
      <c r="D2812" s="237"/>
      <c r="E2812" s="237"/>
      <c r="F2812" s="237"/>
      <c r="G2812" s="237"/>
      <c r="H2812" s="237"/>
    </row>
    <row r="2813" spans="1:8" hidden="1" x14ac:dyDescent="0.3">
      <c r="A2813" s="237"/>
      <c r="B2813" s="237"/>
      <c r="C2813" s="238"/>
      <c r="D2813" s="237"/>
      <c r="E2813" s="237"/>
      <c r="F2813" s="237"/>
      <c r="G2813" s="237"/>
      <c r="H2813" s="237"/>
    </row>
    <row r="2814" spans="1:8" hidden="1" x14ac:dyDescent="0.3">
      <c r="A2814" s="237"/>
      <c r="B2814" s="237"/>
      <c r="C2814" s="238"/>
      <c r="D2814" s="237"/>
      <c r="E2814" s="237"/>
      <c r="F2814" s="237"/>
      <c r="G2814" s="237"/>
      <c r="H2814" s="237"/>
    </row>
    <row r="2815" spans="1:8" hidden="1" x14ac:dyDescent="0.3">
      <c r="A2815" s="237"/>
      <c r="B2815" s="237"/>
      <c r="C2815" s="238"/>
      <c r="D2815" s="237"/>
      <c r="E2815" s="237"/>
      <c r="F2815" s="237"/>
      <c r="G2815" s="237"/>
      <c r="H2815" s="237"/>
    </row>
    <row r="2816" spans="1:8" hidden="1" x14ac:dyDescent="0.3">
      <c r="A2816" s="237"/>
      <c r="B2816" s="237"/>
      <c r="C2816" s="238"/>
      <c r="D2816" s="237"/>
      <c r="E2816" s="237"/>
      <c r="F2816" s="237"/>
      <c r="G2816" s="237"/>
      <c r="H2816" s="237"/>
    </row>
    <row r="2817" spans="1:8" hidden="1" x14ac:dyDescent="0.3">
      <c r="A2817" s="237"/>
      <c r="B2817" s="237"/>
      <c r="C2817" s="238"/>
      <c r="D2817" s="237"/>
      <c r="E2817" s="237"/>
      <c r="F2817" s="237"/>
      <c r="G2817" s="237"/>
      <c r="H2817" s="237"/>
    </row>
    <row r="2818" spans="1:8" hidden="1" x14ac:dyDescent="0.3">
      <c r="A2818" s="237"/>
      <c r="B2818" s="237"/>
      <c r="C2818" s="238"/>
      <c r="D2818" s="237"/>
      <c r="E2818" s="237"/>
      <c r="F2818" s="237"/>
      <c r="G2818" s="237"/>
      <c r="H2818" s="237"/>
    </row>
    <row r="2819" spans="1:8" hidden="1" x14ac:dyDescent="0.3">
      <c r="A2819" s="237"/>
      <c r="B2819" s="237"/>
      <c r="C2819" s="238"/>
      <c r="D2819" s="237"/>
      <c r="E2819" s="237"/>
      <c r="F2819" s="237"/>
      <c r="G2819" s="237"/>
      <c r="H2819" s="237"/>
    </row>
    <row r="2820" spans="1:8" hidden="1" x14ac:dyDescent="0.3">
      <c r="A2820" s="237"/>
      <c r="B2820" s="237"/>
      <c r="C2820" s="238"/>
      <c r="D2820" s="237"/>
      <c r="E2820" s="237"/>
      <c r="F2820" s="237"/>
      <c r="G2820" s="237"/>
      <c r="H2820" s="237"/>
    </row>
    <row r="2821" spans="1:8" hidden="1" x14ac:dyDescent="0.3">
      <c r="A2821" s="237"/>
      <c r="B2821" s="237"/>
      <c r="C2821" s="238"/>
      <c r="D2821" s="237"/>
      <c r="E2821" s="237"/>
      <c r="F2821" s="237"/>
      <c r="G2821" s="237"/>
      <c r="H2821" s="237"/>
    </row>
    <row r="2822" spans="1:8" hidden="1" x14ac:dyDescent="0.3">
      <c r="A2822" s="237"/>
      <c r="B2822" s="237"/>
      <c r="C2822" s="238"/>
      <c r="D2822" s="237"/>
      <c r="E2822" s="237"/>
      <c r="F2822" s="237"/>
      <c r="G2822" s="237"/>
      <c r="H2822" s="237"/>
    </row>
    <row r="2823" spans="1:8" hidden="1" x14ac:dyDescent="0.3">
      <c r="A2823" s="237"/>
      <c r="B2823" s="237"/>
      <c r="C2823" s="238"/>
      <c r="D2823" s="237"/>
      <c r="E2823" s="237"/>
      <c r="F2823" s="237"/>
      <c r="G2823" s="237"/>
      <c r="H2823" s="237"/>
    </row>
    <row r="2824" spans="1:8" hidden="1" x14ac:dyDescent="0.3">
      <c r="A2824" s="237"/>
      <c r="B2824" s="237"/>
      <c r="C2824" s="238"/>
      <c r="D2824" s="237"/>
      <c r="E2824" s="237"/>
      <c r="F2824" s="237"/>
      <c r="G2824" s="237"/>
      <c r="H2824" s="237"/>
    </row>
    <row r="2825" spans="1:8" hidden="1" x14ac:dyDescent="0.3">
      <c r="A2825" s="237"/>
      <c r="B2825" s="237"/>
      <c r="C2825" s="238"/>
      <c r="D2825" s="237"/>
      <c r="E2825" s="237"/>
      <c r="F2825" s="237"/>
      <c r="G2825" s="237"/>
      <c r="H2825" s="237"/>
    </row>
    <row r="2826" spans="1:8" hidden="1" x14ac:dyDescent="0.3">
      <c r="A2826" s="237"/>
      <c r="B2826" s="237"/>
      <c r="C2826" s="238"/>
      <c r="D2826" s="237"/>
      <c r="E2826" s="237"/>
      <c r="F2826" s="237"/>
      <c r="G2826" s="237"/>
      <c r="H2826" s="237"/>
    </row>
    <row r="2827" spans="1:8" hidden="1" x14ac:dyDescent="0.3">
      <c r="A2827" s="237"/>
      <c r="B2827" s="237"/>
      <c r="C2827" s="238"/>
      <c r="D2827" s="237"/>
      <c r="E2827" s="237"/>
      <c r="F2827" s="237"/>
      <c r="G2827" s="237"/>
      <c r="H2827" s="237"/>
    </row>
    <row r="2828" spans="1:8" hidden="1" x14ac:dyDescent="0.3">
      <c r="A2828" s="237"/>
      <c r="B2828" s="237"/>
      <c r="C2828" s="238"/>
      <c r="D2828" s="237"/>
      <c r="E2828" s="237"/>
      <c r="F2828" s="237"/>
      <c r="G2828" s="237"/>
      <c r="H2828" s="237"/>
    </row>
    <row r="2829" spans="1:8" hidden="1" x14ac:dyDescent="0.3">
      <c r="A2829" s="237"/>
      <c r="B2829" s="237"/>
      <c r="C2829" s="238"/>
      <c r="D2829" s="237"/>
      <c r="E2829" s="237"/>
      <c r="F2829" s="237"/>
      <c r="G2829" s="237"/>
      <c r="H2829" s="237"/>
    </row>
    <row r="2830" spans="1:8" hidden="1" x14ac:dyDescent="0.3">
      <c r="A2830" s="237"/>
      <c r="B2830" s="237"/>
      <c r="C2830" s="238"/>
      <c r="D2830" s="237"/>
      <c r="E2830" s="237"/>
      <c r="F2830" s="237"/>
      <c r="G2830" s="237"/>
      <c r="H2830" s="237"/>
    </row>
    <row r="2831" spans="1:8" hidden="1" x14ac:dyDescent="0.3">
      <c r="A2831" s="237"/>
      <c r="B2831" s="237"/>
      <c r="C2831" s="238"/>
      <c r="D2831" s="237"/>
      <c r="E2831" s="237"/>
      <c r="F2831" s="237"/>
      <c r="G2831" s="237"/>
      <c r="H2831" s="237"/>
    </row>
    <row r="2832" spans="1:8" hidden="1" x14ac:dyDescent="0.3">
      <c r="A2832" s="237"/>
      <c r="B2832" s="237"/>
      <c r="C2832" s="238"/>
      <c r="D2832" s="237"/>
      <c r="E2832" s="237"/>
      <c r="F2832" s="237"/>
      <c r="G2832" s="237"/>
      <c r="H2832" s="237"/>
    </row>
    <row r="2833" spans="1:8" hidden="1" x14ac:dyDescent="0.3">
      <c r="A2833" s="237"/>
      <c r="B2833" s="237"/>
      <c r="C2833" s="238"/>
      <c r="D2833" s="237"/>
      <c r="E2833" s="237"/>
      <c r="F2833" s="237"/>
      <c r="G2833" s="237"/>
      <c r="H2833" s="237"/>
    </row>
    <row r="2834" spans="1:8" hidden="1" x14ac:dyDescent="0.3">
      <c r="A2834" s="237"/>
      <c r="B2834" s="237"/>
      <c r="C2834" s="238"/>
      <c r="D2834" s="237"/>
      <c r="E2834" s="237"/>
      <c r="F2834" s="237"/>
      <c r="G2834" s="237"/>
      <c r="H2834" s="237"/>
    </row>
    <row r="2835" spans="1:8" hidden="1" x14ac:dyDescent="0.3">
      <c r="A2835" s="237"/>
      <c r="B2835" s="237"/>
      <c r="C2835" s="238"/>
      <c r="D2835" s="237"/>
      <c r="E2835" s="237"/>
      <c r="F2835" s="237"/>
      <c r="G2835" s="237"/>
      <c r="H2835" s="237"/>
    </row>
    <row r="2836" spans="1:8" hidden="1" x14ac:dyDescent="0.3">
      <c r="A2836" s="237"/>
      <c r="B2836" s="237"/>
      <c r="C2836" s="238"/>
      <c r="D2836" s="237"/>
      <c r="E2836" s="237"/>
      <c r="F2836" s="237"/>
      <c r="G2836" s="237"/>
      <c r="H2836" s="237"/>
    </row>
    <row r="2837" spans="1:8" hidden="1" x14ac:dyDescent="0.3">
      <c r="A2837" s="237"/>
      <c r="B2837" s="237"/>
      <c r="C2837" s="238"/>
      <c r="D2837" s="237"/>
      <c r="E2837" s="237"/>
      <c r="F2837" s="237"/>
      <c r="G2837" s="237"/>
      <c r="H2837" s="237"/>
    </row>
    <row r="2838" spans="1:8" hidden="1" x14ac:dyDescent="0.3">
      <c r="A2838" s="237"/>
      <c r="B2838" s="237"/>
      <c r="C2838" s="238"/>
      <c r="D2838" s="237"/>
      <c r="E2838" s="237"/>
      <c r="F2838" s="237"/>
      <c r="G2838" s="237"/>
      <c r="H2838" s="237"/>
    </row>
    <row r="2839" spans="1:8" hidden="1" x14ac:dyDescent="0.3">
      <c r="A2839" s="237"/>
      <c r="B2839" s="237"/>
      <c r="C2839" s="238"/>
      <c r="D2839" s="237"/>
      <c r="E2839" s="237"/>
      <c r="F2839" s="237"/>
      <c r="G2839" s="237"/>
      <c r="H2839" s="237"/>
    </row>
    <row r="2840" spans="1:8" hidden="1" x14ac:dyDescent="0.3">
      <c r="A2840" s="237"/>
      <c r="B2840" s="237"/>
      <c r="C2840" s="238"/>
      <c r="D2840" s="237"/>
      <c r="E2840" s="237"/>
      <c r="F2840" s="237"/>
      <c r="G2840" s="237"/>
      <c r="H2840" s="237"/>
    </row>
    <row r="2841" spans="1:8" hidden="1" x14ac:dyDescent="0.3">
      <c r="A2841" s="237"/>
      <c r="B2841" s="237"/>
      <c r="C2841" s="238"/>
      <c r="D2841" s="237"/>
      <c r="E2841" s="237"/>
      <c r="F2841" s="237"/>
      <c r="G2841" s="237"/>
      <c r="H2841" s="237"/>
    </row>
    <row r="2842" spans="1:8" hidden="1" x14ac:dyDescent="0.3">
      <c r="A2842" s="237"/>
      <c r="B2842" s="237"/>
      <c r="C2842" s="238"/>
      <c r="D2842" s="237"/>
      <c r="E2842" s="237"/>
      <c r="F2842" s="237"/>
      <c r="G2842" s="237"/>
      <c r="H2842" s="237"/>
    </row>
    <row r="2843" spans="1:8" hidden="1" x14ac:dyDescent="0.3">
      <c r="A2843" s="237"/>
      <c r="B2843" s="237"/>
      <c r="C2843" s="238"/>
      <c r="D2843" s="237"/>
      <c r="E2843" s="237"/>
      <c r="F2843" s="237"/>
      <c r="G2843" s="237"/>
      <c r="H2843" s="237"/>
    </row>
    <row r="2844" spans="1:8" hidden="1" x14ac:dyDescent="0.3">
      <c r="A2844" s="237"/>
      <c r="B2844" s="237"/>
      <c r="C2844" s="238"/>
      <c r="D2844" s="237"/>
      <c r="E2844" s="237"/>
      <c r="F2844" s="237"/>
      <c r="G2844" s="237"/>
      <c r="H2844" s="237"/>
    </row>
    <row r="2845" spans="1:8" hidden="1" x14ac:dyDescent="0.3">
      <c r="A2845" s="237"/>
      <c r="B2845" s="237"/>
      <c r="C2845" s="238"/>
      <c r="D2845" s="237"/>
      <c r="E2845" s="237"/>
      <c r="F2845" s="237"/>
      <c r="G2845" s="237"/>
      <c r="H2845" s="237"/>
    </row>
    <row r="2846" spans="1:8" hidden="1" x14ac:dyDescent="0.3">
      <c r="A2846" s="237"/>
      <c r="B2846" s="237"/>
      <c r="C2846" s="238"/>
      <c r="D2846" s="237"/>
      <c r="E2846" s="237"/>
      <c r="F2846" s="237"/>
      <c r="G2846" s="237"/>
      <c r="H2846" s="237"/>
    </row>
    <row r="2847" spans="1:8" hidden="1" x14ac:dyDescent="0.3">
      <c r="A2847" s="237"/>
      <c r="B2847" s="237"/>
      <c r="C2847" s="238"/>
      <c r="D2847" s="237"/>
      <c r="E2847" s="237"/>
      <c r="F2847" s="237"/>
      <c r="G2847" s="237"/>
      <c r="H2847" s="237"/>
    </row>
    <row r="2848" spans="1:8" hidden="1" x14ac:dyDescent="0.3">
      <c r="A2848" s="237"/>
      <c r="B2848" s="237"/>
      <c r="C2848" s="238"/>
      <c r="D2848" s="237"/>
      <c r="E2848" s="237"/>
      <c r="F2848" s="237"/>
      <c r="G2848" s="237"/>
      <c r="H2848" s="237"/>
    </row>
    <row r="2849" spans="1:8" hidden="1" x14ac:dyDescent="0.3">
      <c r="A2849" s="237"/>
      <c r="B2849" s="237"/>
      <c r="C2849" s="238"/>
      <c r="D2849" s="237"/>
      <c r="E2849" s="237"/>
      <c r="F2849" s="237"/>
      <c r="G2849" s="237"/>
      <c r="H2849" s="237"/>
    </row>
    <row r="2850" spans="1:8" hidden="1" x14ac:dyDescent="0.3">
      <c r="A2850" s="237"/>
      <c r="B2850" s="237"/>
      <c r="C2850" s="238"/>
      <c r="D2850" s="237"/>
      <c r="E2850" s="237"/>
      <c r="F2850" s="237"/>
      <c r="G2850" s="237"/>
      <c r="H2850" s="237"/>
    </row>
    <row r="2851" spans="1:8" hidden="1" x14ac:dyDescent="0.3">
      <c r="A2851" s="237"/>
      <c r="B2851" s="237"/>
      <c r="C2851" s="238"/>
      <c r="D2851" s="237"/>
      <c r="E2851" s="237"/>
      <c r="F2851" s="237"/>
      <c r="G2851" s="237"/>
      <c r="H2851" s="237"/>
    </row>
    <row r="2852" spans="1:8" hidden="1" x14ac:dyDescent="0.3">
      <c r="A2852" s="237"/>
      <c r="B2852" s="237"/>
      <c r="C2852" s="238"/>
      <c r="D2852" s="237"/>
      <c r="E2852" s="237"/>
      <c r="F2852" s="237"/>
      <c r="G2852" s="237"/>
      <c r="H2852" s="237"/>
    </row>
    <row r="2853" spans="1:8" hidden="1" x14ac:dyDescent="0.3">
      <c r="A2853" s="237"/>
      <c r="B2853" s="237"/>
      <c r="C2853" s="238"/>
      <c r="D2853" s="237"/>
      <c r="E2853" s="237"/>
      <c r="F2853" s="237"/>
      <c r="G2853" s="237"/>
      <c r="H2853" s="237"/>
    </row>
    <row r="2854" spans="1:8" hidden="1" x14ac:dyDescent="0.3">
      <c r="A2854" s="237"/>
      <c r="B2854" s="237"/>
      <c r="C2854" s="238"/>
      <c r="D2854" s="237"/>
      <c r="E2854" s="237"/>
      <c r="F2854" s="237"/>
      <c r="G2854" s="237"/>
      <c r="H2854" s="237"/>
    </row>
    <row r="2855" spans="1:8" hidden="1" x14ac:dyDescent="0.3">
      <c r="A2855" s="237"/>
      <c r="B2855" s="237"/>
      <c r="C2855" s="238"/>
      <c r="D2855" s="237"/>
      <c r="E2855" s="237"/>
      <c r="F2855" s="237"/>
      <c r="G2855" s="237"/>
      <c r="H2855" s="237"/>
    </row>
    <row r="2856" spans="1:8" hidden="1" x14ac:dyDescent="0.3">
      <c r="A2856" s="237"/>
      <c r="B2856" s="237"/>
      <c r="C2856" s="238"/>
      <c r="D2856" s="237"/>
      <c r="E2856" s="237"/>
      <c r="F2856" s="237"/>
      <c r="G2856" s="237"/>
      <c r="H2856" s="237"/>
    </row>
    <row r="2857" spans="1:8" hidden="1" x14ac:dyDescent="0.3">
      <c r="A2857" s="237"/>
      <c r="B2857" s="237"/>
      <c r="C2857" s="238"/>
      <c r="D2857" s="237"/>
      <c r="E2857" s="237"/>
      <c r="F2857" s="237"/>
      <c r="G2857" s="237"/>
      <c r="H2857" s="237"/>
    </row>
    <row r="2858" spans="1:8" hidden="1" x14ac:dyDescent="0.3">
      <c r="A2858" s="237"/>
      <c r="B2858" s="237"/>
      <c r="C2858" s="238"/>
      <c r="D2858" s="237"/>
      <c r="E2858" s="237"/>
      <c r="F2858" s="237"/>
      <c r="G2858" s="237"/>
      <c r="H2858" s="237"/>
    </row>
    <row r="2859" spans="1:8" hidden="1" x14ac:dyDescent="0.3">
      <c r="A2859" s="237"/>
      <c r="B2859" s="237"/>
      <c r="C2859" s="238"/>
      <c r="D2859" s="237"/>
      <c r="E2859" s="237"/>
      <c r="F2859" s="237"/>
      <c r="G2859" s="237"/>
      <c r="H2859" s="237"/>
    </row>
    <row r="2860" spans="1:8" hidden="1" x14ac:dyDescent="0.3">
      <c r="A2860" s="237"/>
      <c r="B2860" s="237"/>
      <c r="C2860" s="238"/>
      <c r="D2860" s="237"/>
      <c r="E2860" s="237"/>
      <c r="F2860" s="237"/>
      <c r="G2860" s="237"/>
      <c r="H2860" s="237"/>
    </row>
    <row r="2861" spans="1:8" hidden="1" x14ac:dyDescent="0.3">
      <c r="A2861" s="237"/>
      <c r="B2861" s="237"/>
      <c r="C2861" s="238"/>
      <c r="D2861" s="237"/>
      <c r="E2861" s="237"/>
      <c r="F2861" s="237"/>
      <c r="G2861" s="237"/>
      <c r="H2861" s="237"/>
    </row>
    <row r="2862" spans="1:8" hidden="1" x14ac:dyDescent="0.3">
      <c r="A2862" s="237"/>
      <c r="B2862" s="237"/>
      <c r="C2862" s="238"/>
      <c r="D2862" s="237"/>
      <c r="E2862" s="237"/>
      <c r="F2862" s="237"/>
      <c r="G2862" s="237"/>
      <c r="H2862" s="237"/>
    </row>
    <row r="2863" spans="1:8" hidden="1" x14ac:dyDescent="0.3">
      <c r="A2863" s="237"/>
      <c r="B2863" s="237"/>
      <c r="C2863" s="238"/>
      <c r="D2863" s="237"/>
      <c r="E2863" s="237"/>
      <c r="F2863" s="237"/>
      <c r="G2863" s="237"/>
      <c r="H2863" s="237"/>
    </row>
    <row r="2864" spans="1:8" hidden="1" x14ac:dyDescent="0.3">
      <c r="A2864" s="237"/>
      <c r="B2864" s="237"/>
      <c r="C2864" s="238"/>
      <c r="D2864" s="237"/>
      <c r="E2864" s="237"/>
      <c r="F2864" s="237"/>
      <c r="G2864" s="237"/>
      <c r="H2864" s="237"/>
    </row>
    <row r="2865" spans="1:8" hidden="1" x14ac:dyDescent="0.3">
      <c r="A2865" s="237"/>
      <c r="B2865" s="237"/>
      <c r="C2865" s="238"/>
      <c r="D2865" s="237"/>
      <c r="E2865" s="237"/>
      <c r="F2865" s="237"/>
      <c r="G2865" s="237"/>
      <c r="H2865" s="237"/>
    </row>
    <row r="2866" spans="1:8" hidden="1" x14ac:dyDescent="0.3">
      <c r="A2866" s="237"/>
      <c r="B2866" s="237"/>
      <c r="C2866" s="238"/>
      <c r="D2866" s="237"/>
      <c r="E2866" s="237"/>
      <c r="F2866" s="237"/>
      <c r="G2866" s="237"/>
      <c r="H2866" s="237"/>
    </row>
    <row r="2867" spans="1:8" hidden="1" x14ac:dyDescent="0.3">
      <c r="A2867" s="237"/>
      <c r="B2867" s="237"/>
      <c r="C2867" s="238"/>
      <c r="D2867" s="237"/>
      <c r="E2867" s="237"/>
      <c r="F2867" s="237"/>
      <c r="G2867" s="237"/>
      <c r="H2867" s="237"/>
    </row>
    <row r="2868" spans="1:8" hidden="1" x14ac:dyDescent="0.3">
      <c r="A2868" s="237"/>
      <c r="B2868" s="237"/>
      <c r="C2868" s="238"/>
      <c r="D2868" s="237"/>
      <c r="E2868" s="237"/>
      <c r="F2868" s="237"/>
      <c r="G2868" s="237"/>
      <c r="H2868" s="237"/>
    </row>
    <row r="2869" spans="1:8" hidden="1" x14ac:dyDescent="0.3">
      <c r="A2869" s="237"/>
      <c r="B2869" s="237"/>
      <c r="C2869" s="238"/>
      <c r="D2869" s="237"/>
      <c r="E2869" s="237"/>
      <c r="F2869" s="237"/>
      <c r="G2869" s="237"/>
      <c r="H2869" s="237"/>
    </row>
    <row r="2870" spans="1:8" hidden="1" x14ac:dyDescent="0.3">
      <c r="A2870" s="237"/>
      <c r="B2870" s="237"/>
      <c r="C2870" s="238"/>
      <c r="D2870" s="237"/>
      <c r="E2870" s="237"/>
      <c r="F2870" s="237"/>
      <c r="G2870" s="237"/>
      <c r="H2870" s="237"/>
    </row>
    <row r="2871" spans="1:8" hidden="1" x14ac:dyDescent="0.3">
      <c r="A2871" s="237"/>
      <c r="B2871" s="237"/>
      <c r="C2871" s="238"/>
      <c r="D2871" s="237"/>
      <c r="E2871" s="237"/>
      <c r="F2871" s="237"/>
      <c r="G2871" s="237"/>
      <c r="H2871" s="237"/>
    </row>
    <row r="2872" spans="1:8" hidden="1" x14ac:dyDescent="0.3">
      <c r="A2872" s="237"/>
      <c r="B2872" s="237"/>
      <c r="C2872" s="238"/>
      <c r="D2872" s="237"/>
      <c r="E2872" s="237"/>
      <c r="F2872" s="237"/>
      <c r="G2872" s="237"/>
      <c r="H2872" s="237"/>
    </row>
    <row r="2873" spans="1:8" hidden="1" x14ac:dyDescent="0.3">
      <c r="A2873" s="237"/>
      <c r="B2873" s="237"/>
      <c r="C2873" s="238"/>
      <c r="D2873" s="237"/>
      <c r="E2873" s="237"/>
      <c r="F2873" s="237"/>
      <c r="G2873" s="237"/>
      <c r="H2873" s="237"/>
    </row>
    <row r="2874" spans="1:8" hidden="1" x14ac:dyDescent="0.3">
      <c r="A2874" s="237"/>
      <c r="B2874" s="237"/>
      <c r="C2874" s="238"/>
      <c r="D2874" s="237"/>
      <c r="E2874" s="237"/>
      <c r="F2874" s="237"/>
      <c r="G2874" s="237"/>
      <c r="H2874" s="237"/>
    </row>
    <row r="2875" spans="1:8" hidden="1" x14ac:dyDescent="0.3">
      <c r="A2875" s="237"/>
      <c r="B2875" s="237"/>
      <c r="C2875" s="238"/>
      <c r="D2875" s="237"/>
      <c r="E2875" s="237"/>
      <c r="F2875" s="237"/>
      <c r="G2875" s="237"/>
      <c r="H2875" s="237"/>
    </row>
    <row r="2876" spans="1:8" hidden="1" x14ac:dyDescent="0.3">
      <c r="A2876" s="237"/>
      <c r="B2876" s="237"/>
      <c r="C2876" s="238"/>
      <c r="D2876" s="237"/>
      <c r="E2876" s="237"/>
      <c r="F2876" s="237"/>
      <c r="G2876" s="237"/>
      <c r="H2876" s="237"/>
    </row>
    <row r="2877" spans="1:8" hidden="1" x14ac:dyDescent="0.3">
      <c r="A2877" s="237"/>
      <c r="B2877" s="237"/>
      <c r="C2877" s="238"/>
      <c r="D2877" s="237"/>
      <c r="E2877" s="237"/>
      <c r="F2877" s="237"/>
      <c r="G2877" s="237"/>
      <c r="H2877" s="237"/>
    </row>
    <row r="2878" spans="1:8" hidden="1" x14ac:dyDescent="0.3">
      <c r="A2878" s="237"/>
      <c r="B2878" s="237"/>
      <c r="C2878" s="238"/>
      <c r="D2878" s="237"/>
      <c r="E2878" s="237"/>
      <c r="F2878" s="237"/>
      <c r="G2878" s="237"/>
      <c r="H2878" s="237"/>
    </row>
    <row r="2879" spans="1:8" hidden="1" x14ac:dyDescent="0.3">
      <c r="A2879" s="237"/>
      <c r="B2879" s="237"/>
      <c r="C2879" s="238"/>
      <c r="D2879" s="237"/>
      <c r="E2879" s="237"/>
      <c r="F2879" s="237"/>
      <c r="G2879" s="237"/>
      <c r="H2879" s="237"/>
    </row>
    <row r="2880" spans="1:8" hidden="1" x14ac:dyDescent="0.3">
      <c r="A2880" s="237"/>
      <c r="B2880" s="237"/>
      <c r="C2880" s="238"/>
      <c r="D2880" s="237"/>
      <c r="E2880" s="237"/>
      <c r="F2880" s="237"/>
      <c r="G2880" s="237"/>
      <c r="H2880" s="237"/>
    </row>
    <row r="2881" spans="1:8" hidden="1" x14ac:dyDescent="0.3">
      <c r="A2881" s="237"/>
      <c r="B2881" s="237"/>
      <c r="C2881" s="238"/>
      <c r="D2881" s="237"/>
      <c r="E2881" s="237"/>
      <c r="F2881" s="237"/>
      <c r="G2881" s="237"/>
      <c r="H2881" s="237"/>
    </row>
    <row r="2882" spans="1:8" hidden="1" x14ac:dyDescent="0.3">
      <c r="A2882" s="237"/>
      <c r="B2882" s="237"/>
      <c r="C2882" s="238"/>
      <c r="D2882" s="237"/>
      <c r="E2882" s="237"/>
      <c r="F2882" s="237"/>
      <c r="G2882" s="237"/>
      <c r="H2882" s="237"/>
    </row>
    <row r="2883" spans="1:8" hidden="1" x14ac:dyDescent="0.3">
      <c r="A2883" s="237"/>
      <c r="B2883" s="237"/>
      <c r="C2883" s="238"/>
      <c r="D2883" s="237"/>
      <c r="E2883" s="237"/>
      <c r="F2883" s="237"/>
      <c r="G2883" s="237"/>
      <c r="H2883" s="237"/>
    </row>
    <row r="2884" spans="1:8" hidden="1" x14ac:dyDescent="0.3">
      <c r="A2884" s="237"/>
      <c r="B2884" s="237"/>
      <c r="C2884" s="238"/>
      <c r="D2884" s="237"/>
      <c r="E2884" s="237"/>
      <c r="F2884" s="237"/>
      <c r="G2884" s="237"/>
      <c r="H2884" s="237"/>
    </row>
    <row r="2885" spans="1:8" hidden="1" x14ac:dyDescent="0.3">
      <c r="A2885" s="237"/>
      <c r="B2885" s="237"/>
      <c r="C2885" s="238"/>
      <c r="D2885" s="237"/>
      <c r="E2885" s="237"/>
      <c r="F2885" s="237"/>
      <c r="G2885" s="237"/>
      <c r="H2885" s="237"/>
    </row>
    <row r="2886" spans="1:8" hidden="1" x14ac:dyDescent="0.3">
      <c r="A2886" s="237"/>
      <c r="B2886" s="237"/>
      <c r="C2886" s="238"/>
      <c r="D2886" s="237"/>
      <c r="E2886" s="237"/>
      <c r="F2886" s="237"/>
      <c r="G2886" s="237"/>
      <c r="H2886" s="237"/>
    </row>
    <row r="2887" spans="1:8" hidden="1" x14ac:dyDescent="0.3">
      <c r="A2887" s="237"/>
      <c r="B2887" s="237"/>
      <c r="C2887" s="238"/>
      <c r="D2887" s="237"/>
      <c r="E2887" s="237"/>
      <c r="F2887" s="237"/>
      <c r="G2887" s="237"/>
      <c r="H2887" s="237"/>
    </row>
    <row r="2888" spans="1:8" hidden="1" x14ac:dyDescent="0.3">
      <c r="A2888" s="237"/>
      <c r="B2888" s="237"/>
      <c r="C2888" s="238"/>
      <c r="D2888" s="237"/>
      <c r="E2888" s="237"/>
      <c r="F2888" s="237"/>
      <c r="G2888" s="237"/>
      <c r="H2888" s="237"/>
    </row>
    <row r="2889" spans="1:8" hidden="1" x14ac:dyDescent="0.3">
      <c r="A2889" s="237"/>
      <c r="B2889" s="237"/>
      <c r="C2889" s="238"/>
      <c r="D2889" s="237"/>
      <c r="E2889" s="237"/>
      <c r="F2889" s="237"/>
      <c r="G2889" s="237"/>
      <c r="H2889" s="237"/>
    </row>
    <row r="2890" spans="1:8" hidden="1" x14ac:dyDescent="0.3">
      <c r="A2890" s="237"/>
      <c r="B2890" s="237"/>
      <c r="C2890" s="238"/>
      <c r="D2890" s="237"/>
      <c r="E2890" s="237"/>
      <c r="F2890" s="237"/>
      <c r="G2890" s="237"/>
      <c r="H2890" s="237"/>
    </row>
    <row r="2891" spans="1:8" hidden="1" x14ac:dyDescent="0.3">
      <c r="A2891" s="237"/>
      <c r="B2891" s="237"/>
      <c r="C2891" s="238"/>
      <c r="D2891" s="237"/>
      <c r="E2891" s="237"/>
      <c r="F2891" s="237"/>
      <c r="G2891" s="237"/>
      <c r="H2891" s="237"/>
    </row>
    <row r="2892" spans="1:8" hidden="1" x14ac:dyDescent="0.3">
      <c r="A2892" s="237"/>
      <c r="B2892" s="237"/>
      <c r="C2892" s="238"/>
      <c r="D2892" s="237"/>
      <c r="E2892" s="237"/>
      <c r="F2892" s="237"/>
      <c r="G2892" s="237"/>
      <c r="H2892" s="237"/>
    </row>
    <row r="2893" spans="1:8" hidden="1" x14ac:dyDescent="0.3">
      <c r="A2893" s="237"/>
      <c r="B2893" s="237"/>
      <c r="C2893" s="238"/>
      <c r="D2893" s="237"/>
      <c r="E2893" s="237"/>
      <c r="F2893" s="237"/>
      <c r="G2893" s="237"/>
      <c r="H2893" s="237"/>
    </row>
    <row r="2894" spans="1:8" hidden="1" x14ac:dyDescent="0.3">
      <c r="A2894" s="237"/>
      <c r="B2894" s="237"/>
      <c r="C2894" s="238"/>
      <c r="D2894" s="237"/>
      <c r="E2894" s="237"/>
      <c r="F2894" s="237"/>
      <c r="G2894" s="237"/>
      <c r="H2894" s="237"/>
    </row>
    <row r="2895" spans="1:8" hidden="1" x14ac:dyDescent="0.3">
      <c r="A2895" s="237"/>
      <c r="B2895" s="237"/>
      <c r="C2895" s="238"/>
      <c r="D2895" s="237"/>
      <c r="E2895" s="237"/>
      <c r="F2895" s="237"/>
      <c r="G2895" s="237"/>
      <c r="H2895" s="237"/>
    </row>
    <row r="2896" spans="1:8" hidden="1" x14ac:dyDescent="0.3">
      <c r="A2896" s="237"/>
      <c r="B2896" s="237"/>
      <c r="C2896" s="238"/>
      <c r="D2896" s="237"/>
      <c r="E2896" s="237"/>
      <c r="F2896" s="237"/>
      <c r="G2896" s="237"/>
      <c r="H2896" s="237"/>
    </row>
    <row r="2897" spans="1:8" hidden="1" x14ac:dyDescent="0.3">
      <c r="A2897" s="237"/>
      <c r="B2897" s="237"/>
      <c r="C2897" s="238"/>
      <c r="D2897" s="237"/>
      <c r="E2897" s="237"/>
      <c r="F2897" s="237"/>
      <c r="G2897" s="237"/>
      <c r="H2897" s="237"/>
    </row>
    <row r="2898" spans="1:8" hidden="1" x14ac:dyDescent="0.3">
      <c r="A2898" s="237"/>
      <c r="B2898" s="237"/>
      <c r="C2898" s="238"/>
      <c r="D2898" s="237"/>
      <c r="E2898" s="237"/>
      <c r="F2898" s="237"/>
      <c r="G2898" s="237"/>
      <c r="H2898" s="237"/>
    </row>
    <row r="2899" spans="1:8" hidden="1" x14ac:dyDescent="0.3">
      <c r="A2899" s="237"/>
      <c r="B2899" s="237"/>
      <c r="C2899" s="238"/>
      <c r="D2899" s="237"/>
      <c r="E2899" s="237"/>
      <c r="F2899" s="237"/>
      <c r="G2899" s="237"/>
      <c r="H2899" s="237"/>
    </row>
    <row r="2900" spans="1:8" hidden="1" x14ac:dyDescent="0.3">
      <c r="A2900" s="237"/>
      <c r="B2900" s="237"/>
      <c r="C2900" s="238"/>
      <c r="D2900" s="237"/>
      <c r="E2900" s="237"/>
      <c r="F2900" s="237"/>
      <c r="G2900" s="237"/>
      <c r="H2900" s="237"/>
    </row>
    <row r="2901" spans="1:8" hidden="1" x14ac:dyDescent="0.3">
      <c r="A2901" s="237"/>
      <c r="B2901" s="237"/>
      <c r="C2901" s="238"/>
      <c r="D2901" s="237"/>
      <c r="E2901" s="237"/>
      <c r="F2901" s="237"/>
      <c r="G2901" s="237"/>
      <c r="H2901" s="237"/>
    </row>
    <row r="2902" spans="1:8" hidden="1" x14ac:dyDescent="0.3">
      <c r="A2902" s="237"/>
      <c r="B2902" s="237"/>
      <c r="C2902" s="238"/>
      <c r="D2902" s="237"/>
      <c r="E2902" s="237"/>
      <c r="F2902" s="237"/>
      <c r="G2902" s="237"/>
      <c r="H2902" s="237"/>
    </row>
    <row r="2903" spans="1:8" hidden="1" x14ac:dyDescent="0.3">
      <c r="A2903" s="237"/>
      <c r="B2903" s="237"/>
      <c r="C2903" s="238"/>
      <c r="D2903" s="237"/>
      <c r="E2903" s="237"/>
      <c r="F2903" s="237"/>
      <c r="G2903" s="237"/>
      <c r="H2903" s="237"/>
    </row>
    <row r="2904" spans="1:8" hidden="1" x14ac:dyDescent="0.3">
      <c r="A2904" s="237"/>
      <c r="B2904" s="237"/>
      <c r="C2904" s="238"/>
      <c r="D2904" s="237"/>
      <c r="E2904" s="237"/>
      <c r="F2904" s="237"/>
      <c r="G2904" s="237"/>
      <c r="H2904" s="237"/>
    </row>
    <row r="2905" spans="1:8" hidden="1" x14ac:dyDescent="0.3">
      <c r="A2905" s="237"/>
      <c r="B2905" s="237"/>
      <c r="C2905" s="238"/>
      <c r="D2905" s="237"/>
      <c r="E2905" s="237"/>
      <c r="F2905" s="237"/>
      <c r="G2905" s="237"/>
      <c r="H2905" s="237"/>
    </row>
    <row r="2906" spans="1:8" hidden="1" x14ac:dyDescent="0.3">
      <c r="A2906" s="237"/>
      <c r="B2906" s="237"/>
      <c r="C2906" s="238"/>
      <c r="D2906" s="237"/>
      <c r="E2906" s="237"/>
      <c r="F2906" s="237"/>
      <c r="G2906" s="237"/>
      <c r="H2906" s="237"/>
    </row>
    <row r="2907" spans="1:8" hidden="1" x14ac:dyDescent="0.3">
      <c r="A2907" s="237"/>
      <c r="B2907" s="237"/>
      <c r="C2907" s="238"/>
      <c r="D2907" s="237"/>
      <c r="E2907" s="237"/>
      <c r="F2907" s="237"/>
      <c r="G2907" s="237"/>
      <c r="H2907" s="237"/>
    </row>
    <row r="2908" spans="1:8" hidden="1" x14ac:dyDescent="0.3">
      <c r="A2908" s="237"/>
      <c r="B2908" s="237"/>
      <c r="C2908" s="238"/>
      <c r="D2908" s="237"/>
      <c r="E2908" s="237"/>
      <c r="F2908" s="237"/>
      <c r="G2908" s="237"/>
      <c r="H2908" s="237"/>
    </row>
    <row r="2909" spans="1:8" hidden="1" x14ac:dyDescent="0.3">
      <c r="A2909" s="237"/>
      <c r="B2909" s="237"/>
      <c r="C2909" s="238"/>
      <c r="D2909" s="237"/>
      <c r="E2909" s="237"/>
      <c r="F2909" s="237"/>
      <c r="G2909" s="237"/>
      <c r="H2909" s="237"/>
    </row>
    <row r="2910" spans="1:8" hidden="1" x14ac:dyDescent="0.3">
      <c r="A2910" s="237"/>
      <c r="B2910" s="237"/>
      <c r="C2910" s="238"/>
      <c r="D2910" s="237"/>
      <c r="E2910" s="237"/>
      <c r="F2910" s="237"/>
      <c r="G2910" s="237"/>
      <c r="H2910" s="237"/>
    </row>
    <row r="2911" spans="1:8" hidden="1" x14ac:dyDescent="0.3">
      <c r="A2911" s="237"/>
      <c r="B2911" s="237"/>
      <c r="C2911" s="238"/>
      <c r="D2911" s="237"/>
      <c r="E2911" s="237"/>
      <c r="F2911" s="237"/>
      <c r="G2911" s="237"/>
      <c r="H2911" s="237"/>
    </row>
    <row r="2912" spans="1:8" hidden="1" x14ac:dyDescent="0.3">
      <c r="A2912" s="237"/>
      <c r="B2912" s="237"/>
      <c r="C2912" s="238"/>
      <c r="D2912" s="237"/>
      <c r="E2912" s="237"/>
      <c r="F2912" s="237"/>
      <c r="G2912" s="237"/>
      <c r="H2912" s="237"/>
    </row>
    <row r="2913" spans="1:8" hidden="1" x14ac:dyDescent="0.3">
      <c r="A2913" s="237"/>
      <c r="B2913" s="237"/>
      <c r="C2913" s="238"/>
      <c r="D2913" s="237"/>
      <c r="E2913" s="237"/>
      <c r="F2913" s="237"/>
      <c r="G2913" s="237"/>
      <c r="H2913" s="237"/>
    </row>
    <row r="2914" spans="1:8" hidden="1" x14ac:dyDescent="0.3">
      <c r="A2914" s="237"/>
      <c r="B2914" s="237"/>
      <c r="C2914" s="238"/>
      <c r="D2914" s="237"/>
      <c r="E2914" s="237"/>
      <c r="F2914" s="237"/>
      <c r="G2914" s="237"/>
      <c r="H2914" s="237"/>
    </row>
    <row r="2915" spans="1:8" hidden="1" x14ac:dyDescent="0.3">
      <c r="A2915" s="237"/>
      <c r="B2915" s="237"/>
      <c r="C2915" s="238"/>
      <c r="D2915" s="237"/>
      <c r="E2915" s="237"/>
      <c r="F2915" s="237"/>
      <c r="G2915" s="237"/>
      <c r="H2915" s="237"/>
    </row>
    <row r="2916" spans="1:8" hidden="1" x14ac:dyDescent="0.3">
      <c r="A2916" s="237"/>
      <c r="B2916" s="237"/>
      <c r="C2916" s="238"/>
      <c r="D2916" s="237"/>
      <c r="E2916" s="237"/>
      <c r="F2916" s="237"/>
      <c r="G2916" s="237"/>
      <c r="H2916" s="237"/>
    </row>
    <row r="2917" spans="1:8" hidden="1" x14ac:dyDescent="0.3">
      <c r="A2917" s="237"/>
      <c r="B2917" s="237"/>
      <c r="C2917" s="238"/>
      <c r="D2917" s="237"/>
      <c r="E2917" s="237"/>
      <c r="F2917" s="237"/>
      <c r="G2917" s="237"/>
      <c r="H2917" s="237"/>
    </row>
    <row r="2918" spans="1:8" hidden="1" x14ac:dyDescent="0.3">
      <c r="A2918" s="237"/>
      <c r="B2918" s="237"/>
      <c r="C2918" s="238"/>
      <c r="D2918" s="237"/>
      <c r="E2918" s="237"/>
      <c r="F2918" s="237"/>
      <c r="G2918" s="237"/>
      <c r="H2918" s="237"/>
    </row>
    <row r="2919" spans="1:8" hidden="1" x14ac:dyDescent="0.3">
      <c r="A2919" s="237"/>
      <c r="B2919" s="237"/>
      <c r="C2919" s="238"/>
      <c r="D2919" s="237"/>
      <c r="E2919" s="237"/>
      <c r="F2919" s="237"/>
      <c r="G2919" s="237"/>
      <c r="H2919" s="237"/>
    </row>
    <row r="2920" spans="1:8" hidden="1" x14ac:dyDescent="0.3">
      <c r="A2920" s="237"/>
      <c r="B2920" s="237"/>
      <c r="C2920" s="238"/>
      <c r="D2920" s="237"/>
      <c r="E2920" s="237"/>
      <c r="F2920" s="237"/>
      <c r="G2920" s="237"/>
      <c r="H2920" s="237"/>
    </row>
    <row r="2921" spans="1:8" hidden="1" x14ac:dyDescent="0.3">
      <c r="A2921" s="237"/>
      <c r="B2921" s="237"/>
      <c r="C2921" s="238"/>
      <c r="D2921" s="237"/>
      <c r="E2921" s="237"/>
      <c r="F2921" s="237"/>
      <c r="G2921" s="237"/>
      <c r="H2921" s="237"/>
    </row>
    <row r="2922" spans="1:8" hidden="1" x14ac:dyDescent="0.3">
      <c r="A2922" s="237"/>
      <c r="B2922" s="237"/>
      <c r="C2922" s="238"/>
      <c r="D2922" s="237"/>
      <c r="E2922" s="237"/>
      <c r="F2922" s="237"/>
      <c r="G2922" s="237"/>
      <c r="H2922" s="237"/>
    </row>
    <row r="2923" spans="1:8" hidden="1" x14ac:dyDescent="0.3">
      <c r="A2923" s="237"/>
      <c r="B2923" s="237"/>
      <c r="C2923" s="238"/>
      <c r="D2923" s="237"/>
      <c r="E2923" s="237"/>
      <c r="F2923" s="237"/>
      <c r="G2923" s="237"/>
      <c r="H2923" s="237"/>
    </row>
    <row r="2924" spans="1:8" hidden="1" x14ac:dyDescent="0.3">
      <c r="A2924" s="237"/>
      <c r="B2924" s="237"/>
      <c r="C2924" s="238"/>
      <c r="D2924" s="237"/>
      <c r="E2924" s="237"/>
      <c r="F2924" s="237"/>
      <c r="G2924" s="237"/>
      <c r="H2924" s="237"/>
    </row>
    <row r="2925" spans="1:8" hidden="1" x14ac:dyDescent="0.3">
      <c r="A2925" s="237"/>
      <c r="B2925" s="237"/>
      <c r="C2925" s="238"/>
      <c r="D2925" s="237"/>
      <c r="E2925" s="237"/>
      <c r="F2925" s="237"/>
      <c r="G2925" s="237"/>
      <c r="H2925" s="237"/>
    </row>
    <row r="2926" spans="1:8" hidden="1" x14ac:dyDescent="0.3">
      <c r="A2926" s="237"/>
      <c r="B2926" s="237"/>
      <c r="C2926" s="238"/>
      <c r="D2926" s="237"/>
      <c r="E2926" s="237"/>
      <c r="F2926" s="237"/>
      <c r="G2926" s="237"/>
      <c r="H2926" s="237"/>
    </row>
    <row r="2927" spans="1:8" hidden="1" x14ac:dyDescent="0.3">
      <c r="A2927" s="237"/>
      <c r="B2927" s="237"/>
      <c r="C2927" s="238"/>
      <c r="D2927" s="237"/>
      <c r="E2927" s="237"/>
      <c r="F2927" s="237"/>
      <c r="G2927" s="237"/>
      <c r="H2927" s="237"/>
    </row>
    <row r="2928" spans="1:8" hidden="1" x14ac:dyDescent="0.3">
      <c r="A2928" s="237"/>
      <c r="B2928" s="237"/>
      <c r="C2928" s="238"/>
      <c r="D2928" s="237"/>
      <c r="E2928" s="237"/>
      <c r="F2928" s="237"/>
      <c r="G2928" s="237"/>
      <c r="H2928" s="237"/>
    </row>
    <row r="2929" spans="1:8" hidden="1" x14ac:dyDescent="0.3">
      <c r="A2929" s="237"/>
      <c r="B2929" s="237"/>
      <c r="C2929" s="238"/>
      <c r="D2929" s="237"/>
      <c r="E2929" s="237"/>
      <c r="F2929" s="237"/>
      <c r="G2929" s="237"/>
      <c r="H2929" s="237"/>
    </row>
    <row r="2930" spans="1:8" hidden="1" x14ac:dyDescent="0.3">
      <c r="A2930" s="237"/>
      <c r="B2930" s="237"/>
      <c r="C2930" s="238"/>
      <c r="D2930" s="237"/>
      <c r="E2930" s="237"/>
      <c r="F2930" s="237"/>
      <c r="G2930" s="237"/>
      <c r="H2930" s="237"/>
    </row>
    <row r="2931" spans="1:8" hidden="1" x14ac:dyDescent="0.3">
      <c r="A2931" s="237"/>
      <c r="B2931" s="237"/>
      <c r="C2931" s="238"/>
      <c r="D2931" s="237"/>
      <c r="E2931" s="237"/>
      <c r="F2931" s="237"/>
      <c r="G2931" s="237"/>
      <c r="H2931" s="237"/>
    </row>
    <row r="2932" spans="1:8" hidden="1" x14ac:dyDescent="0.3">
      <c r="A2932" s="237"/>
      <c r="B2932" s="237"/>
      <c r="C2932" s="238"/>
      <c r="D2932" s="237"/>
      <c r="E2932" s="237"/>
      <c r="F2932" s="237"/>
      <c r="G2932" s="237"/>
      <c r="H2932" s="237"/>
    </row>
    <row r="2933" spans="1:8" hidden="1" x14ac:dyDescent="0.3">
      <c r="A2933" s="237"/>
      <c r="B2933" s="237"/>
      <c r="C2933" s="238"/>
      <c r="D2933" s="237"/>
      <c r="E2933" s="237"/>
      <c r="F2933" s="237"/>
      <c r="G2933" s="237"/>
      <c r="H2933" s="237"/>
    </row>
    <row r="2934" spans="1:8" hidden="1" x14ac:dyDescent="0.3">
      <c r="A2934" s="237"/>
      <c r="B2934" s="237"/>
      <c r="C2934" s="238"/>
      <c r="D2934" s="237"/>
      <c r="E2934" s="237"/>
      <c r="F2934" s="237"/>
      <c r="G2934" s="237"/>
      <c r="H2934" s="237"/>
    </row>
    <row r="2935" spans="1:8" hidden="1" x14ac:dyDescent="0.3">
      <c r="A2935" s="237"/>
      <c r="B2935" s="237"/>
      <c r="C2935" s="238"/>
      <c r="D2935" s="237"/>
      <c r="E2935" s="237"/>
      <c r="F2935" s="237"/>
      <c r="G2935" s="237"/>
      <c r="H2935" s="237"/>
    </row>
    <row r="2936" spans="1:8" hidden="1" x14ac:dyDescent="0.3">
      <c r="A2936" s="237"/>
      <c r="B2936" s="237"/>
      <c r="C2936" s="238"/>
      <c r="D2936" s="237"/>
      <c r="E2936" s="237"/>
      <c r="F2936" s="237"/>
      <c r="G2936" s="237"/>
      <c r="H2936" s="237"/>
    </row>
    <row r="2937" spans="1:8" hidden="1" x14ac:dyDescent="0.3">
      <c r="A2937" s="237"/>
      <c r="B2937" s="237"/>
      <c r="C2937" s="238"/>
      <c r="D2937" s="237"/>
      <c r="E2937" s="237"/>
      <c r="F2937" s="237"/>
      <c r="G2937" s="237"/>
      <c r="H2937" s="237"/>
    </row>
    <row r="2938" spans="1:8" hidden="1" x14ac:dyDescent="0.3">
      <c r="A2938" s="237"/>
      <c r="B2938" s="237"/>
      <c r="C2938" s="238"/>
      <c r="D2938" s="237"/>
      <c r="E2938" s="237"/>
      <c r="F2938" s="237"/>
      <c r="G2938" s="237"/>
      <c r="H2938" s="237"/>
    </row>
    <row r="2939" spans="1:8" hidden="1" x14ac:dyDescent="0.3">
      <c r="A2939" s="237"/>
      <c r="B2939" s="237"/>
      <c r="C2939" s="238"/>
      <c r="D2939" s="237"/>
      <c r="E2939" s="237"/>
      <c r="F2939" s="237"/>
      <c r="G2939" s="237"/>
      <c r="H2939" s="237"/>
    </row>
    <row r="2940" spans="1:8" hidden="1" x14ac:dyDescent="0.3">
      <c r="A2940" s="237"/>
      <c r="B2940" s="237"/>
      <c r="C2940" s="238"/>
      <c r="D2940" s="237"/>
      <c r="E2940" s="237"/>
      <c r="F2940" s="237"/>
      <c r="G2940" s="237"/>
      <c r="H2940" s="237"/>
    </row>
    <row r="2941" spans="1:8" hidden="1" x14ac:dyDescent="0.3">
      <c r="A2941" s="237"/>
      <c r="B2941" s="237"/>
      <c r="C2941" s="238"/>
      <c r="D2941" s="237"/>
      <c r="E2941" s="237"/>
      <c r="F2941" s="237"/>
      <c r="G2941" s="237"/>
      <c r="H2941" s="237"/>
    </row>
    <row r="2942" spans="1:8" hidden="1" x14ac:dyDescent="0.3">
      <c r="A2942" s="237"/>
      <c r="B2942" s="237"/>
      <c r="C2942" s="238"/>
      <c r="D2942" s="237"/>
      <c r="E2942" s="237"/>
      <c r="F2942" s="237"/>
      <c r="G2942" s="237"/>
      <c r="H2942" s="237"/>
    </row>
    <row r="2943" spans="1:8" hidden="1" x14ac:dyDescent="0.3">
      <c r="A2943" s="237"/>
      <c r="B2943" s="237"/>
      <c r="C2943" s="238"/>
      <c r="D2943" s="237"/>
      <c r="E2943" s="237"/>
      <c r="F2943" s="237"/>
      <c r="G2943" s="237"/>
      <c r="H2943" s="237"/>
    </row>
    <row r="2944" spans="1:8" hidden="1" x14ac:dyDescent="0.3">
      <c r="A2944" s="237"/>
      <c r="B2944" s="237"/>
      <c r="C2944" s="238"/>
      <c r="D2944" s="237"/>
      <c r="E2944" s="237"/>
      <c r="F2944" s="237"/>
      <c r="G2944" s="237"/>
      <c r="H2944" s="237"/>
    </row>
    <row r="2945" spans="1:8" hidden="1" x14ac:dyDescent="0.3">
      <c r="A2945" s="237"/>
      <c r="B2945" s="237"/>
      <c r="C2945" s="238"/>
      <c r="D2945" s="237"/>
      <c r="E2945" s="237"/>
      <c r="F2945" s="237"/>
      <c r="G2945" s="237"/>
      <c r="H2945" s="237"/>
    </row>
    <row r="2946" spans="1:8" hidden="1" x14ac:dyDescent="0.3">
      <c r="A2946" s="237"/>
      <c r="B2946" s="237"/>
      <c r="C2946" s="238"/>
      <c r="D2946" s="237"/>
      <c r="E2946" s="237"/>
      <c r="F2946" s="237"/>
      <c r="G2946" s="237"/>
      <c r="H2946" s="237"/>
    </row>
    <row r="2947" spans="1:8" hidden="1" x14ac:dyDescent="0.3">
      <c r="A2947" s="237"/>
      <c r="B2947" s="237"/>
      <c r="C2947" s="238"/>
      <c r="D2947" s="237"/>
      <c r="E2947" s="237"/>
      <c r="F2947" s="237"/>
      <c r="G2947" s="237"/>
      <c r="H2947" s="237"/>
    </row>
    <row r="2948" spans="1:8" hidden="1" x14ac:dyDescent="0.3">
      <c r="A2948" s="237"/>
      <c r="B2948" s="237"/>
      <c r="C2948" s="238"/>
      <c r="D2948" s="237"/>
      <c r="E2948" s="237"/>
      <c r="F2948" s="237"/>
      <c r="G2948" s="237"/>
      <c r="H2948" s="237"/>
    </row>
    <row r="2949" spans="1:8" hidden="1" x14ac:dyDescent="0.3">
      <c r="A2949" s="237"/>
      <c r="B2949" s="237"/>
      <c r="C2949" s="238"/>
      <c r="D2949" s="237"/>
      <c r="E2949" s="237"/>
      <c r="F2949" s="237"/>
      <c r="G2949" s="237"/>
      <c r="H2949" s="237"/>
    </row>
    <row r="2950" spans="1:8" hidden="1" x14ac:dyDescent="0.3">
      <c r="A2950" s="237"/>
      <c r="B2950" s="237"/>
      <c r="C2950" s="238"/>
      <c r="D2950" s="237"/>
      <c r="E2950" s="237"/>
      <c r="F2950" s="237"/>
      <c r="G2950" s="237"/>
      <c r="H2950" s="237"/>
    </row>
    <row r="2951" spans="1:8" hidden="1" x14ac:dyDescent="0.3">
      <c r="A2951" s="237"/>
      <c r="B2951" s="237"/>
      <c r="C2951" s="238"/>
      <c r="D2951" s="237"/>
      <c r="E2951" s="237"/>
      <c r="F2951" s="237"/>
      <c r="G2951" s="237"/>
      <c r="H2951" s="237"/>
    </row>
    <row r="2952" spans="1:8" hidden="1" x14ac:dyDescent="0.3">
      <c r="A2952" s="237"/>
      <c r="B2952" s="237"/>
      <c r="C2952" s="238"/>
      <c r="D2952" s="237"/>
      <c r="E2952" s="237"/>
      <c r="F2952" s="237"/>
      <c r="G2952" s="237"/>
      <c r="H2952" s="237"/>
    </row>
    <row r="2953" spans="1:8" hidden="1" x14ac:dyDescent="0.3">
      <c r="A2953" s="237"/>
      <c r="B2953" s="237"/>
      <c r="C2953" s="238"/>
      <c r="D2953" s="237"/>
      <c r="E2953" s="237"/>
      <c r="F2953" s="237"/>
      <c r="G2953" s="237"/>
      <c r="H2953" s="237"/>
    </row>
    <row r="2954" spans="1:8" hidden="1" x14ac:dyDescent="0.3">
      <c r="A2954" s="237"/>
      <c r="B2954" s="237"/>
      <c r="C2954" s="238"/>
      <c r="D2954" s="237"/>
      <c r="E2954" s="237"/>
      <c r="F2954" s="237"/>
      <c r="G2954" s="237"/>
      <c r="H2954" s="237"/>
    </row>
    <row r="2955" spans="1:8" hidden="1" x14ac:dyDescent="0.3">
      <c r="A2955" s="237"/>
      <c r="B2955" s="237"/>
      <c r="C2955" s="238"/>
      <c r="D2955" s="237"/>
      <c r="E2955" s="237"/>
      <c r="F2955" s="237"/>
      <c r="G2955" s="237"/>
      <c r="H2955" s="237"/>
    </row>
    <row r="2956" spans="1:8" hidden="1" x14ac:dyDescent="0.3">
      <c r="A2956" s="237"/>
      <c r="B2956" s="237"/>
      <c r="C2956" s="238"/>
      <c r="D2956" s="237"/>
      <c r="E2956" s="237"/>
      <c r="F2956" s="237"/>
      <c r="G2956" s="237"/>
      <c r="H2956" s="237"/>
    </row>
    <row r="2957" spans="1:8" hidden="1" x14ac:dyDescent="0.3">
      <c r="A2957" s="237"/>
      <c r="B2957" s="237"/>
      <c r="C2957" s="238"/>
      <c r="D2957" s="237"/>
      <c r="E2957" s="237"/>
      <c r="F2957" s="237"/>
      <c r="G2957" s="237"/>
      <c r="H2957" s="237"/>
    </row>
    <row r="2958" spans="1:8" hidden="1" x14ac:dyDescent="0.3">
      <c r="A2958" s="237"/>
      <c r="B2958" s="237"/>
      <c r="C2958" s="238"/>
      <c r="D2958" s="237"/>
      <c r="E2958" s="237"/>
      <c r="F2958" s="237"/>
      <c r="G2958" s="237"/>
      <c r="H2958" s="237"/>
    </row>
    <row r="2959" spans="1:8" hidden="1" x14ac:dyDescent="0.3">
      <c r="A2959" s="237"/>
      <c r="B2959" s="237"/>
      <c r="C2959" s="238"/>
      <c r="D2959" s="237"/>
      <c r="E2959" s="237"/>
      <c r="F2959" s="237"/>
      <c r="G2959" s="237"/>
      <c r="H2959" s="237"/>
    </row>
    <row r="2960" spans="1:8" hidden="1" x14ac:dyDescent="0.3">
      <c r="A2960" s="237"/>
      <c r="B2960" s="237"/>
      <c r="C2960" s="238"/>
      <c r="D2960" s="237"/>
      <c r="E2960" s="237"/>
      <c r="F2960" s="237"/>
      <c r="G2960" s="237"/>
      <c r="H2960" s="237"/>
    </row>
    <row r="2961" spans="1:8" hidden="1" x14ac:dyDescent="0.3">
      <c r="A2961" s="237"/>
      <c r="B2961" s="237"/>
      <c r="C2961" s="238"/>
      <c r="D2961" s="237"/>
      <c r="E2961" s="237"/>
      <c r="F2961" s="237"/>
      <c r="G2961" s="237"/>
      <c r="H2961" s="237"/>
    </row>
    <row r="2962" spans="1:8" hidden="1" x14ac:dyDescent="0.3">
      <c r="A2962" s="237"/>
      <c r="B2962" s="237"/>
      <c r="C2962" s="238"/>
      <c r="D2962" s="237"/>
      <c r="E2962" s="237"/>
      <c r="F2962" s="237"/>
      <c r="G2962" s="237"/>
      <c r="H2962" s="237"/>
    </row>
    <row r="2963" spans="1:8" hidden="1" x14ac:dyDescent="0.3">
      <c r="A2963" s="237"/>
      <c r="B2963" s="237"/>
      <c r="C2963" s="238"/>
      <c r="D2963" s="237"/>
      <c r="E2963" s="237"/>
      <c r="F2963" s="237"/>
      <c r="G2963" s="237"/>
      <c r="H2963" s="237"/>
    </row>
    <row r="2964" spans="1:8" hidden="1" x14ac:dyDescent="0.3">
      <c r="A2964" s="237"/>
      <c r="B2964" s="237"/>
      <c r="C2964" s="238"/>
      <c r="D2964" s="237"/>
      <c r="E2964" s="237"/>
      <c r="F2964" s="237"/>
      <c r="G2964" s="237"/>
      <c r="H2964" s="237"/>
    </row>
    <row r="2965" spans="1:8" hidden="1" x14ac:dyDescent="0.3">
      <c r="A2965" s="237"/>
      <c r="B2965" s="237"/>
      <c r="C2965" s="238"/>
      <c r="D2965" s="237"/>
      <c r="E2965" s="237"/>
      <c r="F2965" s="237"/>
      <c r="G2965" s="237"/>
      <c r="H2965" s="237"/>
    </row>
    <row r="1048561" x14ac:dyDescent="0.3"/>
    <row r="1048562" x14ac:dyDescent="0.3"/>
    <row r="1048565" x14ac:dyDescent="0.3"/>
    <row r="1048566" x14ac:dyDescent="0.3"/>
    <row r="1048567" x14ac:dyDescent="0.3"/>
    <row r="1048568" x14ac:dyDescent="0.3"/>
    <row r="1048569" x14ac:dyDescent="0.3"/>
    <row r="1048574" x14ac:dyDescent="0.3"/>
    <row r="1048575" x14ac:dyDescent="0.3"/>
    <row r="1048576" x14ac:dyDescent="0.3"/>
  </sheetData>
  <phoneticPr fontId="14" type="noConversion"/>
  <dataValidations count="4">
    <dataValidation allowBlank="1" showInputMessage="1" showErrorMessage="1" promptTitle="Activity Description" prompt="Enter detailed description of the activity or grouping of activities._x000a__x000a_What was the reach and impact of the activity?_x000a__x000a_Has the Board made adjustments from the original Expenditure Plan?_x000a_" sqref="E485:E486 E588:E596 E641 E722:E746" xr:uid="{1D08D8C1-65E8-4D5C-A408-15A30093DC60}"/>
    <dataValidation allowBlank="1" showInputMessage="1" showErrorMessage="1" prompt="Enter the number and type of new, unduplicated participants served during the quarter._x000a__x000a_Participants might be programs or individuals (such as teachers or children)._x000a_" sqref="G485:G486 G588:G596 G641:G642 G722:G746" xr:uid="{501E2712-F1CC-4C32-A3FF-2C9D009D6284}"/>
    <dataValidation allowBlank="1" showInputMessage="1" showErrorMessage="1" promptTitle="Describe the measurable outcomes" prompt="Use numbers to indicate results._x000a__x000a_NOTE: Some outcomes may not be available within the quarter an activity is completed. The Board may denote results are TBD and update in a later report._x000a__x000a_If updating data for a previous quarter, include date added." sqref="H485:H486 H588:H596 H641:H642 H722:H746" xr:uid="{26E7D728-0C62-42BF-ABC2-0296DFAAB4A0}"/>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642" xr:uid="{C7CEC4FA-CD07-4C92-84C7-06695346D955}"/>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33" ma:contentTypeDescription="Create a new document." ma:contentTypeScope="" ma:versionID="7ae85a6553a7588aa572ee3f34cdb34a">
  <xsd:schema xmlns:xsd="http://www.w3.org/2001/XMLSchema" xmlns:xs="http://www.w3.org/2001/XMLSchema" xmlns:p="http://schemas.microsoft.com/office/2006/metadata/properties" xmlns:ns1="474a6763-ac05-4e28-9ae1-4058cad3e94b" xmlns:ns2="http://schemas.microsoft.com/sharepoint/v3" xmlns:ns3="d75cc3ea-6d34-48b9-955f-209672471296" targetNamespace="http://schemas.microsoft.com/office/2006/metadata/properties" ma:root="true" ma:fieldsID="c9934313f942d14bd24d0391a9bb3285" ns1:_="" ns2:_="" ns3:_="">
    <xsd:import namespace="474a6763-ac05-4e28-9ae1-4058cad3e94b"/>
    <xsd:import namespace="http://schemas.microsoft.com/sharepoint/v3"/>
    <xsd:import namespace="d75cc3ea-6d34-48b9-955f-209672471296"/>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element ref="ns1:lcf76f155ced4ddcb4097134ff3c332f" minOccurs="0"/>
                <xsd:element ref="ns3:TaxCatchAll" minOccurs="0"/>
                <xsd:element ref="ns1:MediaServiceDateTaken" minOccurs="0"/>
                <xsd:element ref="ns1:MediaServiceObjectDetectorVersions" minOccurs="0"/>
                <xsd:element ref="ns1:MediaServiceOCR" minOccurs="0"/>
                <xsd:element ref="ns1:MediaServiceGenerationTime" minOccurs="0"/>
                <xsd:element ref="ns1:MediaServiceEventHashCode" minOccurs="0"/>
                <xsd:element ref="ns1:Web_x0020_Page" minOccurs="0"/>
                <xsd:element ref="ns1:MediaServiceSearchProperties" minOccurs="0"/>
                <xsd:element ref="ns2:_ip_UnifiedCompliancePolicyProperties" minOccurs="0"/>
                <xsd:element ref="ns2: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Image"/>
          <xsd:enumeration value="Pages"/>
        </xsd:restriction>
      </xsd:simpleType>
    </xsd:element>
    <xsd:element name="URL_x0020_Node" ma:index="3" nillable="true" ma:displayName="URL Node (Old)" ma:internalName="URL_x0020_Node">
      <xsd:simpleType>
        <xsd:restriction base="dms:Text">
          <xsd:maxLength value="255"/>
        </xsd:restriction>
      </xsd:simpleType>
    </xsd:element>
    <xsd:element name="URL_x0020_Web_x0020_Page" ma:index="4" nillable="true" ma:displayName="URL Web Page (Old)" ma:format="Dropdown" ma:internalName="URL_x0020_Web_x0020_Page">
      <xsd:simpleType>
        <xsd:restriction base="dms:Choice">
          <xsd:enumeration value="Unknown"/>
        </xsd:restriction>
      </xsd:simpleType>
    </xsd:element>
    <xsd:element name="Other_x0020_URL_x0020_Web_x0020_Page" ma:index="5" nillable="true" ma:displayName="Other URL Web Page (Old)"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d from Web" ma:default="0" ma:format="Dropdown" ma:internalName="Remove_x0020_from_x0020_Web">
      <xsd:simpleType>
        <xsd:restriction base="dms:Boolean"/>
      </xsd:simpleType>
    </xsd:element>
    <xsd:element name="CCEL_x0020_Home_x0020_Page_x0020_Section" ma:index="9" nillable="true" ma:displayName="CCEL Home Page Section (Old)"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Web_x0020_Page" ma:index="26" nillable="true" ma:displayName="Web Page" ma:format="Dropdown" ma:internalName="Web_x0020_Page">
      <xsd:complexType>
        <xsd:complexContent>
          <xsd:extension base="dms:MultiChoice">
            <xsd:sequence>
              <xsd:element name="Value" maxOccurs="unbounded" minOccurs="0" nillable="true">
                <xsd:simpleType>
                  <xsd:restriction base="dms:Choice">
                    <xsd:enumeration value="Child Care &amp; Early Learning Program"/>
                    <xsd:enumeration value="Child Care by the Numbers"/>
                    <xsd:enumeration value="Child Care Data, Reports &amp; Plans"/>
                    <xsd:enumeration value="Child Care Guide"/>
                    <xsd:enumeration value="Child Care Information for Parents"/>
                    <xsd:enumeration value="Child Care Information for Providers"/>
                    <xsd:enumeration value="Child Care Investments Partnership"/>
                    <xsd:enumeration value="Child Care Relief Funding 2022"/>
                    <xsd:enumeration value="Child Care Services &amp; Children with Disabilities"/>
                    <xsd:enumeration value="Child Care Stimulus Resources"/>
                    <xsd:enumeration value="Find Child Care"/>
                    <xsd:enumeration value="Free Child Care Business Resources"/>
                    <xsd:enumeration value="Shared Services Alliances"/>
                    <xsd:enumeration value="Texas Preschool Development Grant Birth Through 5 (PDG B-5)"/>
                    <xsd:enumeration value="Texas Rising Star Program"/>
                    <xsd:enumeration value="Texas Rising Star Workgroup - 2019"/>
                    <xsd:enumeration value="Texas Rising Star Workgroup - 2023"/>
                    <xsd:enumeration value="TWC Prekindergarten Partnerships"/>
                    <xsd:enumeration value="Work-Based Learning Staffing Initiatives"/>
                    <xsd:enumeration value="Unknown"/>
                  </xsd:restriction>
                </xsd:simple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75cc3ea-6d34-48b9-955f-209672471296" xsi:nil="true"/>
    <_ip_UnifiedCompliancePolicyUIAction xmlns="http://schemas.microsoft.com/sharepoint/v3" xsi:nil="true"/>
    <_ip_UnifiedCompliancePolicyProperties xmlns="http://schemas.microsoft.com/sharepoint/v3" xsi:nil="true"/>
    <MediaServiceMetadata xmlns="474a6763-ac05-4e28-9ae1-4058cad3e94b" xsi:nil="true"/>
    <MediaServiceFastMetadata xmlns="474a6763-ac05-4e28-9ae1-4058cad3e94b" xsi:nil="true"/>
    <lcf76f155ced4ddcb4097134ff3c332f xmlns="474a6763-ac05-4e28-9ae1-4058cad3e94b">
      <Terms xmlns="http://schemas.microsoft.com/office/infopath/2007/PartnerControls"/>
    </lcf76f155ced4ddcb4097134ff3c332f>
    <Other_x0020_URL_x0020_Web_x0020_Page xmlns="474a6763-ac05-4e28-9ae1-4058cad3e94b" xsi:nil="true"/>
    <Web_x0020_Page xmlns="474a6763-ac05-4e28-9ae1-4058cad3e94b" xsi:nil="true"/>
    <Notes0 xmlns="474a6763-ac05-4e28-9ae1-4058cad3e94b" xsi:nil="true"/>
    <Remove_x0020_from_x0020_Web xmlns="474a6763-ac05-4e28-9ae1-4058cad3e94b">false</Remove_x0020_from_x0020_Web>
    <URL_x0020_Web_x0020_Page xmlns="474a6763-ac05-4e28-9ae1-4058cad3e94b" xsi:nil="true"/>
    <Document_x0020_Name xmlns="474a6763-ac05-4e28-9ae1-4058cad3e94b" xsi:nil="true"/>
    <CCEL_x0020_Home_x0020_Page_x0020_Section xmlns="474a6763-ac05-4e28-9ae1-4058cad3e94b" xsi:nil="true"/>
    <URL_x0020_Node xmlns="474a6763-ac05-4e28-9ae1-4058cad3e94b" xsi:nil="true"/>
    <Folder xmlns="474a6763-ac05-4e28-9ae1-4058cad3e94b" xsi:nil="true"/>
  </documentManagement>
</p:properties>
</file>

<file path=customXml/itemProps1.xml><?xml version="1.0" encoding="utf-8"?>
<ds:datastoreItem xmlns:ds="http://schemas.openxmlformats.org/officeDocument/2006/customXml" ds:itemID="{1E86438B-AC32-4352-B345-524003AA68F3}">
  <ds:schemaRefs>
    <ds:schemaRef ds:uri="http://schemas.microsoft.com/sharepoint/v3/contenttype/forms"/>
  </ds:schemaRefs>
</ds:datastoreItem>
</file>

<file path=customXml/itemProps2.xml><?xml version="1.0" encoding="utf-8"?>
<ds:datastoreItem xmlns:ds="http://schemas.openxmlformats.org/officeDocument/2006/customXml" ds:itemID="{5D58812C-C547-4985-8366-EB61F26D2688}"/>
</file>

<file path=customXml/itemProps3.xml><?xml version="1.0" encoding="utf-8"?>
<ds:datastoreItem xmlns:ds="http://schemas.openxmlformats.org/officeDocument/2006/customXml" ds:itemID="{DF124F27-C562-4681-89CB-A7BEDB89BE74}">
  <ds:schemaRefs>
    <ds:schemaRef ds:uri="http://purl.org/dc/dcmitype/"/>
    <ds:schemaRef ds:uri="http://schemas.openxmlformats.org/package/2006/metadata/core-properties"/>
    <ds:schemaRef ds:uri="http://schemas.microsoft.com/office/infopath/2007/PartnerControls"/>
    <ds:schemaRef ds:uri="http://schemas.microsoft.com/sharepoint/v3"/>
    <ds:schemaRef ds:uri="http://schemas.microsoft.com/office/2006/metadata/properties"/>
    <ds:schemaRef ds:uri="http://schemas.microsoft.com/office/2006/documentManagement/types"/>
    <ds:schemaRef ds:uri="http://purl.org/dc/terms/"/>
    <ds:schemaRef ds:uri="http://www.w3.org/XML/1998/namespace"/>
    <ds:schemaRef ds:uri="d75cc3ea-6d34-48b9-955f-209672471296"/>
    <ds:schemaRef ds:uri="69bc4a87-aeb1-4e2a-8844-66aae643a6a2"/>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YTD by Category</vt:lpstr>
      <vt:lpstr>YTD by Quarter</vt:lpstr>
      <vt:lpstr> (H)</vt:lpstr>
      <vt:lpstr>YTD Narratives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Martinez,Madelynn N</dc:creator>
  <cp:keywords/>
  <dc:description/>
  <cp:lastModifiedBy>Martinez,Madelynn N</cp:lastModifiedBy>
  <cp:revision/>
  <dcterms:created xsi:type="dcterms:W3CDTF">2023-02-14T20:47:51Z</dcterms:created>
  <dcterms:modified xsi:type="dcterms:W3CDTF">2025-09-24T18:22:18Z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0x010100E9EA837411ED864B94278B26830B74D5</vt:lpwstr>
  </property>
  <property fmtid="{D5CDD505-2E9C-101B-9397-08002B2CF9AE}" pid="3" name="MediaServiceImageTags">
    <vt:lpwstr/>
  </property>
  <property fmtid="{D5CDD505-2E9C-101B-9397-08002B2CF9AE}" pid="4" name="Order">
    <vt:r8>127700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