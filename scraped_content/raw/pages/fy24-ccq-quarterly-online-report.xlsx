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twcgov.sharepoint.com/sites/ccel/CCELWebSiteDocuments/"/>
    </mc:Choice>
  </mc:AlternateContent>
  <xr:revisionPtr revIDLastSave="0" documentId="8_{4C2BB2F1-2AA3-494E-A5F6-0DA4227C507A}" xr6:coauthVersionLast="47" xr6:coauthVersionMax="47" xr10:uidLastSave="{00000000-0000-0000-0000-000000000000}"/>
  <bookViews>
    <workbookView xWindow="-120" yWindow="-120" windowWidth="51840" windowHeight="21120" activeTab="3" xr2:uid="{06E70204-7A9C-4AFD-AFF1-098D8BD2EB1C}"/>
  </bookViews>
  <sheets>
    <sheet name="YTD by Category" sheetId="2" r:id="rId1"/>
    <sheet name="YTD by Quarter" sheetId="3" r:id="rId2"/>
    <sheet name=" (H)" sheetId="4" state="hidden" r:id="rId3"/>
    <sheet name="YTD Narratives" sheetId="7"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1" i="2" l="1"/>
  <c r="Q3" i="2"/>
  <c r="Q4" i="2"/>
  <c r="Q5" i="2"/>
  <c r="Q6" i="2"/>
  <c r="Q7" i="2"/>
  <c r="Q8" i="2"/>
  <c r="Q9" i="2"/>
  <c r="Q10" i="2"/>
  <c r="Q11" i="2"/>
  <c r="Q12" i="2"/>
  <c r="Q13" i="2"/>
  <c r="Q14" i="2"/>
  <c r="Q15" i="2"/>
  <c r="Q16" i="2"/>
  <c r="Q17" i="2"/>
  <c r="Q18" i="2"/>
  <c r="Q19" i="2"/>
  <c r="Q20" i="2"/>
  <c r="Q22" i="2"/>
  <c r="Q23" i="2"/>
  <c r="Q24" i="2"/>
  <c r="Q25" i="2"/>
  <c r="Q26" i="2"/>
  <c r="Q27" i="2"/>
  <c r="Q28" i="2"/>
  <c r="Q29" i="2"/>
  <c r="Q30" i="2"/>
  <c r="H30" i="3" l="1"/>
  <c r="O31" i="2" l="1"/>
  <c r="M31" i="2"/>
  <c r="K31" i="2"/>
  <c r="I31" i="2"/>
  <c r="G31" i="2"/>
  <c r="E31" i="2"/>
  <c r="C31" i="2"/>
  <c r="F30" i="3"/>
  <c r="I8" i="3" l="1"/>
  <c r="I16" i="3"/>
  <c r="I24" i="3"/>
  <c r="I4" i="3"/>
  <c r="I7" i="3"/>
  <c r="I29" i="3"/>
  <c r="I26" i="3"/>
  <c r="I25" i="3"/>
  <c r="I22" i="3"/>
  <c r="I21" i="3"/>
  <c r="I15" i="3"/>
  <c r="I14" i="3"/>
  <c r="I11" i="3"/>
  <c r="I18" i="3"/>
  <c r="I10" i="3"/>
  <c r="I6" i="3"/>
  <c r="I20" i="3"/>
  <c r="I19" i="3"/>
  <c r="I13" i="3" l="1"/>
  <c r="D30" i="3" l="1"/>
  <c r="E30" i="3"/>
  <c r="I28" i="3"/>
  <c r="I17" i="3"/>
  <c r="I23" i="3"/>
  <c r="I27" i="3"/>
  <c r="I12" i="3"/>
  <c r="I9" i="3"/>
  <c r="I5" i="3"/>
  <c r="I2" i="3" l="1"/>
  <c r="G30" i="3" l="1"/>
  <c r="I30" i="3" s="1"/>
  <c r="C30" i="3"/>
  <c r="I3" i="3" l="1"/>
  <c r="Q31" i="2" l="1"/>
</calcChain>
</file>

<file path=xl/sharedStrings.xml><?xml version="1.0" encoding="utf-8"?>
<sst xmlns="http://schemas.openxmlformats.org/spreadsheetml/2006/main" count="11760" uniqueCount="4077">
  <si>
    <t>Infant &amp; Toddler</t>
  </si>
  <si>
    <t>Professional Development</t>
  </si>
  <si>
    <t>Texas Rising Star</t>
  </si>
  <si>
    <t>Health &amp; Safety</t>
  </si>
  <si>
    <t>Evaluation &amp; Assessment</t>
  </si>
  <si>
    <t>National Accreditation Support</t>
  </si>
  <si>
    <t>Other</t>
  </si>
  <si>
    <t>TOTAL</t>
  </si>
  <si>
    <t>#</t>
  </si>
  <si>
    <t>Board</t>
  </si>
  <si>
    <r>
      <t>Expenditures</t>
    </r>
    <r>
      <rPr>
        <b/>
        <sz val="12"/>
        <color theme="4" tint="0.79998168889431442"/>
        <rFont val="Calibri"/>
        <family val="2"/>
        <scheme val="minor"/>
      </rPr>
      <t xml:space="preserve"> 1</t>
    </r>
  </si>
  <si>
    <t>%</t>
  </si>
  <si>
    <r>
      <t>Expenditures</t>
    </r>
    <r>
      <rPr>
        <b/>
        <sz val="12"/>
        <color theme="4" tint="0.79998168889431442"/>
        <rFont val="Calibri"/>
        <family val="2"/>
        <scheme val="minor"/>
      </rPr>
      <t xml:space="preserve"> 2</t>
    </r>
  </si>
  <si>
    <t>%
2</t>
  </si>
  <si>
    <r>
      <t>Expenditures</t>
    </r>
    <r>
      <rPr>
        <b/>
        <sz val="12"/>
        <color theme="4" tint="0.79998168889431442"/>
        <rFont val="Calibri"/>
        <family val="2"/>
        <scheme val="minor"/>
      </rPr>
      <t xml:space="preserve"> 3</t>
    </r>
  </si>
  <si>
    <t>%
3</t>
  </si>
  <si>
    <r>
      <t>Expenditures</t>
    </r>
    <r>
      <rPr>
        <b/>
        <sz val="12"/>
        <color theme="4" tint="0.79998168889431442"/>
        <rFont val="Calibri"/>
        <family val="2"/>
        <scheme val="minor"/>
      </rPr>
      <t xml:space="preserve">
4</t>
    </r>
  </si>
  <si>
    <t>%
4</t>
  </si>
  <si>
    <r>
      <t>Expenditures</t>
    </r>
    <r>
      <rPr>
        <b/>
        <sz val="12"/>
        <color theme="4" tint="0.79998168889431442"/>
        <rFont val="Calibri"/>
        <family val="2"/>
        <scheme val="minor"/>
      </rPr>
      <t xml:space="preserve">
5</t>
    </r>
  </si>
  <si>
    <t>%
5</t>
  </si>
  <si>
    <r>
      <t>Expenditures</t>
    </r>
    <r>
      <rPr>
        <b/>
        <sz val="12"/>
        <color theme="4" tint="0.79998168889431442"/>
        <rFont val="Calibri"/>
        <family val="2"/>
        <scheme val="minor"/>
      </rPr>
      <t xml:space="preserve">
6</t>
    </r>
  </si>
  <si>
    <r>
      <t>%</t>
    </r>
    <r>
      <rPr>
        <b/>
        <sz val="12"/>
        <color theme="4" tint="0.79998168889431442"/>
        <rFont val="Calibri"/>
        <family val="2"/>
        <scheme val="minor"/>
      </rPr>
      <t xml:space="preserve">
6</t>
    </r>
  </si>
  <si>
    <r>
      <t>Expenditures</t>
    </r>
    <r>
      <rPr>
        <b/>
        <sz val="12"/>
        <color theme="4" tint="0.79998168889431442"/>
        <rFont val="Calibri"/>
        <family val="2"/>
        <scheme val="minor"/>
      </rPr>
      <t xml:space="preserve">
7</t>
    </r>
  </si>
  <si>
    <r>
      <t>%</t>
    </r>
    <r>
      <rPr>
        <b/>
        <sz val="12"/>
        <color theme="4" tint="0.79998168889431442"/>
        <rFont val="Calibri"/>
        <family val="2"/>
        <scheme val="minor"/>
      </rPr>
      <t xml:space="preserve">
7</t>
    </r>
  </si>
  <si>
    <t xml:space="preserve">YTD
</t>
  </si>
  <si>
    <t>Panhandle</t>
  </si>
  <si>
    <t>South Plains</t>
  </si>
  <si>
    <t>North Texas</t>
  </si>
  <si>
    <t>North Central</t>
  </si>
  <si>
    <t>Tarrant County</t>
  </si>
  <si>
    <t>Greater Dallas</t>
  </si>
  <si>
    <t>Northeast Texas</t>
  </si>
  <si>
    <t>East Texas</t>
  </si>
  <si>
    <t>West Central</t>
  </si>
  <si>
    <t>Borderplex</t>
  </si>
  <si>
    <t>Permian Basin</t>
  </si>
  <si>
    <t>Concho Valley</t>
  </si>
  <si>
    <t>Heart of Texas</t>
  </si>
  <si>
    <t>Capital Area</t>
  </si>
  <si>
    <t>Rural Capital</t>
  </si>
  <si>
    <t>Brazos Valley</t>
  </si>
  <si>
    <t>Deep East</t>
  </si>
  <si>
    <t>Southeast Texas</t>
  </si>
  <si>
    <t>Golden Crescent</t>
  </si>
  <si>
    <t>Alamo</t>
  </si>
  <si>
    <t>South Texas</t>
  </si>
  <si>
    <t>Coastal Bend</t>
  </si>
  <si>
    <t>Lower Rio</t>
  </si>
  <si>
    <t>Cameron</t>
  </si>
  <si>
    <t>Texoma</t>
  </si>
  <si>
    <t>Central Texas</t>
  </si>
  <si>
    <t>Middle Rio</t>
  </si>
  <si>
    <t>Gulf Coast</t>
  </si>
  <si>
    <t>Statewide</t>
  </si>
  <si>
    <t>End of sheet</t>
  </si>
  <si>
    <t>Q1</t>
  </si>
  <si>
    <t>Q2</t>
  </si>
  <si>
    <t>Q3</t>
  </si>
  <si>
    <t>Q4</t>
  </si>
  <si>
    <t>YTD Expended</t>
  </si>
  <si>
    <t>Total Planned</t>
  </si>
  <si>
    <t>YTD % Expended of Planned</t>
  </si>
  <si>
    <t>End of Sheet</t>
  </si>
  <si>
    <t>Board Number</t>
  </si>
  <si>
    <t>Quarter</t>
  </si>
  <si>
    <t>Activity Category</t>
  </si>
  <si>
    <t>Activity Description:</t>
  </si>
  <si>
    <t xml:space="preserve">Project Status </t>
  </si>
  <si>
    <t>Measurable Outcome(s)</t>
  </si>
  <si>
    <t>Ongoing</t>
  </si>
  <si>
    <t>The Board will measure the success  of this activity through programs  meeting their CQIP goals for caregiver education to increase the number of caregiver early childhood education in Texas Rising Star certified and programs working toward Texas Rising Star certification</t>
  </si>
  <si>
    <t>60 Provider Participants attended the semi annual provider meeting training titled "Provider Services Admin Review: Documentation, What and How to Report" via zoom</t>
  </si>
  <si>
    <t>To increase provider knowledge of CCS Reporting requirements of what to report, how to report, and who or where to report to.</t>
  </si>
  <si>
    <t>7 Provider Participants attended the Zoom training on "Entry Level Designation"</t>
  </si>
  <si>
    <t>To increase provider knowledge of the new TWC guidelines regarding Entry Level Designation</t>
  </si>
  <si>
    <t>33 Provider Participants attended the in-person training on "Texas Rising Star Category 1 &amp; 3"</t>
  </si>
  <si>
    <t>To increase provider Texas Rising Star knowledge to properly prepare them to become a Texas Rising Star Provider</t>
  </si>
  <si>
    <t>8 Provider Participants attended a Zoom training on "Texas Rising Star Category 1 &amp; 3"</t>
  </si>
  <si>
    <t>20 Provider Participants attended an in person training on "Category 4 Indoor and Outdoor Learning Environments"</t>
  </si>
  <si>
    <t>20 Provider Participants attended a Zoom training on "Category 4 Indoor and Outdoor Learning Environments"</t>
  </si>
  <si>
    <t>94 Providers received Infant/Toddler outdoor learning equipment and materials to enhance their outdoor learning environments</t>
  </si>
  <si>
    <t>Completed</t>
  </si>
  <si>
    <t>To increase the amount of materials and equipment available to infant/toddler children and to assist the provider to obtain, maintain, or increase their Texas Rising Star certification.</t>
  </si>
  <si>
    <t>Texas Rising Star/QRIS (except PD)</t>
  </si>
  <si>
    <t>134 Providers received Preschool/School age outdoor learning equipment and materials to enhance their outdoor learning environments</t>
  </si>
  <si>
    <t>To increase the amount of materials and equipment available to Preschool/School age children and to assist the provider to obtain, maintain, or increase their Texas Rising Star certification.</t>
  </si>
  <si>
    <t>18 Provider Participants attended the "Entry Level Designation and Texas Rising Star Onboarding Training for all Non-Texas Rising Star Providers" In Person-All Non-Texas Rising Star Providers were strongly encourage to attend this training regarding Entry Level Designation and Texas Rising Star onboarding Overview of Texas Rising Star Measures</t>
  </si>
  <si>
    <t>To increase the knowledge of the new TWC guidelines regarding Entry Level Designation and that all CCS providers will need to be Texas Rising Star certified by September 30, 2024</t>
  </si>
  <si>
    <t>13 Provider Participants received college subsidies for child development courses for Fall 2022 semester</t>
  </si>
  <si>
    <t>To increase the number of provider staff who obtain their CDA or college degrees in Early Childhood</t>
  </si>
  <si>
    <t>5 Texas Rising Star Staff salaries, fringe, travel, etc.</t>
  </si>
  <si>
    <t>To maintain current staffing levels in order to complete needed assessments, mentoring and onboarding of all CCS Providers</t>
  </si>
  <si>
    <t>Texas Rising Star staff personnel costs, including salaries, fringe, travel, supplies and indirect costs. Total= $37,722</t>
  </si>
  <si>
    <t>N/A</t>
  </si>
  <si>
    <t>new mentor added in October.</t>
  </si>
  <si>
    <t>North Central Texas</t>
  </si>
  <si>
    <t xml:space="preserve">Texas Rising Star Quality Improvement Staff; Hired: 1. 1 Director of Quality Child Care, 2. 2 Early Education Professional Development Specialists, 3. 1 Special Projects Coordinator, 4. 1 Administrative Assistant. These are staff that are implementing quality planned activities for early learning programs in the NCT board area. </t>
  </si>
  <si>
    <t xml:space="preserve">5 of 6 which is 83% of budgeted quality staff members hired, trained, and working towards improving quality for ELPs in the first quarter. </t>
  </si>
  <si>
    <t>Completed cohort of the LENA Grow Professional Development program with 1 Early Learning Program with 3 classrooms in November 2022.  The program consists of each child in the participating classrooms wearing recorders one day a week to generate data regarding conversation turns occurring in the classroom.  Then, a weekly coaching session takes place with the program's Texas Rising Star Mentor go to over the data and create goals around teacher-child interactions.</t>
  </si>
  <si>
    <t>By the end of this 5 week cohort, 64% of children were experiencing 15 or more conversational turns per hour. 95% of children were experiencing 5 or more conversational turns per hour.</t>
  </si>
  <si>
    <t xml:space="preserve">Expenses are related to Texas Rising Star certification assessments, one quarterly meeting for the Tri-Board area, and the completion of modules for the Texas Rising Star ATCP course. </t>
  </si>
  <si>
    <t>Four Texas Rising Star Early Childhood Specialists and Two Early Childhood Program Supervisors attended the Early Educators Conference in Orlando, FL. in October 2022. This conferences were designed for all early childhood professionals to present appropriate teaching strategies using research-based topics and current educational trends. One Early Childhood Specialist attended the National Black Child Development Institute (NBCDI) conference in Washington, DC in October 2022. This conference is designed by a trusted partner in developing and delivering strengths-based, culturally relevant, evidence-based, and trauma-informed resources that respond to the unique strengths and needs of Black children around issues including early childhood education, health and wellness, literacy, and family engagement. One Child Care Manager attended the TWC conference in Dallas, TX. No clock hours were received for this TWC conference.</t>
  </si>
  <si>
    <t>Five Early Childhood Specialists and 2 Early Childhood Program Supervisors were able to attend conferences and obtained a total of 106.25 professional development hours.</t>
  </si>
  <si>
    <t xml:space="preserve">Paid salaries and benefits for fifteen (15) Texas Rising Star Board Staff.  These Board Staff ensure the continuation of the Texas Rising Star program activities for our Workforce Development Board Area through mentoring, assessment, outreach, and program support services.  We have 12 Texas Rising Star Mentor/Early Childhood Specialists (not including one hired for Q2), 2 Texas Rising Star Program Supervisors, and 1 Child Care Manager, and salaries for the positions come out of CCQ funding. </t>
  </si>
  <si>
    <t xml:space="preserve">Hired 2 of the 4 of the vacant Early Childhood Specialist positions. </t>
  </si>
  <si>
    <t>Ten Texas Rising Star Board Staff (Early Childhood Specialist) participated in Mentor Micro-Credential PLC's as required by the Texas Rising Star guidelines. Two(2) Early Childhood Specialist are completing the ATCP modules and will be added to the PLC's. No CCQ funding is allocated for participation.</t>
  </si>
  <si>
    <t>TBD</t>
  </si>
  <si>
    <t>Completed one 120-hour Campfire CDA course for the summer session from June 21-November 8, 2022. Texas Rising Star Early Learning Programs were given first preference in selection for this scholarship and class participation in an effort to help them improve the overall education level of staff and/or administration.  All participants are from Texas Rising Star Early Learning Programs.</t>
  </si>
  <si>
    <t xml:space="preserve">There were 42 awarded scholarship and 24 are currently active. Out of that 24, there are 4 pending class completion, 20 completed the class and 10 ready to schedule for exam and observation for certificate. </t>
  </si>
  <si>
    <t>Texas Rising Star Early Childhood Specialists provided professional development trainings directly related to early learning and child development through the instruction of child care trainings.  These allowed for individuals to obtain the required annual clock hours of training needed for Child Care Regulation and gain information needed to make improvements in their child care classroom and/or program.</t>
  </si>
  <si>
    <t>Texas Rising Star Mentors/Early Childhood Specialist conducted 38 professional development sessions with 315 participants offering 55 clock hours for participants to use towards achieving their annual hours.</t>
  </si>
  <si>
    <t>Paid for two (2) Sr. Early Childhood Specialist  to renew their certification as a CLASS Observer in Infant/Toddler. A CLASS Observer is certified to collect CLASS data in a classroom setting for the specific designated age levels. In order to receive this certification, you must pass a reliability test following training and maintain that certification by passing an annual recertification test.</t>
  </si>
  <si>
    <t xml:space="preserve">Upon completion of the test, early childhood specialists were awarded their designated CLASS Observer certification. </t>
  </si>
  <si>
    <t>Tarrant</t>
  </si>
  <si>
    <t>Increased staff PD to enhance individual career lattice</t>
  </si>
  <si>
    <t>Increased staff retention for Texas Rising Star programs</t>
  </si>
  <si>
    <t>Mentor capability to provide certified trainings to program staff for PD hours</t>
  </si>
  <si>
    <t>Dallas</t>
  </si>
  <si>
    <t>Trauma Training Addressing COVID Trauma for Children &amp; Providers - Virtual</t>
  </si>
  <si>
    <t>Increased knowledge on supporting providers with working through childhood trauma</t>
  </si>
  <si>
    <t>Building on Whole Leadership - Virtual</t>
  </si>
  <si>
    <t>Maintain licensing requirements by providing training</t>
  </si>
  <si>
    <t>Hiring &amp; Retaining Staff - Virtual</t>
  </si>
  <si>
    <t>NAEYC Annual Conference -In person</t>
  </si>
  <si>
    <t>Maintain licensing requirements by providing training on a variety of ECE topics (6 staff and 1 ELP admin)</t>
  </si>
  <si>
    <t>New Provider &amp; Recertification Awards</t>
  </si>
  <si>
    <t>Provided support with educational materials to 26 programs.</t>
  </si>
  <si>
    <t>Texas Rising Star Binder Submission Incentives</t>
  </si>
  <si>
    <t>Provided support with educational materials, staff incentives, etc. to 63 programs.</t>
  </si>
  <si>
    <t>Quality Stabilization Awards</t>
  </si>
  <si>
    <t>Provided support with operational expense and staff incentives to 340 programs</t>
  </si>
  <si>
    <t>Infant Toddler Expansion Grant</t>
  </si>
  <si>
    <t>Provided training &amp; resources to increase infant/toddler capacity.</t>
  </si>
  <si>
    <t>ASQ Training October 13, 2022  - In person</t>
  </si>
  <si>
    <t>Provided training on ASQ screening  tool to support families and children</t>
  </si>
  <si>
    <t>ASQ Training Dec. 9, 2022  - In person</t>
  </si>
  <si>
    <t>Provided training on ASQ screening tool to support families and children</t>
  </si>
  <si>
    <t>Health &amp; Safety (except PD)</t>
  </si>
  <si>
    <t>1st Aid &amp; CPR Certification Class  (Quality Team) -- In person</t>
  </si>
  <si>
    <t>Provided training to maintain health &amp; safety support to 9 Texas Rising Star staff</t>
  </si>
  <si>
    <t>1st Aid &amp; CPR Certification Class  -In person</t>
  </si>
  <si>
    <t>Provided training to maintain licensing requirements to 7 ELP's</t>
  </si>
  <si>
    <t xml:space="preserve">Other (Shared Services, Pre-K Partnerships, Supply Building, Mental Health Supports) </t>
  </si>
  <si>
    <t>Wonder school project</t>
  </si>
  <si>
    <t>Providing  a child care management tool to assist directors with daily operational tasks to 5 program sites that's ongoing support.</t>
  </si>
  <si>
    <t xml:space="preserve">Reignite! By Together4Children Part 2 - Virtual </t>
  </si>
  <si>
    <t>Supported ELP's with retention strategies</t>
  </si>
  <si>
    <t>Tuition for BAS/AAS/ Certificate for students</t>
  </si>
  <si>
    <t>ongoing</t>
  </si>
  <si>
    <t xml:space="preserve">to obtain a credential </t>
  </si>
  <si>
    <t xml:space="preserve">WFSNETX purchased multi-cultural items for numerous centers to increase inclusivity in the classroom. </t>
  </si>
  <si>
    <t xml:space="preserve">WFSNETX purchased various items for centers working to become Texas Rising Star. </t>
  </si>
  <si>
    <t xml:space="preserve">Assist centers in becoming Texas Rising Star. </t>
  </si>
  <si>
    <t xml:space="preserve">WFSNETX purchased curriculum for 2 centers. </t>
  </si>
  <si>
    <t xml:space="preserve">Assist centers in becoming, increasing, or maintaining Texas Rising Star status. </t>
  </si>
  <si>
    <t xml:space="preserve">Assists daycare staff with acquiring their annual required training hours. </t>
  </si>
  <si>
    <t xml:space="preserve">WFSNETX paid for CDA renewal of an employee at a Texas Rising Star center. </t>
  </si>
  <si>
    <t xml:space="preserve">Increases the number of early childhood program educators attaining and maintaining a CDA. </t>
  </si>
  <si>
    <t xml:space="preserve">Increase in Texas Rising Star participation and/or certified star levels and retention in Texas Rising Star program. </t>
  </si>
  <si>
    <t xml:space="preserve">Other (Shared Services, Pre-K Partnerships, COVID Supports) </t>
  </si>
  <si>
    <t xml:space="preserve">WFSNETX provides Brightwheel to our TRS facilities. This is utilized for billing processes and parent communication. </t>
  </si>
  <si>
    <t xml:space="preserve">Increased communication between providers and parents. </t>
  </si>
  <si>
    <t>Quarterly subscription for Brightwheel for all TRS providers</t>
  </si>
  <si>
    <t>Increases parent involvement, classroom management and business needs of our providers.</t>
  </si>
  <si>
    <t>Monthly Provider training with Mentor staff conducted in person.</t>
  </si>
  <si>
    <t>Provides staff with required training hours and also increases quality in the classroom.</t>
  </si>
  <si>
    <t>Monthly Provider Training with Mentor staff conducted virtually.</t>
  </si>
  <si>
    <t xml:space="preserve">WFSNETX paid for teachers to attend CDA classes at their local college. </t>
  </si>
  <si>
    <t xml:space="preserve">Increases the number of early childhood program educators attaining a CDA. </t>
  </si>
  <si>
    <t>Purchased curriculum, materials and equipment for 4 ELPs Infant Toddler classrooms</t>
  </si>
  <si>
    <t>Reimbursed training costs for 61 ELP staff - conference registrations, Director trainings; Local conference registration and reimbursing Director credential training.</t>
  </si>
  <si>
    <t>CDA training for and CDA renewal reimbursements for 35 ELP staff</t>
  </si>
  <si>
    <t>Purchased curriculum, materials and equipment for 16 ELPs</t>
  </si>
  <si>
    <t xml:space="preserve">Staff Bonus for 19 ELP staff; </t>
  </si>
  <si>
    <t>Various trainings from Texas Rising Star and B/R staff for 87 ELP staff</t>
  </si>
  <si>
    <t>Texas Rising Star and B/R staff provided resources for all Texas Rising Star and CCS ELPs</t>
  </si>
  <si>
    <t>Texas Rising Star purchased 50 ASQ kits; delivered one each to 25 ELPs; we purchased 50 have provided 25 to ELPs. Have 25 remaining to provide for more ELPs as they come on board</t>
  </si>
  <si>
    <t xml:space="preserve"> Initial and Monitoring  ELP Incentives for 6 ELP</t>
  </si>
  <si>
    <t>Providers received an annual monitoring visit for 7 Texas Rising Star centers (26 classrooms)</t>
  </si>
  <si>
    <t xml:space="preserve">7
</t>
  </si>
  <si>
    <t>One Texas Rising Star assessor conducted annual unannounced monitoring visits to 7 Texas Rising Star centers.</t>
  </si>
  <si>
    <t xml:space="preserve">Participate in College course 1 Texas Rising Star mentor staff
</t>
  </si>
  <si>
    <t xml:space="preserve">One Texas Rising Star mentor participated in college course virtually to further her education. 
</t>
  </si>
  <si>
    <t>Provide mentoring for Texas Rising Star providers
Provided technical assistance to CCS providers
25 Texas Rising Star centers and 23 CCS providers</t>
  </si>
  <si>
    <t xml:space="preserve">Three Texas Rising Star mentor staff mentored 45 staff members at 25 Texas Rising Star centers.
Three Texas Rising Star mentor staff provided technical assistance to 23 CCS providers starting the onboarding process. </t>
  </si>
  <si>
    <t>PLC for 3 Texas Rising Star mentors and 1 dual role</t>
  </si>
  <si>
    <t xml:space="preserve">Three Texas Rising Star mentors and one dual role participated in PLC's monthly for 1.5 hours per month. </t>
  </si>
  <si>
    <t>Provide materials and equipment based on need for 1 Texas Rising Star provider</t>
  </si>
  <si>
    <t xml:space="preserve">Texas Rising Star staff used the ITERS tool to reassess the environment for 1 Texas Rising Star provider that scored low in category 4 on their recertification. Materials and equipment were purchased for this center based on that information. This is a wrap up for the project in Quarter 4 FFY2022. </t>
  </si>
  <si>
    <t>170 Slots were purchased for a conference hosted by the Paso Del Norte Chapter of TXAEYC. This conference focused on teacher interactions and social and emotional development for the preschool age groups. This event was held on 10/22/2022. Although this event was held in October 2022, this funding was billed to the previous fiscal year in accordance to the LWB designation of funding. ($7650)</t>
  </si>
  <si>
    <t xml:space="preserve">This opportunity allowed for a large group of teachers to be served with training in accordance with their licensing requirements along with meeting Texas Rising Star training standards. </t>
  </si>
  <si>
    <t>Assessor salary for the Quarter ($33539.14)</t>
  </si>
  <si>
    <t>Texas Rising Star staff</t>
  </si>
  <si>
    <t>Personnel costs for Texas Rising Star staff</t>
  </si>
  <si>
    <t>Increase in Texas Rising Star participation and to retain Texas Rising Star certified programs.</t>
  </si>
  <si>
    <t>Providing materials, equipment and resources to ass providers in meeting Texas Rising Star requirements</t>
  </si>
  <si>
    <t>Increase in Texas Rising Star participation and/or star level, to retain Texas Rising Star certified programs.</t>
  </si>
  <si>
    <t>4 virtual Kaplan trainings &amp; 1 face to face Kaplan quality child care conference - training on early learning and Child Dev included 122 virtual &amp; 350 face to face participants</t>
  </si>
  <si>
    <t>Increase the number of Texas Rising Star participation and/or star levels.</t>
  </si>
  <si>
    <t>CDA recertification</t>
  </si>
  <si>
    <t>Providing reimbursement for maintaining CDA certification</t>
  </si>
  <si>
    <t xml:space="preserve">Renewal of back-office solutions </t>
  </si>
  <si>
    <t>To help programs effectively manage their child care businesses and to allow directors more time to be in classrooms working with teachers.</t>
  </si>
  <si>
    <t>Teacher/Child Interactions - 4 hour virtual training (there was no charge for this training)</t>
  </si>
  <si>
    <t>increase the quality of care for children enrolled in child care centers within the Concho Valley</t>
  </si>
  <si>
    <t>CPR/First Aid Safety Training to 18 teachers</t>
  </si>
  <si>
    <t>Increase in Texas Rising Star participation and/or Star Level</t>
  </si>
  <si>
    <t>CDA training-Building your CDA Professional Portfolio to 20 teachers</t>
  </si>
  <si>
    <t>Supporting compliance with CCR requirements for health and safety. Decrease in number deficiencies cited by CCR. Increase in number of ELPS qualifying for Entry Level TRS participation.  Decrease in the number of Licensing deficiencies cited by CCR. Verified by quarterly CCR screenings.</t>
  </si>
  <si>
    <t>CPR/First Aid Safety Training to 22 teachers</t>
  </si>
  <si>
    <t>Texas Rising Star Entry Level Onboarding Focus on Cat 2 Teacher Child Interactions to 23 infant/toddler teachers</t>
  </si>
  <si>
    <t>Virtual Coffee Chat for 30 Program Directors</t>
  </si>
  <si>
    <t>Texas Rising Star Entry Level Onboarding Focus on Cat 2 Teacher Child Interactions to 33 preschool teachers</t>
  </si>
  <si>
    <t>Increase the number of Early Childhood Program Educators attaining the CDA Credential.</t>
  </si>
  <si>
    <t>Texas Rising Star Entry Level Hub Training Infant, Toddler, and Three's Guidelines to 36 directors</t>
  </si>
  <si>
    <t>Increase in the number of Program Directors participation in collaborative learning and business development. Deepen knowledge and expertise by interacting on a regular basis. Mentors observed positive change in participants daily practice.</t>
  </si>
  <si>
    <t>Lena Grow - LENA GROW is a research-based, data driven program that helps infant and toddler teachers gain the skills to measurably improve classroom quality and boost interactions. This project aligns with the Board's goal to increase the supply of high quality infant and toddler care.  The will be implemented into 6 Texas Rising Star classroom. Data provided by LENA will determine the success of the project. 
5 ELPs, 7 teachers, 5 administrators, 50 infant/toddlers</t>
  </si>
  <si>
    <t xml:space="preserve">Increase in Texas Rising Star participation </t>
  </si>
  <si>
    <t>Texas Rising Star Entry Level Hub Training Pre-K Guidelines to 56 directors</t>
  </si>
  <si>
    <t>Mini-Conference on Early Brain Development and Early Childhood Intervention served 70 teachers and directors, 16 ELPs</t>
  </si>
  <si>
    <t>Increase in Texas Rising Star participation</t>
  </si>
  <si>
    <t>CPR/First Aid Safety Training to 9 teachers</t>
  </si>
  <si>
    <t xml:space="preserve">Purchased PPE Supplies including gloves, disinfectant wipes and spray, and hand soap to help combat the rise in illnesses during the winter months including Flu, COVID-19, and RSV. Supplies were distributed in December to a total of 120 Early Learning Programs. $60,200.00 spent in Quarter 1 (CRSSA Funding). </t>
  </si>
  <si>
    <t xml:space="preserve">We achieved our goal of providing PPE supplies to a minimum of 120 Early Learning Programs in and around Travis County. </t>
  </si>
  <si>
    <t>Maintain CLASS Assessment Certification for 2 Texas Rising Star Mentors to assist programs with measuring effective interactions. This will assist mentors will improving a programs scores in Category 2 which is weighted heavier under the new Texas Rising Star Guidelines. $525.00 was spent in Quarter 1.</t>
  </si>
  <si>
    <t>We will measure success by seeing the average Category 2 scores of programs receiving Annual Monitoring's increase based on the previous year's scores. This will be assessed at the end of the fiscal year.</t>
  </si>
  <si>
    <t>Purchase Frog Street Curriculum for current Texas Rising Star Programs and Entry Level Programs actively working with a Texas Rising Star Mentor and who express interest in the TEA approved curriculum. A total of $203,400 (CRSSA Funding) was spent on Frog Street Curriculum for a total of 20 Early Learning Programs. A second Frog Street order will be placed later in FY23.</t>
  </si>
  <si>
    <t>We will measure success by seeing 90 percent of programs who receive the curriculum maintain or increase their TRS Star Level throughout FY2023. This will be assessed at the end of the fiscal year.</t>
  </si>
  <si>
    <t>Early Learning Resources were purchased for our Texas Rising Star Two-Star, Three-Star, and Four-Star programs as well as those programs actively working toward Texas Rising Star. These resources include toys, shelving and playground equipment with the goal of improving Category 4 scores for our Texas Rising Star and ELD Programs. In Quarter 1, a total of 21 Programs were purchased resources for a total of $12,287.00 spent (CRSSA Funding).</t>
  </si>
  <si>
    <t>We will measure success with this activity by seeing a 10% increase in the number of TRS 3 and 4-star programs in FY2023. This will be assessed at the end of the fiscal year.</t>
  </si>
  <si>
    <t xml:space="preserve">Updated Texas Rising Star banners we purchased for current Texas Rising Star programs using the newly updated Texas Rising Star logo. The order for the Texas Rising Star Banners were placed in FY22, however the banners were invoiced in FY23. A total of 138 Texas Rising Star Programs were purchased a banner. A separate Texas Rising Star Banner purchase will occur toward the end of FY23 for all newly certified Texas Rising Star Programs. $3,169.00 was spent in Quarter 1. </t>
  </si>
  <si>
    <t>We will look to measure success by seeing an increase in the percentage of CCS children enrolled in a TRS program by the end of FY2023. This will be assessed at the end of the fiscal year.</t>
  </si>
  <si>
    <t xml:space="preserve">1 Early Learning Programs was purchased supplies in order to complete a LENA Grow Sequence at their center. The LENA program assists with Teacher/Child interactions and offers ongoing support from LENA as well as coaching for teachers provided by the center. $1,520 was spent in Quarter 1. Additional LENA sequences will be occurring throughout FY 23. </t>
  </si>
  <si>
    <t>We will measure success by seeing an increase in Category 2 scores of those programs who participated in the LENA program. This will be assessed at the end of the fiscal year.</t>
  </si>
  <si>
    <t xml:space="preserve">Provided in house training to Texas Rising Star and Entry Level Designated programs (448 teachers and directors) using qualified Texas Rising Star Staff with the goal of helping providers meet their annual training requirements. No Quality Funds were used for these trainings. </t>
  </si>
  <si>
    <t>We will look to measure success by seeing 95% of TRS programs avoid going on an SIA due to lack of Director or Teacher training hours during their next Annual Monitoring visit. This will be assessed at the end of the fiscal year.</t>
  </si>
  <si>
    <t>Ordered laminator film for our Provider Resource Rooms</t>
  </si>
  <si>
    <t>1st Quarter results include:  14 Entry Level Providers have utilized the Provider Resources of lamination and dye cuts to extend the usage of their educational materials</t>
  </si>
  <si>
    <t>Mentors are working with programs to bring Entry Level providers into Texas Rising Star certified.  Assessors are working to maintain the current Texas Rising Star providers assessment needs and assess new programs.</t>
  </si>
  <si>
    <t>1st Quarter results include:  3 new Texas Rising Star certified providers, 10 annual monitoring visits with current Texas Rising Star providers, and 92 mentoring visits with Entry Level providers in the Reaching for the Stars process.</t>
  </si>
  <si>
    <t>Conscious Discipline Training for teachers/directors</t>
  </si>
  <si>
    <t>Lunch and Learn 11/02/2022 -- Teaching Strategies - Creative Curriculum Overview (not Board funded)
16 programs 19 staff participated</t>
  </si>
  <si>
    <t>16 programs are choosing to implement the Creative Curriculum -  Category 3 measures the classrooms that are using a DAP curriculum</t>
  </si>
  <si>
    <t xml:space="preserve">Lunch and Learn 12/06/2022 -- Texas A&amp;M AgriLife - Promoting Early Education Quality (not Board funded)
supported 23 programs 29 staff  </t>
  </si>
  <si>
    <t>Category 1 - staff will use TAMU AgriLife courses for their CDA, Director Credential and Clock Hours</t>
  </si>
  <si>
    <t>Social/Emotional/Diversity Material Kits (Lakeshore and Discount School Supply) to 28 programs</t>
  </si>
  <si>
    <t>Category 2 (programs will do intentional emotional activities) and Category 4 (programs will have diverse and emotional materials)</t>
  </si>
  <si>
    <t>Identified need for curriculum for 16 programs</t>
  </si>
  <si>
    <t>On hold</t>
  </si>
  <si>
    <t>ABA Program for 3 programs</t>
  </si>
  <si>
    <t>Texas Rising Star Mentors provided training on topics specific to Texas Rising Star measures to 18 child care providers</t>
  </si>
  <si>
    <t>18 child care providers received training hours on lesson plans and room arrangement from their Texas Rising Star mentor</t>
  </si>
  <si>
    <t>First Aid/CPR Training to 27 staff</t>
  </si>
  <si>
    <t>27 child care staff received First Aid/CPR training as required by CCR</t>
  </si>
  <si>
    <t>TWC Conference- Child Advisory Committee attended TWC Conference for 4 CC center directors</t>
  </si>
  <si>
    <t>4 Child Care Directors attended the TWC conference to gain knowledge of TWC child care programs and funding</t>
  </si>
  <si>
    <t xml:space="preserve">Texas Rising Star mentors/assessors will provide mentoring for 70 homes/ centers  interested in becoming Texas Rising Star and existing centers who wish to maintain or increase their Texas Rising Star star level. </t>
  </si>
  <si>
    <t>Actual YTD: 50%
Texas Rising Star Certified Centers-2022-2023: 65%--  2023-2024: 85%</t>
  </si>
  <si>
    <t>Provide materials, equipment, and resources to assist in meeting Texas Rising Star requirements including but not limited to classroom furniture, developmentally appropriate learning materials, curriculum, outdoor equipment, gross motor equipment and resource books
9 child care centers and 2 child care homes</t>
  </si>
  <si>
    <t>Texas Rising Star centers/homes obtained a higher star level, retained their star level, or prepared to become Texas Rising Star</t>
  </si>
  <si>
    <t>Provide materials, equipment, and resources to assist in meeting Texas Rising Star requirements including but not limited to classroom furniture, developmentally appropriate learning materials, curriculum, outdoor equipment, gross motor equipment and resource books solely for infants and toddlers
7 child care centers</t>
  </si>
  <si>
    <t>Southeast</t>
  </si>
  <si>
    <t>The Lena-Grow program is a professional development program, 10 classrooms evaluated</t>
  </si>
  <si>
    <t>The Lena Grow Program assist ELP to increase the level of quality interactions  and this project aligns with the Board's goal to increase the number of Texas Rising Star  centers</t>
  </si>
  <si>
    <t>Onboarding professional development for Entry Level providers</t>
  </si>
  <si>
    <t>To increase the number of Texas Rising Star providers  Cat 4 was reviewed</t>
  </si>
  <si>
    <t>To increase the number of Texas Rising Star providers- Cat 3- program Admin</t>
  </si>
  <si>
    <t>To increase the number of Texas Rising Star providers. Cat 3- Family Education, Involvement and Program Mgmt.</t>
  </si>
  <si>
    <t>To increase the number of Texas Rising Star providers. Topics- Cat 1- Director and Staff- Training and Education</t>
  </si>
  <si>
    <t>To increase the number of Texas Rising Star providers. Topics-Cat 2/3- Classroom Activities</t>
  </si>
  <si>
    <t>To increase the number of Texas Rising Star providers. Topics-CQUIP and Texas Rising Star orientation</t>
  </si>
  <si>
    <t>12/19/2022 Child Care Regulation Webinar Training - The purpose of this activity was to ensure directors meet the training requirements for TRS assessment.</t>
  </si>
  <si>
    <t xml:space="preserve">Our success will be measured by providers maintaining good standing with CCL and maintaining or increasing their TRS star level or receiving TRS certification. </t>
  </si>
  <si>
    <t>none</t>
  </si>
  <si>
    <t>no activities reported</t>
  </si>
  <si>
    <t>Provided 119 Early learning programs professional development. 4th Annual Conference was held at Laredo First Assembly, all inclusive facility; 240 participants</t>
  </si>
  <si>
    <t>240 Directors/practitioners participated in 6 hours of professional development provided by TECPDS trainers. Increase in Texas Rising Star interest, WSST gained 13 new Texas Rising Star early learning programs.</t>
  </si>
  <si>
    <t>Provided 25 tablecloths by Kioskie Rentals for 4th annual conference</t>
  </si>
  <si>
    <t>25 tables were provided for 240 participants to enhance the quality of learning by providing comfortable sitting</t>
  </si>
  <si>
    <t>Provided Pat's Daycare with Infant/Toddler classroom materials and equipment to support 5 infant slots</t>
  </si>
  <si>
    <t xml:space="preserve">Early learning program expanded to include infant care for 2 additional infants, for a total of five infants served. </t>
  </si>
  <si>
    <t>Provided Training Wheels center with classroom materials for all ages.  (12 children supported)</t>
  </si>
  <si>
    <t xml:space="preserve">Early learning program received classroom materials and equipment. </t>
  </si>
  <si>
    <t>Provided Shiloh Crossing center with classroom materials and equipment. (12 children supported)</t>
  </si>
  <si>
    <t>Provided 36 current Texas Rising Star early learning programs and 14 Non- Texas Rising Star early learning programs with outreach and recruitment materials to promote their business</t>
  </si>
  <si>
    <t>Increase the number of Texas Rising Star early learning programs</t>
  </si>
  <si>
    <t>Provided 119 Early learning programs materials and resources to enhance the quality care.</t>
  </si>
  <si>
    <t>Increase the quality of teacher-child interactions and engagement for all ages served</t>
  </si>
  <si>
    <t xml:space="preserve">10/15/2022 Child care professionals participated in 2 (1.5) hour virtual sessions with presenter Melissa Galaviz with Texas Curriculum Writers.  1st session Redesigning the Learning Environment: Building Cohorts –In this session the participants learned how to redesign the learning environment to meet  the needs of COVID-19 protocols.  2nd Session Mood-Boosting Tips During COVID-19 Pandemic–In this session participants were provided 10 mood-boosting tips to help children during the COVID-19 Pandemic.  The presenter provided tips such as:  Lighten up, get plenty of sleep, have bedtime routines, talk it out, help children eat wisely, for gratitude, step it up, lend a hand and manage screen time.  </t>
  </si>
  <si>
    <t xml:space="preserve"> 1st session - participants received (1.5) training clock hours/.15 CEUs under Safety per Child Care Regulation Minimum Standards.  Texas Core Competencies for Early Childhood Practitioners and Administrators:  Practitioner Core Competency: 3.1, 8.3  2nd Session -  Participants received (1.5) training clock hours/.15 CEUs Child Health Regulation Minimum Standards.  Texas Core Competencies for Early Childhood Practitioners and Administrators:  Practitioner Core Competency: 2.2, 8.2</t>
  </si>
  <si>
    <t>1 child care center employee received a 2nd incentive for remaining at the facility for one year from the inception of the CDA course ($600).</t>
  </si>
  <si>
    <t xml:space="preserve">1 Teacher attained their CDA credential resulting in a positive impact on the quality of care, they were able to increase their knowledge in child development and improved their skills when working with children and families. </t>
  </si>
  <si>
    <t>11/5/2022 Child care professionals participated in 2 (1.5) hour virtual sessions with presenter Amy Ply with Greenspace Learning Development.  1st session Providing for Play Every Day –The presenter discussed why play is important, how to support and extend meaningful play and how to communicate with parents about play.  2nd Session The Outdoor Classroom: Making the Most of your Playground – Participants learned that playgrounds and outdoor spaces are more important than ever! For mask-free, clean air play and learning, head outside for more than just recess.  In this session, they also discussed about the benefits of outdoors for both children and teachers and learned first steps to getting learning outdoors right away.</t>
  </si>
  <si>
    <t>1st session - participants received (1.5) training clock hours/.15 CEUs under Child Growth and Development per Child Care Regulation Minimum Standards.  Texas Core Competencies for Early Childhood Practitioners and Administrators:  Practitioner Core Competency: 1.5, 2.3  2nd Session -  Participants received (1.5) training clock hours/.15 CEUs Planning Developmentally Appropriate Activities per Regulation Minimum Standards.  Texas Core Competencies for Early Childhood Practitioners and Administrators:  Practitioner Core Competency: 3.1</t>
  </si>
  <si>
    <t xml:space="preserve">12/10/2022 Child care professionals participated in 2 (1.5) hour virtual sessions with presenter Jenice Dames.  1st session The Child's Wonderfully Made Brain –The presenter discussed how children learn and think is a very complex process.  The participants also discussed how the brain develops in the children and the complexity.  2nd Session Is There a Difference Between Boys and Girls? YES – Participants explored the difference between boys and girls and how this affects what teaches do in the classroom. </t>
  </si>
  <si>
    <t>1st session - participants received (1.5) training clock hours/.15 CEUs under Understanding Early Childhood Brain Development per Child Care Regulation Minimum Standards.  Texas Core Competencies for Early Childhood Practitioners and Administrators:  Practitioner Core Competency: 1.1, 1.4  2nd Session -  Participants received (1.5) training clock hours/.15 CEUs Child Growth and Development per Minimum Standards.  Texas Core Competencies for Early Childhood Practitioners and Administrators:  Practitioner Core Competency: 1.1, 1.4</t>
  </si>
  <si>
    <t xml:space="preserve">09/06/2022 - Texas Rising Star Providers were awarded an Physical Development Kit. Please note - Note: This initiative was reported in the 4th Quarter of 2022 as ongoing.  Expenditures occurred in this quarter. </t>
  </si>
  <si>
    <t xml:space="preserve">75 Texas Rising Star Providers received a complete Physical Development Kit packed with age-appropriate material that focused on the physical development of the child. </t>
  </si>
  <si>
    <t>1 Texas Rising Star Staff had their CLASS certification renewed</t>
  </si>
  <si>
    <t>This certification is resourceful when providing technical assistance to early learning programs to help nurture children's early learning development while responding to their needs.</t>
  </si>
  <si>
    <t xml:space="preserve">5 child care programs benefited from the Texas Rising Star Staff that is CLASS certified. </t>
  </si>
  <si>
    <t>2022 Fall/2023 Spring Semester - 19 teachers were given the opportunity to attain their CDA through our local college -  South Texas College (STC) for the 2020  Spring Semester.  Tuition cost covered CDA I,  CDA II and the cost of the books.</t>
  </si>
  <si>
    <t>When Completed, this opportunity will result in a positive impact on the quality of care, it will increase the knowledge of child development and improve skills when working with children and families</t>
  </si>
  <si>
    <t>Board has funding for 6 mentors and 2 assessors.  One staff is currently serving a dual role until the a new assessor is hired. Mentor position is filled with start date in January</t>
  </si>
  <si>
    <t>Board has one assessor position open, 1 FTE serving a dual role (50/50), 1 FTE assessor, and 4 FTE Mentors</t>
  </si>
  <si>
    <t>Purchase materials and equipment as an incentive to ells who completed the recertification process.  The items will assist improving in areas of concerns and low scoring measures.</t>
  </si>
  <si>
    <t xml:space="preserve">Incentive activity is ongoing and will be measured with using the CQIP and unannounced visit monitoring results.  </t>
  </si>
  <si>
    <t>1 Mentor attend NAEYC in November 2022</t>
  </si>
  <si>
    <t>Increase improvement in CQIP development and diverse mentoring resources.</t>
  </si>
  <si>
    <t xml:space="preserve">531 teachers and administrative staff from certified and non-certified ells attended the Board's annual child care conference </t>
  </si>
  <si>
    <t>Increase of number teachers who have complete more than the required 30 annual training hours. Increase the number of administrative staff who obtain the business management training hours and 36 hours of training.</t>
  </si>
  <si>
    <t>Mentors hosted Texas Rising Star orientation sessions for all entry level designees. 102 out of 104 program attended one of the 7 sessions.</t>
  </si>
  <si>
    <t>Increase Texas Rising Star participation.</t>
  </si>
  <si>
    <t>As part of the incentive for completing the Texas Rising Star recertification, 1 provider receive outdoor equipment to help develop the outdoor play area for the infants.</t>
  </si>
  <si>
    <t>Will measure improvement is scores in Categories 2 and 4.</t>
  </si>
  <si>
    <t>Conducted CIRCLE I/T training on Physical and Motor Development on 10/11/22. 
19 attendees from 8 centers and 2 homes.</t>
  </si>
  <si>
    <t>Increased knowledge of 19 staff on various professional development topics related to child development, specific to infants and toddlers.</t>
  </si>
  <si>
    <t>Added an additional Texas Rising Star home effective 11/1/22, increasing infant capacity, as a result.</t>
  </si>
  <si>
    <t>Increased infant capacity at TRS facilities by adding an additional TRS home.</t>
  </si>
  <si>
    <t>Conducted a training on Building Positive Relationships with Parents on 11/15/22.
16 attendees from 4 centers and 2 homes.</t>
  </si>
  <si>
    <t>Increased knowledge of 16 staff on various professional development topics related to child development.</t>
  </si>
  <si>
    <t>Conducted a training on Developmentally Appropriate Practices with an Equity Lens on 12/15/22.
20 attendees from 6 centers and 2 homes.</t>
  </si>
  <si>
    <t xml:space="preserve">Conducted a Texas Rising Star training on an overview of the Texas Rising Star program on 10/29/22 (virtual and in-person).
25 attendees from 15 centers and 3 homes. </t>
  </si>
  <si>
    <t>Increased knowledge of 25 staff on various professional development topics related to child development and Texas Rising Star.</t>
  </si>
  <si>
    <t>Conducted a Director's Round Table on meeting Texas Rising Star Measures on 10/25/22.
7 owner/director attendees from 6 centers.</t>
  </si>
  <si>
    <t>Increased knowledge of 6 owners/directors on various professional development topics related to child development and Texas Rising Star.</t>
  </si>
  <si>
    <t>Conducted a TECPDS training on 11/10/22 (virtual and in-person).
52 attendees from 16 centers and 2 homes.</t>
  </si>
  <si>
    <t>Increased knowledge of  52 staff on the TECPDS system.</t>
  </si>
  <si>
    <t>Offered reimbursement for four Texas Rising Star providers for required individual staff CPR/First-Aid trainings.</t>
  </si>
  <si>
    <t>Forty one CPR/First-Aid training certificates obtained by staff.</t>
  </si>
  <si>
    <t>Finalized the general quality grant by provided materials, equipment, and resources (included 1 last facility).</t>
  </si>
  <si>
    <t>Increased the quality of care at 1 final facility through expanded resources.</t>
  </si>
  <si>
    <t>Offered a child development scholarship opportunity for staff to continue child development learning opportunities at a local community college.</t>
  </si>
  <si>
    <t>Increased knowledge of nine new staff on various child development topics through a local community college.</t>
  </si>
  <si>
    <t>Texas Rising Star Assessor and Mentor staff participating in the required Texas Rising Star Assessment Training and Certification program.</t>
  </si>
  <si>
    <t>Contracted TRS staff completed the ATCP course.</t>
  </si>
  <si>
    <t xml:space="preserve">Conducted required Texas Rising Star activities including quarterly CCR reviews, initial assessments, and annual monitoring's. </t>
  </si>
  <si>
    <t>Properly followed TRS Guidelines related to required activities for all TRS Providers.</t>
  </si>
  <si>
    <t>Conducted quarterly Program Administrator meeting via Zoom with 34 programs in the Quality Texas Rising Star track; training topic was "Collaboration and Networking to Establish and Maintain Outdoor Classrooms"</t>
  </si>
  <si>
    <t xml:space="preserve">Provide high quality training and professional development to staff at all current certified TRS programs and to those EL programs working toward certification that complies with the requirements and expectations of TRS Guidelines and Accreditation Standards (an estimated 600 childcare professionals will receive this training). Training topics will be delivered through contracted, certified trainers and by providing reimbursements to program staff for attendance at local and state early childhood conferences.  Attendance records, evaluations, and pre/post tests will be collected and analyzed following each training session.  Success will be measured based on attendees’ responses and suggestions as well as data collected from programs’ CQIPs. </t>
  </si>
  <si>
    <t>Co-sponsored 6 evening training sessions (2hours - in person) with Central TX AEYC; 2 sessions conducted in Spanish; 19 programs in attendance</t>
  </si>
  <si>
    <t>Conducted in-person training for Entry Level Texas Rising Star programs - 11 programs in attendance; participants received classroom materials</t>
  </si>
  <si>
    <t>Conducted in-person training for Entry Level Texas Rising Star programs - 10 programs in attendance; participants received classroom materials</t>
  </si>
  <si>
    <t>Conducted in-person training for Entry Level Texas Rising Star programs - 12 programs in attendance; participants received classroom materials</t>
  </si>
  <si>
    <t>Conducted in-person training for Entry Level Texas Rising Star programs - 9 programs in attendance; participants received classroom materials</t>
  </si>
  <si>
    <t>Reimbursed 5 programs for ProCare software costs</t>
  </si>
  <si>
    <t>Continue to support Shared Services by providing funds to assist with technical assistance and office support to providers in the project. This project meets a goal of our board to grow these program owners/directors’ business skills and be good stewards of the services provided to them.  Success will be measured based on CCR compliance and the percentage of providers who continue to participate in the Shared Services Alliance.</t>
  </si>
  <si>
    <t>Supporting National Accreditation</t>
  </si>
  <si>
    <t>Reimbursed 1 NAEYC accredited/4 Star program for their annual renewal fee</t>
  </si>
  <si>
    <t xml:space="preserve">Provide reimbursement to childcare programs who are NAEYC, or NAFCC accredited that are renewing their annual fees in 2023. A goal of our board area is to increase the number of accredited early learning programs. We anticipate 14 early learning programs will apply for re- accreditation (annual fees) this year. We will measure success by the number of accredited programs with either NAEYC or NAFCC that maintain accreditation. The outcomes will also be based on the continued or increased star level of the accredited programs. </t>
  </si>
  <si>
    <t>Provided consultation services to 2 4 Star/NAEYC Accredited programs who are working on reaccreditation/portfolio development &amp; observation</t>
  </si>
  <si>
    <t>Provide reimbursement to programs who are enrolling, submitting applications and candidacy for NAEYC Accreditation and for pursuing NAFCC accreditation; provide consultation and training as needed.  A goal of our board area is to increase the number of accredited early learning programs. We anticipate 6 early learning programs will submit applications for accreditation this year. We will measure success by the number of qualified applicants to either NAEYC or NAFCC. The outcomes will also be based on the continued or increased star level of the applicant programs. Only 3 or 4 star certified will be supported through this activity.</t>
  </si>
  <si>
    <t>Texas Rising Star/Quality Improvement</t>
  </si>
  <si>
    <t>one coordinator, 5 mentors, 2 dual role assessor/mentor Texas Rising Star staff; 1 Texas Rising Star support staff</t>
  </si>
  <si>
    <t>Provide personnel costs for TRS/Quality staff to provide technical assistance and mentoring to early learning programs.  These costs will be aimed at supporting programs to attain, maintain, or increase their star level.  Additionally, 2 staff are in a dual role and also conduct assessments 50% of the time for initial applications and annual monitoring.  We plan to provide these services to our 220+ CCS contracted providers in our board area.  We will measure success by the increase in TRS participation and certification.</t>
  </si>
  <si>
    <t>purchased classroom materials and equipment &amp; teacher resource books to support new Entry Level programs (233) who are working toward submitting Texas Rising Star applications.</t>
  </si>
  <si>
    <t>Purchase equipment, materials, and resources and consultation services for programs who are working to become TRS certified or to increase and/or maintain their star level certification.   We will measure success based on the increase in TRS participation and/or star level increase or the retention of current TRS certified programs.  We anticipate being able to assist at least 50 programs.</t>
  </si>
  <si>
    <t>Scholarship for the renewal of CDA</t>
  </si>
  <si>
    <t xml:space="preserve">offered a scholarship for renewal of CDA for one provider teacher. </t>
  </si>
  <si>
    <t xml:space="preserve">Purchase of cribs for 1 provider expanding infant room </t>
  </si>
  <si>
    <t>provider is moving to a new location where they will be expanding infant/toddler rms.</t>
  </si>
  <si>
    <t>Offer family engagement activities to child care providers</t>
  </si>
  <si>
    <t>38 family engagement activities will be offered to child care programs (parent education, activity nights, learning parties, etc.) in quarter one.</t>
  </si>
  <si>
    <t>Provide resource and referral information to families requesting information</t>
  </si>
  <si>
    <t>6,835 families will receive child care resource and referral information via online, email and phone to increase understanding and selection of quality child care.</t>
  </si>
  <si>
    <t>Recruitment, TA, Coaching to maintain and increase the number of Texas Rising Star certified providers</t>
  </si>
  <si>
    <t>Increase the number of Texas Rising Star providers by 75 in the first quarter</t>
  </si>
  <si>
    <t>CCM- Leadership Symposium Participants attended 3 workshops, collaborate with colleagues as they developed their own definition of leadership and network with other educators. The professionals attended this  day-long workshop</t>
  </si>
  <si>
    <t xml:space="preserve">Participants learned various leaderships skills and got a better understanding of what it means to be a Leader. The topics that were discussed will help staff enhance their communications skills, more team building and problem solving techniques. </t>
  </si>
  <si>
    <t>Scholarships for CDA courses and college tuition for ECE teachers/directors</t>
  </si>
  <si>
    <t>Provide 120 CDA course and college tuition scholarships</t>
  </si>
  <si>
    <t>Equipment grants to Texas Rising Star certified providers to maintain and/or increase their star levels</t>
  </si>
  <si>
    <t xml:space="preserve">Provide 240 equipment grants to child care providers in quarter one. </t>
  </si>
  <si>
    <t>ELPs will receive incentive grants for achievement of initial Texas Rising Star certification, maintaining or increasing Texas Rising Star star-levels, or working toward Texas Rising Star certification</t>
  </si>
  <si>
    <t>Provide 27 incentive grants to Texas Rising Star providers in quarter one.</t>
  </si>
  <si>
    <t xml:space="preserve">Providers will receive stipends for achievement of educational milestones. </t>
  </si>
  <si>
    <t>Provide 52 stipends in quarter one.</t>
  </si>
  <si>
    <t xml:space="preserve">Scholarships for CDA assessments for ECE teachers/directors </t>
  </si>
  <si>
    <t>Provide 63 CDA Assessment scholarships for ECE teachers/directors in quarter one</t>
  </si>
  <si>
    <t>Training class/course - live, virtual delivery</t>
  </si>
  <si>
    <t xml:space="preserve">Provide live, face-to-face; live, virtual training to 706 ECE teachers/directors in quarter one. </t>
  </si>
  <si>
    <t>Provide online/virtual training on a variety of topics to ECE teachers/directors</t>
  </si>
  <si>
    <t>Provide online/virtual training to 350 ECE teachers/directors in quarter one</t>
  </si>
  <si>
    <t>Training, TA, and resources will be provided to child care providers for  children with disabilities</t>
  </si>
  <si>
    <t>Providers will receive 110 hours of technical assistance and classroom resources to support children with disabilities and/or challenging behaviors in quarter one.</t>
  </si>
  <si>
    <t>CCM-Staff members attended Power Tools for Nonprofits conference in Houston TX</t>
  </si>
  <si>
    <t xml:space="preserve">Staff engaged in a variety of professional development topics.  There were several topics discussed such as restorative power of nature, using Minecraft as a tool for multi-disciplinary learning, relationship building and mental health. </t>
  </si>
  <si>
    <t xml:space="preserve">CCM-Attended a Conference about grant writing </t>
  </si>
  <si>
    <t xml:space="preserve">Staff learned about different grant writing styles, and also got a better understanding  funding and to increase their writing techniques </t>
  </si>
  <si>
    <t xml:space="preserve">CCM-Case Quality Support Model- PARTNERSHIP- These after school program integrate literacy, numeracy and academic and enrichment activities.  The programs receives training, site visits, technical assistance and resource sharing and virtual monthly meetings. </t>
  </si>
  <si>
    <t>The goal of the Partnership Project is to provide supplemental funding to afterschool programs to promote social and emotional learning skills and increased support of numeracy and literacy development for economically disadvantaged students between ages 4-12 or up to age 19 with a documented disability</t>
  </si>
  <si>
    <t xml:space="preserve">CCM-Youth development leaders workshops. The goal of the dialogue is to foster and grow talent in the field. The training discussion topic for October was "Storming and Norming: how do we chart the new normal and maintain a healthy work environment?" and the November topic was on community engagement and how to reach key stakeholders.   </t>
  </si>
  <si>
    <t xml:space="preserve">This workshop is helping to develop successful leaders and enhancing their professionalism skills </t>
  </si>
  <si>
    <t>TRS/QRIS (except PD)</t>
  </si>
  <si>
    <t>Column1</t>
  </si>
  <si>
    <t>25 Participants attended the ITSN Specialist Network training for Directors and Mentors.</t>
  </si>
  <si>
    <t>To provide Professional Development for Early Learning Programs on specific Infant/Toddler developmental practices and provide support to individuals to become Infant/Toddler Specialists</t>
  </si>
  <si>
    <t>15 Provider Participants received college subsidies for child development courses for Spring 2023 semester</t>
  </si>
  <si>
    <t>FROG Bus-Delivers Equipment, materials and info to CCS Rural Providers</t>
  </si>
  <si>
    <t>Virtual badges earned.</t>
  </si>
  <si>
    <t>None</t>
  </si>
  <si>
    <t>increase in retention of Texas Rising Star certified programs, increase in provider and parent satisfaction</t>
  </si>
  <si>
    <t>increase Texas Rising Star screening compliance, increased provider and parent satisfaction.</t>
  </si>
  <si>
    <t xml:space="preserve">Ten Texas Rising Star Early Childhood Specialists and One Early Childhood Program Supervisor attended the Texas Rising Star Mentor Training in Austin in February 2023 conducted by TWC. Participants received a total of 13 annual clock hours. Three Early Childhood Specialist attended the Green Space Roadshow and received a total of 6 annual clock hours per participant. The roadshow offered providers professional development on positive classroom environments through Lecture/ PPT and hands on workshops. Additionally, they learned about developmentally appropriate practices, developmentally appropriate behavior. </t>
  </si>
  <si>
    <t>A total of 13 Early Childhood Specialists and 1 Early Childhood Program Supervisors were able to attend conferences and professional development courses and obtained a total of 43 professional development hours.</t>
  </si>
  <si>
    <t xml:space="preserve"> One Senior Early Childhood Specialist attended the 3 day virtual ASQ Train the Trainer (TOT) offered as a grant from TWC and receive 24 annual clock hours. This training provided knowledge and skill development for participants to offer create effective and engaging learning experiences when training other Early Childhood educators using the ASQ-3 and/or ASQ:SE-2</t>
  </si>
  <si>
    <t xml:space="preserve"> One Senior Early Childhood Specialist attended the no cost (grant provided) 3 day virtual training offered and obtained a total of  24 professional development hours.</t>
  </si>
  <si>
    <t>One Early Childhood Specialist will receive a Mentoring/Coaching certificate along with 42 annual clock hours at the conclusion of this professional development course. This course was paid for by the board.</t>
  </si>
  <si>
    <t xml:space="preserve">All 64 students have been enrolled in CDA courses and have been given a login to access their account. 47/64 CDA scholarship participants have completed Unit 1 of their CDA course and 24 out of those 47 have completed Unit 4. These courses are self-paced. </t>
  </si>
  <si>
    <t xml:space="preserve">As a part of the strategic plan for WSNCT career pathways, WSNCT has offered 22 CDA scholarship participants financial incentives based on participants position in the Workforce Registry career lattice. These 22 participants submitted proof of completion for their CDA course and their CDA certification. We will measure the success by tracking the number of staff who move up the career lattice. Our estimated reach for Professional Development Registry Career Pathways is 40 served. </t>
  </si>
  <si>
    <t xml:space="preserve">CDA certificate of completion and certificate for completing the CDA course were both submitted to qualify. 22 participants have qualified and received a stipend. </t>
  </si>
  <si>
    <t xml:space="preserve">As a part of the strategic plan for Child Care Quality for WSNCT, WSNCT enlisted a conference trainer for the Child Care Licensing Conference. As a part of the requirements for Texas Rising Star Programs in Category 1 staff are required to have instructor led training hours. This conference offers a no cost instructor led training opportunity for providers in the WSNCT area. We will measure the success through attendance tracking. </t>
  </si>
  <si>
    <t>NA</t>
  </si>
  <si>
    <t xml:space="preserve">The licensing conference was held April 1st and the contracted conference trainer presented. This conference delivered a no cost training opportunity for early learning programs.  </t>
  </si>
  <si>
    <t xml:space="preserve">Hired 1 of the of the vacant Early Childhood Specialist positions. </t>
  </si>
  <si>
    <t xml:space="preserve">At the end of this quarter the following positions were filled: 1. 1 Director of Quality Child Care 2. 1 Administrative Assistant 3. 2 Special Projects Coordinators. At the end of this quarter the following positions were vacant: 2 Early Education Professional Development Specialist. 4/6 positions remain filled (66%). These staff are hired, trained, and working towards improving quality for ELPs. </t>
  </si>
  <si>
    <t xml:space="preserve">50 programs received HighScope preschool curriculum </t>
  </si>
  <si>
    <t xml:space="preserve">By the end of this 2/1/23-3/28/23 cohort, 43.4% of children were experiencing more than 13.5+ conversational turns per hour. 33.8% of children previously receiving less talk than the national median of 15 turns per hour had an average increase of +23.1 turns per hour. This was a 215% increase from the previous percentage of 10.7%. 37.3% of children who started experiencing less talk compared to other peers in their classroom had an average increase of +17.4 turns per hour. This was an 87% increase from the previous percentage of 19.9%.  </t>
  </si>
  <si>
    <t>Fall CLASS scores were received and distributed. 52 classrooms were observed and 2 were double coded. Within the 52 classrooms observed there were 23 preschool, 19 toddler, and 10 infant classrooms were observed. Fall CLASS scores received and distributed. 52 classrooms were observed and 2 were double coded. Within the 52 classrooms observed there were 23 preschool, 19 toddler, and 10 infant classrooms were observed. The infant rooms scored an average of 5.15/7 in their only domain Responsive Caregiving. The toddler classrooms scored an average of 5.42/7 in Emotional &amp; Behavior Support and 3.29/7 in Engaged Support for Learning. PreK classrooms scored an average of 5.63/7 in Emotional Supports, 5.2/7 in Classroom organization, and 2.71/7 in Instructional Support.</t>
  </si>
  <si>
    <t xml:space="preserve">As a part of the strategic plan for WSNCT Child Care Quality, WSNCT will provide a one-time incentive to Child Care staff that have been employed for 4 months or longer at their current child care facility. Participating programs were required to have a WSNCT agreement, be in one of the 14 WSNCT counties, be Texas Rising Star certified, and agree to participate in business coaching for ongoing business supports. To qualify for the stipend programs had to submit staff’s 2022 W2s (home programs with no staff submitted a W9), proof of 60 hours worked in the month of January 2023, and all qualifying staff had to be working with that program since October 1st, 2023. This Wage Supplement was given to support staff retention with the added requirement of business coaching participation which provides ongoing supports beyond the disbursement of the Wage Supplement. </t>
  </si>
  <si>
    <t>W-2's, Signature pages received as confirmation that staff received the funding; 369 staff qualified for the Wage Supplement and all payments have been made for these staff members to receive their Wage Supplement.</t>
  </si>
  <si>
    <t>Tuition for CDA</t>
  </si>
  <si>
    <t>Start Early- The Essential Practice: Intensive Family Engagement TOT (Jan-Feb 2023)</t>
  </si>
  <si>
    <t>Increased knowledge on supporting providers with increasing family engagement in their facilities.</t>
  </si>
  <si>
    <t>PreK Essential Curriculum Training (March 2023)</t>
  </si>
  <si>
    <t>Maintain licensing requirements</t>
  </si>
  <si>
    <t>Diversity Training (March 2023)</t>
  </si>
  <si>
    <t xml:space="preserve">Maintain licensing requirements </t>
  </si>
  <si>
    <t>Trauma Informed Care Certification (March-May 2023)</t>
  </si>
  <si>
    <t>to become certified Trauma Informed Care Specialist</t>
  </si>
  <si>
    <t>TRS New/ Recertification Awards (March 2023)</t>
  </si>
  <si>
    <t>Provided support with educational materials to maintain TRS status</t>
  </si>
  <si>
    <t>ASQ Refresher (Jan 2023)</t>
  </si>
  <si>
    <t>ASQ Training Full day (Feb 2023)</t>
  </si>
  <si>
    <t>ASQ Refresher (March 2023)</t>
  </si>
  <si>
    <t>PLC for 3 TRS mentors and 1 dual role</t>
  </si>
  <si>
    <t>One TRS assessor conducted annual unannounced monitoring visits for 2 TRS centers.</t>
  </si>
  <si>
    <t>Provider received TRS Initial Assessment</t>
  </si>
  <si>
    <t xml:space="preserve">One CCS provider received their initial TRS assessment which resulted in a 2 star certification. </t>
  </si>
  <si>
    <t>Participate in College course 1 TRS mentor staff</t>
  </si>
  <si>
    <t>One TRS mentor participated in college course virtually to further her education.</t>
  </si>
  <si>
    <t xml:space="preserve">This opportunity allowed for a large group of teachers to be served with training in accordance with their licensing requirements along with meeting TRS training standards. </t>
  </si>
  <si>
    <t>22  scholarships were provided child care staff. ($19172)</t>
  </si>
  <si>
    <t>Alpine ISD is opening a center in partnership with Big Bend Medical Center, this is to assist with start up ($76892.86) 50 child care slots created at one program</t>
  </si>
  <si>
    <t>Assisting Alpine ISD with start up for their center in a desert area.</t>
  </si>
  <si>
    <t>Brightwheel subscription</t>
  </si>
  <si>
    <t>Personnel costs for TRS staff</t>
  </si>
  <si>
    <t>Increase in TRS participation and to retain TRS certified programs.</t>
  </si>
  <si>
    <t>Increase in TRS participation and/or star level, to retain TRS certified programs.</t>
  </si>
  <si>
    <t xml:space="preserve">CPR, First Aid and AED Training was provided to Early Learning Program staff in the 2nd Quarter. A total of 5 classes were conducted in the 2nd Quarter, three in English and two in Spanish. 83 teachers participated and received their First Aid/CPR Certification during that time. $4,500 was spent in the 2nd Quarter on these classes.  </t>
  </si>
  <si>
    <t>Our goal is to reduce the number of programs cited for 746.1315 -First AID and CPR Requirements by 50% at the end of FY23.</t>
  </si>
  <si>
    <t xml:space="preserve">Our goal is to encourage at least 50 different programs to send staff to the First Aid/ CPR training hosted by Workforce Solutions Capital Area. </t>
  </si>
  <si>
    <t>Maintain CLASS Assessment Certification for one TRS Mentor already certified and provided new CLASS Assessment Certification training to our four new TRS Assessors to assist programs with measuring effective interactions. This will assist mentors will improving a programs scores in Category 2 which is weighted heavier under the new TRS Guidelines. $12,080.00 was spent in Quarter 2. One classroom in one program</t>
  </si>
  <si>
    <t>Purchase Frog Street Curriculum for current Texas Rising Star Programs and Entry Level Programs actively working with a TRS Mentor and who express interest in the TEA approved curriculum. A total of $29,275 (CRSSA Funding) was spent on Frog Street Curriculum for a total of 29 Early Learning Programs. Another Frog Street order will be placed later in FY23.</t>
  </si>
  <si>
    <t xml:space="preserve">See an increase in Early Learning Programs expressing interest in participating in the Texas Rising Star Program measured by the number of TRS Interest Forms received. Our goal is to receive 25 TRS Interest Forms from ELPs in FY23. As of the end of the 2nd Quarter, 27 TRS Interest forms have been received.  </t>
  </si>
  <si>
    <t xml:space="preserve">11 of scheduled subcontracted trainings were held in the 2nd Quarter. A total of  $6,700 was spent on training in the 2nd Quarter. All trainings are research-based to help providers meet their annual training requirement. </t>
  </si>
  <si>
    <t>Our goal is to have 95% of TRS programs avoid going on an SIA due to lack of Director or Teacher training hours during their next Annual Monitoring visit. This will be assessed at the end of the fiscal year.</t>
  </si>
  <si>
    <t>Conscious Discipline Training. Three of the five planned classes were conducted and paid for in Quarter 2, along with the purchase of Conscious Discipline resources. A total of  225 teachers/directors participated in a 2-part In-Person Conscious Discipline Training. Two additional trainings has yet to be completed. Total spent for training and resources in 2nd Quarter is $47,957.00.</t>
  </si>
  <si>
    <t xml:space="preserve"> We will measure success by seeing an increase in Category 2 scores for programs who send staff to Conscious Discipline trainings. This will be assessed at the end of the fiscal year.</t>
  </si>
  <si>
    <t>Registration for the Frog Street Splash Early Learning Conference (to take place in July) was purchased for 33 Early Learning Program Teachers and Administrators. The Early Learning Conference aligns with Capital Area's commitment to providing Frog Street Curriculum as well as Conscious Discipline training to programs in Travis County. Numbers will be reported in the Quarter the conference occurs. A total of $21,020 was spent on conference registration in the 2nd Quarter.</t>
  </si>
  <si>
    <t>We will measure success by providing a Teacher TRAC scholarship to 75 teachers within FY 2023.</t>
  </si>
  <si>
    <t>Spring Course TBD.</t>
  </si>
  <si>
    <t>Health and Safety Supplies</t>
  </si>
  <si>
    <t>Mentors are working with programs to bring Entry Level providers into Texas Rising Star certified.  Assessors are working to maintain the current TRS providers assessment needs and assess new programs.</t>
  </si>
  <si>
    <t>2nd Quarter results include:  15 new Texas Rising Star certified providers, 23 annual monitoring visits with current Texas Rising Star providers, and 139 mentoring visits with Entry Level providers in the Reaching for the Stars process.</t>
  </si>
  <si>
    <t>Program Resources for Texas Rising Star to enhance quality of Early Learning Programs</t>
  </si>
  <si>
    <t xml:space="preserve">2nd Quarter results include: 6 Entry Level Providers have utilized our provider resource rooms to laminate and use die cuts to extend the life of and enrich their classrooms educational materials. Four providers received resources to enhance the quality of their Early Learning Programs.  </t>
  </si>
  <si>
    <t>Category 1 improvement by increasing the professional development of staff</t>
  </si>
  <si>
    <t>Jewely Bear's Day Care received furniture and materials to create learning centers</t>
  </si>
  <si>
    <t>Increased score in Category 4 for Indoor Environment</t>
  </si>
  <si>
    <t>Increase in Category 3</t>
  </si>
  <si>
    <t>Made connections and points of contact with Early Learning Directors</t>
  </si>
  <si>
    <t>Reimbursement for CDA renewal</t>
  </si>
  <si>
    <t>Increases score in Category 1 by keeping highly qualified staff caring for the children</t>
  </si>
  <si>
    <t>Textbook for Blinn Course</t>
  </si>
  <si>
    <t>Assists with professional development of student taking the child development course.</t>
  </si>
  <si>
    <t>First Aid/CPR Training</t>
  </si>
  <si>
    <t>32 child care providers received First Aid/CPR training as required by CCR</t>
  </si>
  <si>
    <t>Actual YTD: 48%
TRS Certified Centers-2022-2023: 65%--  2023-2024: 85%</t>
  </si>
  <si>
    <t>TRS centers/homes obtained a higher star level, retained their star level, or prepared to become TRS</t>
  </si>
  <si>
    <t>TRS Mentors provided training on topics specific to TRS measures</t>
  </si>
  <si>
    <t>57 Child Care providers received training hours on topics specific to TRS measures including but limited to: transitions, teacher/child balance, classroom arrangement, etc.</t>
  </si>
  <si>
    <t>103  Child Care providers attended in-person TRS Orientation</t>
  </si>
  <si>
    <t>To increase the number of TRS providers  Cat 4 was reviewed</t>
  </si>
  <si>
    <t>TX Early Learning Guidelines</t>
  </si>
  <si>
    <t>To increase the number of TRS providers- topics cat 2 Virtual training</t>
  </si>
  <si>
    <t>Intentional outdoor play</t>
  </si>
  <si>
    <t>To increase the number of TRS providers- topics cat 4 In person Training</t>
  </si>
  <si>
    <t>To increase the number of TRS providers -topics cat 2 Virtual Training</t>
  </si>
  <si>
    <t>To increase the number of TRS providers -topics cat 2</t>
  </si>
  <si>
    <t>To increase the number of TRS providers-topic 4</t>
  </si>
  <si>
    <t>Effective classroom management</t>
  </si>
  <si>
    <t>To increase the number of TRS providers- topic 2</t>
  </si>
  <si>
    <t xml:space="preserve">137 providers received incentives for their continued participation in the TRS program for already certified providers.  
</t>
  </si>
  <si>
    <t>Professional Development opportunity provided to 50 child care staff over the topic of sensory play</t>
  </si>
  <si>
    <t xml:space="preserve">Decrease in number of child care regulations deficiencies for annual professional development </t>
  </si>
  <si>
    <t>Professional Development opportunity provided to 40 child care Directors over the topic of Personnel Issues and Solutions in ECE</t>
  </si>
  <si>
    <t xml:space="preserve">Early learning program expanded to include infant care for 4 infants,  0-12 months </t>
  </si>
  <si>
    <t xml:space="preserve">Provided Happy Hearts #2 playground shade </t>
  </si>
  <si>
    <t xml:space="preserve"> To enhance the quality of care for the children when they are outdoors, playing on the playground in areas when they are safe and can be protected from sun exposure.  The shades will be provided so that all age groups can benefit from the shaded areas on the playgrounds.</t>
  </si>
  <si>
    <t xml:space="preserve">Provided Little Characters #2 classroom materials </t>
  </si>
  <si>
    <t xml:space="preserve">Provided Little Friends classroom materials </t>
  </si>
  <si>
    <t xml:space="preserve">Provided Happy Beginnings classroom materials </t>
  </si>
  <si>
    <t xml:space="preserve">Early Learning program to add additional storage in classrooms to maintain compliance with Child Care Regulation. </t>
  </si>
  <si>
    <t xml:space="preserve">Provided Carousel Lomas classroom materials </t>
  </si>
  <si>
    <t xml:space="preserve">Provided 95 center based programs with 5 first aid kits and 25 Home based with 1 first aid kit </t>
  </si>
  <si>
    <t xml:space="preserve">To assist programs to maintain child care regulations compliance under health and safety in their centers.  </t>
  </si>
  <si>
    <t xml:space="preserve">Resources available for providers </t>
  </si>
  <si>
    <t>"New" TRS Provider Orientation Meeting was held on January 7, 2023.</t>
  </si>
  <si>
    <t>ELD child care providers who received TRS mentoring services &amp; initial TRS assessments. 2 child care centers received their TRS certification.</t>
  </si>
  <si>
    <t>"New" TRS Provider Orientation Meeting was held on February 15, 2023.</t>
  </si>
  <si>
    <t>ELD child care providers received TRS mentoring services &amp; initial TRS assessments during this quarter.  The initial TRS assessments for this cohort group will be completed by the end of the first week of May 2023.</t>
  </si>
  <si>
    <t>"New" TRS Provider Orientation Meeting was held on March 22, 2023.</t>
  </si>
  <si>
    <t xml:space="preserve">ELD child care providers in this cohort group will begin receiving TRS mentoring services during the second week of May 2023.  The initial TRS assessments for this cohort group should be completed by the end of July 2023.  </t>
  </si>
  <si>
    <t>Continue to provide support to the TRS staff.</t>
  </si>
  <si>
    <t>01/28/2023 - Child care professionals participated in 2 (1.5) hour virtual sessions with presenter Adilia Frazer.  1st session Reteniendo a sus Educadores Exitosamente (Spanish Session)– The presenter reviewed incentives and program goals to develop a successful staff retention plan.  Participants reviewed some recommendations for benefits and incentives and learned how to write a plan to retain their staff. 2nd Session Manejo de programs – Participants learned that playgrounds and outdoor spaces are more important than ever! For mask-free, clean air play and learning, head outside for more than just recess.  In this session, they also discussed about the benefits of outdoors for both children and teachers and learned first steps to getting learning outdoors right away.</t>
  </si>
  <si>
    <t>1st session - participants received (1.5) training clock hours/.15 CEUs under Management Technique per Child Care Regulation Minimum Standards.  Texas Core Competencies for Early Childhood Practitioners and Administrators:  Administrator Core Competency: 3.4. 2nd Session -  Participants received (1.5) training clock hours/.15 CEUs Management Technique per Child Care Regulation Minimum Standards.  Texas Core Competencies for Early Childhood Practitioners and Administrators:  Administrator Core Competency: 3.1</t>
  </si>
  <si>
    <t xml:space="preserve">02/11/2023 -  Child care professionals participated in 2 (1.5) hour virtual sessions with presenter Angela Oliver Queen of Hearts.  1st session The Fair Fairy: Positive Guidance and Discipline Strategies - Attendees discovered the secrets of the Fair Fairy, and together, we can plant seeds of positive social change to help grow more happy children, healthy families and peaceful communities.  Through engaging music and movement, they explored ideas around Toy Time-Out, Conflict &amp; Disappointment Resolutions, Creative Problem Solving Strategies, Positive Guidance &amp; Discipline Techniques, and Sharing Solutions.  2nd Session Got Good Senses? Discovering the Joys of Sensorial Learning – This session was filled with fun musical, dramatic, and hand-on activities to help young children connect to and rely on their senses for learning and living safely happily ever after.  Engaging the senses is an emotional practice that not only encourages deeper learning experiences and joy in life, but also helps t promote presence &amp; focus, connects us to family &amp; culture, and teaches us about the different ways we all use and celebrate our “good senses”   </t>
  </si>
  <si>
    <t>1st session - participants received (1.5) training clock hours/.15 CEUs under Guidance and Discipline per Child Care Regulation Minimum Standards.  Texas Core Competencies for Early Childhood Practitioners and Administrators:  Practitioner Core Competency: 2.2.  2nd Session -  Participants received (1.5) training clock hours/.15 CEUs Planning Developmentally Appropriate Activities per Child Care Regulation Minimum Standards.  Texas Core Competencies for Early Childhood Practitioners and Administrators:  Practitioner Core Competency: 3.1</t>
  </si>
  <si>
    <t>1st session - participants received (1.5) training clock hours/.15 CEUs under Attachment and Responsive Caregiving per Child Care Regulation Minimum Standards.  Texas Core Competencies for Early Childhood Practitioners and Administrators:  Practitioner Core Competency: 2.1, 2.2.  2nd Session -  Participants received (1.5) training clock hours/.15 CEUs Planning Guidance &amp; Discipline per Child Care Regulation Minimum Standards.  Texas Core Competencies for Early Childhood Practitioners and Administrators:  Practitioner Core Competency: 1.2</t>
  </si>
  <si>
    <t>03/28/2023 - We processed the cost of the CDA application and related payments to the Council for Professional Recognition for seventeen (17) students.  The cost per application was for $425 for each student.   *Same students as Q1, minus 2</t>
  </si>
  <si>
    <t>2022 Fall/2023 Spring Semester - CDA.  17 teachers complied with the  CDA Requirements as stated by the Council for Professional Recognition so they could begin conducting their observation and attain their CDA Certificate.</t>
  </si>
  <si>
    <t xml:space="preserve">78 Texas Rising Star Providers received a complete Children with Special Abilities Needs Package complete with different types of assistive learning devices to meet the unique needs of a child with disability. </t>
  </si>
  <si>
    <t xml:space="preserve">3 child care programs benefited from the TRS Staff that is CLASS certified. </t>
  </si>
  <si>
    <t xml:space="preserve">Purchase Frog Street infant and toddler curriculum kits for 42 Texas Rising Star Entry Level Designee programs </t>
  </si>
  <si>
    <t>Increase Texas Rising Star participation and certification status</t>
  </si>
  <si>
    <t xml:space="preserve">Board has funding for 6 mentors and 2 assessors. One staff is currently serving a dual role until the new assessor is certified. </t>
  </si>
  <si>
    <t>Board is fully staff: 2 FTE assessors, 5 FTE mentors, and 1 FTE serving a dual role (50/50) until new assessor earns certification.</t>
  </si>
  <si>
    <t>Mentors hosted Texas Rising Star categories training for all entry level designees.  55 programs attended two sessions in January and 55 programs attended in February.</t>
  </si>
  <si>
    <t>Increase Texas Rising Star participation and assist better understanding of the program categories.</t>
  </si>
  <si>
    <t>Texas Rising Star Lead Mentor attended the Child Care Business Accelerator Summit hosted by Collaborative for Children.</t>
  </si>
  <si>
    <t>Increase mentoring knowledge in the business administration and leadership.</t>
  </si>
  <si>
    <t>Purchase Frog street threes and preschool curriculum kits 1 provider. Board also purchase equipment and materials for 8 certified programs who requested additional mentoring support for their indoor and environments.</t>
  </si>
  <si>
    <t>Programs who received materials demonstrated an improvement in the category 4 scores during their unannounced monitoring visit.</t>
  </si>
  <si>
    <t>Increased knowledge of 60 staff on various professional development topics related to child development and Texas Rising Star.</t>
  </si>
  <si>
    <t>Conducted a Director's Round Table on Building a Cohesive Team on 2/7/23.
24 attendees from 16 centers and 1 home</t>
  </si>
  <si>
    <t>Increased knowledge of 24 owners/directors on various professional development topics related to child development and Texas Rising Star.</t>
  </si>
  <si>
    <t>Conducted a TRS training on getting children talking on 2/18/23.
27 attendees from 9 centers and 4 homes.</t>
  </si>
  <si>
    <t>Increased knowledge of 27 staff on various professional development topics related to child development and Texas Rising Star.</t>
  </si>
  <si>
    <t>Conducted a session on math and how it is everywhere on 3/9/23.
22 attendees from 8 centers and 4 homes.</t>
  </si>
  <si>
    <t>Increased knowledge of 22 staff on various professional development topics related to child development.</t>
  </si>
  <si>
    <t>Conducted a TRS training on self regulation for children on 3/23/23.
50 attendees from 12 centers and 1 homes.</t>
  </si>
  <si>
    <t>Increased knowledge of 50 staff on various professional development topics related to child development and Texas Rising Star.</t>
  </si>
  <si>
    <t>Offered a child development scholarship opportunity for staff to continue child development learning opportunities at a local community college from several facilities.</t>
  </si>
  <si>
    <t>Increased knowledge of eight new staff on various child development topics through a local community college.</t>
  </si>
  <si>
    <t>Reimbursed four staff for child development learning opportunity expenses at a local community college.</t>
  </si>
  <si>
    <t>Increased knowledge of four staff on various child development topics through a local community college.</t>
  </si>
  <si>
    <t>Offered reimbursement to four TRS providers for required individual staff CPR/First-Aid trainings.</t>
  </si>
  <si>
    <t>Eighteen CPR/First-Aid training certificates obtained by staff.</t>
  </si>
  <si>
    <t>Offered another grant opportunity in January 2023 to assist providers in the purchase of materials, equipment, curriculum, and needed resources.
20 facilities (including 6 TRS centers, and 14 non-TRS facilities, including 3 homes, and 11 centers)</t>
  </si>
  <si>
    <t>Increased the quality of care at 20 facilities through expanded resources.
Some provider grants remain outstanding.</t>
  </si>
  <si>
    <t>Conducted required TRS activities including quarterly CCR reviews, initial assessments, and annual monitoring's. As noted above, current TRS providers are being worked, along with ELD's in the process of pursuing TRS.
Amount noted here are all providers in our area that either are TRS or are pursuing accreditation.
For ELD's, CQIP's have or are being implemented.</t>
  </si>
  <si>
    <t>Properly followed TRS Guidelines related to required activities for all TRS Providers. Process is continuing as ELD's prepare for a TRS assessment.</t>
  </si>
  <si>
    <t>After successful education completion, encouraged employment retention at same facility by offering a 6-month retention incentive. This incentive remains in place for others and is considered ongoing.</t>
  </si>
  <si>
    <t>one coordinator, 5 mentors, 2 dual role assessor/mentor TRS staff; 1 TRS support staff</t>
  </si>
  <si>
    <t>provided design plans and technical assistance for 2 programs (one who is NAEYC accredited for an I/T outdoor classroom) and a (family childcare program who is TRS 4-star and a NAFCC accreditation candidate).</t>
  </si>
  <si>
    <t>Conducted 3 Virtual sessions covering SIDS/SBS/Infant Brain Development for all programs; 48 programs attended</t>
  </si>
  <si>
    <t xml:space="preserve">Provide targeted professional development and training for teachers in TRS certified programs and those working toward TRS certification in order to increase the number of available infant &amp; toddler slots across the board area by 5%. We will help to meet the need of programs’ hiring and retaining qualified infant &amp; toddler teachers in programs in order to open more classrooms to provide this care.  We estimate this professional development and training to reach all current TRS certified programs as well as those Entry Level programs who are working toward certification.  </t>
  </si>
  <si>
    <t>Purchase materials, curriculum and equipment for TRS certified programs to increase infant &amp; toddler capacity in their facility. We estimate a total of 5 programs will be assisted. We will measure success based on the increased infant &amp; toddler capacity at these programs. The number of infant &amp; toddler slots for subsidized children will increase by 5%.</t>
  </si>
  <si>
    <t>National Accreditation</t>
  </si>
  <si>
    <t>reimbursed and funded NAEYC and NAFCC applications; annual fees for 5 programs</t>
  </si>
  <si>
    <t>Conducted 7 Prof Dev 4-hour trainings for providers (all Entry Level and TRS certified) covering topics such as fabulous circle times; classroom arrangement and center set-up; positive interactions; curriculum and lesson planning both in English and in Spanish- 79 programs attended</t>
  </si>
  <si>
    <t>Provide high quality training and professional development to staff at all current certified TRS programs and to those EL programs working toward certification that complies with the requirements and expectations of TRS Guidelines and Accreditation Standards (an estimated 600 childcare professionals will receive this training). Training topics will be delivered through contracted, certified trainers and by providing reimbursements to program staff for attendance at local and state early childhood conferences.  Attendance records, evaluations, and pre/post tests will be collected and analyzed following each training session.  Success will be measured based on attendees’ responses and suggestions as well as data collected from programs’ CQIPs.</t>
  </si>
  <si>
    <t xml:space="preserve">Host a Nature Explore training - Using Your Outdoor Classroom for 5 programs who are working toward Certified Outdoor Classroom </t>
  </si>
  <si>
    <t>Co-sponsored 6 Central TX Chapter AEYC training sessions covering topics including classroom management; cooking with children; math/science; curriculum resources; 16 programs attended</t>
  </si>
  <si>
    <t>Co-hosted Central TX Chapter AEYC Winter Conference; 167 attendees from 48 programs</t>
  </si>
  <si>
    <t>Sponsored 25 providers to attend Family Childcare is Big Business Tour Conference in Temple, TX</t>
  </si>
  <si>
    <t>Texas Rising Star mentors attending PLCs for ATCP certification</t>
  </si>
  <si>
    <t>The goal of the PLCs is to support staff in obtaining ATCP certification</t>
  </si>
  <si>
    <t xml:space="preserve">Paid subcontractors to conduct a Texas Rising Star  Level Evaluation and to participate in quarterly meetings for Texas Rising Star-related trainings.  WSNCT shares 10 Texas Rising Star Assessors with Workforce Solutions Greater Dallas and Workforce Solutions for Tarrant County.  The Texas Rising Star Assessors are contracted vendors and expenditures for payments come out of CCQ funding. </t>
  </si>
  <si>
    <t xml:space="preserve">Assists centers in becoming, increasing, or maintaining Texas Rising Star Status. </t>
  </si>
  <si>
    <t>WFSNETX paid for the keynote speaker at the NTCC annual childcare conference. Reimbursed NTCC for the cost of the keynote speaker, 56 providers attended.</t>
  </si>
  <si>
    <t xml:space="preserve">Personnel costs for TRS staff employed with WFSNETX. </t>
  </si>
  <si>
    <t>One Early Childhood Specialist is attending the Coaching /Mentoring certificate course with Camp Fire First Texas. This is an advanced level course for mentors that impact the work of early education teachers. The course has 6 sessions, 42-hours that is focused on increasing skills to facilitate the professional growth of ECE teachers.</t>
  </si>
  <si>
    <t>Thirteen Texas Rising Star Board Staff (Early Childhood Specialist) participated in Mentor Micro-Credential PLC's as required by the Texas Rising Star guidelines. Two(2) Early Childhood Specialist are completing the ATCP modules and will be added to the PLC's. No CCQ funding is allocated for participation.</t>
  </si>
  <si>
    <t>Paid for one (1) Sr. Early Childhood Specialist  to renew their certification as a CLASS Observer in Preschool. A CLASS Observer is certified to collect CLASS data in a classroom setting for the specific designated age levels. In order to receive this certification, you must pass a reliability test following training and maintain that certification by passing an annual recertification test.</t>
  </si>
  <si>
    <t>Three TRS mentor staff mentored 44 staff members at previous center as well as at 2 additional TRS centers
Three TRS mentor staff provided technical assistance to 15 CCS providers starting the onboarding process</t>
  </si>
  <si>
    <t>Three TRS mentors and on dual role participated in PLC's monthly for 1.5 hours per month.</t>
  </si>
  <si>
    <t>85 slots were purchased through Region 19 for TRS General Education Training for Providers.  Two trainings were held during Q2 One on Feb 18 and the other on Mar 4. ($8000)</t>
  </si>
  <si>
    <t xml:space="preserve">Enhancing Children's Learning through Age-Appropriate Curriculum, Environment and Early Learning Standards - 4 hour virtual training </t>
  </si>
  <si>
    <t>Child &amp; Youth Conference: Understanding Executive Functions; Forming Relationships with Children Through Positive Engagement and Interactions; Turning Challenging Behaviors into Learning Opportunities; Supporting Children in Play; Managing Your Little Monsters; Sign Language for Classroom Management Supports - 7 hour in person training</t>
  </si>
  <si>
    <t>50 Automated External Defibrillators were purchased for distribution to Early Learning Programs who request an AED and whose staff participated in the Workforce Solutions Capital Area contracted CPR, First Aid, and AED Training. While the AED devices were purchased in Quarter 2, they will be distributed in the 3rd and 4th Quarter and will be reported on the Quarterly Data tab as they are distributed to programs. $69,055 was spent on the AED Machines (CRSSA)</t>
  </si>
  <si>
    <t>Early Learning Resources were purchased for our Texas Rising Star Two-Star, Three-Star, and Four-Star programs as well as those programs actively working toward Texas Rising Star. These resources include toys, shelving and playground equipment with the goal of improving Category 4 scores for our TRS and ELD Programs. In Quarter 2, a total of 21 Programs were purchased resources for a total of $255,491.00 was spent (CRSSA Funding).</t>
  </si>
  <si>
    <t xml:space="preserve">Updated Texas Rising Star Brochures for both parents and providers were purchased in Quarter 2. These brochures will be used to assist with recruiting Entry Level Designated Programs and non-contracted Early Learning Programs into Texas Rising Star as well as assist with informing parents about the benefits of selecting a TRS Program. A total of  $715.00 was spent on 400 brochures printed using TWC's approved format. </t>
  </si>
  <si>
    <t xml:space="preserve">Provided in house training to Texas Rising Star and Entry Level Designated programs using qualified Texas Rising Star Staff with the goal of helping providers meet their annual training requirements. No Quality Funds were used for these trainings. </t>
  </si>
  <si>
    <t>We provided Health and Safety supplies to providers. In San Marcos we had 33, Bastrop 25, and Cedar Park 70 providers that receive Health and Safety supplies .</t>
  </si>
  <si>
    <t>Marvelous Math for infant and toddlers</t>
  </si>
  <si>
    <t>Enhancing Dramatic Indoor and outdoor play</t>
  </si>
  <si>
    <t>137 providers received a maintenance incentive for their TRS certification for those providers that had certification status effective 12/1/2022. This activity is still ongoing as program staff will also be receiving individual incentives for maintaining their TRS certification during their monitoring assessment.</t>
  </si>
  <si>
    <t>Materials and equipment will enhance the classrooms in order to meet the children's physical, cognitive, social/emotional and Language and Literacy domains.</t>
  </si>
  <si>
    <t xml:space="preserve">CLASS is a scoring system which measures teacher-child interactions through a reliable observer.  This recertification is done once a year for reliable observer for TRS teacher-child observations and to meet the new guidelines for mentors to be reliable.  </t>
  </si>
  <si>
    <t>03/25/2023 -  Child care professionals participated in 2 (1.5) hour virtual sessions with presenter Geralding (Gigi) Wynn with Lakeshore.  1st session Building Effective Teacher-Child Interactions: Healthy Emotional Connections - This training session focused on Healthy Connections and Building Secure Relationships and Attachments.    2nd Session Building Effective Teacher-Child Interactions: Typical &amp; Atypical Challenging Behaviors – This training session focused on Managing Behaviors: Typical and Atypical Challenging Behaviors</t>
  </si>
  <si>
    <t xml:space="preserve">3/22/2023 - TRS Providers were awarded an Special Abilities Needs Package. Note: Providers are  receiving the material and expenditures have not yet occurred. This initiative hit CRRSA Funding and CCQ Funding. </t>
  </si>
  <si>
    <t>Conducted a training on Managing the Mayhem (challenging behaviors) related to the TRS program on 1/21/23 (virtual and in-person).
24 attendees in person from 10 centers and 1 home, along with 36 virtual attendees from 7 centers and 3 homes</t>
  </si>
  <si>
    <t>Offered an employment retention incentive (at 6 months) to a staff person that successfully completed her CDA prior.
1 staff at a TRS center.</t>
  </si>
  <si>
    <t>Offered a STEAM program (specific to Engineering) for classes for ages 3-5 and an individual activity for ages 6-10.
Had  663 children from 52 classes at 21 centers and 4 homes participate in the class activity for ages 3-5.
Had 67 children from 12 centers and 1 home participate in the activity for ages 6-10.</t>
  </si>
  <si>
    <t>Increased knowledge of 730 children on general engineering principles, encouraged teamwork, creativity, and critical thinking skills.</t>
  </si>
  <si>
    <t>Purchased curriculum, materials and equipment for 6 ELP Infant Toddler classrooms</t>
  </si>
  <si>
    <t>Reimbursed  2 Director credential training.</t>
  </si>
  <si>
    <t>professional Development</t>
  </si>
  <si>
    <t xml:space="preserve">Tuition reimbursement  scholarship for 1 </t>
  </si>
  <si>
    <t>Received bachelor's degree</t>
  </si>
  <si>
    <t>Various trainings from TRS and B/R staff for 268 ELP staff</t>
  </si>
  <si>
    <t>Purchased curriculum, materials and equipment for 31 ELPs</t>
  </si>
  <si>
    <t xml:space="preserve"> Initial and Monitoring  ELP Incentives for 12 ELP</t>
  </si>
  <si>
    <t>Purchased playground equipment for 1 ELP</t>
  </si>
  <si>
    <t xml:space="preserve">Boosting teacher/child interaction scores through mentoring to assessment </t>
  </si>
  <si>
    <t>Curriculum enhancement boosting for assessment</t>
  </si>
  <si>
    <t>Additional natural element enhancement outdoor environment</t>
  </si>
  <si>
    <t>Boosting indoor environment scoring at assessment</t>
  </si>
  <si>
    <t>Boosting Texas Rising Star category enrichment</t>
  </si>
  <si>
    <t xml:space="preserve">Community outreach materials for Texas Rising Star </t>
  </si>
  <si>
    <t>Boosting teacher/child interaction scores through mentoring to assessment scores</t>
  </si>
  <si>
    <t>Engaging families in fun learning environment and providing community resources</t>
  </si>
  <si>
    <t>Increased quality staff positions requiring technology</t>
  </si>
  <si>
    <t>Increased participation with community partners</t>
  </si>
  <si>
    <t>PD training opportunities to meet mentor hours</t>
  </si>
  <si>
    <t>PD training to become TECPDS trainers on registry</t>
  </si>
  <si>
    <t xml:space="preserve">PD enhancement for education career lattice Texas Rising Star </t>
  </si>
  <si>
    <t>PD training opportunities to enhance coaching skills</t>
  </si>
  <si>
    <t>PD mentor training</t>
  </si>
  <si>
    <t>QRIS training</t>
  </si>
  <si>
    <t>CPR/First Aid Safety Training  (board hosted) (fees paid by participants)</t>
  </si>
  <si>
    <t>CPR/First Aid Safety Training (board hosted) (fees paid by participants)</t>
  </si>
  <si>
    <t>Increase  Program Director participation in collaborative learning and business development. Deepening knowledge and expertise by interacting on a regular basis. Mentors observed positive change in participants daily practice.</t>
  </si>
  <si>
    <t>Increase in Texas Rising Star participation and/or Star Level. Decrease in number of licensing deficiencies cited by CCR</t>
  </si>
  <si>
    <t>Increase in Texas Rising Star participation.</t>
  </si>
  <si>
    <t>Data showed a 24% increase  in  the number of conversational turns from the first LENA day to the last LENA day.  Additionally, there was a 56%  increase in conversational turns in children who started out experiencing less talk compared to the peers.  Teacher surveys revealed an increase in teacher confidence and competence in learning and applying talk strategies. Seven teachers chose to pursue certification and were certified. This project/activity enhanced compliance with CCR requirements for health and safety.    A decrease in the number of licensing deviancies cited by CCR. Verified by quarterly CCR screenings.  Increase in number of ELPS qualifying for Entry Level TRS participation.</t>
  </si>
  <si>
    <t>Supporting compliance with CCR requirements for health and safety. Increase in number of ELPS qualifying for Entry Level TRS participation.  Decrease in the number of Licensing Deficiencies cited by CCR. Verified by quarterly CCR screenings.</t>
  </si>
  <si>
    <t>Supporting compliance with CCR requirements for health and safety.  Increase in number of ELPS qualifying for Entry Level TRS participation.  Decrease in the number of Licensing Deficiencies cited by CCR. Verified by quarterly CCR screenings.</t>
  </si>
  <si>
    <t>Supporting compliance with CCR requirements for health and safety. Decrease in number deficiencies cited by CCR. Increase in number of ELPS qualifying for Entry Level TRS participation.  Decrease in the number of Licensing Deficiencies cited by CCR. Verified by quarterly CCR screenings.</t>
  </si>
  <si>
    <r>
      <t xml:space="preserve">Number of Participants 
</t>
    </r>
    <r>
      <rPr>
        <i/>
        <sz val="12"/>
        <rFont val="Calibri"/>
        <family val="2"/>
        <scheme val="minor"/>
      </rPr>
      <t>(if applicable)</t>
    </r>
  </si>
  <si>
    <t>none reported</t>
  </si>
  <si>
    <t>new Texas Rising Star staff stipends
154 staff within 21 providers</t>
  </si>
  <si>
    <t>CLASS stipends
474 staff within 43 providers</t>
  </si>
  <si>
    <t>Purchase Teaching Strategies home curriculum for 15 homes</t>
  </si>
  <si>
    <t>Outdoor measure enhancement provided to 250 programs</t>
  </si>
  <si>
    <t>Toddler indoor classroom enhancement provided to 33 programs</t>
  </si>
  <si>
    <t>Resource purchases, manipulatives, multi-cultural, indoor infant toddler climbing movement/mirrors, differing abilities items provided to 6 programs</t>
  </si>
  <si>
    <t>Parent Engagement Event
1000 parents and children</t>
  </si>
  <si>
    <t>Technology provided to 15 Tarrant QI staff</t>
  </si>
  <si>
    <t>NAEYC memberships paid for 33 Tarrant QI staff</t>
  </si>
  <si>
    <t>Bob Pike Train the Trainer for 8 TRS mentor staff</t>
  </si>
  <si>
    <t>NAEYC Professional Learning Institute paid for 5 Tarrant QI staff</t>
  </si>
  <si>
    <t>Tarrant County College scholarships (same individuals from last quarter) for 5 cc staff</t>
  </si>
  <si>
    <t>CDA training with Green Space for 22 CC staff</t>
  </si>
  <si>
    <t>Teachstone CLASS infant/toddler observer training for TRS mentors</t>
  </si>
  <si>
    <t>TWC Texas Rising Star mentor training for 19 Tarrant QI staff</t>
  </si>
  <si>
    <t>BUILD conference paid for 4 Tarrant QI staff</t>
  </si>
  <si>
    <t>Provide mentoring for TRS providers
Provided Technical assistance to CCS providers onboarding
2 TRS Centers
15 CCS providers</t>
  </si>
  <si>
    <t>Providers Received an annual monitoring visit
2 TRS centers
10 classrooms</t>
  </si>
  <si>
    <t>Providing materials, equipment and resources to assist 3 providers in meeting TRS requirements</t>
  </si>
  <si>
    <t xml:space="preserve"> Lena Grow - LENA GROW is a research-based, data driven program that helps teachers of  infants and toddlers  gain the skills to measurably improve classroom quality and boost interactions. This project aligns with the Board's goal to increase the supply of high quality infant and toddler care.  This was implemented in four (4) TRS classrooms in three (3) counties in which two (2) are rural.
4 ELPs, 7 teachers, 4 directors, and 50 Infant/toddlers</t>
  </si>
  <si>
    <t>Monthly Virtual Coffee Chat for 30 Early Learning Program Directors</t>
  </si>
  <si>
    <t>Monthly Virtual Coffee Chat for 28 Early Learning Program Directors</t>
  </si>
  <si>
    <t>Provided grants to 22 teachers from Early Learning Programs to attend regional Early Childhood Conference-Central Texas Chapter AEYC</t>
  </si>
  <si>
    <t>TECPDS Virtual Roadshow presented by CLI (board hosted) (no cost) for 15 directors</t>
  </si>
  <si>
    <t>Minimum Standards Training presented by Child Care Regulation (board hosted) (no cost) for 45 directors</t>
  </si>
  <si>
    <t>Professional Development Partnership with Region 12 Education Service Center-no cost. Training on Pyramid Model for Supporting Social Emotional Development of Young Children (board hosted) (no cost) for 40 teacher</t>
  </si>
  <si>
    <t xml:space="preserve">Awarded Equipment/Materials Grants to 2 Early Learning Programs who achieved initial TRS certification.                                                                      </t>
  </si>
  <si>
    <t>A Total of $1,600 was spent in the 2nd Quarter on the Teacher TRAC Scholarship Program in partnership with Austin Community College. This money was used for Testing fees and student incentives. Please note: Workforce Solutions Capital Area provides only a portion of the funding for this program. This money is paid out of our QC3 funding and not out of our 4% Quality dollars. 43 students enrolled at end of Q2</t>
  </si>
  <si>
    <t>Blinn College - payment for tuition, fee's and textbooks for Spring 2023 for 14 teachers</t>
  </si>
  <si>
    <t>Programs received the hard copy and digital resources for The Creative Curriculum
11 programs and 2 Family Home providers</t>
  </si>
  <si>
    <t xml:space="preserve">85 participants, 16 LCCC, 5 TRS </t>
  </si>
  <si>
    <t xml:space="preserve">"Music, Movement &amp; Learning " </t>
  </si>
  <si>
    <t>56 participants, 11 LCCC, 1 RFH, 6 TRS</t>
  </si>
  <si>
    <t>55 participants, 12 LCCC, 6 TRS</t>
  </si>
  <si>
    <t>Feb.-Child Maltreatment, Mar.- Cultural Diversity for children and families, Apr.- Brain Development, safe sleep, and abusive head trauma</t>
  </si>
  <si>
    <t xml:space="preserve">30 participants, partnered with Texas A&amp;M Ext. ECET </t>
  </si>
  <si>
    <t>1st Aid/CPR</t>
  </si>
  <si>
    <t xml:space="preserve">65 participants, 20 LCCC, 1 RFH, 4 TRS </t>
  </si>
  <si>
    <t>Child Abuse: It's a National Epidemic Seminar</t>
  </si>
  <si>
    <t>89 participants, 7 LCCC, 4 RFH, 5 TRS</t>
  </si>
  <si>
    <t>Purchased 15 kits of ASQ for the current TRS providers</t>
  </si>
  <si>
    <t>Purchased 15 ASQ kits for the current TRS providers/ this will be ongoing.</t>
  </si>
  <si>
    <t>TECEPDS/CLI</t>
  </si>
  <si>
    <t>Bi-weekly meetings with the providers for training on how to get TECEPS, CLI accounts and TRS orientation</t>
  </si>
  <si>
    <t>Pre K partnership stipends provided to 5 programs</t>
  </si>
  <si>
    <t>training/PD /team-building for TRS mentor staff - Workplace Languages</t>
  </si>
  <si>
    <t>purchased changing tables cribs, furnishings and materials for 2 new programs opening infant/toddler classrooms; 78 new slots for infants &amp; toddlers</t>
  </si>
  <si>
    <t>reimbursed 6 programs for the Quarter for a portion of their ProCare office systems</t>
  </si>
  <si>
    <t xml:space="preserve">Teacher-child interaction, Play-based Learning, Active Supervision, Classroom Management, Creating In/outdoor Enviro. </t>
  </si>
  <si>
    <t>Environment Routines and Relationships</t>
  </si>
  <si>
    <t xml:space="preserve">TRS mentors/assessors will provide mentoring for 75 centers  interested in becoming TRS and existing centers who wish to maintain or increase their TRS star level. </t>
  </si>
  <si>
    <t>Provide materials, equipment, and resources to assist 3 programs in meeting TRS requirements including but not limited to classroom furniture, developmentally appropriate learning materials, curriculum, outdoor equipment, gross motor equipment and resource books solely for infants and toddlers</t>
  </si>
  <si>
    <t>Provide materials, equipment, and resources to assist 6 programs in meeting TRS requirements including but not limited to classroom furniture, developmentally appropriate learning materials, curriculum, outdoor equipment, gross motor equipment and resource books</t>
  </si>
  <si>
    <t>TRS Mentors provided TRS Orientation to 15 Entry Level Designation centers/homes
13 Child Care Centers &amp; 2 Homes</t>
  </si>
  <si>
    <t>provided classroom materials for all 179 CCS programs in our area to aide in setting up learning centers and to replenish materials in existing TRS facilities</t>
  </si>
  <si>
    <t>Teachstone Classroom Assessment Scoring System Recertification for Pre-K for 1 Mentor/Assessor Maria Gaytan</t>
  </si>
  <si>
    <t>CLASS assessments within 271 classrooms in 67 programs</t>
  </si>
  <si>
    <t>Marketing resource purchases for 182 programs</t>
  </si>
  <si>
    <t>LENA Assessments and Coaches Training; As a part if the WSNCT strategic plan for child care quality 27 classrooms within 1 program are scheduled for assessment with LENA. Category 2 is point based and maintenance/improvement in this area supports Texas  Rising Star programs to improve and maintain their start levels. The Lena Grow device will measure the number of words and conversations children are exposed to in the classroom providing the measurable data needed to increase interactions.</t>
  </si>
  <si>
    <t xml:space="preserve">Salaries for 5 TRS staff &amp; child care quality staff who support the TRS staff and supplies and training associated with the TRS positions. </t>
  </si>
  <si>
    <t>Purchased marketing materials for our annual Early Learning Conference 182 Early learning Staff</t>
  </si>
  <si>
    <t xml:space="preserve">Provided cribs and rocking chair to Happy Beginnings to expand Infant Care 0-12 months 
Provided additional cribs and an evacuation crib to Happy Beginnings to expand Infant Care 0-12 months </t>
  </si>
  <si>
    <t xml:space="preserve">Provided Sunshine Little School Childcare playground shade 
Provided Sunshine Little School Childcare outdoor environment materials </t>
  </si>
  <si>
    <t>To enhance the quality of care for the children when they are outdoors, playing on the playground in areas when they are safe and can be protected from sun exposure.  The shades will be provided so that all age groups can benefit from the shaded areas on the playgrounds.
Materials and equipment will enhance the classrooms in order to meet the children's physical, cognitive, social/emotional and Language and Literacy domains.</t>
  </si>
  <si>
    <t>The Board will measure the success of this activity through the programs' meeting their CQIP goals for learning or enhancing environments for Infant &amp; Toddler students.</t>
  </si>
  <si>
    <t>Increase the number of Texas Rising Star centers by 2.  Increased provider and parent satisfaction.</t>
  </si>
  <si>
    <t>TBD - TXAEYC will be held in November 2023 (registration and hotel fees were paid)</t>
  </si>
  <si>
    <t>10 received the CDA certification</t>
  </si>
  <si>
    <t>4 received the CDA certification</t>
  </si>
  <si>
    <t xml:space="preserve">As a part of the strategic plan for WSNCT career pathways, WSNCT will offer scholarships for up to 40-60 individuals per event to attend conferences for FY2023 including NAEYC Professional Learning Institute, Frog Street Splash Conference, TXAEYC, and the Texas Licensed Child Care Association (TLCCA) . These activities will help individuals obtain their needed annual training clock hours for Child Care Regulation and provide them with information about the latest trends, theories, and techniques from Early Childhood Education Professionals across the state and nation. Our estimated reach for this initiative is 100. We will measure the success of these activities by tracking the number of individuals who attend and the information extracted from surveys after each conference.
</t>
  </si>
  <si>
    <t>Data will be entered in Q4</t>
  </si>
  <si>
    <t xml:space="preserve">3 Quality Staff were registered to attend the 2023 Frog Street Splash Conference July 20-22. 4 Quality Staff were registered and attended the Professional Learning Institute Conference in Portland, Oregon. </t>
  </si>
  <si>
    <t>12 training hours for Frog Street and received certificate of completion and attendance or NAEYC Conference.</t>
  </si>
  <si>
    <t xml:space="preserve">CDA certificate of completion and certificate for completing the CDA course were both submitted to qualify. 25 participants in total have qualified and received a stipend. </t>
  </si>
  <si>
    <t>One Early Childhood Specialist attended the 3 day virtual ASQ Train the Trainer (TOT) offered as a grant from TWC and receive 24 annual clock hours. This training provided knowledge and skill development for participants to offer create effective and engaging learning experiences when training other Early Childhood educators using the ASQ-3 and/or ASQ:SE-2</t>
  </si>
  <si>
    <t xml:space="preserve">One Early Childhood Specialist attended the no cost (grant provided) 3 day virtual training offered and obtained a total of  24 professional development hours. </t>
  </si>
  <si>
    <t>Two Early Childhood Specialist completed, while another two(2) Early Childhood Specialists started attending the Coaching /Mentoring certificate course with Camp Fire First Texas. This is an advanced level course for mentors that impact the work of early education teachers. The course has 5 sessions, 16-hours that is focused on increasing skills to facilitate the professional growth of ECE teachers.</t>
  </si>
  <si>
    <t xml:space="preserve">Two Early Childhood Specialist completed the course and received a Mentoring/Coaching certificate with 16 annual clock hours. This course was paid for by the board. Two Early Childhood Specialists began the course scheduled for June-August 2023. </t>
  </si>
  <si>
    <t xml:space="preserve">Fourteen Texas Rising Star Early Childhood Specialists and Two Early Childhood Program Supervisors attended the Virtual Collaborative Symposium virtually in April 2023 conducted by TWC. Participants received a total of 7 annual clock hours. Five Early Childhood Specialists attended the NAEYC PLI conference in Portland, OR and received a total of 21 annual clock hours per participant. The conference was designed for all early childhood professionals to present appropriate teaching strategies using research-based topics and current educational trends.  One Early Childhood Specialists attended the McCormick Leadership  Academy virtual training in April 2023 receiving 16 annual clock hours of training. McCormick attendees explored topics that identified their leadership strengths, engaged in interactive learning and fine tuned strategies for dealing with real life challenges experienced in ECE. One Sr. Early Childhood Specialist attended the ITSN Summit and TSR conference in Houston and earned 13 annual clock hours. While two (2) Sr. Early Childhood Specialists attended the TSR conference in Houston as presentations. </t>
  </si>
  <si>
    <t xml:space="preserve">A total of 14 Early Childhood Specialists and 2 Early Childhood Program Supervisors were able to attend conferences and professional development training and obtained a total of 44 professional development hours. </t>
  </si>
  <si>
    <t>Fourteen Texas Rising Star Board Staff (Early Childhood Specialist) participated in Mentor Micro-Credential PLC's as required by the Texas Rising Star guidelines. No CCQ funding is allocated for participation.</t>
  </si>
  <si>
    <t xml:space="preserve">One Early Childhood Specialist ended participation in May 2023. </t>
  </si>
  <si>
    <t>100 early learning programs received Quality Enrichment Materials which will improve these program's early learning environment based on Texas Rising Star standards.</t>
  </si>
  <si>
    <t xml:space="preserve">As a part of the strategic plan for WSNCT Child Care Quality, WSNCT will offer 100 WSNCT providers a grant opportunity for the outdoor playground enhancement. This grant will include a bird feeder, wind chimes, tree slices, and a raised garden kit for all 100 providers that qualify. This opportunity is being offered to support Texas Rising Star Early Learning Programs who need additional support in meeting outdoor learning environment measures for Category 4 in the Texas Rising Star assessment tool. We will measure success through participation, surveys that provide feedback on the Early Learning Program's ability to meet related Texas Rising Star measures, and implementing goals created for the Early Learning Program's Continuous Quality Improvement Plan. Our estimated reach for this activity is 100 sites served.
</t>
  </si>
  <si>
    <t xml:space="preserve">100 early learning programs received outdoor environment enhancements which will improve these program's early learning environment based on Texas Rising Star standards. </t>
  </si>
  <si>
    <t xml:space="preserve">At the end of this quarter the following positions were filled: 1. 1 Director of Quality Child Care 2. 1 Administrative Assistant 3. 2 Special Projects Coordinators. At the end of this quarter the following positions were vacant: 2 Early Education Professional Development Specialist (EEPDS). 4/6 positions remain filled (66%). These staff are hired, trained, and working towards improving quality for ELPs. </t>
  </si>
  <si>
    <t xml:space="preserve">59 participants received HighScope preschool curriculum training. </t>
  </si>
  <si>
    <t xml:space="preserve">One Early Childhood Specialist ended their contract May 2023. </t>
  </si>
  <si>
    <t xml:space="preserve">Spring CLASS scores received and distributed. 52 classrooms were observed and 2 were double coded. Within the 52 classrooms observed there were 23 preschool, 19 toddler, and 10 infant classrooms observed. The infant rooms scored an average of 5.2 in their only domain Responsive Caregiving. The toddler classrooms scored an average of 5.7 in Emotional &amp; Behavior Support and 3.7 in Engaged Support for Learning. PreK classrooms scored an average of 5.8 in Emotional Supports, 5.3 in Classroom organization, and 2.7 in Instructional Support. </t>
  </si>
  <si>
    <t>CDA Credential</t>
  </si>
  <si>
    <t>Increased knowledge on supporting providers with increasing Trauma care in their facilities</t>
  </si>
  <si>
    <t>CDA (teachers enrolled in the CLI ECDA Program)</t>
  </si>
  <si>
    <t>To support teachers in completing their credential.</t>
  </si>
  <si>
    <t xml:space="preserve">Kindermusik Curriculum Training (June 2023) </t>
  </si>
  <si>
    <t>PreK Essential Training - Virtual</t>
  </si>
  <si>
    <t>PreK Essential Training- In- person</t>
  </si>
  <si>
    <t>Administrators Credential with Campfire</t>
  </si>
  <si>
    <t>Provide knowledge and training to receive director credentials and maintain licensing requirements</t>
  </si>
  <si>
    <t>ASQ Training (April 2023)</t>
  </si>
  <si>
    <t>Provided training to ELPs and community partners on ASQ screening tool to support families and children</t>
  </si>
  <si>
    <t>ASQ Enterprise Training (May 2023)</t>
  </si>
  <si>
    <t>Increased knowledge on the online system for screening students.</t>
  </si>
  <si>
    <t xml:space="preserve">ASQ TOT Training (May 2023) TWC  (Both Inclusion specialists) </t>
  </si>
  <si>
    <t xml:space="preserve">ASQ Training (June 2023) </t>
  </si>
  <si>
    <t>Recertification Award (ELPs Jan-March 2023)</t>
  </si>
  <si>
    <t>Provided support with educational materials, staff incentives, etc. to 12 programs.</t>
  </si>
  <si>
    <t>LENA - Talking is Teaching</t>
  </si>
  <si>
    <t>Provided educational materials to extend the components of LENA in previously participated program</t>
  </si>
  <si>
    <t xml:space="preserve">Purchased outdoor items such as bird feeders/houses, weather stations, flowers, and watering cans. For all 62 centers to assist with meeting TRS measures. </t>
  </si>
  <si>
    <t xml:space="preserve">Providers will have outside items teaching the lifecycle of plants and animals. </t>
  </si>
  <si>
    <t>Purchased curriculum, materials and equipment for 12 ELPs for infant and toddler classrooms</t>
  </si>
  <si>
    <t>Various trainings from TRS and B/R staff for 292 ELP staff</t>
  </si>
  <si>
    <t>Purchased curriculum, materials and equipment for 29 ELPs</t>
  </si>
  <si>
    <t>completed</t>
  </si>
  <si>
    <t xml:space="preserve"> Initial and Monitoring  ELP Incentives for 10 ELPs</t>
  </si>
  <si>
    <t>Staff bonus for 22 ELP staff</t>
  </si>
  <si>
    <t>Purchased playground shade for 1 ELP</t>
  </si>
  <si>
    <t>children able to spend more quality time outside</t>
  </si>
  <si>
    <t>Purchased security system for 1 ELP</t>
  </si>
  <si>
    <t xml:space="preserve">Three mentor staff mentored 58 staff members at previous center as well as 4 additional TRS certified centers
Three TRS mentor staff provided technical assistance to 8 ELD providers starting the onboarding process. </t>
  </si>
  <si>
    <t>Three TRS mentors and one dual role participated in PLC's monthly for 1.5 hours per month.</t>
  </si>
  <si>
    <t>Providers received TRS Initial assessment</t>
  </si>
  <si>
    <t xml:space="preserve">Nine ELD providers received their initial TRS assessment which resulted in certification. </t>
  </si>
  <si>
    <t>Participated in College course 1 TRS mentor staff</t>
  </si>
  <si>
    <t>One TRS mentor participated in a college course virtually to further her education</t>
  </si>
  <si>
    <t xml:space="preserve">Provided CDA Scholarships for qualifying candidates </t>
  </si>
  <si>
    <t>In partnership with the local community college, we paid scholarships for 25 qualifying students to receive their 120 hours of professional development for the CDA course</t>
  </si>
  <si>
    <t>Hosted 3 sessions of Director's toolbox for directors</t>
  </si>
  <si>
    <t xml:space="preserve">We procured space and a trainer for 22 directors to participate in the Directors Toolbox. We have completed 3 out of six sessions. </t>
  </si>
  <si>
    <t>Provided a one time incentive to individual at TRS provider</t>
  </si>
  <si>
    <t xml:space="preserve">Provided a one time incentive payment to an individual that had continued employment at a TRS center. </t>
  </si>
  <si>
    <t>Quality child care conference (At the Heart of Teaching)</t>
  </si>
  <si>
    <t>Decrease in the number of licensing deficiencies cited by CCR and achieve annual training hours.</t>
  </si>
  <si>
    <t>Personnel costs for  TRS staff</t>
  </si>
  <si>
    <t>Increase in TRS participation and/or star level, to retain TRS certified programs</t>
  </si>
  <si>
    <t>Providing periodic grants to child care providers</t>
  </si>
  <si>
    <t xml:space="preserve">Providing periodic grants to incentivize program staff to maintain or increase star level. </t>
  </si>
  <si>
    <t>CPR &amp; 1st aid</t>
  </si>
  <si>
    <t>Providing CPR &amp; 1st aid payments for providers to maintain compliance with CCR</t>
  </si>
  <si>
    <t>Curriculum Play and Social and Emotional Learning in Early Childhood Classroom Environments - 4 hour virtual training (no charge for this training)</t>
  </si>
  <si>
    <t>Salary for Mentor/Assessor (1 position)</t>
  </si>
  <si>
    <t xml:space="preserve">Salary for Dual Role - Mentor/Assessor </t>
  </si>
  <si>
    <t>Ages and Stages (ASQ-3) Comprehensive training topics included the importance of developmental screening, how to administer, score, interpret, and when to make referrals as well as understanding the role of parents in the ASQ-3 screening process. Participants were infant/ toddler teachers and administrators of Early Learning Programs.</t>
  </si>
  <si>
    <t>Pre and Post training results-Knowledge gained. Increase in use of developmental screenings. Early identification of developmental disabilities in children and increase in number of referrals to ECI. Increase in family engagement.</t>
  </si>
  <si>
    <t>Ages and Stages (SE-2)  Comprehensive training topics included the identification of young children at risk of social or emotional difficulties. It also included the 7 Key Behavioral Areas- self-regulation, compliance, communication, adaptive functioning, autonomy, affect and interaction with people.</t>
  </si>
  <si>
    <t>Pre and Post training results-Certification received</t>
  </si>
  <si>
    <t>9 teachers attained their Child Development Associate (CDA) credential</t>
  </si>
  <si>
    <t>Pre and Post training results-Knowledge gained</t>
  </si>
  <si>
    <t>Increase in participation</t>
  </si>
  <si>
    <t>Increase in TRS Star Levels</t>
  </si>
  <si>
    <t xml:space="preserve">Increase in TRS participation </t>
  </si>
  <si>
    <t xml:space="preserve">CPR, First Aid and AED Training was provided to Early Learning Program staff in the 3rd Quarter. A total of 4 classes were conducted in the 3rd Quarter, three in English and one in Spanish. 112 teachers participated and received their First Aid/CPR Certification during that time. $7,500 was spent in the 3rd Quarter on these classes.  </t>
  </si>
  <si>
    <t xml:space="preserve">Maintain CLASS Assessment Certification for five staff already certified and provided new CLASS Assessment Certification training to two additional staff to assist programs with measuring effective interactions. This will assist mentors with improving a programs scores in Category 2 which is weighted heavier under the new TRS Guidelines. $5,525.00 was spent in Quarter 3. </t>
  </si>
  <si>
    <t>Early Learning Resources were purchased for our Texas Rising Star Two-Star, Three-Star, and Four-Star programs as well as those programs actively working toward Texas Rising Star. These resources include toys, shelving and playground equipment with the goal of improving Category 4 scores for our TRS and ELD Programs. In Quarter 3, a total of 83 Programs were purchased resources for a total of $158,790 was spent. (Note: some of these programs may be duplicate from prior quarters. Orders are shipped and there invoiced as available which leads to programs receiving resources over multiple quarters).</t>
  </si>
  <si>
    <t>Texas Rising Star Implementation Grant. Early Learning Resources were purchase for our Entry Level Designated programs actively working with TRS Mentors to support achieving TRS Certification. These resources include toys, shelving and playground equipment with the goal of improving Category 4 scores for our ELD Programs. A total of $41,500 was spent in Quarter 3 on 48 Entry Level Designated Programs.</t>
  </si>
  <si>
    <t>We will measure success by seeing 95% of programs receiving the grant achieving Texas Rising Star certification within 9 months of receiving their resources.</t>
  </si>
  <si>
    <t xml:space="preserve">Director Credential Course. Participants received professional development in both child development and business management in order to meet the criteria to apply for their Director’s Credential. The first of two Director Credential Courses was offered in the 3rd Quarter with a total of 21 early learning staff participating. The second Director Credential Course is scheduled for the 4th quarter. A total of $16,250.00 was spent in the 3rd Quarter. </t>
  </si>
  <si>
    <t>We will measure success by ensuring 30 early learning staff successfully complete the Director Credential.</t>
  </si>
  <si>
    <t xml:space="preserve">Parent Training Series. A series of subcontracted parent trainings ranging from topics on sleep, social and emotional development, and communication. These trainings were promoted to CCS families and included a gift card for parents who registered and attended the class. A total of 8 parent trainings occurred in the 3rd Quarter with 189 parents in attendance. $40,465.00 was spent in the 3rd Quarter. (Note: Parents were not counted on the Quarterly Data tab under Individuals Receiving Professional Development. Please let us know if parents should be included in this count and we can update the tab accordingly.)
</t>
  </si>
  <si>
    <t>We will measure success by having at least 150 parents attend one of our various training opportunities.</t>
  </si>
  <si>
    <t xml:space="preserve">Subscription to LENA Grow Program as well as Virtual Coaching paid for in Quarter 3. Currently enrolling programs to participate in LENA Grow during the Quarter 4 of FY23 and Quarter 1 of FY24. Total of  $1,919 was spent in Quarter 3. The number of centers and classrooms participating will be reported on future reports. </t>
  </si>
  <si>
    <t xml:space="preserve">N/A </t>
  </si>
  <si>
    <t xml:space="preserve">Spring Course has finished with 37 of the 44 completing the training course. </t>
  </si>
  <si>
    <t>3rd Quarter results include 19 New Texas Rising Star certified providers and  23 annual monitoring visits with current Texas Rising Star providers, and 156 mentoring visits with entry-level providers in the Reaching for the Stars process.</t>
  </si>
  <si>
    <t xml:space="preserve">3rd Quarter results include: 3 Entry Level Providers have utilized our provider resource rooms to laminate and use die cuts to extend the life of and enrich their classrooms educational materials. Eight providers received resources to enhance the quality of their Early Learning Programs.  </t>
  </si>
  <si>
    <t xml:space="preserve">Texas Rising Star Training Days- 6 hours of training for new Texas Rising Star teachers and Reaching for the Stars Programs. </t>
  </si>
  <si>
    <t>3rd Quarter we had a total of 72 teachers and directors new and tenured attend our summer TRS Day in-person or virtually.</t>
  </si>
  <si>
    <t xml:space="preserve">Board planning assistance for Parent Symposium. Team is working with planner to schedule speakers, venue, etc. for the event. The event will increase parent knowledge on local child care resources and topics. </t>
  </si>
  <si>
    <t>TBD Event planning stage of Symposium.  Board to host up to 150 parents with speakers focusing on early childhood development and choosing quality care and education.</t>
  </si>
  <si>
    <t>By purchasing items for the infant and toddler areas this will help to improve the Category 4 score for indoor environment</t>
  </si>
  <si>
    <t>Blinn College Child Development 2023 Summer Semester tuition, fees and textbooks - a total of 6 EL staff attended the Summer Session of which only 1 was a new student for FY2023</t>
  </si>
  <si>
    <t>By increasing staff professional development this will improve Category 1</t>
  </si>
  <si>
    <t>Increased the knowledge of top cited violations and how to ensure their program meets all the criteria for CCR</t>
  </si>
  <si>
    <t xml:space="preserve">Attendance at professional development sessions on staffing and retention can help in higher quality of care for the children. </t>
  </si>
  <si>
    <t>This training was offered for infants/toddler/twos, preschool and home family center staff to become familiar with the curriculum and how to effectively use the resources.</t>
  </si>
  <si>
    <t>This training was taken to keep current staff certification up to date.</t>
  </si>
  <si>
    <t>Conferences help staff to continuously develop their knowledge and skills as well as keeping up with new research in the field of Early Childhood.</t>
  </si>
  <si>
    <t>Increase Category 3</t>
  </si>
  <si>
    <t>This helps to meet the outdoor environmental standards for playgrounds.  This will increase the outcomes for Category 4</t>
  </si>
  <si>
    <t>Provide materials, equipment, and resources to assist in meeting TRS requirements including but not limited to classroom furniture, developmentally appropriate learning materials, curriculum, outdoor equipment, gross motor equipment and resource books solely for infants and toddlers</t>
  </si>
  <si>
    <t>Provide materials, equipment, and resources to assist in meeting TRS requirements including but not limited to classroom furniture, developmentally appropriate learning materials, curriculum, outdoor equipment, gross motor equipment and resource books</t>
  </si>
  <si>
    <t>TRS centers/homes obtained a higher star level, retained their star level, or prepared to become TRS-all TRS Entry Level and Certified centers/home received materials to help them achieve TRS certification or a higher/maintain star level</t>
  </si>
  <si>
    <t>61 child care providers received First Aid/CPR training as required by CCR</t>
  </si>
  <si>
    <t xml:space="preserve">TRS mentors/assessors will provide mentoring for centers  interested in becoming TRS and existing centers who wish to maintain or increase their TRS star level. </t>
  </si>
  <si>
    <t>Actual YTD: 52%
TRS Certified Centers-2022-2023: 65%--  2023-2024: 100%
Goal has changed due to mandatory TRS</t>
  </si>
  <si>
    <t>74 Child Care providers received training hours on topics specific to TRS measures including but limited to: transitions, teacher/child balance, classroom arrangement, etc.</t>
  </si>
  <si>
    <t>TX EARLY LEARNING GUIDELINES FOR INFANT AND TODDLERS</t>
  </si>
  <si>
    <t>To increase the number of TRS providers- topics cat 2 virtual training</t>
  </si>
  <si>
    <t>STAFF RETENTION AND PROGRAM MGMT</t>
  </si>
  <si>
    <t>To increase knowledge in business practices</t>
  </si>
  <si>
    <t>TX EARLY LEARNING GUIDELINES FOR PRE-K</t>
  </si>
  <si>
    <t>BUILDING POSITIVE RELATIONSHIPS WITH CHILDREN AND FAMILIES</t>
  </si>
  <si>
    <t>To increase the knowledge of family engagement</t>
  </si>
  <si>
    <t>MULTICULTURAL and NEW ATTENDANCE SYSTEM TRAINING FOR DIRECTORS</t>
  </si>
  <si>
    <t xml:space="preserve">To increase knowledge in multicultural and attendance system </t>
  </si>
  <si>
    <t>PURCHASE OF EQUIPMENT FOR ENTRY LEVEL TRS CENTERS</t>
  </si>
  <si>
    <t xml:space="preserve">To help provider to be ready for TRS assessment </t>
  </si>
  <si>
    <t>Our success will be measured by an increase of 10% in teacher/child interaction scores during TRS assessments.</t>
  </si>
  <si>
    <t>Favorable outcomes for the use of Frog Street curriculum include an overall 10% increase in centers' TRS scores in Category 3, P-PM-03</t>
  </si>
  <si>
    <t>5/20/2023 Training on the three-year old and Pre-K Frog Street curriculum was provided in person by Frog Street trainers to ensure that teachers are using the curriculum to its fullest extent. The use of this curriculum will ensure that teachers are providing developmentally appropriate learning opportunities for the children they are caring for.  The cost of the training was $3,999.00 33 directors &amp; 
teachers-
threes training;
10 directors
&amp; teachers-
PreK</t>
  </si>
  <si>
    <t>Successful outcomes of this activity include an increased number of participants attending future trainings- up to 50% of all teaching staff.</t>
  </si>
  <si>
    <t>Successful outcomes include directors supporting teachers in utilizing Circle tools and resources to improve their growth</t>
  </si>
  <si>
    <t xml:space="preserve">Successful outcomes include incorporating Circle tools and resources, such as developmental checklists, activities, etc. </t>
  </si>
  <si>
    <t>Successful outcomes for this activity include all 12 participants creating a TECPDS account.</t>
  </si>
  <si>
    <t>Successful outcomes for this activity include the increased availability of high
quality childcare for infants and toddlers.</t>
  </si>
  <si>
    <t>15 CDA renewals were awarded for child care staff to maintain their CDA certification which aligns with Category 1 measures for staff qualifications</t>
  </si>
  <si>
    <t>15 child care staff renewed their CDA certificate to maintain TRS Category 1 measures. These staff are employed at 9 TRS certified programs</t>
  </si>
  <si>
    <t>25 centers were awarded with ASQ2 and ASQ3 for their program to conduct children's assessments</t>
  </si>
  <si>
    <t xml:space="preserve">ASQ SE and ASQ3 children's questionnaires were awarded to those providers participating in the cohort and that were not using formal children's assessments </t>
  </si>
  <si>
    <t>5 centers were awarded with bonuses for their staff to decrease the staff turnover rate, 212 child care staff</t>
  </si>
  <si>
    <t>17 centers received conscious discipline material for attending a training over social emotional development</t>
  </si>
  <si>
    <t>Increase the scores in Category 2 child-teacher interactions and subcategory supporting children's regulation</t>
  </si>
  <si>
    <t>8 centers were awarded staff incentives for achieving TRS certification, a total of 88 child care staff awarded</t>
  </si>
  <si>
    <t>Increase participation in the TRS program, and to support the programs in maintain TRS star level.</t>
  </si>
  <si>
    <t>Professional Development opportunity provided to 50 child care staff over the topic of music and movement for infant and toddlers</t>
  </si>
  <si>
    <t>Professional Development opportunity provided to 50 child care staff over the topic of child maltreatment</t>
  </si>
  <si>
    <t>Professional Development opportunity provided to 40 child care Directors over the topic of simple budgeting and practical money mgt</t>
  </si>
  <si>
    <t>Professional Development opportunity provided to 50 child care staff over the topic of weather</t>
  </si>
  <si>
    <t>Professional Development opportunity provided to 100 child care staff over the topic of preschool fitness</t>
  </si>
  <si>
    <t>Professional Development opportunity provided to 30 child care staff over the topic of preventing misbehavior</t>
  </si>
  <si>
    <t>Professional Development opportunity provided to 50 child care staff over the topic of trauma informed care</t>
  </si>
  <si>
    <t>Professional Development opportunity provided to 25 child care staff over the topic of professionalism</t>
  </si>
  <si>
    <t>Professional Development opportunity provided to 50 child care staff over the topic of effective communication</t>
  </si>
  <si>
    <t>Professional Development opportunity provided to 40 child care staff over the topic of stress and time management</t>
  </si>
  <si>
    <t>Professional Development opportunity provided to 25 child care staff over the topic of children with special needs</t>
  </si>
  <si>
    <t>Professional Development opportunity provided to 50 child care Directors over the topic of effective and quality programs</t>
  </si>
  <si>
    <t>Professional Development opportunity provided to 50 child care staff over the topic of children's assessments</t>
  </si>
  <si>
    <t>Professional Development opportunity provided to 50 child care staff over the topic of process vs product</t>
  </si>
  <si>
    <t>Professional Development opportunity provided to 25 child care staff over the topic of in pursuit of mental health</t>
  </si>
  <si>
    <t>Professional Development opportunity provided to 50 child care staff over the topic of science for everyone</t>
  </si>
  <si>
    <t>Professional Development opportunity provided to 50 child care Directors over the topic of business</t>
  </si>
  <si>
    <t>Professional Development opportunity provided to 30 child care staff over the topic of routines and relationships</t>
  </si>
  <si>
    <t>Professional Development opportunity provided to 30 child care staff over the topic of compassionate classrooms</t>
  </si>
  <si>
    <t>Professional Development opportunity provided to 40 child care Directors over the topic of improving customer service</t>
  </si>
  <si>
    <t>Professional Development opportunity provided to 50 child care staff over the topic of parents as partners</t>
  </si>
  <si>
    <t>Professional Development opportunity provided to 30 child care staff over the topic of professionalism adulting</t>
  </si>
  <si>
    <t>Professional Development opportunity provided to 60 child care staff over the topic of sensory processing</t>
  </si>
  <si>
    <t>Professional Development opportunity provided to 25 child care staff over the topic of observation and assessments</t>
  </si>
  <si>
    <t>Professional Development opportunity provided to 25 child care staff over the topic of building resilience</t>
  </si>
  <si>
    <t xml:space="preserve">Provided 19 Home Care Early learning programs professional development. Teaching Strategies provided home curriculum training.  </t>
  </si>
  <si>
    <t xml:space="preserve">19 Directors/Teachers patriated in 6 hours of professional development provided by Teaching Strategies trainer.  This training is to assist Home Care Directors/Teachers implement a researched-based curriculum. </t>
  </si>
  <si>
    <t xml:space="preserve">Provided 12 Home Care Early Learning Programs Teaching Strategies Curriculum </t>
  </si>
  <si>
    <t xml:space="preserve">12 Early Learning Home Care Centers received  12 Teaching Strategies Home Curriculum which is a researched-based curriculum to enhance children's learning in all learning domains.  In children's physical, cognitive, social/emotional and Language and Literacy.  </t>
  </si>
  <si>
    <t xml:space="preserve">Provided Stepping Stones with classroom materials for preschool and school-age.   </t>
  </si>
  <si>
    <t>Provided Stepping Stones with Infant/Toddler classroom materials and equipment.</t>
  </si>
  <si>
    <t>Provided The Learning Patch  with Infant/Toddler classroom materials and equipment.</t>
  </si>
  <si>
    <t xml:space="preserve">Early learning program expanded to include infant care for 5 additional infants, and 28 additional  Toddlers. </t>
  </si>
  <si>
    <t xml:space="preserve">Provided Little Characters with classroom materials for all ages.  </t>
  </si>
  <si>
    <t xml:space="preserve">Provided Little Angels with classroom materials for all ages.  </t>
  </si>
  <si>
    <t xml:space="preserve">Provided Starpoint Kids with classroom materials for children with special needs </t>
  </si>
  <si>
    <t xml:space="preserve">Early learning program received classroom materials and equipment to support the needs of children with disabilities, for Mental Health Support.  </t>
  </si>
  <si>
    <t xml:space="preserve">Provided Yvonne Fernandez Home Childcare playground shade 
</t>
  </si>
  <si>
    <t xml:space="preserve">Provided Little Hunters Learning and  Childcare playground shade 
</t>
  </si>
  <si>
    <t xml:space="preserve">Provided The Learning Patch with classroom materials for preschool and school-age.   </t>
  </si>
  <si>
    <t>Provided 12 Early Learning Programs with 12 Frog Street Curriculums for Infants, Toddlers and Preschool</t>
  </si>
  <si>
    <t xml:space="preserve">12 Early Learning Programs received 12 Frog Street Curriculums which is a researched based curriculum that will enhance the children's learning in all domains, cognitive, physical, social/emotional and Language and Literacy.  </t>
  </si>
  <si>
    <t>Provided Pat's Daycare with classroom materials and equipment.</t>
  </si>
  <si>
    <t>Provide Pat's Daycare with outdoor equipment (Portable Evaporative Cooler)</t>
  </si>
  <si>
    <t>To enhance the quality of care for the children when they are outdoors, playing on the playground in areas when they are safe and can be protected from the heat exposure. This will be provided to all age groups.</t>
  </si>
  <si>
    <t xml:space="preserve">Provided Teaching Strategies  Mighty Minutes to Home Early Learning Programs </t>
  </si>
  <si>
    <t xml:space="preserve">12 Early Learning Home Care Centers received 12 Teaching Strategies Home Mighty Minutes which will assist with the researched-based curriculum to enhance children's learning in all learning domains.  In children's physical, cognitive, social/emotional and Language and Literacy.  </t>
  </si>
  <si>
    <t>This group agreed to be advisory members for designing models for school age programs that could be piloted in BCY2024.</t>
  </si>
  <si>
    <t>All training participants received a certificate for 6 clock hours of training.</t>
  </si>
  <si>
    <t xml:space="preserve">04/22/2023 - 2023 Infant &amp; Toddler Virtual Conference. Concurrent workshops were available for child care professionals in infant and toddler age groups. </t>
  </si>
  <si>
    <t xml:space="preserve">Participants received three (3) training clock hours/.3 CEUs based on Child Care Regulation Minimum Standards. </t>
  </si>
  <si>
    <t xml:space="preserve">04/26/2023 -  2023 Educational Electronic Learning Material Package.  All TRS Providers will received an Educational Electronic Learning Material Package complete with age-appropriate material that will continually expose children to talking, music, sounds, numbers, and stories to help maximize their early years of development. </t>
  </si>
  <si>
    <t xml:space="preserve">04/26/2023 - The objective was to support the  early learning programs and their teachers develop high quality lesson plans by integrating educational electronic material that follows a scope and sequence of activities and learning objectives.  This will help children meet specific developmental benchmarks ultimately preparing them for school readiness.  Measurable outcome: </t>
  </si>
  <si>
    <t xml:space="preserve">05/20/2023 -  Child care professionals participated in 2 (1.5) hour virtual sessions with presenter Dr. Beverly Ashley with A+ Center for Education, LLC.  1st session Six Strategies to Ensure are Actively Supervised - Participants learned on supervising children always means that the assigned caregiver is accountable for each child's care.  This includes responsibility for the ongoing activity of each child, appropriate visual and/or auditory awareness, physical proximity, and knowledge of activity requirements and each child's needs.     2nd Session Responsive Caregiving:  The Power of Positive Teacher-Child Interactions – Being attentive to young children’s communicative signals and using responsive behaviors provides an interactional framework within which you can best support early learning and later developmental achievements in early young children. </t>
  </si>
  <si>
    <t>1st session - participants received (1.5) training clock hours/.15 CEUs under Safety per Child Care Regulation Minimum Standards.  Texas Core Competencies for Early Childhood Practitioners and Administrators:  Practitioner Core Competency: 2.1, 8.3.  2nd Session -  Participants received (1.5) training clock hours/.15 CEUs Attachment and Responsive Caregiving per Child Care Regulation Minimum Standards.  Texas Core Competencies for Early Childhood Practitioners and Administrators:  Practitioner Core Competency: 2.1</t>
  </si>
  <si>
    <t xml:space="preserve">06/02/2023 - We processed the cost of the CDA application and related payments to the Council for Professional Recognition for seventeen (1) student.  The cost per application was for $425 for each student.   </t>
  </si>
  <si>
    <t>2022 Fall/2023 Spring Semester - CDA.  1 teacher complied with the  CDA Requirements as stated by the Council for Professional Recognition so they could begin conducting their observation and attain their CDA Certificate.</t>
  </si>
  <si>
    <t>06/23/2023 - Child Care Providers were awarded through the 2023 Infant and Toddler Initiative Grant a learning package complete with age-appropriate material and furniture for either their infant or toddler classroom</t>
  </si>
  <si>
    <t>29 Child Care Providers were able to improve or enhance the quality of care for either their Infant or Toddler Classroom.</t>
  </si>
  <si>
    <t xml:space="preserve">06/24/2023 - A TRS Exclusive Virtual Conference was hosted for TRS Providers.   Concurrent workshops were available for child care professionals in all age groups including, Directors and Administrators. </t>
  </si>
  <si>
    <t>Participants received three (3) training clock hours/.3 CEUs based on Child Care Regulation Minimum Standards respectively for each session.</t>
  </si>
  <si>
    <t xml:space="preserve">2 Child care center employees  received an incentive for the completion of the CDA program and receipt of the CDA Credential ($400). </t>
  </si>
  <si>
    <t xml:space="preserve">2 Teachers attained their CDA credential resulting in a positive impact on the quality of care, they were able to increase their knowledge in child development and improved their skills when working with children and families. </t>
  </si>
  <si>
    <t>6/30/2023  - Child Care Providers were awarded through the 2023 Preschool and School Age Initiative Grant a learning package complete with age-appropriate material and furniture for either their infant or toddler classroom</t>
  </si>
  <si>
    <t>29 Child Care Providers were able to improve or enhance the quality of care for either their Preschool or School Age Classroom.</t>
  </si>
  <si>
    <t>Board has funding for 6 mentors and 2 assessors. All positions are currently filled</t>
  </si>
  <si>
    <t>Board is fully staff: 2 FTE assessors, 6 FTE mentors</t>
  </si>
  <si>
    <t>Increase Texas Rising Star Participation and certification status; Mentors will measure lesson planning knowledge through the CQIP and measure scores at the time of certification.</t>
  </si>
  <si>
    <t>5 Mentors attended Frog Street Splash in July 2023</t>
  </si>
  <si>
    <t>Conducted a virtual training on Creating Your Personal Spending Plan (Financial Literacy Series, Session 1) on 6/22/23.
11 attendees in person from 5 centers and 4 homes.</t>
  </si>
  <si>
    <t>Increased knowledge of 11 owners/directors on various professional development topics related to financial literacy.</t>
  </si>
  <si>
    <t>Conducted a Director's Round Table on Building a Cohesive Team, Session 2, on 4/4/23.
17 attendees from 12 centers and 1 home</t>
  </si>
  <si>
    <t>Increased knowledge of 17 owners/directors on various professional development topics related to child development and Texas Rising Star.</t>
  </si>
  <si>
    <t>Conducted a Director's Round Table on Making TRS Measures Manageable on 6/6/23.
14 attendees from 11 centers</t>
  </si>
  <si>
    <t>Increased knowledge of 14 owners/directors on various professional development topics related to child development and Texas Rising Star.</t>
  </si>
  <si>
    <t>Conducted general child care training on The Age Behind the Behavior on 5/9/23
18 attendees from 6 centers and 1 home</t>
  </si>
  <si>
    <t>Increased knowledge of 18 staff on various professional development topics related to child development and early childhood education.</t>
  </si>
  <si>
    <t>Conducted TRS training on Lesson Plans on 6/27/23.
32 attendees from 8 centers and 1 home</t>
  </si>
  <si>
    <t>Increased knowledge of 32 staff on various professional development topics related to child development and Texas Rising Star.</t>
  </si>
  <si>
    <t>Conducted TRS training on Promoting Play and Linking Learning on 5/16/23.
28 attendees from 8 centers and 1 home</t>
  </si>
  <si>
    <t>Increased knowledge of 28 staff on various professional development topics related to child development and Texas Rising Star.</t>
  </si>
  <si>
    <t>Conducted an early childhood education conference for area providers, called Super Saturday, held on 4/29/23. 
107 attendees from 20 centers and 5 homes</t>
  </si>
  <si>
    <t>Increased knowledge of 107 staff on various professional development topics related to child development and early childhood education.</t>
  </si>
  <si>
    <t>Reimbursed one center for 2 staff to attend the Spring 2023 TLCCA Conference.</t>
  </si>
  <si>
    <t>Increased knowledge of 2 staff on various professional development topics related to early childhood education during the TLCCA Conference.</t>
  </si>
  <si>
    <t>Added two additional TRS facilities effective 6/1/23, increased infant and toddler capacity, as a result.</t>
  </si>
  <si>
    <t>Increased infant and toddler capacity at TRS facilities by adding two additional TRS centers.</t>
  </si>
  <si>
    <t>Offered reimbursement to five TRS providers for required individual staff CPR/First-Aid trainings.</t>
  </si>
  <si>
    <t>Twenty two CPR/First-Aid training certificates obtained by staff.</t>
  </si>
  <si>
    <t>Offered another grant opportunity in January 2023 to assist providers in the purchase of materials, equipment, curriculum, and needed resources.
12 facilities (including 7 TRS centers, and 5 non-TRS facilities, including 2 homes, and 10 centers)</t>
  </si>
  <si>
    <t>Increased the quality of care at 12 facilities through expanded resources.
Some provider grants remain outstanding.</t>
  </si>
  <si>
    <t>Conducted required TRS activities including quarterly CCR reviews, initial assessments, and annual monitoring's. Current TRS providers are being worked, along with ELD's in the process of pursuing TRS.
Amount noted here are all providers in our area that either are TRS or are pursuing accreditation.
For ELD's, CQIP's have or are being implemented.</t>
  </si>
  <si>
    <t>Followed TRS Guidelines related to required activities for all TRS Providers. Process is continuing as ELD's prepare for a TRS assessment.</t>
  </si>
  <si>
    <t>Offered an educational attainment incentive to staff that were successful in completing either a CDA, Certificate Program, or associates degree. Four staff from two TRS facilities obtained an incentive.</t>
  </si>
  <si>
    <t>Four staff members obtained varying levels of educational attainment in child development and earned an incentive as a result. These incentives remain in place for others and is considered ongoing to the next quarter.</t>
  </si>
  <si>
    <t>Offered a 3 month and/or 6 month employment retention incentive to staff that were successful in educational attainment (as noted above) and that stayed employed at the same facility at 3 months and/or then 6 months afterwards. Two staff from one TRS facility obtained this incentive.</t>
  </si>
  <si>
    <t>Two staff members remained employed at 3 mo. and/or 6 mo. at the same facility after completing the above mentioned education and obtained an employment retention incentive as a result. This incentive remains in place for others and is considered ongoing to the next quarter.</t>
  </si>
  <si>
    <t>Distributed developmental resources to 25 entry level designated providers that have shown progress with their CQIP's in an effort to support TRS Measures 2 and 4, specifically.</t>
  </si>
  <si>
    <t xml:space="preserve">Supported 25 providers by providing developmental resources specifically relating to TRS measures 2 and 4. As additional providers make progress with their CQIP's, resources will be distributed to those as well, so this is ongoing. </t>
  </si>
  <si>
    <t>Purchased changing tables, cribs, and feeding chairs for 3 entry level centers who opened new classrooms (which helped to generate 49 new TRS infant slots and 55 new TRS toddler slots).</t>
  </si>
  <si>
    <t>Conducted Virtual SIDS /SBS/Infant Brain Development training for 11 programs</t>
  </si>
  <si>
    <t>Provided in-person training for Frog Street Infant and Toddler teachers (from 130 classrooms) on curriculum; attendees were from Entry Level and TRS centers.</t>
  </si>
  <si>
    <t>Reimbursed 2 NAEYC Accredited programs for their annual fees (these are not new programs).</t>
  </si>
  <si>
    <t>Provided consultation services to 4; 4 Star/(2 - NAEYC Accredited and those working toward NAEYC Accreditation - 2) programs who are working on reaccreditation/portfolio development &amp; observation</t>
  </si>
  <si>
    <t>Reimbursed  5 child care centers who participate in Shared Services for a portion of their monthly ProCare fees.</t>
  </si>
  <si>
    <t>Continue to support Shared Services by providing funds to assist with technical assistance and office support to providers in the project. This project meets a goal of our board to grow these program owners/directors’</t>
  </si>
  <si>
    <t>Co-sponsored 5 training sessions (in-person) with Central TX Chapter of TXAEYC; 36 programs participated.</t>
  </si>
  <si>
    <t>Provided in-person training for Frog Street preschool (3's &amp; 4's)  teachers (from 70 classrooms) on curriculum; attendees were from Entry Level and TRS centers.</t>
  </si>
  <si>
    <t>Provided in-person training for Frog Street curriculum overviews (infant/toddler/3's) to administrators (from  46 Entry Level centers and 9 TRS centers).</t>
  </si>
  <si>
    <t>Provided in-person training for CELEBRATE SEL curriculum to 15 attendees from 15 family child care programs (entry level and TRS certified)</t>
  </si>
  <si>
    <t>Provided an in-person training conference featuring Lisa Murphy (Ooey-Gooey Lady) to 47 programs.</t>
  </si>
  <si>
    <t>Provided in-person training sessions (4) that covered a variety of topics including observation &amp; assessments; natural learning environments; family child care round table and networking; and classroom makeovers and set-up of learning centers. (55 programs)</t>
  </si>
  <si>
    <t>Provided virtual training/networking during 2 Program Administrator meetings (April and June) to 44 programs</t>
  </si>
  <si>
    <t>Provided 3 virtual trainings (7 Principles of Design - 2 sessions) and CELEBRATE SEL recap and review) with 26 programs</t>
  </si>
  <si>
    <t>Provided the first session of a PLC with a mentor/assessor involving a Conscious Discipline book study with 2 programs.</t>
  </si>
  <si>
    <t>Purchased baskets for NAEYC and COA Accredited providers for new materials and equipment in classrooms - 14 programs</t>
  </si>
  <si>
    <t>Paid streaming subscription for TRS staff  for Exchange Press - EdFlicks to be used for professional development and consultation</t>
  </si>
  <si>
    <t>Purchased equipment and materials for 74 Entry Level providers who are working toward TRS certification.</t>
  </si>
  <si>
    <t>Purchased materials and equipment for 40 TRS certified programs who are seeking to maintain or increase their star level.</t>
  </si>
  <si>
    <t>Purchased Frog Street curriculum for infants/toddlers/3's for 46 Entry Level childcare centers.</t>
  </si>
  <si>
    <t>Purchased CELEBRATE SEL curriculum for 15 family childcare providers.</t>
  </si>
  <si>
    <t>Provide face-to-face and virtual-facilitated sessions on a variety of topics to ECE teachers/directors</t>
  </si>
  <si>
    <t>3,000 providers will be trained through face-to-face/virtually facilitated sessions</t>
  </si>
  <si>
    <t>Provide online training on a variety of ECE topics to teachers/directors (ON LINE ONLY)</t>
  </si>
  <si>
    <t>2100 providers will be trained through online training</t>
  </si>
  <si>
    <t>275 consultation hours will be provided to ELPs about children with disabilities and/or challenging behaviors</t>
  </si>
  <si>
    <t>Recruitment, TA, Coaching to maintain and increase the number of TRS certified providers</t>
  </si>
  <si>
    <t>Increase the number of Texas Rising Star Providers to a minimum of 500 end of FY 2023 (numbers for quarters 2, 3 and 4 indicate net TRS program change in the quarter)</t>
  </si>
  <si>
    <t>23,250 families will receive child care resource and referral information via online, email and phone to increase understanding and selection of quality child care.</t>
  </si>
  <si>
    <t>Provided child related activities to child care programs for families</t>
  </si>
  <si>
    <t>2,275 child care centers will receive child related activities for families</t>
  </si>
  <si>
    <t>Provided 50 scholarships to TSR Conference</t>
  </si>
  <si>
    <t>250 ECE conference scholarships awarded</t>
  </si>
  <si>
    <t>CCM- Afterschool resource materials to support providers</t>
  </si>
  <si>
    <t>Provide classroom materials to enhance school-age classrooms</t>
  </si>
  <si>
    <t>CCM-Evaluating Quality Activities: CASE Quality Support Model included YPQI sessions, City Connections administration, and Partnership Project site support.</t>
  </si>
  <si>
    <t>Initiate and provide support beginning establishing Pre-K Partnerships for contracted slots.</t>
  </si>
  <si>
    <t>CCM- Provided youth development workshops and activities to support youth summer activities</t>
  </si>
  <si>
    <t>Collaborative opportunities to engage youths in summer activities</t>
  </si>
  <si>
    <t>End of Worksheet</t>
  </si>
  <si>
    <t>increased staff retention for Texas Rising Star providers</t>
  </si>
  <si>
    <t>training opportunities to enhance coaching skills</t>
  </si>
  <si>
    <t>CCL PD training opportunities for all licensed/registered providers</t>
  </si>
  <si>
    <t>increased staff training for career lattice improvement</t>
  </si>
  <si>
    <t>Boosting environment scoring based on individual provider need</t>
  </si>
  <si>
    <t>training opportunities to enhance knowledge, learn new techniques, enhance mentoring skills</t>
  </si>
  <si>
    <t>training opportunities to enhance knowledge, learn new techniques, enhance quality skills</t>
  </si>
  <si>
    <t>training opportunities to enhance knowledge for children with disabilities, learn new techniques, enhance quality regarding inclusion and challenging behaviors</t>
  </si>
  <si>
    <t>Tarrant County College scholarships</t>
  </si>
  <si>
    <t>Boosting summer activities reinforcing curriculum goals of school year</t>
  </si>
  <si>
    <t>Opportunity to enhance outdoor elements for increased assessment scoring</t>
  </si>
  <si>
    <t>Spring incentive for TRS caregivers participating in CLASS</t>
  </si>
  <si>
    <t>Texas Rising Star incentive banner for marketing provider</t>
  </si>
  <si>
    <t>PD training opportunities for all caregivers to enhance teaching skills</t>
  </si>
  <si>
    <t>54 Participants attended a zoom training on  the T.E.A.C.H. program</t>
  </si>
  <si>
    <t>To increase their knowledge of programs available to teaching staff to help obtain their CDA or college degrees in Early Childhood</t>
  </si>
  <si>
    <t>11 Provider Participants received college subsidies for child development courses for Summer 2023 semester</t>
  </si>
  <si>
    <t>28 Participants attended the ITSN Specialist Network training for Teachers</t>
  </si>
  <si>
    <t xml:space="preserve">37  scholarships to pay for a college credit course in early education at our local college were provided $26720)
To take a course that leads to either Infant and Toddler certificate, Teacher Assistant certificate that all feed towards a Child Development Associates in Applied Science.  WSB pays the tuition, books and parking pass if needed for the teachers working in a TRS facility or those on a pathway to becoming a TRS facility. </t>
  </si>
  <si>
    <t>This opportunity allowed staff to attend a college course that is in their field of work, utilize the training in the classroom, obtain college course credit hours, and assist the teacher with meeting their mandated yearly training hours.  Current scholarship recipients continue with their study towards their degree plan.</t>
  </si>
  <si>
    <t>59 spots were purchased for the Paso del Norte Learning on the Go Training ($3105)</t>
  </si>
  <si>
    <t xml:space="preserve">This opportunity allowed for a group of teachers to be served with training in accordance with their licensing requirements along with meeting TRS training standards. </t>
  </si>
  <si>
    <t>Digital Transformation Services were provided to 30 Childcare providers to assist with their business office operations.($29402)</t>
  </si>
  <si>
    <t>This opportunity allowed Directors to have more time to dedicate to staff and also provided staff</t>
  </si>
  <si>
    <t>5 training sessions were provided to caregivers  through Region 19 and Frog Street.  They were held on April 15,two on April 29, two on May 6. ($6374)</t>
  </si>
  <si>
    <t>Assessor salary for the Quarter ($111,677)</t>
  </si>
  <si>
    <t>5 centers were awarded staff bonuses to support teacher retention and hiring new staff. 5 centers with 212 teachers</t>
  </si>
  <si>
    <t>Establish Pre-K partnerships between Texas Rising Star providers and  ISD or charter schools.</t>
  </si>
  <si>
    <t>Required for TECPDS Registry for Trainers</t>
  </si>
  <si>
    <t>training opportunities to enhance knowledge, learn about new curriculum, new techniques, enhance assessment  skills</t>
  </si>
  <si>
    <t>First Aid/CPR/AED Training for 5 teachers at 1 program</t>
  </si>
  <si>
    <t>Installation of playground shades and padded poles within 5 programs</t>
  </si>
  <si>
    <t>Purchased educational supplies for 5 programs which included furniture and other items for infant and toddler areas</t>
  </si>
  <si>
    <t>Lunch and Learn 4/11/2023 - CCR Top Cited Violations (Not Board Funded) - 41 programs attended; supporting 75 teachers/staff</t>
  </si>
  <si>
    <t>Lunch and Learn 5/11/2023 - Staff Recruitment and Retention presented by Bernadine Martinez - 29 programs attended; supporting 43 teachers/staff</t>
  </si>
  <si>
    <t>Teaching Strategies - Creative Curriculum  6 hour Training - 12 programs attended; supporting 40 teachers/staff</t>
  </si>
  <si>
    <t>FrogStreet SPLASH Conference Registration fees paid for the upcoming July conference - 6 programs attended; supporting 31 teachers/staff</t>
  </si>
  <si>
    <t>1 Program received hard copy and digital resources for the Creative Curriculum</t>
  </si>
  <si>
    <t>Board hosted a Frog Street Curriculum training for centers who received the curriculum kits earlier. 156 teachers attended</t>
  </si>
  <si>
    <t>Purchase materials and equipment as an incentive to 2 ELPs who completed the certification process.  The items will assist improving in areas of concerns and low scoring measures.</t>
  </si>
  <si>
    <t xml:space="preserve"> CLASS Assessments were conducted in a total of seven (7) classrooms in Quarter 3 located within four (4) separate Early Learning Programs . 
7 total staff participated in CLASS training and 7 CLASS Assessment were conducted</t>
  </si>
  <si>
    <t xml:space="preserve">17 of scheduled subcontracted trainings were held in the 3rd Quarter to support 505 teachers/staff. A total of  $27,295.00 was spent on training in the 3rd Quarter. All trainings are research-based to help providers meet their annual training requirement. </t>
  </si>
  <si>
    <t xml:space="preserve">A Total of $425 was spent in the 3rd Quarter on the Teacher TRAC Scholarship Program in partnership with Austin Community College to enroll 9 students for Summer Semester. This money was used for Testing fees and student incentives. Please note: Workforce Solutions Capital Area provides only a portion of the funding for this program. This money is paid out of our QC3 funding and not out of our 4% Quality dollars. </t>
  </si>
  <si>
    <t>Lunch and Learn w/ 8 child care directors to discuss school age programs.</t>
  </si>
  <si>
    <t>"Mandatory Annual Safety Training" professional development training presented on 06-17-2023 by Angie Reinford to 34 teachers/staff.</t>
  </si>
  <si>
    <t>"Frog street Curriculum" professional development training presented on 06-24-2023 by Dr. Beverly Ashley to 51 teachers/staff</t>
  </si>
  <si>
    <t>"Is it Time for a Time Out? Self Care for Child Care Providers" professional development training presented on 06-27-2023 by Jackie Caldwell to 24 teachers/staff</t>
  </si>
  <si>
    <t>"Pre-Service" professional development training presented on 06-28 and 06-29-2023 by Dr. Beverly Ashley to 15 teachers/staff</t>
  </si>
  <si>
    <t>Salaries for 7 TRS staff &amp; child care staff who support the TRS staff and supplies.</t>
  </si>
  <si>
    <t>Infant and Toddler Thriving in a Responsive Classroom - 4 hour virtual training (no charge for this training); supported 61 teachers/staff</t>
  </si>
  <si>
    <t>CPR/First Aid Safety Training  (board hosted) (fees paid by participants); teachers and directors</t>
  </si>
  <si>
    <t>5/6/23 Training on Frog Street curriculum for infants and toddlers was provided by Frog Street trainers in person to ensure that teachers are using the curriculum to its fullest extent. The use of this curriculum will ensure that teachers are providing developmentally appropriate learning opportunities for the children they are caring for.  The cost of the training was $3,999.00. 41 directors and teachers; infant training - 27 directors and teachers- toddler  training</t>
  </si>
  <si>
    <t>4/6 /2023 Virtual Conscious Discipline Training - The purpose of this activity is to ensure that early childhood professionals are knowledgeable and given the information needed to address the social and emotional needs of children and to ensure that they have the proper skills to deal with challenging behavior in a positive manner. There was no expenditure Conscious Discipline Training. 16 teachers and directors participated</t>
  </si>
  <si>
    <t>5/2/2023 Virtual Conscious Discipline Training - The purpose of this activity is to ensure that early childhood professionals are knowledgeable and given the information needed to address the social and emotional needs of children and to ensure that they have the proper skills to deal with challenging behavior in a positive manner. There was no expenditure for Conscious Discipline Training. 39 teachers and directors participated</t>
  </si>
  <si>
    <t>6/2/23 Infant Toddler Specialist Network training provided by CLI for 11 directors. There was no expenditure for this training.</t>
  </si>
  <si>
    <t>6/3/23 Infant Toddler Specialist Network training provided by CLI for 46 teachers. There was no expenditure for this training.</t>
  </si>
  <si>
    <t>6/22/23 Virtual TECPDS training provided to 12 teachers and directors by Dr. Tracy Jones</t>
  </si>
  <si>
    <t>Training incentives were offered for 111 teachers and directors for attending training on Frog Street curriculum. A $50 incentive was offered for each half day session for a total payout of $4500.</t>
  </si>
  <si>
    <t>Approved grant applications from  6 centers expanding infant and/or toddler slots or adding enhancements to their classrooms, such as new materials for learning centers, nap mats, etc.. The total grant was $45,000, to be paid out as providers submit quotes for desired items.</t>
  </si>
  <si>
    <t>Provided Stipends to 9 teachers to attain CDA Credential</t>
  </si>
  <si>
    <t>Week of the Young Child Conference- Conference included 2 featured speakers, lunch, and break-out sessions. 183 teachers and directors attended</t>
  </si>
  <si>
    <t>Monthly Virtual Coffee Chat for 24 Early Learning Program Directors</t>
  </si>
  <si>
    <t>Monthly Virtual Coffee Chat for 23 Early Learning Program Directors</t>
  </si>
  <si>
    <t>Early Educator Apprenticeship Program Interest Session; 15 teachers</t>
  </si>
  <si>
    <t>Early Educator Apprenticeship Program Orientation Session; 10 directors</t>
  </si>
  <si>
    <t>Early Educator Apprenticeship Program Orientation Session; 15 teachers</t>
  </si>
  <si>
    <t xml:space="preserve">Awarded Equipment/Materials Grants to 14 Early Learning Programs who achieved initial TRS certification.                                                                      </t>
  </si>
  <si>
    <t xml:space="preserve">Awarded Equipment/Materials Grants to 6 Early Learning Programs who achieved TRS Star Level Increase.                                                               </t>
  </si>
  <si>
    <t>Providing mentoring for 4 certified TRS Providers
Provided Technical assistance to 8 Entry Level/CCS providers onboarding</t>
  </si>
  <si>
    <t>CLASS stipends were provided to 319 TRS Staff within 54 programs; which provided for CLASS assessments to be conducted within these 54 programs</t>
  </si>
  <si>
    <t>Child Care Licensing conference collaboration resource book (this was a book provided, there was no virtual or in person training for this) was provided to 675 teachers and staff</t>
  </si>
  <si>
    <t>Child Development Associate certification awarded to 22 teachers</t>
  </si>
  <si>
    <t>NAEYC/PLI conference registration for 5 Texas Rising Star mentor staff</t>
  </si>
  <si>
    <t>Bob Pike Train the Trainer registration/training for 9 Texas Rising Star mentor staff</t>
  </si>
  <si>
    <t>Frog Street Splash conference registration/training for 8 Texas Rising Star mentor staff</t>
  </si>
  <si>
    <t>TSR conference registration/training for 6 Texas Rising Star mentor staff</t>
  </si>
  <si>
    <t>Annual Autism Conference registration/training for 4 Texas Rising Star mentor staff</t>
  </si>
  <si>
    <t>EEPD training topics - challenging behaviors, special needs, teacher/child interactions, TECPDS, professionalism 83 providers; supporting 270 teachers/staff</t>
  </si>
  <si>
    <t>114 new TRS staff stipends within 9 providers</t>
  </si>
  <si>
    <t>Teachstone CLASS infant/toddler observer training for 10 Texas Rising Star mentor staff</t>
  </si>
  <si>
    <t>PreK indoor classroom enhancement project-classroom furniture &amp; resources for 38 programs</t>
  </si>
  <si>
    <t>After School supplemental curriculum enrichments provided to 50 programs</t>
  </si>
  <si>
    <t>Resources indoor, outdoor, Texas School Ready, manipulatives provided to 56 programs</t>
  </si>
  <si>
    <t>Outdoor project vegetable garden for TRS measure P-OLE-05 provided to 69 programs</t>
  </si>
  <si>
    <t>Outdoor project wood stepping slices for TRS measure P-OLE-05 provided to 53 programs</t>
  </si>
  <si>
    <t>Texas Rising Star outreach materials - banners, business cards, quality information folder provided to 151 programs</t>
  </si>
  <si>
    <t xml:space="preserve">WFSNETX provides Brightwheel to our 33 TRS facilities. This is utilized for billing processes and parent communication. </t>
  </si>
  <si>
    <t>Brightwheel subscription &amp; annual subscription to ProCare for 2 programs.</t>
  </si>
  <si>
    <t>Items for Resource Room provided to any programs, as needed</t>
  </si>
  <si>
    <t xml:space="preserve">26 Participants attended an in person training on "Diving Head First into Practical Strategies for Challenging Behaviors." </t>
  </si>
  <si>
    <t>To increase provider knowledge in strategies to help understand, practice and utilize strategies in the classroom</t>
  </si>
  <si>
    <t>6 centers</t>
  </si>
  <si>
    <t>Increase the number of Texas Rising Star centers by 6.  Increased provider and parent satisfaction.</t>
  </si>
  <si>
    <t>"Directors Luncheon" training provided professional development for early learning program Directors and Assistant Directors and training for an overview of behavior management. 45 participants from our centers received 2-hour training certificates. Total Cost=$0</t>
  </si>
  <si>
    <t xml:space="preserve">As a part of the strategic plan for WSNCT career pathways, WSNCT will offer 64 participants who work for WSNCT programs scholarships to enroll in CDA preparation courses and scholarships to pay for their required observation upon completion. These academic scholarships will assist participants in obtaining specific knowledge and skill development to increase classroom performance and sustain quality within their early learning programs. We will measure the success of these courses by tracking the number of individuals who complete the course and the number of individuals who receive their CDA. Our estimated reach for CDA scholarships is 64 served and CDA application scholarships is 64 served is 13 served. </t>
  </si>
  <si>
    <t>13 CDA scholarship recipients have completed their CDA courses and received scholarships for their CDA Application.</t>
  </si>
  <si>
    <t>One Sr. Early Childhood Specialist conducted professional  session for 19 participants awarding 6.5 annual clock hours.</t>
  </si>
  <si>
    <t xml:space="preserve">Two Early Childhood Specialist completed the course and received a Mentoring/Coaching certificate with 16 annual clock hours. This course was paid for by the board. </t>
  </si>
  <si>
    <t>Six Texas Rising Star Early Childhood Specialists attended the Zero to Three Annual Conference in September 19-21, 2023 in Minneapolis, MN. Participants received a total of 10 annual clock hours. Two Early Childhood Specialists attended the Texas Rising Star Conference hosted by TWC in Dallas. Participants received a total of 16 annual clock hours.</t>
  </si>
  <si>
    <t xml:space="preserve">A total of 8 Early Childhood Specialists  were able to attend conferences and professional development training and obtained a total of 26 professional development hours. </t>
  </si>
  <si>
    <t>Twelve Texas Rising Star Board Staff (Early Childhood Specialist) participated in Mentor Micro-Credential PLC's as required by the Texas Rising Star guidelines. No CCQ funding is allocated for participation.</t>
  </si>
  <si>
    <t xml:space="preserve">One Early Childhood Specialist ended participation in September 2023. </t>
  </si>
  <si>
    <t xml:space="preserve">At the end of this quarter the following positions were filled: 1. 1 Director of Quality Child Care 2. 1 Administrative Assistant 3. 1 Special Projects Coordinators. 1 EEPDS. At the end of this quarter the following positions were vacant: 1 Early Education Professional Development Specialist (EEPDS). 1 Special Projects Coordinator. 4/6 positions remain filled (66%). These staff are hired, trained, and working towards improving quality for ELPs. </t>
  </si>
  <si>
    <t xml:space="preserve">6 WSNCT early learning programs who participated in CLASS in FY23 received quality enrichment materials. An application process was required and as a part of this application process these programs have agreed to continue their participation in the CLASS Project in FY24. </t>
  </si>
  <si>
    <t>Signature pages received as confirmation that staff received the funding; 848 staff qualified and all payments have been made for these staff members to receive their Wage Supplement.</t>
  </si>
  <si>
    <t>Outdoor measure enhancement</t>
  </si>
  <si>
    <t>105 providers</t>
  </si>
  <si>
    <t>Texas Rising Star educational stipends</t>
  </si>
  <si>
    <t>6 TRS staff</t>
  </si>
  <si>
    <t xml:space="preserve">Outdoor project vegetable garden for TRS measure P-OLE-05 </t>
  </si>
  <si>
    <t>78 providers</t>
  </si>
  <si>
    <t>Outdoor project wood stepping slices for TRS measure P-OLE-05</t>
  </si>
  <si>
    <t>113 providers</t>
  </si>
  <si>
    <t>Tri board conference</t>
  </si>
  <si>
    <t xml:space="preserve">Kindervans </t>
  </si>
  <si>
    <t>100 providers</t>
  </si>
  <si>
    <t>Enhancement for outdoor infant/toddler enrichment</t>
  </si>
  <si>
    <t xml:space="preserve">Educational scholarships </t>
  </si>
  <si>
    <t>new TRS staff stipends</t>
  </si>
  <si>
    <t>19 providers    104 TRS staff</t>
  </si>
  <si>
    <t>Resources indoor, outdoor, Texas School Ready, manipulatives</t>
  </si>
  <si>
    <t>Teachstone Interact conference</t>
  </si>
  <si>
    <t>2 quality staff</t>
  </si>
  <si>
    <t>62 centers</t>
  </si>
  <si>
    <t>Providers are able to have life saving technology on site in case of an emergency.</t>
  </si>
  <si>
    <t xml:space="preserve">Purchased tablets for all providers in order for them to use the Brightwheel app to communicate with parents, process billing, track attendance, etc. </t>
  </si>
  <si>
    <t>400 classes</t>
  </si>
  <si>
    <t xml:space="preserve">Increase parent communication and providers are able to use the attendance portion to report to TWC. </t>
  </si>
  <si>
    <t>Purchased curriculum, materials and equipment for 11 ELPs for infant and toddler classrooms</t>
  </si>
  <si>
    <t>Various trainings from TRS and B/R staff for 333 ELP staff</t>
  </si>
  <si>
    <t>Purchased curriculum, materials and equipment for 19 ELPs</t>
  </si>
  <si>
    <t xml:space="preserve"> Initial and Monitoring  ELP Incentives for 13 ELPs</t>
  </si>
  <si>
    <t>Staff bonus for 28 ELP staff</t>
  </si>
  <si>
    <t>Provide mentoring for TRS providers
Provide Technical assistance to CCS providers onboarding</t>
  </si>
  <si>
    <t>6 TRS Certified Centers
7 Entry Level Designation</t>
  </si>
  <si>
    <t>Three mentor staff mentored  34 staff members at previous centers as well as 6 additional TRS certified centers
Three mentor staff provided technical assistance to 7 ELD providers starting the onboarding process.</t>
  </si>
  <si>
    <t>Providers received TRS Initial assessment
Providers received TRS SIA assessment
Providers received TRS Star Level evaluation</t>
  </si>
  <si>
    <t xml:space="preserve">5 TRS Initial
1 TRS SIA
1 TRS Star Level </t>
  </si>
  <si>
    <t>Hosted an Early Childhood In-Service
Hosted 2 additional Director's toolbox training for directors</t>
  </si>
  <si>
    <t>94 participates for Early Childhood In-Service
26 directors participated in Director's Toolbox</t>
  </si>
  <si>
    <t xml:space="preserve">We procured space and a trainer for 94 early childhood professional to participate in an in-service training.
We procured space and a trainer for 22 participates in the Director's toolbox. We have completed 2 more out of the 6. The last training session had to be cancelled and will be rescheduled at a later date. </t>
  </si>
  <si>
    <t>Participate in College course 1 mentor staff</t>
  </si>
  <si>
    <t>1 TRS mentor</t>
  </si>
  <si>
    <t xml:space="preserve">One TRS mentor participated in College course to finish up the college courses required to meet the TWC waiver that was put in place upon hire. </t>
  </si>
  <si>
    <t>Provided materials for 26 providers to enhance quality
Provided materials for 46 infant/toddler classrooms out of the 26 providers to enhance quality</t>
  </si>
  <si>
    <t>26 Providers
46 Infant/Toddler Classrooms</t>
  </si>
  <si>
    <t>Using the ITERS, ECERS and SACCERS tool we provided materials to new and current TRS providers to enhance quality.
Within these providers we provider materials for 46 Infant/Toddler classrooms</t>
  </si>
  <si>
    <t>Entered into a new formal Pre-K Partnership with Baird ISD (no funds were expended for this project)</t>
  </si>
  <si>
    <t>3 TRS Providers</t>
  </si>
  <si>
    <t xml:space="preserve">Three TRS 3 and 4 Star providers, Day Nursery Abilene- Cedar (3) Day Nursery of Abilene- Vine (4), Day Nursery of Abilene- Sherry (4), entered into a formal pre-k partnership with Baird ISD starting September 5, 2023. </t>
  </si>
  <si>
    <t>Provided materials for 3 new programs and 1 program that expanded (4 total)</t>
  </si>
  <si>
    <t>Retention Award</t>
  </si>
  <si>
    <t>Provide retention awards for staff based on their tenure to help ELP's retain quality staff in order to keep classrooms open.</t>
  </si>
  <si>
    <t>6 providers</t>
  </si>
  <si>
    <t>Providing grants for ELP's to maintain programs within their center.</t>
  </si>
  <si>
    <t>Paying CPR &amp; First Aid training for providers</t>
  </si>
  <si>
    <t>Decrease in the number of licensing deficiencies cited by CCR  and also to allow for the funds providers will not have to pay for training to then be put back into the center.</t>
  </si>
  <si>
    <t>Frog Street Infant Curriculum. Frog Street's Infant Curriculum provides intentional activities and support in five developmental domains; language, cognitive, social and emotional, physical and approaches toward learning. The ELPs to receive the Infant curriculum are: Brentwood Learning Academy, Busy Bees Daycare, Early Redwine Child Care Center (2 sets), Pumpkin Patch Preschool, San Angelo Early Learning Childhood Center, Santa Rita Learning Academy, Southwest Children's Academy, Steady Steps Children's Weekday Ministry, TLC Kids Way (2 sets)</t>
  </si>
  <si>
    <t>9 ELPs/11 Kits Ordered</t>
  </si>
  <si>
    <t xml:space="preserve">increase the quality of care for children enrolled in care within the Concho Valley by providing age appropriate, developmentally appropriate curriculum for infants. </t>
  </si>
  <si>
    <t>14 ELPs/19 Kits Ordered</t>
  </si>
  <si>
    <t>increase the quality of care for children enrolled in care within the Concho Valley by providing age appropriate, developmentally appropriate curriculum for toddlers</t>
  </si>
  <si>
    <t>Frog Street Threes Curriculum. Frog Street Threes is a preschool curriculum that meets the unique needs of three-year-olds and provides intentional instruction in key areas of development. The ELPs to receive the Threes Curriculum are: Brentwood Learning Academy, Early-Redwine Child Care Center, Claudia's Creative Childcare, Pumpkin Patch Preschool, San Angelo Early Learning Childhood Center, Santa Rita Learning Academy, Southwest Children's Academy, TLC Kids Way, Willow Tree Preschool, Harris Avenue Baptist Church Day Care, Kid Biz Academy, Kountry Tyme Academy</t>
  </si>
  <si>
    <t>12 ELPs/13 kits</t>
  </si>
  <si>
    <t>increase the quality of care for children enrolled in care within the Concho Valley by providing age appropriate, developmentally appropriate curriculum for three-year-olds</t>
  </si>
  <si>
    <t xml:space="preserve">Frog Street Pre-K Curriculum. Frog Street Pre-K Curriculum is a comprehansive, dual language program designed to meet the needs of diverse learners while supporting the developmental learning domains. The ELPs to receive the Pre-K Curriculum are: Brentwood Learning Academy, Busy Bees Daycare, Claudia's Creative Childcare, San Angelo Early Learning Childhood Center, Santa Rita Learning Academy, Steady Steps Childrens Weekday Ministry, TLC Kids Way, Harris Avenue Baptist Church Day Care. </t>
  </si>
  <si>
    <t>8 ELPs/8 Kits</t>
  </si>
  <si>
    <t>increase the quality of care for children enrolled in care within the Concho Valley by providing age appropriate, developmentally appropriate curriculum for Pre-K aged children</t>
  </si>
  <si>
    <t xml:space="preserve">Frog Street Infant and Toddler Curriculum Implementation Training. This professional development opportunity will assist ELPs in the implementation of the curriculum </t>
  </si>
  <si>
    <t>To assist ELPs in gaining implementation knowledge for Frog Street Curriculum specific for Infant and Toddler Teachers/classrooms</t>
  </si>
  <si>
    <t>Provided professional development for Early Childhood programs specific to Infant and Toddler Development. Topics were Supporting Development Birth -3 years and Infant and Toddler Social Emotional Interactions.</t>
  </si>
  <si>
    <t>65 ELP Practitioners</t>
  </si>
  <si>
    <t xml:space="preserve">To assist Infant and Toddler practitioners in learning/attaining new skills for supporting the Infant and Toddlers in their classrooms </t>
  </si>
  <si>
    <t xml:space="preserve">Frog Street Threes and Pre K Curriculum Implementation Training. This professional development opportunity will assist ELPs in the implementation of the curriculum </t>
  </si>
  <si>
    <t>To assist ELPs in gaining implementation knowledge for Frog Street Curriculum specific for Threes and Pre-K Teachers/classrooms</t>
  </si>
  <si>
    <t>30 ELPs</t>
  </si>
  <si>
    <t xml:space="preserve">increase the quality of care for children from birth through 5 years of age by providing a research based reliable assessment tool to assist in identifying areas for improvement and possible development delays. </t>
  </si>
  <si>
    <t>1 FTE</t>
  </si>
  <si>
    <t xml:space="preserve">CPR, First Aid and AED Training was provided to Early Learning Program staff in the 4th Quarter. A total of 7 classes were conducted in the 4th Quarter, four in English and three in Spanish. 187 teachers participated and received their First Aid/CPR Certification during that time. $10,500 was spent in the 4th Quarter on these classes.  </t>
  </si>
  <si>
    <t xml:space="preserve">21 CLASS Assessment were conducted at 9 separate programs </t>
  </si>
  <si>
    <t>15 Early Learning Programs</t>
  </si>
  <si>
    <t xml:space="preserve">We will measure success with this activity by seeing a 10% increase in the number of TRS 3 and 4-star programs in FY2023. This will be assessed at the end of the fiscal year.
Outcome: Workforce Solutions Capital Area went from a total of 130 TRS Three and Four Star programs at the beginning of FY23 to a total of 146 TRS Three and Four Star programs at the end of FY23. This is an increase of roughly 12% which meets this activities goals. </t>
  </si>
  <si>
    <t>3 Early Learning Programs</t>
  </si>
  <si>
    <t>318  Early Learning staff</t>
  </si>
  <si>
    <t xml:space="preserve">18 of scheduled subcontracted trainings were held in the 4th Quarter. A total of  $21,520 was spent on training in the 4th Quarter. All trainings are research-based to help providers meet their annual training requirement. </t>
  </si>
  <si>
    <t>423  Early Learning Staff</t>
  </si>
  <si>
    <t xml:space="preserve">Director Credential Course. Participants received professional development in both child development and business management in order to meet the criteria to apply for their Director’s Credential. The second of two Director Credential Courses was offered in the 4th Quarter with this class being held in Spanish. A total of 8 early learning staff participated. A total of $16,250.00 was spent in the 4th Quarter. </t>
  </si>
  <si>
    <t>8 Early Learning Staff</t>
  </si>
  <si>
    <t xml:space="preserve">We will measure success by ensuring 30 early learning staff successfully complete the Director Credential.
Outcome: 28 of the 29 child development staff who participated in the course successfully completed their Director Credential. We did not meet our goal of 30 early learning staff, due to lower than anticipated participation in the Spanish language course. </t>
  </si>
  <si>
    <t xml:space="preserve">A Total of $14,345 was spent in the 4th Quarter on the Teacher TRAC Scholarship Program in partnership with Austin Community College. This money was used for Testing fees and student incentives. Please note: Workforce Solutions Capital Area provides only a portion of the funding for this program. This money is paid out of our QC3 funding and not out of our 4% Quality dollars. Therefor these were not counted under Scholarships awarded on the Quarterly Data tab. </t>
  </si>
  <si>
    <t>33 Students enrolled in Fall Semester</t>
  </si>
  <si>
    <t xml:space="preserve">We will measure success by providing a Teacher TRAC scholarship to 75 teachers within FY 2023.
Outcome: A total of 85 Teacher TRAC Scholarships were awarded to teachers between the Spring, Summer, and Fall semesters in FY2023. Meeting our goal of at least 75 scholarships being awarded. </t>
  </si>
  <si>
    <t>Conscious Discipline Training. Two of the six planned classes were conducted and paid for in Quarter 4, along with the purchase of Conscious Discipline resources. A total of  77 teachers/directors participated in a 2-part In-Person Conscious Discipline Training. One class was held in English, one in Spanish. Total spent for training and resources in 4th Quarter is $22,642.00.</t>
  </si>
  <si>
    <t>77  Early Learning Staff</t>
  </si>
  <si>
    <t>549 Early Learning Staff</t>
  </si>
  <si>
    <t>5 Classrooms in 3 ELPs</t>
  </si>
  <si>
    <t xml:space="preserve">We will measure success by seeing an increase in Category 2 scores of those programs who participated in the LENA program. This will be assessed at the end of the fiscal year.
Outcome will be measured after the LENA sequence has been completed and program receives their next TRS assessment visit. </t>
  </si>
  <si>
    <t>42 Parents</t>
  </si>
  <si>
    <t xml:space="preserve">We will measure success by having at least 150 parents attend one of our various training opportunities.
Outcome: This outcome was achieved. Workforce Solutions Capital Area saw a total of 236 parents participate in one of our Training opportunities throughout FY23. </t>
  </si>
  <si>
    <t>101 Early Learning Staff</t>
  </si>
  <si>
    <t xml:space="preserve"> We will measure success by utilizing surveys to determine which staff who received the Wage Supplement remain employed after a 6 month period. Our goal is to have 85% of staff receiving the Jeanette Watson Wage Supplement remain at their program.
Outcome: A survey was given to Jeanette Watson recipients 4 months after they received their award letter. At that time, 96 of the 101 recipients reported they were still employed at the same program. A rate of 95%, well above the industry average. A follow up survey will be sent to all programs 6 months after recipients received their wage supplement payment, asking which of those staff are still employed at the program. </t>
  </si>
  <si>
    <t>343 Early Learning Staff</t>
  </si>
  <si>
    <t xml:space="preserve">We will measure success by utilizing surveys to determine which staff who received the Wage Supplement remain employed after a 6 month period. Our goal is to have 85% of staff receiving the Premium Pay Wage Supplement remain at their program.
Outcome: A survey was given to wage supplement recipients 4 months after they received their award letter. At that time, 295 of the 343 recipients reported they were still employed at the same program. A rate of 86%, above the industry average. A follow up survey will be sent to all programs 6 months after recipients received their wage supplement payment, asking which of those staff are still employed at the program. </t>
  </si>
  <si>
    <t xml:space="preserve">Purchase Frog Street Curriculum for current Texas Rising Star Programs and Entry Level Programs actively working with a TRS Mentor and who express interest in the TEA approved curriculum. A total of $216,338 was spent on Frog Street Curriculum for a total of 13 Early Learning Programs in Quarter 4.Total spent includes cost of training for programs receiving Frog Street Curriculum  as well as renewal of Frog Street online resources necessary to continue to utilize the Frog Street Curriculum to fidelity. </t>
  </si>
  <si>
    <t xml:space="preserve">We will measure success by seeing 90 percent of programs who receive the curriculum maintain or increase their TRS Star Level throughout FY2023. This will be assessed at the end of the fiscal year.
Outcome: Of the 33 programs that received Frog Street curriculum in FY23, 21 programs maintained or gained their TRS Star Level, 4 programs received their initial assessment in FY23 and therefor we cannot measure, 3 programs are still working toward TRS Certification, and 5 programs either lost TRS or were placed on an SIA for falling below their current star level during their annual monitoring. Therefor 15% of programs who received Frog Street in FY23 were unable to maintain their current TRS Star Level on their most recent TRS Assessment. </t>
  </si>
  <si>
    <t>1  Early Learning Program</t>
  </si>
  <si>
    <t xml:space="preserve">We will measure success by offering a minimum of 20 Hearing and Vision Screenings to TRS Programs in FY 2023. 
Ongoing. A total of 11 hearing and vision screenings have been conducted for children at one Early Learning Program, with an additional five (5) scheduled and over 50 children registered to receive a screening. </t>
  </si>
  <si>
    <t xml:space="preserve">25 Early Learning Staff </t>
  </si>
  <si>
    <t xml:space="preserve"> Childhood Development Associate (CDA) credentials for directors and teachers.</t>
  </si>
  <si>
    <t>The CDA classes were held between April -August 2023. This professional development training is to increase the number of CDA-certified early childhood providers in the Rural Capital region. Increasing the number of providers with a CDA will increase program scores in TRS Category 1 Measure P-CQT-01, Staff Qualifications.  We had 33  of the 44 directors/teachers complete the coursework for CDA to work with TXAEYC's T.E.A.C.H. Program to submit application.  As of the end of September, 24 completed applications had been submitted.</t>
  </si>
  <si>
    <t>Mentors are working with programs to bring Entry-level providers into Texas Rising Star certification.  Assessors are working to maintain the current TRS provider's assessment needs and assess new programs.</t>
  </si>
  <si>
    <t>4th Quarter results include 15 New Texas Rising Star certified providers and 12  annual monitoring visits with current Texas Rising Star providers, and 173 mentoring visits with entry-level providers in the Reaching for the Stars process.</t>
  </si>
  <si>
    <t>Conscious Discipline Training for Teachers/Directors</t>
  </si>
  <si>
    <t>The Conscious Discipline Summer Courses finished with 28 of the 37 participants completing the training courses. This professional development offered to increase assessment scores for teacher/child interactions in Category Two of the assessment.</t>
  </si>
  <si>
    <t xml:space="preserve">4th Quarter results include: 3 Entry Level Providers have utilized our provider resource rooms to laminate and use die cuts to extend the life of and enrich their classrooms educational materials. Eight providers received resources to enhance the quality of their Early Learning Programs.  </t>
  </si>
  <si>
    <t>Frog Street Splash Conference Registration for TRS Centers Personnel</t>
  </si>
  <si>
    <t>We had a total of 14 teachers and Directors to attend the Frog Street Conference this year. These teachers and Directors earned 12 CEU hours.</t>
  </si>
  <si>
    <t xml:space="preserve"> Early Learning Teachers Incentive Award </t>
  </si>
  <si>
    <t>We had 70 teachers receive the Teacher Incentive Award for increasing their level of education.  Our goal is to help providers with staff retention and increasing staff Level of education, which would result in higher scores in P-CQT-01.</t>
  </si>
  <si>
    <t>Shared Services</t>
  </si>
  <si>
    <t xml:space="preserve">We have begun a shared service alliance in 4 of our 9 counties. These alliances will serve a total of 30 providers. Our goal is to help providers become more efficient, operationally stronger, and better equipped to offer a high-quality program. </t>
  </si>
  <si>
    <t>WSRCA Directors and Teachers Conference</t>
  </si>
  <si>
    <t xml:space="preserve">We has a total of 85 teachers and Directors attend a one-day conference this year. Theses teachers and directors earned 4 CEUs hours. </t>
  </si>
  <si>
    <t>Parent Symposium</t>
  </si>
  <si>
    <t>FrogStreet SPLASH Conference Registration fees paid for Child Care Staff attending July conference - additional 3 programs attended</t>
  </si>
  <si>
    <t xml:space="preserve">11 EL Staff </t>
  </si>
  <si>
    <t>Reimbursed lodging for FrogStreet SPLASH Conference held in Grapevine, TX for child care staff attending</t>
  </si>
  <si>
    <t xml:space="preserve">42 EL Staff </t>
  </si>
  <si>
    <t>Reimbursed lodging for FrogStreet SPLASH Conference held in Grapevine, TX for board staff attending</t>
  </si>
  <si>
    <t>2 Board Staff</t>
  </si>
  <si>
    <t>Texas Rising Star of Brazos Valley Early Education Conference held at Blinn College District on August 4, 2023 for Child Care Directors - 27 programs attended</t>
  </si>
  <si>
    <t>37 EL Directors and their Assistants</t>
  </si>
  <si>
    <t xml:space="preserve">Directors received 6 hours of management training.  </t>
  </si>
  <si>
    <t>Texas Rising Star of Brazos Valley Early Education Conference held at Blinn College District on August 5, 2023 for Child Care staff - 33 programs attended</t>
  </si>
  <si>
    <t>173 EL Staff</t>
  </si>
  <si>
    <t xml:space="preserve">A variety of sessions as well as a keynote speaker were offered that earned participants 6 hours of training.  </t>
  </si>
  <si>
    <t>Lunch and Learn 8/29/2023 - TECPDS Information presented by Dr Tracy A. Jones, Assistant Director, Texas School Ready(Not Board Funded) - 21 programs attended</t>
  </si>
  <si>
    <t>33 EL Staff</t>
  </si>
  <si>
    <t>An informational session on the Texas Early Childhood Professional Development System (TECPDS) on how to use this system for professional development and training certificates.</t>
  </si>
  <si>
    <t>Frog Street Curriculum Training held on September 30, 2023 at the Center for Regional Services- 3 hour training - 18 programs attended</t>
  </si>
  <si>
    <t>81 EL Staff</t>
  </si>
  <si>
    <t>This training was offered for infants, toddlers, and preschool center staff to become familiar with the curriculum and how to effectively use the resources.</t>
  </si>
  <si>
    <t>Blinn College Child Development 2023 Fall Semester tuition, fees and textbooks - a total of 14 EL staff are attending the Fall Session of which 6 are new students for FY2023</t>
  </si>
  <si>
    <t>6 EL Staff</t>
  </si>
  <si>
    <t>Programs received hard copy of Frog Street Curriculum - 3 programs received and  16 programs are waiting on their order</t>
  </si>
  <si>
    <t>3 programs</t>
  </si>
  <si>
    <t>Programs received educational supplies which included furniture and other items for infant and toddler areas - 7 programs received and 15 programs are waiting on their order</t>
  </si>
  <si>
    <t>7 programs</t>
  </si>
  <si>
    <t>By purchasing items for the infant and toddler areas this will help to improve the Category 4 score for indoor/outdoor environment</t>
  </si>
  <si>
    <t>During communications with our Early Learning  Directors it was identified that many centers needed enhancements to their safety and security. 100 Programs are waiting on their order of AED</t>
  </si>
  <si>
    <t>100 programs</t>
  </si>
  <si>
    <t xml:space="preserve">Purchasing these items for the centers will help to improve the safety and security of the center.  </t>
  </si>
  <si>
    <t>During communications with our Early Learning  Directors it was identified that many centers needed enhancements to their safety and security. 100 Programs are waiting on their order of First Aid Kits</t>
  </si>
  <si>
    <t>During communications with our Early Learning  Directors it was identified that many centers needed enhancements to their safety and security. 100 Programs are waiting on their order of Evacuation/Lock Down Kits</t>
  </si>
  <si>
    <t>During communications with our Early Learning  Directors it was identified that many centers needed enhancements to their safety and security. 25 Programs are waiting on their order of Two Way Radios</t>
  </si>
  <si>
    <t>25 programs</t>
  </si>
  <si>
    <t>85 child care centers/homes</t>
  </si>
  <si>
    <t>Speakers for annual TRS banquet- Speakers presented on topics related to TRS assessment areas</t>
  </si>
  <si>
    <t>348 child care providers</t>
  </si>
  <si>
    <t>348 child care providers attended the annual TRS banquet to obtain CCR required training hours</t>
  </si>
  <si>
    <t>Actual YTD:55%
TRS Certified Centers-2022-2023: 65%--  2023-2024: 100%
Goal has changed due to mandatory TRS</t>
  </si>
  <si>
    <t>58 child care providers</t>
  </si>
  <si>
    <t>58 child care providers received First Aid/CPR training as required by CCR</t>
  </si>
  <si>
    <t>Provide funding for child care staff to obtain CDA</t>
  </si>
  <si>
    <t>50 child care providers</t>
  </si>
  <si>
    <t>50 child care providers have obtained or are working towards obtaining their CDA from a local junior or online</t>
  </si>
  <si>
    <t>Purchase child assessment tools to assist early learning programs in measuring age-appropriate development or progress monitoring</t>
  </si>
  <si>
    <t>85 child care centers/homes will receive ASQSE and ASQ-3 Training kits and be trained in using the kits</t>
  </si>
  <si>
    <t>88 child care providers</t>
  </si>
  <si>
    <t>88 Child Care providers received training hours on topics specific to TRS measures including but limited to: transitions, teacher/child balance, classroom arrangement, etc.</t>
  </si>
  <si>
    <t>Inclusion Conference</t>
  </si>
  <si>
    <t>To increase knowledge of children with disabilities</t>
  </si>
  <si>
    <t>To increase the score of the TRS assessment</t>
  </si>
  <si>
    <t>Outdoor grant to providers</t>
  </si>
  <si>
    <t>Curriculum for 7 providers</t>
  </si>
  <si>
    <t>To help increase learning and evaluation for children</t>
  </si>
  <si>
    <t>CDA Class</t>
  </si>
  <si>
    <t>To help increase knowledge of teachers.</t>
  </si>
  <si>
    <t>An additional $150 in training incentives were paid in July for teachers that had attended Frog Street 
curriculum training in May. This was due to an oversight from the previous payout of incentives.</t>
  </si>
  <si>
    <t>The Board infant/toddler expansion grant funds of $45,000 were distributed in July to the 6 centers that were
approved.</t>
  </si>
  <si>
    <t>Purchased LifeVac anti-choking devices for all centers at a total cost of $3,074. The devices were distributed
in June, but the invoice was paid in July.</t>
  </si>
  <si>
    <t>Successful outcomes of this activity include the prevention of a choking emergency, leading to injury to a child.</t>
  </si>
  <si>
    <t xml:space="preserve">7/15/23 Training was provided on Stress and time management in the childcare setting. The cost of this
training was $600.00
</t>
  </si>
  <si>
    <t>Successful outcomes include decreasing teacher frustration and anxiety levels according to post surveys completed by teachers in attendance.</t>
  </si>
  <si>
    <t>Retention bonuses were paid out to all staff of TRS certified centers that had been employed from November
2022 through April 2023. The total expenditure was $12,900.00. Funds were distributed in July.</t>
  </si>
  <si>
    <t xml:space="preserve">Success for this activity will be measured by an increase in employee retention at the TRS certified centers, which contributes to higher quality 
childcare. These caregivers have formed bonds with the children in their care when they have been in their position for a longer period of time. </t>
  </si>
  <si>
    <t>Materials such as outdoor play equipment, manipulatives, special needs and diversity dolls, etc. were 
purchased in September for 10 centers that are scheduled next to be assessed. All materials purchased satisfy various
TRS measures. The total expenditure for these items was $21,022. 58.</t>
  </si>
  <si>
    <t>10 centers</t>
  </si>
  <si>
    <t>Successful outcomes include these 10 centers attaining at least a 2 star level rating upon being assessed.</t>
  </si>
  <si>
    <t>9/11/23-9/21/23 Online training for CCR Background check through CLI. Participants had a 2 week window to 
complete the training. No expenditure.</t>
  </si>
  <si>
    <t>Successful outcomes include participants understanding the importance of having a background check completed and ensuring that all caregivers have
been successfully cleared.</t>
  </si>
  <si>
    <t>Successful outcomes include increased understanding of the learning framework, caregivers understand lesson planning, and connections between the content.</t>
  </si>
  <si>
    <t>One of our TRS centers ABC  Child Development center received expansion funds from TWC and from our 
Board expansion grant and added 20 new infant slots and 10 new toddler slots.</t>
  </si>
  <si>
    <t>1 center</t>
  </si>
  <si>
    <t>Successful outcomes include the increase of high quality childcare slots.</t>
  </si>
  <si>
    <t>Virtual Professional Development opportunity provided to 30 child care staff over the topic of talking to children about race</t>
  </si>
  <si>
    <t>30 teachers</t>
  </si>
  <si>
    <t xml:space="preserve">Virtual Professional Development opportunity provided to 50 child care staff over the topic of classroom management in PreK classrooms </t>
  </si>
  <si>
    <t>50 teachers</t>
  </si>
  <si>
    <t>50 Directors</t>
  </si>
  <si>
    <t>Virtual Professional Development opportunity provided to 25 child care staff over the topic of Professional Path</t>
  </si>
  <si>
    <t>25 teachers</t>
  </si>
  <si>
    <t>Virtual Professional Development opportunity provided to 50 child care staff over the topic of language development for infants/toddlers</t>
  </si>
  <si>
    <t>Virtual Professional Development opportunity provided to 50 child care staff over the topic of classroom management</t>
  </si>
  <si>
    <t xml:space="preserve">Virtual Professional Development opportunity provided to 50 child care staff over the topic of nutrition for young children </t>
  </si>
  <si>
    <t xml:space="preserve">Virtual Professional Development opportunity provided to 50 child care staff over the topic of behavior strategies  </t>
  </si>
  <si>
    <t xml:space="preserve">Virtual Professional Development opportunity provided to 50 child care staff over the topic of professional development </t>
  </si>
  <si>
    <t xml:space="preserve">Virtual Professional Development opportunity provided to 50 child care staff over the topic of early literacy </t>
  </si>
  <si>
    <t xml:space="preserve">Virtual Professional Development opportunity provided to 50 child care staff over the topic of children's play </t>
  </si>
  <si>
    <t>49 centers and 798 staff were awarded staff bonuses to support teacher retention and hiring new staff (798 Staff)</t>
  </si>
  <si>
    <t>49 Centers</t>
  </si>
  <si>
    <t>49 centers were awarded with bonuses for their staff to decrease the staff turnover rate, 798 child care staff</t>
  </si>
  <si>
    <t>275 centers were awarded a Teacher Appreciation Grant to support teacher retention and hiring new staff</t>
  </si>
  <si>
    <t>275 Centers</t>
  </si>
  <si>
    <t xml:space="preserve">275 centers were awarded a Teacher Appreciation grant to increase staff retention </t>
  </si>
  <si>
    <t>A curriculum need was identified for 39 infant  providers that received Infant curriculum for participating in the WSA Quality Cohort</t>
  </si>
  <si>
    <t>39 Providers</t>
  </si>
  <si>
    <t xml:space="preserve">Increase Category 3 measures for curriculum </t>
  </si>
  <si>
    <t>A curriculum need was identified for 41 toddler providers that received toddler curriculum for participating in the WSA Quality Cohort</t>
  </si>
  <si>
    <t xml:space="preserve">41 providers </t>
  </si>
  <si>
    <t>A curriculum need was identified for 5 home providers that received Family Home curriculum for participating in the WSA Quality Cohort</t>
  </si>
  <si>
    <t>5 Home Providers</t>
  </si>
  <si>
    <t xml:space="preserve">38 Providers </t>
  </si>
  <si>
    <t xml:space="preserve">7 providers were awarded TRS assessment incentives for achieving certification </t>
  </si>
  <si>
    <t>7 providers</t>
  </si>
  <si>
    <t>12 CDA renewals were awarded for child care staff to maintain their CDA certification which aligns with Category 1 measures for staff qualifications</t>
  </si>
  <si>
    <t>12 teachers</t>
  </si>
  <si>
    <t>12 child care staff renewed their CDA certificate to maintain TRS Category 1 measures. These staff are employed at 9 TRS certified programs</t>
  </si>
  <si>
    <t>1 provider was awarded material to enhance their outdoor learning</t>
  </si>
  <si>
    <t>1 provider</t>
  </si>
  <si>
    <t>Provided 121  early learning programs an opportunity to attend our 5th annual conference which was held on September 23, 2023.. The Annual Conference  provided attendees with 6 hours of  professional development that will assist programs in maintaining professional development hours as required by Child Care Regulation and TRS specialist.  This 5th Annual Conference was held at Laredo College, Kazen-Student Center, all inclusive facility.</t>
  </si>
  <si>
    <t xml:space="preserve">South Texas hosted the 5th Annual Child Care Conference, Fall 2023.  It provide 237 participants with new and innovative skills.  The board will measure the success of the activity through provider attendance numbers as well as a post conference survey. </t>
  </si>
  <si>
    <t>Provided 10 Early Learning Programs with 10 Frog Street Curriculums for Infants, Toddlers and Preschool</t>
  </si>
  <si>
    <t>Provided Yvonne Castillito's Daycare, Licensed Registered Home, playground shade</t>
  </si>
  <si>
    <t>To enhance the quality of care for the children when they are outdoors, playing on the playground in areas when they are safe and can be protected from sun exposure.  The shades will be provided so that all age groups can benefit from the shaded areas on the playgrounds.</t>
  </si>
  <si>
    <t xml:space="preserve">Items will be used  for September 23, 2023  5th annual Professional Development Conference These items will assist 400 early learning programs while attending the conference. </t>
  </si>
  <si>
    <t>Items for Resource Room</t>
  </si>
  <si>
    <t xml:space="preserve">Resources available for 121 Early Learning Programs  </t>
  </si>
  <si>
    <t>To enhance the quality of care for all children of Pee Wee Schoolhouse, LLC, License Number 1123206, based on mentoring visit. These materials/equipment will enhance the classroom in order to meet the 
children physical, cognitive, social/emotional and language and literacy domains.</t>
  </si>
  <si>
    <t>75 Early Learning Programs</t>
  </si>
  <si>
    <t>Increase the number of TRS early learning programs</t>
  </si>
  <si>
    <t>To enhance the quality of care for all children of Little Feet &amp; Learning Day Care Center , License Number 871757, based on mentoring visit. These materials/equipment will enhance the classroom in order to meet the 
children physical, cognitive, social/emotional and language and literacy domains.</t>
  </si>
  <si>
    <t>"Lunch and Learn" Meeting - Topic is School-Age Programs - was held on 07-11-2023</t>
  </si>
  <si>
    <t>20 child care directors</t>
  </si>
  <si>
    <t>"New" TRS Provider Orientation Meeting was held on 07-15-2023.</t>
  </si>
  <si>
    <t>24 child care directors</t>
  </si>
  <si>
    <t xml:space="preserve">All training participants received a certificate for 6 clock hours of training/TRS Mentoring </t>
  </si>
  <si>
    <t>"Children That Receive Warm and Responsive Caregiving Don't Misbehave" professional development training was presented Dr. Beverly Ashley on 07-18-2023.</t>
  </si>
  <si>
    <t>10 child care staff</t>
  </si>
  <si>
    <t>9th Annual "Back to School" Teachers Fair was held on 07-29-2023</t>
  </si>
  <si>
    <t>325 child care staff</t>
  </si>
  <si>
    <t>Texas Rising Star (TRS) 4-Year Recommendation Regional Focus Group Meeting was held on 08-11-2023.</t>
  </si>
  <si>
    <t>26 child care directors</t>
  </si>
  <si>
    <t>9th Annual Directors Symposium / Early Childhood Education Teachers Convocation was held on 08-19-2023.</t>
  </si>
  <si>
    <t>200 child care directors &amp; staff</t>
  </si>
  <si>
    <t>"Introduction to the Frogstreet Assessments Tools" professional development training was presented by Dr. Beverly Ashley on          08-24-2023.</t>
  </si>
  <si>
    <t>47 child care staff</t>
  </si>
  <si>
    <t>"Integrating the Frogstreet Curriculum into Your Daily Classroom Schedule" professional development training was presented by Dr. Beverly Ashley on 08-26-2023.</t>
  </si>
  <si>
    <t>51 child care staff</t>
  </si>
  <si>
    <t>"New" TRS Provider Orientation Meeting was held on 09-16-2023.</t>
  </si>
  <si>
    <t>13 child care directors</t>
  </si>
  <si>
    <t xml:space="preserve"> All training participants received a certificate for 6 clock hours of training/TRS Mentoring</t>
  </si>
  <si>
    <t>"It's An Overview:  Frogstreet Curriculum professional development training was presented by Dr. Beverly Ashley on 09-30-2023.</t>
  </si>
  <si>
    <t>59 child care staff</t>
  </si>
  <si>
    <t>Infant/Toddler Expansion - Created 2 new toddler classrooms and 1 infant classroom</t>
  </si>
  <si>
    <t>3 child care centers</t>
  </si>
  <si>
    <t>Created an additional 22 toddler slots and an additional 6 infant slots within our Board area.</t>
  </si>
  <si>
    <t>Purchased Frogstreet curriculum for entry level designated (ELD) child care centers</t>
  </si>
  <si>
    <t>8 ELD child care centers</t>
  </si>
  <si>
    <t>Frogstreet curriculum will be used to assist these ELD child care centers in obtaining the higher TRS star levels.</t>
  </si>
  <si>
    <t>Purchased Lakeshore instructional resources for entry level designated (ELD) child care centers.</t>
  </si>
  <si>
    <t>5 ELD child care centers.</t>
  </si>
  <si>
    <t xml:space="preserve">The Lakeshore instructional resources will be used to assist these ELD child care centers in obtaining the higher TRS star levels. </t>
  </si>
  <si>
    <t>7/15/2023: Exclusive for TRS Providers: Series 1 Texas Infant, Toddler, and Three-Year-Old Early Learning Guidelines Training:  TRS Child care professionals  participated in a 4 hour virtual training with presenters Lucy Rivas and Melissa De La Garza with the Texas School Ready Program.  Participants received training in the Orientation, Module 2 &amp; Module 3 of the ITTLG.  This training described the expectations about what children should know (understand) and be able to do competencies and skills across domains of learning.</t>
  </si>
  <si>
    <t>Participants received (4) training clock hours, Professional Development per Child Care Regulation Minimum Standards.  Texas Core Competencies for Early Childhood Practitioners and Administrators:  Practitioner Core Competency: 1.1</t>
  </si>
  <si>
    <t xml:space="preserve">7/29/2023: Exclusive for TRS Providers: Series 2 Texas Infant, Toddler, and Three Year Old Early Learning Guidelines Training:  TRS child care professionals participated in a 3 hour virtual training with presenters Lucy Rivas and Melissa De La Garza with the Texas school Ready Program. Participants received training in Module 4 &amp; Module 5.  This training described the expectations about what children should know (understand) and be able to do competencies and skills across domains of learning. </t>
  </si>
  <si>
    <t xml:space="preserve">08/11/2023 &amp; 08/12/2023:  2023 Virtual Child Care Conference was hosted for all child care providers.   Concurrent workshops were available for child care professionals in all age groups including, Directors and Administrators. </t>
  </si>
  <si>
    <t>Participants received three (3) training clock hours/.3 CEUs based on Child Care Regulation Minimum Standards respectively for each day.</t>
  </si>
  <si>
    <t>Participants received (1.5) training clock hours/.15 CEUs Planning Developmentally Appropriate Activities per Child Care Regulation Minimum Standards.  Texas Core Competencies for Early Childhood Practitioners and Administrators:  Practitioners Core Competency: 3.1, 3.2</t>
  </si>
  <si>
    <t xml:space="preserve">1 Child care center employee  received an incentive for the completion of the CDA program and receipt of the CDA Credential ($400). </t>
  </si>
  <si>
    <t>1 Teacher attained their CDA credential resulting in a positive impact on the quality of care, they were able to increase their knowledge in child development and improved their skills when working with children and families.</t>
  </si>
  <si>
    <t>32 TRS programs received research-based curriculum for their classrooms to close achievement gaps and address any instructional needs in the age groups they serve. (MindWorks Curriculum - School Age Curriculum)</t>
  </si>
  <si>
    <t>32 TRS Programs were able to close achievement gaps and address any instructional needs in the age groups they serve.  Teachers attended a training on how to implement the curriculum in their classroom</t>
  </si>
  <si>
    <t>30 TRS programs received research-based curriculum for their classrooms to close achievement gaps and address any instructional needs in the age groups they serve. (Frog Street Curriculum - Infant/Toddler/Threes/Pre-K Curriculum)</t>
  </si>
  <si>
    <t>30 TRS Programs were able to close achievement gaps and address any instructional needs in the age groups they serve.  Teachers are scheduled to attend a training on how to implement the curriculum in their classroom.  Implementation Training Date is Tentative</t>
  </si>
  <si>
    <t>Board has funding for 6 mentors and 2 assessors.</t>
  </si>
  <si>
    <t>6 Staff</t>
  </si>
  <si>
    <t>Boards are fully staff with 6 FTE mentors. 1 assessor resigned in August 2023 and 1 assessor's funding terminated on September 30 2023</t>
  </si>
  <si>
    <t>Board purchased Frog Street curriculum for the pending entry level designated programs</t>
  </si>
  <si>
    <t>47 elps</t>
  </si>
  <si>
    <t>Purchase materials and equipment  to assist 2 elps with the certification process.  The items will assist improving in areas of concerns.</t>
  </si>
  <si>
    <t>2 centers</t>
  </si>
  <si>
    <t>Activity will be measured when elps received their initial certification assessment.</t>
  </si>
  <si>
    <t>5 Mentors</t>
  </si>
  <si>
    <t>2 Mentor attended the Texas Rising Star Early Educator Conference in Dallas</t>
  </si>
  <si>
    <t>2 Mentors</t>
  </si>
  <si>
    <t>Board hosted their annual child care conference in September 2023</t>
  </si>
  <si>
    <t>Board conducted a Texas Rising Star Orientation for elps signed CCS agreements during the first half of 2023</t>
  </si>
  <si>
    <t>Increase Texas Rising Star Participation.</t>
  </si>
  <si>
    <t>Conducted TRS training on A Child's View (classroom set up, etc.) on 7/11/23.
38 attendees from 12 centers and 1 home</t>
  </si>
  <si>
    <t>Increased knowledge of 38 staff on various professional development topics related to child development and Texas Rising Star.</t>
  </si>
  <si>
    <t>Conducted TRS training  on Playground Possibilities on 9/14/23.
27 attendees from 9 centers</t>
  </si>
  <si>
    <t>Conducted a virtual training on Business Management Skills for Centers and Homes (Financial Literacy Series, Session 3) on 8/22/23. 6 attendees from 1 center and 4 homes.</t>
  </si>
  <si>
    <t>Increased knowledge of 6 owners/directors on various professional development topics related to financial literacy.</t>
  </si>
  <si>
    <t>Conducted a virtual training on Cybersecurity (Financial Literacy Series, Session 2) on 8/3/23.
6 attendees from 2 centers and 3 homes</t>
  </si>
  <si>
    <t>In conjunction with the ITSN Network, conducted a general child care training on The Read with Me series on 8/26/23. 35 attendees from 6 centers and 2 homes</t>
  </si>
  <si>
    <t>Increased knowledge of 35 staff on various professional development topics related to child development and early childhood education.</t>
  </si>
  <si>
    <t>Conducted a Director's Round Table (session 4) on making Connections Over Corrections on 9/19/23.
15 attendees from 11 centers</t>
  </si>
  <si>
    <t>Increased knowledge of 15 staff on various professional development topics related to child development, early childhood education and Texas Rising Star measures.</t>
  </si>
  <si>
    <t>Increased knowledge of 48 staff on individual and child safety and cautionary measures when faced with an active shooter event.</t>
  </si>
  <si>
    <t>Reimbursed 6 centers for 13 staff to attend the Frog Street Splash Conference.</t>
  </si>
  <si>
    <t xml:space="preserve">Reimbursed  one center for 4 staff for the cost of the CDA national credential application fee. </t>
  </si>
  <si>
    <t>Increased  knowledge of 4 staff by supporting their application to obtain the CDA national credential.</t>
  </si>
  <si>
    <t>Added 7 additional TRS facilities during this quarter, increased infant and toddler capacity in quality rated facilities, as a result.</t>
  </si>
  <si>
    <t>Offered reimbursement to three TRS providers for required individual staff CPR/First-Aid trainings.</t>
  </si>
  <si>
    <t>Offered another grant opportunity in July 2023 to assist providers in the purchase of materials, equipment, curriculum, and needed resources.
35 facilities (including 15 TRS facilities, and 20 non-TRS facilities, including 7 homes, and 28 centers)</t>
  </si>
  <si>
    <t>Increased the quality of care at 35 facilities through expanded resources.</t>
  </si>
  <si>
    <t>Conducted required TRS activities including quarterly CCR reviews, initial assessments, and annual monitoring's. Current TRS providers are being worked, along with ELD's in the process of pursuing TRS.
Amount noted here are all providers in our area that either are TRS or are pursuing accreditation.
For ELD's, CQIP's have or are being updated.</t>
  </si>
  <si>
    <t>Followed TRS Guidelines related to required activities for all TRS Providers. Mentor process is continuing as ELD's prepare for a TRS assessment.</t>
  </si>
  <si>
    <t>Five staff members obtained varying levels of educational attainment in child development and earned an incentive as a result. These incentives remain in place for others and is considered ongoing to the next quarter.</t>
  </si>
  <si>
    <t>Four staff members remained employed at 3 mo. and/or 6 mo. at the same facility after completing the above mentioned education and obtained an employment retention incentive as a result. This incentive remains in place for others and is considered ongoing to the next quarter.</t>
  </si>
  <si>
    <t xml:space="preserve">Offered a partial reimbursement to two TRS providers for the cost of the renewal fees associated with maintaining/renewing their national accreditation status. </t>
  </si>
  <si>
    <t>Encouraged continued participation in a national accreditation attainment for two TRS providers through financial assistance with associated expenses.</t>
  </si>
  <si>
    <t>Provided in-person training for Frog Street curriculum overviews (infant/toddler/3's) to administrators and (from  39 Entry Level and certified TRS centers and 28 TRS centers).</t>
  </si>
  <si>
    <t>Provided in-person training for Frog Street preschool (3's &amp; 4's)  teachers (for 42 people in 25 centers) on curriculum; attendees were from Entry Level and TRS centers.</t>
  </si>
  <si>
    <t>Co-sponsored 8 training sessions (in-person) with Central TX Chapter of TXAEYC;  47 programs participated; 156 people attended</t>
  </si>
  <si>
    <t>Provided the second session of a PLC with a mentor/assessor involving a Conscious Discipline book study with 2 programs. (virtually)</t>
  </si>
  <si>
    <t>Provided virtual training/networking during one Program Administrator meetings (September) to 50 programs</t>
  </si>
  <si>
    <t>Co-sponsored an in-person training with the Harker Heights library (Sun, Moon, and Stars - included vital information regarding the upcoming eclipses); 30 early childhood programs (and local parents) from across the area in attendance.(39 people); participants received books and puzzles for their classroom/program. Purchased materials to supplement training (books and puzzles) for 39 participants from 30 programs attending "Sun, Moon, Stars" training for their classrooms.</t>
  </si>
  <si>
    <t>Conducted 2 Family Childcare Network meetings with training (in-person) for TRS certified and EL programs; topics include best practices; grant funding opportunities and business management.</t>
  </si>
  <si>
    <t>Conducted a Train the Trainer (15 hour) training (in-person) for area administrators and trainers who contract with our area for professional development. (12 programs ; 16 total (plus TRS mentors) in attendance)</t>
  </si>
  <si>
    <t>Conducted in-person training for all EL and TRS providers (31 in attendance; 12 programs) over "Wonder is the Path" and "Mindfullness"; Purchased materials to supplement training (books) for 31 participants from 12 programs attending "Mindfullness" training for their classrooms.</t>
  </si>
  <si>
    <t>Provided salary supplements to 29 teachers and administrators from (2) NAEYC accredited; 4-star TRS programs.</t>
  </si>
  <si>
    <t>Conducted 2 Virtual SIDS /SBS/Infant Brain Development training to 88 participants in 26 programs.</t>
  </si>
  <si>
    <t>Hosted a meeting with 3 and 4 star certified TRS programs who might be interested in Share Services for this upcoming year. 9 people from 9 programs attended.</t>
  </si>
  <si>
    <t>Continue to support Shared Services by providing funds to reimburse them for pre-service training for staff.  This project meets a goal of our board to grow these program owners/directors’ business skills and be good stewards of the services provided to them. By reimbursing them for pre-service training, we aim to decrease the number licensing deficiencies in these programs.  Success will be measured based on CCR compliance and the percentage of providers who continue to participate in the Shared Services Alliance.</t>
  </si>
  <si>
    <t>Conduct in-person training targeted at new staff who are not familiar with the NAEYC Accreditation process; 4 programs and 31attendees participated.</t>
  </si>
  <si>
    <t xml:space="preserve">15 Providers </t>
  </si>
  <si>
    <t>57 participants</t>
  </si>
  <si>
    <t xml:space="preserve">57 participants, 21 LCCC,  4 TRS </t>
  </si>
  <si>
    <t xml:space="preserve">Provider is now NAEYC accredited </t>
  </si>
  <si>
    <t xml:space="preserve">July - Teacher-Child Interaction Aug.- Active Play &amp; Outdoor Learning- Sept. Guidance &amp; Discipline </t>
  </si>
  <si>
    <t>66 participants</t>
  </si>
  <si>
    <t xml:space="preserve">66 participants, partnered with Texas A&amp;M Ext. ECET </t>
  </si>
  <si>
    <t xml:space="preserve">Quality Activities Categories </t>
  </si>
  <si>
    <t>Purchased FrogStreet Curriculum to help providers meet TRS measure</t>
  </si>
  <si>
    <t>11 providers</t>
  </si>
  <si>
    <t>11 providers received FrogStreet training</t>
  </si>
  <si>
    <t xml:space="preserve">During TRS monitoring assessor noticed that provider did not have enough riding equipment for children </t>
  </si>
  <si>
    <t>TRS provider expanded their Infant/Toddler Room and needed equipment/materials  for the classrooms</t>
  </si>
  <si>
    <t>Purchased equipment/materials (i.e. Cribs, mirrors, manipulatives) for classrooms</t>
  </si>
  <si>
    <t>5,100 (unduplicated) providers will be trained through face-to-face and virtual platforms both asynchronous and synchronous. Community-wide training on early childhood topics, early childhood conference scholarships, online training, technical assistance, inclusive care training, and classroom resources</t>
  </si>
  <si>
    <t>CCM- Provide CASE afterschool Community Training Series, Back to School Social and Emotional Learning (SEL), CASE Afterschool webinar series, CASE staff professional development, CASE for Kids Smart Zone, Ecobot Competition, Level Up Houston, National Summer Learning Week, Podcast development and E-blast.</t>
  </si>
  <si>
    <t>Staff provide training, TA, and resources  to child care providers serving children with disabilities</t>
  </si>
  <si>
    <t>Identifying and providing equipment grants to providers actively serving children with disabilities</t>
  </si>
  <si>
    <t>108 equipment grants were given to providers actively serving children with disabilities</t>
  </si>
  <si>
    <t>Classrooms receiving social-emotional development and self regulation resources and materials</t>
  </si>
  <si>
    <t>120 classrooms receiving material to support children's social-emotional development and self-regulation</t>
  </si>
  <si>
    <t>ELPs will receive equipment grants to incentivize providers in obtaining initial TRS certification and maintaining or increasing TRS star levels.</t>
  </si>
  <si>
    <t>850 ELPs will receive equipment grants to incentivize providers in obtaining initial TRS certification and maintaining or increasing TRS star levels.</t>
  </si>
  <si>
    <t xml:space="preserve">Provide early learning program staff members with stipends for achievement of educational milestones </t>
  </si>
  <si>
    <t>Award ECE Conference scholarships to providers</t>
  </si>
  <si>
    <t>250 providers will received conference scholarships</t>
  </si>
  <si>
    <t>Provide early learning program staff members with college tuition, CDA course scholarships, or CDA assessments scholarships</t>
  </si>
  <si>
    <t>410 providers will receive college tuition and CDA course and CDA assessment scholarships</t>
  </si>
  <si>
    <t>30 early childhood teachers will receive scholarships for the child care registered apprenticeship program</t>
  </si>
  <si>
    <t>ELPs will receive classroom resources and materials for participating in Professional Learning Communities (PLCs)</t>
  </si>
  <si>
    <t>100 ELPs will receive classroom resources and materials for participating in Professional Learning Communities (PLCs)</t>
  </si>
  <si>
    <t xml:space="preserve"> ELPs will receive equipment grants to support infant/toddler classrooms</t>
  </si>
  <si>
    <t xml:space="preserve">250 ELPs will receive equipment grants to support infant/toddler classrooms. </t>
  </si>
  <si>
    <t>ELPs will receive incentive grants for participation in the Infant-Toddler Specialist Network (ITSN)</t>
  </si>
  <si>
    <t>50 ELPs will receive incentive grants for participation in the Infant-Toddler Specialist Network (ITSN)</t>
  </si>
  <si>
    <t>Providers will receive incentives for accreditation renewals and/or initial certification</t>
  </si>
  <si>
    <t>20 providers will receive incentives for accreditation renewals and/or initial certification</t>
  </si>
  <si>
    <t>Increase the number of TRS providers in FY 2023. Actual 533</t>
  </si>
  <si>
    <t>Increase the number of TRS providers to 624 by the end of FY 2023.</t>
  </si>
  <si>
    <t>Incentives to support providers in the development of Pre-K partnerships.</t>
  </si>
  <si>
    <t>Develop at least 1 partnership</t>
  </si>
  <si>
    <t xml:space="preserve">Non-eligible ELPs will receive TA and incentives to support compliance with licensing requirements and Entry Level Designation. </t>
  </si>
  <si>
    <t xml:space="preserve">20 non-eligible ELPs will receive TA and incentives to support compliance with licensing requirements and Entry Level Designation. </t>
  </si>
  <si>
    <t xml:space="preserve"> 21,950 families will receive child care resources and referral information via online, by email and by phone to increase understanding and selection of quality child care.</t>
  </si>
  <si>
    <t>Family engagement: Provide family kits to enhance early learning within the child's home to reinforce learning activities occurring in the classrooms</t>
  </si>
  <si>
    <t>1,000 family kits distributed to eligible and verified teachers to give to their enrolled classroom children families</t>
  </si>
  <si>
    <t xml:space="preserve">Family engagement activities will be offered to child care programs (parent education, activity nights, learning parties, etc.) </t>
  </si>
  <si>
    <t>160 family engagement activities will be offered to child care programs (parent education, activity nights, learning parties, etc.)</t>
  </si>
  <si>
    <t>Incentives given to families attending onsite family engagement workshops at ELD and TRS sites</t>
  </si>
  <si>
    <t>1000 families participating in engagement workshops</t>
  </si>
  <si>
    <t>CCM- During this quarter, O2Learn Network and CASE for Kids met extensively to review data from 2022-2023 self assessments and plan for further quality work, including revamping workshop delivery.</t>
  </si>
  <si>
    <t>Provided Scholarships to 25 participants for them to work on getting their CDA</t>
  </si>
  <si>
    <t xml:space="preserve">25 participants are attending CDA Classes at the local Junior College </t>
  </si>
  <si>
    <t>Helped prepare provider staff for their NAEYC accreditation assessment on August 10</t>
  </si>
  <si>
    <t xml:space="preserve">Purchased riding equipment for provider to have sufficient  equipment for children </t>
  </si>
  <si>
    <t>Collaborative opportunities to provide engaging afterschool professional development to Out of School Time (OST) professionals</t>
  </si>
  <si>
    <t>ELPs will receive incentive grants for achievement of initial TRS certification, maintaining or increasing TRS star-levels, or working toward TRS certification and teacher appreciation</t>
  </si>
  <si>
    <t xml:space="preserve">855  ELPs will receive incentive grants for achievement of initial TRS certification, maintaining or increasing TRS star-levels, or working toward TRS certification </t>
  </si>
  <si>
    <t>250 providers will achieve educational milestones and receive stipend</t>
  </si>
  <si>
    <t xml:space="preserve"> Provide scholarships to individuals enrolled in a child care registered apprenticeship training and on-the job coaching   </t>
  </si>
  <si>
    <t>CASE for Kids employs the nationally validated Youth Program Quality Intervention as a way to impact quality in afterschool settings.  This low stakes evaluation allows programs to self assess using a tool, develop quality improvement plans, access targeted training and coaching as part of  continuous quality improvement program.</t>
  </si>
  <si>
    <t>One Early Childhood Specialist ended their contract September 2023. One Early Childhood Specialist and One Sr. Early Childhood Specialist was hired in October 2023 and will be reported on FY 24 quarter 1 report.</t>
  </si>
  <si>
    <t xml:space="preserve">As a part of the strategic plan for WSNCT quality child care, One Director of Quality North Texas, one Director of Quality North Central, two Early Education Professional Development Specialist, one Administrative Assistant, one Special Projects Coordinator, with plans to hire one additional Special Projects Coordinator.   The Special Projects Coordinators, Administrative Assistant, and Early Education Professional Development Specialist will work to produce all agreed upon deliverables in a productive and effective way increasing the overall productivity of overall child care. Director of Quality North Texas and Director of Quality North Central will manage staff and continuously monitor progress. We will monitor outcomes of each role based on WSNCT agreed upon deliverables. Our estimated reach of this activity is 1. NT Director .5 FTE; 2. Director of Quality 1 FTE; 3. Special Projects Coordinator 2 @ 1 FTE; 4. Early Ed. PD Specialist 2 @ 1 FTE; 5. Admin. Assistant 1 @ 1 FTE.
</t>
  </si>
  <si>
    <t xml:space="preserve">As a part of the strategic plan for WSNCT Child Care Quality, WSNCT will offer 100 WSNCT providers a grant opportunity for the outdoor playground enhancement. This grant will include a bird feeder, wind chimes, tree slices, and a raised garden kit for all 100 providers that qualify. This opportunity is being offered to support Texas Rising Star Early Learning Programs who need additional support in meeting outdoor learning environment measures for Category 4 in the Texas Rising Star assessment tool. We will measure success through participation, surveys that provide feedback on the Early Learning Program's ability to meet related Texas Rising Star measures, and implementing goals created for the Early Learning Program's Continuous Quality Improvement Plan. Our estimated reach for this activity is 100 sites served.  
 </t>
  </si>
  <si>
    <t>26 providers</t>
  </si>
  <si>
    <t xml:space="preserve">Purchased defibrillator for each of our providers to have on location. </t>
  </si>
  <si>
    <t>Five ELD providers received their initial TRS assessment which resulted in certification.
One certified TRS provider received an SIA assessment which resulted in retention of the TRS certification.
One certified TRS provider received a Star Level evaluation which resulted in raising of their current star level.</t>
  </si>
  <si>
    <t>We provided materials for 3 newly opened providers and 1 provider that expanded their existing space.</t>
  </si>
  <si>
    <t>Child Care Quality Grant</t>
  </si>
  <si>
    <t>Frog Street Toddler Curriculum. Frog Street Toddler Curriculum is designed around the latest brain research and includes 52 weeks of easy-to-use activities created specifically for children 18-36 months. The ELPs to receive the Toddler Curriculum are: Brentwood Learning Academy, Busy Bees Daycare, Early-Redwine Child Care Center (3 Sets), Claudia's Creative Curriculum, Pumpkin Patch Preschool (2 Sets), San Angelo Early Learning Childhood Center, Santa Rita Learning Academy, Southwest Children's Academy, Steady Steps Childrens Weekday Ministry, TLC Kids Way (2 Sets), Williow Tree Preschool, Harris Avenue Baptist Church Day Care, Kid Biz Academy, Kountry Tyme Academy</t>
  </si>
  <si>
    <t xml:space="preserve">Ages and Stages-3 Starter Kit, ASQ-2SE, ASQ-3 Materials kit. The Assessment Tools provide a comprehensive age-appropriate, developmentally appropriate assessment for children ages birth through 5 years of age. The tools provide a research based and evidence based assessment that encompasses all developmental domains, including Social-Emotional. The Assessment tools will assist the teachers in identifying areas for improvement and possible developmental delays based on results. The assessment tools will assist 30 Early Learning Programs receive a research based assessment tool that can be used to assist them in attaining higher TRS Certification scores. The 30 ELPs to receive the Assessment kits are: Around the Clock, Brentwood Learning Academy, Busy Bees Daycare, Claudia's Creative Curriculum, Early-Redwine Child Care Center, Eden Community Child Care Center, First United Methodist Church Preschool, Gingerbread House, Grace Temple Child Development, Grape Creek Ministry, Harris Avenue Baptist Church Day Care, Kid Biz Academy/Young Scholars Academy, Kidz R Us Learning Center, Kountry Tyme Academy, Little Coconuts Learning Center, Little Rascals Clubhouse, Ozona Community Center, Pumpkin Patch Preschool, SAISD Tiny Texans Childcare, Santa Rita Learning Academy, Shannon Child Development Center, San Angelo Early Childhood Center, Southwest Children's Academy, Steady Steps Children's Weekday Ministry, TLC Kids Way, Willow Tree Preschool, Knights Kastle, Linda Martinez, Luz E. Diaz, Smart Start Schoolhouse									
</t>
  </si>
  <si>
    <t xml:space="preserve">Provided in-house training to Texas Rising Star and Entry Level Designated programs using qualified Texas Rising Star Staff with the goal of helping providers meet their annual training requirements. No Quality Funds were used for these trainings. 641 teachers/staff attended </t>
  </si>
  <si>
    <t xml:space="preserve">Our goal is to reduce the number of programs cited for 746.1315 -First AID and CPR Requirements by 50% at the end of FY23.
Outcome: A total of 12 Early Learning Programs contracted with Capital Area were cited for 746.1315 in all of FY23. Of the 12 citations, 9 of them occurred prior to the June, with 3 of the citations occurring from July through September. This shows a decrease in citations within the last 4 months of FY23, however the goal of decreasing by 50% was not met. It is hard to determine the impact the CPR/First Aid classes played in this number, since the class information is shared with directors/owners and is reliant on directors then sharing class information with their staff. We will look to use a different measurable outcome next year that is easier to directly correlate to the class. </t>
  </si>
  <si>
    <t xml:space="preserve"> CLASS Assessments were conducted in a total of twenty one (21) classrooms in Quarter 4 located within nine (9) separate Early Learning Programs . </t>
  </si>
  <si>
    <t xml:space="preserve">We will measure success by seeing the average Category 2 scores of programs receiving Annual Monitoring's increase based on the previous year's scores. This will be assessed at the end of the fiscal year.
Outcome: Of the 13 total programs that received a CLASS Assessment, only 5 of them saw an increase in their Category 2 scores on their next TRS assessment. With one program still waiting on their next assessment. It is worth noting not every classroom within these programs received a CLASS assessment and therefor it can be hard to correlate between CLASS assessments and Category 2 scores for the entire program. Future measurable outcomes will focus on the scores of the individual teachers receiving the CLASS assessment. </t>
  </si>
  <si>
    <t>Early Learning Resources were purchased for our Texas Rising Star Two-Star, Three-Star, and Four-Star programs . These resources include toys, shelving and playground equipment with the goal of improving Category 4 scores for our TRS  Programs. In Quarter 4, a total of 15 Programs were purchased resources for a total of $7,695 was spent. (Note: some of these programs may be duplicate from prior quarters. Orders are shipped and then invoiced as available which leads to programs receiving resources over multiple quarters).</t>
  </si>
  <si>
    <t>Texas Rising Star Implementation Grant. Early Learning Resources were purchase for our Entry Level Designated programs actively working with TRS Mentors to support achieving TRS Certification. These resources include toys, shelving and playground equipment with the goal of improving Category 4 scores for our ELD Programs. A total of $7,794 was spent in Quarter 4 on three  Entry Level Designated Programs.</t>
  </si>
  <si>
    <t xml:space="preserve">We will measure success by seeing 95% of programs receiving the grant achieving Texas Rising Star certification within 9 months of receiving their resources.
Outcome: Of the 51  Entry Level Designated Programs that received resources with this project, three have completed TRS Certification. The remainder are actively working with TRS Mentors to become TRS Certified. Purchasing for this program began in Quarter 3 of FY23, therefor all programs still have time within their 9 month window to become TRS Certified . Therefor the full measurable outcome will not be known until the 3rd Quarter of FY24. </t>
  </si>
  <si>
    <t xml:space="preserve">We will look to measure success by seeing 95% of TRS programs avoid going on an SIA due to lack of Director or Teacher training hours during their next Annual Monitoring visit. This will be assessed at the end of the fiscal year.
Outcome:  11  TRS programs were found to not meet Category 1  Met/Not Met measures  at their Annual Monitoring visit. A total of 103 Annual Monitoring visits were conducted in FY23 leading to  a rate of roughly 90% who avoided going on an SIA, slightly below our goal of 95%. We will look to review this measurable outcome for future years to determine if the percentage of the goal needs to be modified given the many factors that can contribute to a program being places on an SIA for Category 1. </t>
  </si>
  <si>
    <t xml:space="preserve">Our goal is to have 95% of TRS programs avoid going on an SIA due to lack of Director or Teacher training hours during their next Annual Monitoring visit. This will be assessed at the end of the fiscal year.
Outcome:  11  TRS programs were found to not meet Category 1  Met/Not Met measures  at their Annual Monitoring visit. A total of 103 Annual Monitoring visits were conducted in FY23 leading to  a rate of roughly 90% who avoided going on an SIA, slightly below our goal of 95%. We will look to review this measurable outcome for future years to determine if the percentage of the goal needs to be modified given the many factors that can contribute to a program being places on an SIA for Category 1. </t>
  </si>
  <si>
    <t xml:space="preserve"> We will measure success by seeing an increase in Category 2 scores for programs who send staff to Conscious Discipline trainings. This will be assessed at the end of the fiscal year.
Outcome: We compared the average Category 2 scores of FY22 for the Early Learning  Programs who sent staff to Conscious Discipline to the average Category 2 scores of the same programs across FY23. We saw a slight increase in the average Category 2 scores for those participating ELPs, from an average of 2.34 in FY22, to and average of 2.35 in FY23. Note some of the participating programs are not currently TRS and therefor were not factored in to this data.  </t>
  </si>
  <si>
    <t>Director and Teacher Symposium. A multiple day, in-person Director and Teacher Symposium was conducted on August 4th and 5th. This symposium included multiple training sessions and speakers promoting best practices for child care center directors, owners, and teachers ranging from program administration to early childhood curriculum. A total of 549 directors and teachers participated in one or both days. Total spent on venue and presenters in Quarter 4 is $133,521.00</t>
  </si>
  <si>
    <t xml:space="preserve">We will measure success by showing at least 80% of participants found the Symposium beneficial in the post evaluation process.
Outcome: Of the evaluations received from participants 91% of respondents reported being "Satisfied" while 73% reported being "Very Satisfied" with the overall Symposium. 97% of respondents stated they would attend the Symposium next year if offered. </t>
  </si>
  <si>
    <t xml:space="preserve">Subscription to LENA Grow Program as well as Virtual Coaching paid for in Quarter 4. A total of 5 classrooms were recruited in 3 separate early learning programs to begin a LENA Grow sequence. Programs are currently in the middle of the sequence and will complete in early FY24. Total of  $5,757 was spent in Quarter 4. </t>
  </si>
  <si>
    <t xml:space="preserve">Parent Training Series. A series of subcontracted parent trainings ranging from topics on sleep, social and emotional development, and communication. These trainings were promoted to CCS families and included a gift card for parents who registered and attended the class. One parent trainings occurred in the 4th Quarter with 42 parents in attendance. $16,399.00 was spent in the 4th Quarter. (Note: Parents were not counted on the Quarterly Data tab under Individuals Receiving Professional Development.)
</t>
  </si>
  <si>
    <t xml:space="preserve">Jeanette Watson Wage Supplement. Wage supplements are awarded to professionals for length of service and who have a certification or higher education in early-childhood-related studies. The program aims to augment low wages as well as decrease teacher turnover, helping children maintain a stable relationship with their caregiver. This Wage Supplement program focused on those staff at Early Learning Programs who have a CDA, Associates, Bachelors or Masters degree for a college or university. A total of 101 Early Learning Staff received a wage supplement with a total of  $419,425 spent in Quarter 4. Note, funding for this program also comes from outside sources and does not include solely 4% quality dollars. </t>
  </si>
  <si>
    <t xml:space="preserve">Premium Pay Wage Supplements are awarded to professionals for length of service and who work at TRS 4-Star programs. The program aims to augment low wages as well as decrease teacher turnover, helping children maintain a stable relationship with their caregiver. This Wage Supplement program focused on those staff at Early Learning Programs who do not have a . A total of 343 Early Learning Staff received a wage supplement with a total of  $411,600 spent in Quarter 4. Note, funding for this program also comes from outside sources and does not include solely 4% quality dollars. </t>
  </si>
  <si>
    <t xml:space="preserve">Capital Area has begun offering hearing and vision screenings to Texas Rising Star programs in Travis County. Hearing and Vision Screenings provide for the health and safety of the children at the program while minimizing administrative work for early learning programs. Screenings will also assist with Category 3 scores (P-PM-02) for programs looking to increase or maintain their TRS Star Level. One (1)  Early Learning Program received a hearing and vision screening in Quarter 4 with 11 total children screened. An additional five (5) Early Learning Programs have been scheduled a hearing and vision screening in the coming months, with an estimate 50 children registered to participate. This activity will continue into FY24. A total of $200 was spent in Quarter 4. </t>
  </si>
  <si>
    <t xml:space="preserve">Frog Street Splash Early Learning Conference took place in July. The early learning conference aligns with Capital Area's commitment to providing Frog Street Curriculum as well as Conscious Discipline training to programs in Travis County. A total of $8,127 was spent on hotel accommodations for early learning staff attending the conference. A total of 25 Early Learning Staff attended and received professional development hours for the conference. </t>
  </si>
  <si>
    <t xml:space="preserve">Our goal is to have 95% of TRS programs avoid going on an SIA due to lack of Director or Teacher training hours during their next Annual Monitoring visit. This will be assessed at the end of the fiscal year.
Outcome: 11  TRS programs were found to not meet Category 1  Met/Not Met measures  at their Annual Monitoring visit. A total of 103 Annual Monitoring visits were conducted in FY23 leading to  a rate of roughly 90% who avoided going on an SIA, slightly below our goal of 95%. We will look to review this measurable outcome for future years to determine if the percentage of the goal needs to be modified given the many factors that can contribute to a program being places on an SIA for Category 1. </t>
  </si>
  <si>
    <t xml:space="preserve">We had 93 parents attend a one day parent symposium. This symposium taught parents about different resources in the community and how to access their services. Parents walked away with actionable items to utilize in their homes. </t>
  </si>
  <si>
    <t>Technology Grant to providers</t>
  </si>
  <si>
    <t>An additional training on Frog Street curriculum was provided by Frog Street trainers on August 26. The purpose of this training was to provide a more in-depth look at the curriculum and its actual implementation after the providers have had the opportunity and the time to review it and begin using it. There were 26 infant/toddler teachers and 19 Threes and pre-k teachers. The cost of the training was 
$3999.00.</t>
  </si>
  <si>
    <t>Virtual Professional Development opportunity provided to 50 child care staff over the topic of Family Engagement</t>
  </si>
  <si>
    <t>A curriculum need was identified for 38 providers that received PreK curriculum for participating in the WSA Quality Cohort</t>
  </si>
  <si>
    <t xml:space="preserve">1 providers was awarded outdoor material to enhance their outdoor environment  </t>
  </si>
  <si>
    <t xml:space="preserve">10 Early Learning Programs received 10 Frog Street Curriculums which is a researched based curriculum that will enhance the children's learning in all domains, cognitive, physical, social/emotional and Language and Literacy.  </t>
  </si>
  <si>
    <t>Items were used  for September 23, 2023  5th annual Professional Development Conference These items assisted 237 Directors/Practitioners while attending the conference.</t>
  </si>
  <si>
    <t>Provided 29 current TRS early learning programs and 46 Non- TRS early learning programs with outreach and recruitment materials to promote their business'</t>
  </si>
  <si>
    <t>Items will be used  for practitioners during  September 9 and September 16,2023  Pre- Service Professional Development. These items will assist  early learning programs while attending the pre-service. Educational  materials  purchased were used throughout the trainings.</t>
  </si>
  <si>
    <t>Items were used  for 47 participants September 9 and 16, 2023  Pre-Service Professional Development  These items assisted Practitioners while attending the pre-service.</t>
  </si>
  <si>
    <t xml:space="preserve">To enhance the quality of care for all children of Superstars, License Number 1643891, based on mentoring visit. These materials/equipment will enhance the classroom in order to meet the children physical, cognitive, social/emotional and language and literacy domains.  </t>
  </si>
  <si>
    <t xml:space="preserve">To enhance the quality of care for all children of Mi Casita, License Number 811020, based on mentoring visit. These materials/equipment will enhance the classroom in order to meet the children physical, cognitive, social/emotional and language and literacy domains.  </t>
  </si>
  <si>
    <t xml:space="preserve">9/16/2023:  Introductory to Outdoor Learning Environment: OLE Texas.  Child care professionals participated in 1 (1.5) hour virtual session with presenter Marisa Oliva with Texas Children in Nature. In this session, participants were introduced to OLE! Texas and the 12 best practices for an Outdoor learning Learning Environment, combined with 2 or 3 activities from the Growing UP Wild (GUW) Curriculum. </t>
  </si>
  <si>
    <t>Board co-hosted ITSN roadshow with CLI to discuss infant and toddler opportunities to programs and teachers</t>
  </si>
  <si>
    <t>Teacher has shown an increase interest in participating in the Infant, Toddler, Threes Early Learning Guidelines Trainings, and completing the infant and toddlers trainings available on CLI Engage.</t>
  </si>
  <si>
    <t>In conjunction with a police authority, conducted a safety training on a Civilian Response to an Active Shooter Event (CRASE) on 8/8/23. 48 attendees from 16 centers and 2 homes</t>
  </si>
  <si>
    <t>Increased knowledge of 13 staff on various professional development topics related to early childhood education during the Splash Conference.</t>
  </si>
  <si>
    <t>Increased infant and toddler capacity at TRS facilities by adding  seven additional TRS centers.</t>
  </si>
  <si>
    <t>Offered an educational attainment incentive to staff that were successful in completing either a CDA, Certificate Program, or associates degree. Five staff from one TRS facility obtained an incentive.</t>
  </si>
  <si>
    <t>Offered a 3 month and/or 6 month employment retention incentive to staff that were successful in educational attainment (as noted above) and that stayed employed at the same facility at 3 months and/or then 6 months afterwards. Four staff from one TRS facility and one CCS facility obtained this incentive.</t>
  </si>
  <si>
    <t>Purchased equipment, materials, and educational supplies for 59 TRS certified and Accredited programs to enhance and replenish classrooms and outdoor spaces in preparation for annual monitoring and reaccreditation.</t>
  </si>
  <si>
    <t>Provided targeted professional development (in-person) for owners/program administrators from all Accredited programs in our area who are CCS providers (COA; NAEYC and NAFCC). 53 representatives from 21 programs attended.</t>
  </si>
  <si>
    <t>Tuition for BAS/AAS/Certificate for students</t>
  </si>
  <si>
    <t>Taking it Outdoors Training (July 2023) In-Person</t>
  </si>
  <si>
    <t>Provide activities to support outdoor play with children</t>
  </si>
  <si>
    <t>Developmentally Appropriate Practices (July 2023) Virtual</t>
  </si>
  <si>
    <t>To provide providers with strategies to implement DAP in their programs</t>
  </si>
  <si>
    <t>Impact of Positive Reinforcement (July 2023) Virtual</t>
  </si>
  <si>
    <t>To support providers with techniques to use positive reinforcement</t>
  </si>
  <si>
    <t>ASQ Training (July 2023) Virtual</t>
  </si>
  <si>
    <t>Social Emotional Training (July 2023) Virtual</t>
  </si>
  <si>
    <t>To support providers with strategies to use to assist children with emotional development</t>
  </si>
  <si>
    <t>Addressing COVID Trauma for Children &amp; Providers (July 2023) Virtual</t>
  </si>
  <si>
    <t>To provide strategies to support Trauma with children</t>
  </si>
  <si>
    <t>Frog Street Conference (July 2023) In-person</t>
  </si>
  <si>
    <t>Maintain license requirements</t>
  </si>
  <si>
    <t>Healthy Development in ECE (August 2023) Virtual</t>
  </si>
  <si>
    <t>Making Center Time Intentional (August 2023) Virtual</t>
  </si>
  <si>
    <t>To provide strategies for center time in the classroom</t>
  </si>
  <si>
    <t>Ethics for Early Childhood Professionals (August 2023) Virtual</t>
  </si>
  <si>
    <t>To provide ELPs strategies to work through Ethical issues in ECE</t>
  </si>
  <si>
    <t>ASQ Training (August 2023) In-person</t>
  </si>
  <si>
    <t>Classroom Strategies to Optimize Learning (August 2023) In-person</t>
  </si>
  <si>
    <t>Partnering with Parents (August 2023) Virtual</t>
  </si>
  <si>
    <t>To provide techniques for working with parents</t>
  </si>
  <si>
    <t>Tri-Board Regional Conference (August 2023) In-person</t>
  </si>
  <si>
    <t>Diversity, Equity &amp; Inclusion in ECE (August 2023) Virtual</t>
  </si>
  <si>
    <t>Classroom Strategies to Reduce Challenging Behaviors (August 2023) Virtual</t>
  </si>
  <si>
    <t>To provide techniques to support challenging behaviors</t>
  </si>
  <si>
    <t>Transitions in the Classroom ( September 2023) Virtual</t>
  </si>
  <si>
    <t>The 6 Building Blocks of Family Engagement (September 2023) In-Person</t>
  </si>
  <si>
    <t>Development Screenings (September 2023) Virtual</t>
  </si>
  <si>
    <t>To provide ELPs a variety of screening available and implementation</t>
  </si>
  <si>
    <t>Business Training: Planning Staff Schedules (September 2023) Virtual</t>
  </si>
  <si>
    <t>To provide administrative training</t>
  </si>
  <si>
    <t>Social Emotional Training (September 2023) Virtual</t>
  </si>
  <si>
    <t>Inclusion Conference (September 2023) In-person</t>
  </si>
  <si>
    <t>Infant/Toddler Outdoor Enhancement Award Application (August 2023) and awarded September 2023</t>
  </si>
  <si>
    <t>To provide educational materials for playgrounds for ELPs</t>
  </si>
  <si>
    <t>New Provider Awards (July 2023)</t>
  </si>
  <si>
    <t>Campfire Administrator's Credential Cohort (July 2023) Virtual</t>
  </si>
  <si>
    <t>To provide directors credentials for directors to maintain licensing compliance</t>
  </si>
  <si>
    <t xml:space="preserve">Lena Grow (August &amp; September 2023) In-person </t>
  </si>
  <si>
    <t>To maintain language development between child and teacher</t>
  </si>
  <si>
    <t>Mini-Conference on Early Brain Development and Early Childhood Intervention</t>
  </si>
  <si>
    <t>70  teachers and directors, 16 ELPs</t>
  </si>
  <si>
    <t xml:space="preserve">Lena Grow - LENA GROW is a research-based, data driven program that helps infant and toddler teachers gain the skills to measurably improve classroom quality and boost interactions. This project aligns with the Board's goal to increase the supply of high quality infant and toddler care.  The will be implemented into 6 TRS classroom. Data provided by LENA will determine the success of the project. </t>
  </si>
  <si>
    <t>5 ELPs, 7 teachers, 5 administrators, 50 infant/toddlers</t>
  </si>
  <si>
    <t>Supporting compliance with CCR requirements for health and safety. Decrease in number deficiencies cited by CCR. Increase in number of ELPS qualifying for Entry Level TRS participation.  Decrease in the number of Licensing deviancies cited by CCR. Verified by quarterly CCR screenings.</t>
  </si>
  <si>
    <t>CPR/First Aid Safety Training</t>
  </si>
  <si>
    <t xml:space="preserve">9 teachers </t>
  </si>
  <si>
    <t>22 teachers</t>
  </si>
  <si>
    <t>18 teachers</t>
  </si>
  <si>
    <t>CDA training-Building your CDA Professional Portfolio</t>
  </si>
  <si>
    <t>20 teachers</t>
  </si>
  <si>
    <t>Virtual Coffee Chat for Program Directors</t>
  </si>
  <si>
    <t>30 directors</t>
  </si>
  <si>
    <t>TRS Entry Level Onboarding Focus on Cat 2 Teacher Child Interactions</t>
  </si>
  <si>
    <t>23 infant/toddler teachers</t>
  </si>
  <si>
    <t>33 preschool teachers</t>
  </si>
  <si>
    <t>TRS Entry Level Hub Training Infant, Toddler, and Three's Guidelines</t>
  </si>
  <si>
    <t>36 directors</t>
  </si>
  <si>
    <t>TRS Entry Level Hub Training Pre-K Guidelines</t>
  </si>
  <si>
    <t>56 directors</t>
  </si>
  <si>
    <t>TRS Assessor and Mentor salary for the Quarter (84,592.75); there were 3 new TRS Providers certified during this quarter</t>
  </si>
  <si>
    <t>Tracking the number of providers that receive support through the mentoring process, and number of new TRS Assessments conducted as part of the mentoring support, as well as increasing the number of TRS Providers in our region</t>
  </si>
  <si>
    <t>21 scholarships for Tuition to pay for a college credit course in early education at our local college were provided ($17,000.00)
To take a course that leads to either Infant and Toddler certificate, Teacher Assistant certificate that all feed towards a Child Development Associates in Applied Science.  WSB pays the tuition, books and parking pass if needed for the teachers working in a TRS facility or those on a pathway to becoming a TRS facility.</t>
  </si>
  <si>
    <t>Alpine ISD opened it child development center August 11, 2023 with the partnership with Big Bend Medical Center, and support from WSB to assist with start up ($137,503.54) 78 child care slots created at one program</t>
  </si>
  <si>
    <t xml:space="preserve">This new child development  center was licensed for a capacity of 31 infants and overall capacity of 78.  As a result there is an increase of child care slots availability for parents specifically desert areas.   </t>
  </si>
  <si>
    <t>Digital Transformation Services were provided to 5 Childcare providers to assist with their business office operations.($10,439.13)</t>
  </si>
  <si>
    <t>Increase the number of CCS Providers who utilize the DTS services. Increase the number of CCS Providers completing and receiving business course certificates.</t>
  </si>
  <si>
    <t>Celebrate and recognize our TRS Providers to include having a guest speaker and trainings. The event serves as a thank you for their hard work, provide professional development and recognize their accomplishments. The event also a means to motivate them to continue in the TRS Program. WSB will be looking at having up to 300 in attendance. (17,157.42)</t>
  </si>
  <si>
    <t xml:space="preserve">Had 325 register for the event and had 237 in attendance.  </t>
  </si>
  <si>
    <t>3 training sessions were provided to caregivers  through Region 19, Kids Kan Inc., and WSB Mentor Staff.  They were held on July 8th, July 29, August 5th. (8,164)</t>
  </si>
  <si>
    <t>This opportunity allowed for a large group of teachers to be served with training in accordance with their licensing requirements along with meeting TRS training standards.</t>
  </si>
  <si>
    <t>Recognize and provide materials and equipment to upgrade their classroom to the top 3 providers whose staff attended all or majority of professional development trainings offered throughout the boards fiscal year.  (29,986.94)</t>
  </si>
  <si>
    <t>Increase the number of attendance to the trainings offered throughout the year while supporting the of child care providers to met their licensing and trs training standards.</t>
  </si>
  <si>
    <t>Purchase certified curriculum for existing TRS Providers and those in the TRS pathway.    The purchased curriculum will provide points towards the TRS scoring and can lead to a higher score level.  (24,158.60)</t>
  </si>
  <si>
    <t xml:space="preserve">Increase the number of child care providers who were provided a curriculum and obtain points for having a curriculum on their TRS assessment. .  The activities observed during the assessment were age appropriate and outlined in the teacher’s lesson plan.  </t>
  </si>
  <si>
    <t>Purchased indoor and outdoor material and equipment to assist the child care providers to meet standards and criteria associated with TRS Indoor and outdoor environment.   (2,499.11)</t>
  </si>
  <si>
    <t>Increase the number of attendance to the trainings offered throughout the year while supporting the of child care providers to met their licensing and TRS training standards.</t>
  </si>
  <si>
    <t xml:space="preserve">Provided  seven (7) unduplicated participants from two (2) programs working toward Texas Rising Star Certification and five (5) Texas Rising Star certified programs with tuition and books to obtain their child development associates degree.
(total scholarships given = 32 participants from six (6) programs working toward Texas Rising Star Certification and twelve (12) Texas Rising Star certified programs with tuition and books to obtain their child development associates degree.)
</t>
  </si>
  <si>
    <t>Third party hosted training workshop "Breathe" on 01/28/2023 for one hundred thirty-one (131) participants from fourteen (14) Non-Texas Rising Star providers and eleven (11) Texas Rising Star providers.</t>
  </si>
  <si>
    <t>Provide training workshops for  staff to meet caregiver training hours and increase delivery of higher quality interactions and for Texas Rising Star staff  to meet provider CQIP goals.</t>
  </si>
  <si>
    <t>Provided four (4) ELPs with bonuses as an incentive to meet Texas Rising Star CQIP goals or to maintain and/or increase their current Texas Rising Star star level certification.  (Three (3) currently certified Texas Rising Star ELPs and one (1) ELP working towards Texas Rising Star certification)</t>
  </si>
  <si>
    <t>Increase the number of Texas Rising Star ELPs who maintain or increase their Texas Rising Star star level certification and offer ELPs working towards Texas Rising Star certification support in meeting their CQIP goals.</t>
  </si>
  <si>
    <t xml:space="preserve">Provided  twenty (20) unduplicated participants from six (6) programs working toward Texas Rising Star Certification and six (6) Texas Rising Star certified programs with tuition and books to obtain their child development associates degree.
(total scholarships given = 38 participants from nine (9) programs working toward Texas Rising Star Certification and fourteen (14) Texas Rising Star certified programs with tuition and books to obtain their child development associates degree.)
</t>
  </si>
  <si>
    <t>Third party hosted training workshop "PECE Conference" on 05/06/2023 for ninety-three (93) participants from seven (7) Non-Texas Rising Star providers and thirteen (13) Texas Rising Star providers.</t>
  </si>
  <si>
    <t>Provided sixteen (16) programs working towards Texas Rising Star Certification with outdoor equipment to enhance their outdoor learning environments.</t>
  </si>
  <si>
    <t>Provided twenty-seven (27) ELPs with bonuses as an incentive to meet Texas Rising Star CQIP goals or to maintain and/or increase their current Texas Rising Star star level certification.  (Thirteen (13) currently certified Texas Rising Star ELPs and fourteen (14) ELP working towards Texas Rising Star certification)</t>
  </si>
  <si>
    <t xml:space="preserve">Provided  five (5) unduplicated participants from two (2) programs working toward Texas Rising Star Certification and two (2) Texas Rising Star certified programs with tuition and books to obtain their child development associates degree.
(total scholarships given = 23 participants from seven (7) programs working toward Texas Rising Star Certification and seven (7) Texas Rising Star certified programs with tuition and books to obtain their child development associates degree.)
</t>
  </si>
  <si>
    <t>Third party hosted training workshop "Family Engagement" conference on 08/12/2023 for seventy-three (73) participants from six (6) Non-Texas Rising Star providers and thirteen (13) Texas Rising Star providers.</t>
  </si>
  <si>
    <t>Provided twenty-seven (27) ELPs with grants as an incentive to meet Texas Rising Star CQIP goals or to maintain and/or increase their current Texas Rising Star star level certification.  (Four (4) currently certified Texas Rising Star ELPs and twelve (12) ELP working towards Texas Rising Star certification)</t>
  </si>
  <si>
    <t>Provided  twenty (20) participants from four (4) programs working toward Texas Rising Star Certification and seven (7) Texas Rising Star certified programs with tuition and books to obtain their child development associates degree.
(total scholarships given = 48 participants from nine (9) programs working toward Texas Rising Star Certification and thirteen(13) Texas Rising Star certified programs with tuition and books to obtain their child development associates degree.)</t>
  </si>
  <si>
    <t xml:space="preserve">11 Participants attended the in person training "Texas Rising Star Category 2 for Registered and Licensed Homes" All Licensed and Registered homes were encouraged to attend this in person training to get a more specific category 2 training to meet their needs. </t>
  </si>
  <si>
    <t>82 Participants attended a Zoom Training on "Texas Rising Star Category 2 Teacher-Child Interactions"</t>
  </si>
  <si>
    <t>4 Texas Rising Star Staff salaries, fringe, travel, etc.</t>
  </si>
  <si>
    <t xml:space="preserve">PreK and School Age Materials and Equipment for Initial/Texas Rising Star Annual Monitoring </t>
  </si>
  <si>
    <t>3 Texas Rising Star providers now have more  materials and equipment to help maintain Texas Rising Star quality standards.</t>
  </si>
  <si>
    <t>Increase the number of CCS rural providers who are exposed to the information about the Texas Rising Star program so providers know what the benefits are to them and the families and children they serve.</t>
  </si>
  <si>
    <t>4 Initial Texas Rising Star providers received Infant/Toddler Curriculum</t>
  </si>
  <si>
    <t>4 Texas Rising Star providers now have Texas Rising Star approved curriculum for their facilities to be able to provide developmentally appropriate practices for each classroom</t>
  </si>
  <si>
    <t xml:space="preserve">Infant/Toddler Materials and Equipment for Initial/ Texas Rising Star Annual Monitoring </t>
  </si>
  <si>
    <t>5 Texas Rising Star providers now have more infant/toddler materials and equipment to help maintain Texas Rising Star quality standards.</t>
  </si>
  <si>
    <t>3 Initial Texas Rising Star Providers received PreK Curriculum</t>
  </si>
  <si>
    <t>3 Texas Rising Star providers now have Texas Rising Star approved curriculum for their facilities to be able to provide developmentally appropriate practices for each classroom</t>
  </si>
  <si>
    <t xml:space="preserve">6 Texas Rising Star providers sent staff to Professional Development trainings and were provided reimbursement for the cost of the trainings </t>
  </si>
  <si>
    <t>To increase current Texas Rising Star provider staff's knowledge about early childhood best practices and to help with hour obtainment necessary for the Texas Rising Star program.</t>
  </si>
  <si>
    <t>11 Initial Texas Rising Star Providers received Diversity equipment prior to their Texas Rising Star Assessments</t>
  </si>
  <si>
    <t>11 initial providers will have developmentally appropriate Diverse materials to help enhance their Texas Rising Star Assessment scores</t>
  </si>
  <si>
    <t>20 Participants attended an in person training on "Real Items for Real Kids" Category 4 Texas Rising Star</t>
  </si>
  <si>
    <t xml:space="preserve"> 12 Initial Texas Rising Star Providers received Diversity equipment prior to their Texas Rising Star Assessments</t>
  </si>
  <si>
    <t>12 initial providers will have developmentally appropriate Diverse materials to help enhance their Texas Rising Star Assessment scores</t>
  </si>
  <si>
    <t xml:space="preserve">32 PreK and School Age Materials and Equipment for Initial/Texas Rising Star Annual Monitoring </t>
  </si>
  <si>
    <t xml:space="preserve"> Texas Rising Star providers now have more  materials and equipment to help maintain Texas Rising Star quality standards.</t>
  </si>
  <si>
    <t xml:space="preserve">16 Infant/Toddler Materials and Equipment for Initial/ Texas Rising Star Annual Monitoring </t>
  </si>
  <si>
    <t xml:space="preserve">4 Texas Rising Star Providers staff members attended Professional Development trainings that were not provided by CCS and were reimbursed for partial cost of the trainings </t>
  </si>
  <si>
    <t>14 Participants attended an in person training on "Real Items for Real Kids" Category 4 Texas Rising Star</t>
  </si>
  <si>
    <t>22 Participants attended a Zoom training on "Texas Rising Star Documentation checklist cheat sheet"</t>
  </si>
  <si>
    <t>To increase Provider Texas Rising Star knowledge to properly prepare them to become a Texas Rising Star Provider by having a Binder checklist to help organize documentation needed by the Assessor</t>
  </si>
  <si>
    <t xml:space="preserve">27  PreK and School Age Materials and Equipment for Initial/Texas Rising Star Annual Monitoring </t>
  </si>
  <si>
    <t>7 possible Initial Texas Rising Star Providers received PreK Curriculum</t>
  </si>
  <si>
    <t>7 ELD working on their Initial Texas Rising Star assessment now have Texas Rising Star approved curriculum for their facilities to be able to provide developmentally appropriate practices for each classroom</t>
  </si>
  <si>
    <t>13 initial Texas Rising Star Providers received Diversity equipment prior to their Texas Rising Star Assessment</t>
  </si>
  <si>
    <t>13 initial providers will have developmentally appropriate Diverse materials to help enhance their Texas Rising Star Assessment scores</t>
  </si>
  <si>
    <t xml:space="preserve">13 programs received Infant/Toddler Materials and Equipment for Initial/ Texas Rising Star Annual Monitoring </t>
  </si>
  <si>
    <t>7 possible Initial Texas Rising Star providers received Infant/Toddler Curriculum</t>
  </si>
  <si>
    <t>7 prospective initial Texas Rising Star providers now have Texas Rising Star approved curriculum for their facilities to be able to provide developmentally appropriate practices for each classroom</t>
  </si>
  <si>
    <t xml:space="preserve">10 Texas Rising Star Provider staff members attended Professional Development trainings that were not provided by CCS and were reimbursed for partial cost of the trainings </t>
  </si>
  <si>
    <t>To increase current Texas Rising Star provider staff's knowledge about early childhood best practices and to help with training hour obtainment necessary for the Texas Rising Star program.</t>
  </si>
  <si>
    <t>20 Participants received college subsidies for child development courses for Fall 2023 semester</t>
  </si>
  <si>
    <t>1 Texas Rising Star staff completed CLI  PLC for each month.</t>
  </si>
  <si>
    <t>Beyond the Page" is a local quality initiative that Texas Rising Star staff provide to 36 Texas Rising Star centers quarterly. The primary focus is to train 159 Texas Rising Star classroom teachers to utilize age-appropriate board/picture books to develop read-aloud strategies, administer book-related hands-on activities for the individual classroom, provide mentoring services from Texas Rising Star staff to improve child/caregiver interactions, teach caregivers to better identify developmental milestones, and build and strengthen cognitive, language and emergent literacy skills.  Quarter 2 of 2023,  167 books (Social-Emotional themed) were purchased for every Texas Rising Star facility within our service area. Total Cost=$12,613.51 36 Texas Rising Star centers, 159 teachers</t>
  </si>
  <si>
    <t>"Connections" training provided professional development for early learning program staff and training for Infant/Toddler on I&amp;T Circle Foundations, Best Practices, Social Emotional Skills and for Head Start/PreK on fine motor &amp; sensory activities and gross motor &amp; movement activities. Total Cost=$1,774.00 96 child care directors and staff</t>
  </si>
  <si>
    <t>"Directors Luncheon" training provided professional development for early learning program Directors and Assistant Directors and training for an overview of child neglect and trauma informed care. 17 participants from our centers received 2-hour training certificates. Total Cost=$89.71 17 child care directors and assistant directors</t>
  </si>
  <si>
    <t>2 Texas Rising Star staff completed CLI  PLC for each month.</t>
  </si>
  <si>
    <t>Texas Rising Star staff personnel costs, including salaries, fringe, travel, supplies and indirect costs. Total= $49,742.15</t>
  </si>
  <si>
    <t xml:space="preserve">Due to short staff, outside Texas Rising Star Assessors are needed to assess Texas Rising Star centers. Currently, there are 24 providers that the current Texas Rising Star Assessing staff are unable to assess due to conflicting mentoring duties. An outside contracted Texas Rising Star assessor was brought in and assessed two of our Texas Rising Star centers. Total Cost=$3,663.60 2 Texas Rising Star centers (10 classrooms)
</t>
  </si>
  <si>
    <t xml:space="preserve">2 Texas Rising Star centers were assessed. </t>
  </si>
  <si>
    <t>To encourage current Texas Rising Star program participants to maintain and/or increase their star level a star-level one-time stipend was given to our current Texas Rising Star centers as follows: $1,500 incentive for all one-star centers, $2,000 incentive for all two-star centers, $2,500 incentive for all three-star centers, and $3,000 incentive for all four-star centers. Total=$101,000 36 Texas Rising Star centers (5 LCCH, 31 LCCC)</t>
  </si>
  <si>
    <t>Promotional items were bought to help support parent engagement and consumer education designed to increase understanding and selection of quality child care. Help bring awareness of Texas Rising Star program to outreach and recruit non-Texas Rising Star centers to become Texas Rising Star certified. Used at local events such as job fairs, community events, etc. to inform the public on the importance of choosing Quality child care centers for buy-in and involvement with the Texas Rising Star program. Total cost=$4,087.28</t>
  </si>
  <si>
    <t>"Directors Luncheon" training provided professional development for early learning program Directors and Assistant Directors and training over employee retention and hiring effective staff. 27 participants from our centers received 2-hour training certificates. Total Cost=$375.40 27 child care directors and assistant directors</t>
  </si>
  <si>
    <t>Beyond the Page" is a local quality initiative that Texas Rising Star staff provide to 36 Texas Rising Star centers quarterly. The primary focus is to train 159 Texas Rising Star classroom teachers to utilize age-appropriate board/picture books to develop read-aloud strategies, administer book-related hands-on activities for the individual classroom, provide mentoring services from Texas Rising Star staff to improve child/caregiver interactions, teach caregivers to better identify developmental milestones, and build and strengthen cognitive, language and emergent literacy skills.  Quarter 3 of 2023, supplementals (Social-Emotional themed) were purchased for every Texas Rising Star facility within our service area. Total Cost=$3,227.40</t>
  </si>
  <si>
    <t>"Connections" training provided professional development for early learning program staff and training for Infant/Toddler on engaging infants/toddlers, optimum development, and building brains for language and for Head Start/PreK on purposeful transitions, pre-writing activities, and building brains for language. Total Cost=$749.25</t>
  </si>
  <si>
    <t>Texas Rising Star staff personnel costs, including salaries, fringe, travel, supplies and indirect costs. Total= $62,441.86</t>
  </si>
  <si>
    <t>Four Texas Rising Star staff members will attend the TXAEYC conference in November 2023. Registration and hotel were paid this quarter. Total Cost= $4,384.00</t>
  </si>
  <si>
    <t>3 Texas Rising Star staff completed CLI  PLC for each month.</t>
  </si>
  <si>
    <t>Workforce Solutions Child Care and Vernon College partner to provide the CDA certification course. Workforce Solutions North Texas has budgeted for 30 scholarship opportunities for child care center staff to apply for the CDA course. The scholarship opportunity is offered to Texas Rising Star facilities as priority and then will be offered to all contracted non-Texas Rising Star providers. Eleven students enrolled in the Infant/Toddler CDA course. Books, tuition and other applicable fees were paid for the course. Total cost = $6,160.00</t>
  </si>
  <si>
    <t>Helped a Texas Rising Star provider to add 8 infant slots with  set up supplies through BSA grant. 1 program</t>
  </si>
  <si>
    <t>increased Texas Rising Star infant slots by 8 with one provider.</t>
  </si>
  <si>
    <t>To encourage Texas Rising Star program participation and to outreach and recruit non-Texas Rising Star centers to become Texas Rising Star certified we provided a one-time start-up incentive of $1,000 to new on-coming centers. The $1,000 incentive is used to purchase items needed to improve quality for certification. In order to receive the incentive, programs are required to complete the following forms: Texas Rising Star Screening form for licensed center, Application for Texas Rising Star recognition, and the Facility Assessment Record Form. We had two non-Texas Rising Star centers become Texas Rising Star certified in this quarter. Total cost= $2,000</t>
  </si>
  <si>
    <t>Workforce Solutions Child Care and Vernon College partner to provide the CDA certification course. Workforce Solutions North Texas has budgeted for 30 scholarship opportunities for child care center staff to apply for the CDA course. The scholarship opportunity is offered to Texas Rising Star facilities as priority and then will be offered to all contracted non-Texas Rising Star providers. Seven students enrolled in the Pre-K CDA course. Books, tuition and other applicable fees were paid for the course. Total cost = $3,920</t>
  </si>
  <si>
    <t>"Beyond the Page" is a local quality initiative that Texas Rising Star staff provide to 36 Texas Rising Star centers quarterly. The primary focus is to train 159 Texas Rising Star classroom teachers to utilize age-appropriate board/picture books to develop read-aloud strategies, administer book-related hands-on activities for the individual classroom, provide mentoring services from Texas Rising Star staff to improve child/caregiver interactions, teach caregivers to better identify developmental milestones, and build and strengthen cognitive, language and emergent literacy skills.  Quarter 3 of 2023, supplementals (Social-Emotional themed) were purchased for every Texas Rising Star facility within our service area. Total Cost=$151.96</t>
  </si>
  <si>
    <t>AED equipment was purchased for current 36 Texas Rising Star centers to increase Texas Rising Star certified star levels, to decrease in number of licensing deficiencies cited by CCR, increase Texas Rising Star screening compliance, and increase provider/parent satisfaction. Impact measured through use of new technology within the facility and improved scores in Director/Caregiver Qualifications. Total Cost=$53,820.00</t>
  </si>
  <si>
    <t>Texas Rising Star staff personnel costs, including salaries, fringe, travel, supplies and indirect costs. Total= $73,526.84</t>
  </si>
  <si>
    <t>Two Texas Rising Star staff members attended the Texas Rising Star conference in July 2023. Four Texas Rising Star staff members attended the Frog Street conference in July 2023. Total Cost= $4,557.08</t>
  </si>
  <si>
    <t>4 Texas Rising Star staff completed CLI  PLC for each month.</t>
  </si>
  <si>
    <t>To encourage Texas Rising Star program participation and to outreach and recruit non-Texas Rising Star centers to become Texas Rising Star certified we provided a one-time start-up incentive of $1,000 to new on-coming centers. The $1,000 incentive is used to purchase items needed to improve quality for certification. In order to receive the incentive, programs are required to complete the following forms: Texas Rising Star Screening form for licensed center, Application for Texas Rising Star recognition, and the Facility Assessment Record Form. We had two non-Texas Rising Star centers become Texas Rising Star certified in this quarter. Total cost= $6,000</t>
  </si>
  <si>
    <t>Promotional items were bought to help support parent engagement and consumer education designed to increase understanding and selection of quality child care. Help bring awareness of Texas Rising Star program to outreach and recruit non-Texas Rising Star centers to become Texas Rising Star certified. Used at local events such as job fairs, community events, etc. to inform the public on the importance of choosing Quality child care centers for buy-in and involvement with the Texas Rising Star program. Total cost=$15,503.67</t>
  </si>
  <si>
    <t>Workforce Solutions Child Care and Vernon College partner to provide the CDA certification course. Workforce Solutions North Texas has budgeted for 30 scholarship opportunities for child care center staff to apply for the CDA course. The scholarship opportunity is offered to Texas Rising Star facilities as priority and then will be offered to all contracted non-Texas Rising Star providers. Ten students completed the Infant/Toddler CDA course testing. Total cost = $4,250.00</t>
  </si>
  <si>
    <t>Workforce Solutions Child Care and Vernon College partner to provide the CDA certification course. Workforce Solutions North Texas has budgeted for 30 scholarship opportunities for child care center staff to apply for the CDA course. The scholarship opportunity is offered to Texas Rising Star facilities as priority and then will be offered to all contracted non-Texas Rising Star providers. Four students completed  the Pre-K CDA course testing. Total cost = $1,700.00</t>
  </si>
  <si>
    <t>Texas Rising Star Early Childhood Specialists conducted 29 professional development sessions with 266 participants offering 167.50 clock hours for participants to use towards achieving their annual hours.</t>
  </si>
  <si>
    <t xml:space="preserve">CLASS Texas Rising Star Assessments and Coaching Training; As a part of the WSNCT strategic plan for child care quality 52 classrooms were observed within 8 programs and 2 were double coded in the Fall and have received their Fall CLASS Scores. CLASS gives Early Childhood Specialists the tools, data, and framework to objectively and accurately support teacher-child interactions. This initiative supports Category 2: Teacher-Child Interactions in the Texas Rising Star assessment tool. Category 2 is point based and maintenance/improvement in this area supports Texas  Rising Star programs to improve and maintain their start levels. </t>
  </si>
  <si>
    <t xml:space="preserve">Paid salaries and benefits for seventeen (17) Texas Rising Star Board Staff.  These Board Staff ensure the continuation of the Texas Rising Star program activities for our Workforce Development Board Area through mentoring, assessment, outreach, and program support services.  We have 14 Texas Rising Star Mentor/Early Childhood Specialists, 2 Texas Rising Star Program Supervisors, and 1 Child Care Manager, and salaries for the positions come out of CCQ funding. </t>
  </si>
  <si>
    <t xml:space="preserve">Paid subcontractors to conduct a Texas Rising Star Star Level Evaluation and to participate in quarterly meetings for Texas Rising Star-related trainings.  WSNCT shares 10 Texas Rising Star Assessors with Workforce Solutions Greater Dallas and Workforce Solutions for Tarrant County.  The Texas Rising Star Assessors are contracted vendors and expenditures for payments come out of CCQ funding. </t>
  </si>
  <si>
    <t xml:space="preserve">As a part of the strategic plan for WSNCT quality child care, One Director of Quality North Texas, one Director of Quality North Central, two Early Education Professional Development Specialist, one Administrative Assistant, one Special Projects Coordinator, with plans to hire one additional Special Projects Coordinator.   The Special Projects Coordinators, Administrative Assistant, and Early Education Professional Development Specialist will work to produce all agreed upon deliverables in a productive and effective way increasing the overall productivity of overall child care. Director of Quality North Texas and Director of Quality North Central will manage staff and continuously monitor progress. We will monitor outcomes of each role based on WSNCT agreed upon deliverables. Our estimated reach of this activity is 1. NT Director .5 FTE; 2. Director of Quality 1 FTE; 3. Special Projects Coordinator 2 @ 1 FTE; 4. Early Ed. PD Specialist 2 @ 1 FTE; 5. Admin. Assistant 1 @ 1 FTE.  
</t>
  </si>
  <si>
    <t xml:space="preserve">As a part of the strategic plan for WSNCT quality child care, WSNCT will extend an opportunity for fifty newly certified and existing Texas Rising Star-certified programs to acquire multiple TEA approved curriculums. With an approved TEA curriculum, key area learning domains and weekly instructional plans will be followed and implemented by a classroom early learning professionals with fidelity. 50 early learning programs were awarded preschool HighScope curriculum. Obtaining a curriculum for implementation will assist early learning programs to improve or maintain effectively identified quality improvement needs, thus meeting and supporting Continuous Quality Improvement Plan goals. The success of this activity will be measured by tracking programs who receive curriculum support. Our reach for this activity was 50. </t>
  </si>
  <si>
    <t>As a part of the strategic plan for WSNCT career pathways, WSNCT has offered 64 participants who work for WSNCT programs scholarships to enroll in CDA preparation courses with Green Space. These courses are virtual and self-paced. These academic scholarships will assist participants in obtaining specific knowledge and skill development to increase classroom performance and sustain quality within their early learning programs. We will measure the success of these courses by tracking the number of individuals who complete the course and the number of individuals who receive their CDA. Our estimated reach for CDA and scholarships is 64 served. 4; WSNCT early childhood program staff</t>
  </si>
  <si>
    <t xml:space="preserve">Texas Rising Star Early Childhood Specialists conducted 32 professional development sessions with 350 participants offering 46 clock hours for participants to use towards achieving their annual hours.  </t>
  </si>
  <si>
    <t xml:space="preserve">As a part of the strategic plan for WSNCT quality child care, WSNCT will provide CLASS assessments for 52 classrooms and 2 reliably double coded classrooms total 54 classroom in Colin and Denton County in the Fall and the Spring. CLASS gives Early Childhood Specialists the tools, data, and framework to objectively and accurately support teacher-child interactions. These assessments will be completed by a contracted CLASS certified observers. Success of this program will be based on CLASS scores provided from the Fall and Spring assessments. 8 programs
</t>
  </si>
  <si>
    <t xml:space="preserve">As a part of the strategic plan for WSNCT quality child care, One Director of Quality North Texas, one Director of Quality North Central, two Early Education Professional Development Specialist, one Administrative Assistant, one Special Projects Coordinator, with plans to hire one additional Special Projects Coordinator.   The Special Projects Coordinators, Administrative Assistant, and Early Education Professional Development Specialist will work to produce all agreed upon deliverables in a productive and effective way increasing the overall productivity of overall child care. Director of Quality North Texas and Director of Quality North Central will manage staff and continuously monitor progress. We will monitor outcomes of each role based on WSNCT agreed upon deliverables. Our estimated reach of this activity is 1. NT Director .5 FTE; 2. Director of Quality 1 FTE; 3. Special Projects Coordinator 2 @ 1 FTE; 4. Early Ed. PD Specialist 2 @ 1 FTE; 5. Admin. Assistant 1 @ 1 FTE.  
</t>
  </si>
  <si>
    <t xml:space="preserve">Paid subcontractors to conduct a Texas Rising Star Star Level Evaluation and to participate in quarterly meetings for Texas Rising Star-related trainings.  WSNCT shares 9 Texas Rising Star Assessors with Workforce Solutions Greater Dallas and Workforce Solutions for Tarrant County.  The Texas Rising Star Assessors are contracted vendors and expenditures for payments come out of CCQ funding. </t>
  </si>
  <si>
    <t xml:space="preserve">As a part of the strategic plan for WSNCT quality child care, WSNCT will extend an opportunity for fifty newly certified and existing Texas Rising Star-certified programs to acquire multiple TEA approved curriculums a TEA-approved curriculum. With an approved TEA curriculum, key area learning domains and weekly instructional plans will be followed and implemented by a classroom early learning professionals with fidelity. Early learning programs that receive the grant will attend the required curriculum training and be given coaching support by Early Childhood Specialists. Obtaining a curriculum for implementation will assist early learning programs to improve or maintain effectively identified quality improvement needs, thus meeting and supporting Continuous Quality Improvement Plan goals. The success of this activity will be measured by tracking programs who receive curriculum support. </t>
  </si>
  <si>
    <t xml:space="preserve">As a part of the strategic plan for WSNCT quality child care, WSNCT will offer opportunities for 100 new and existing providers to acquire resources based on the program's assessment needs. Addressing quality enrichment needs and providing developmentally appropriate resources to enhance early learning environments will either increase, improve or sustain star-level status for certified Texas Rising Star early learning programs. We will measure success based on participation and Texas Rising Star assessment scores. 
</t>
  </si>
  <si>
    <t xml:space="preserve">As a part of the strategic plan for WSNCT career pathways, WSNCT has offered 25 CDA scholarship participants financial incentives based on participants position in the Workforce Registry career lattice. These 25 participants submitted proof of completion for their CDA course and their CDA certification. We will measure the success by tracking the number of staff who move up the career lattice. Our estimated reach for Professional Development Registry Career Pathways is 40 served. </t>
  </si>
  <si>
    <t xml:space="preserve">As a part of the strategic plan for WSNCT career pathways, WSNCT provided childcare-related professional development opportunities for Early Learning Programs, including one large conference. This structured professional development endeavors will help individuals obtain their needed annual training clock hours and provide the information necessary to improve care for the children in their classroom and/or program. These activities also allow early learning programs to receive intentional training that pairs with and supports goals within their Continuous Quality Improvement Plan (CQIP). 
The Building Bridges to Quality: Regional Child Care Conference was held August 26, 2023. 216 WSNCT early learning program staff attended. </t>
  </si>
  <si>
    <t xml:space="preserve">
We will measure the success of these activities by tracking the number of individuals who attend and complete each training session and the information extracted from evaluations after each training. </t>
  </si>
  <si>
    <t xml:space="preserve">As a part of the strategic plan for WSNCT, WSNCT will offer 1 virtual training of weekly childcare-related professional development opportunities with quarterly all-day Saturday in person training from November 1, 2022-September 30, 2023. Additionally, we will offer 26 additional full-day training. These trainings will all focus on quality early childhood education and improve the quality of care for children in participant's programs. These activities will help individuals obtain their needed annual training clock hours for Child Care Regulation. Additionally, professional development provides the necessary information to improve care for the children in their classrooms and/or programs, thereby improving on identified needs that meet and/or support the program's Continuous Quality Improvement Plan goals. 
576 (382 attended virtually and 194 attended in person) WSNCT early learning program staff attended trainings from March-September.  During this time training was offered on 37 separate days. 6 of these days offered in-person and the remaining trainings were offered virtual. All trainings were instructor-led and offered training hours to the participants to support Texas Rising Star requirements and quality improvement. 
</t>
  </si>
  <si>
    <t xml:space="preserve">We will measure the success by tracking the number of individuals who attend and the provider and staff feedback extracted from evaluations after each training. </t>
  </si>
  <si>
    <t xml:space="preserve">Texas Rising Star Early Childhood Specialists provided professional development trainings directly related to early learning and child development for 486 administrators and teachers.  These allowed for individuals to obtain the required annual clock hours of training needed for Child Care Regulation and gain information needed to make improvements in their child care classroom and/or program.
Texas Rising Star Early Childhood Specialists conducted 5 virtual and 16 in person  professional development sessions with  participants offering 42.5 clock hours for participants to use towards achieving their annual hours.  As a part of the onboarding process, Texas Rising Star Early Childhood Specialists conducted 4 in person and 10 virtual Texas Rising Star orientations and Facilities Assessment Record Forms overview for 180 onboarding administrators and staff awarding 18.5 annual hours. </t>
  </si>
  <si>
    <t xml:space="preserve">After completing the ASQ Train the Trainer (TOT) offered as a grant from TWC and becoming certified, 1 Sr. Early Childhood Specialist hosted a professional development training for a certified ELP (19 staff) utilizing the ASQ screening tool. This training provided knowledge and skill development for participants to offer create effective and engaging learning experiences while using the ASQ-3 and/or ASQ:SE-2. </t>
  </si>
  <si>
    <t>Two Early Childhood Specialist completed the Coaching /Mentoring certificate course with Camp Fire First Texas. This is an advanced level course for mentors that impact the work of early coeducation teachers. The course has 5 sessions, 16-hours that is focused on increasing skills to facilitate the professional growth of ECE teachers.</t>
  </si>
  <si>
    <t xml:space="preserve">Paid salaries and benefits for sixteen (17) Texas Rising Star Board Staff.  These Board Staff ensure the continuation of the Texas Rising Star program activities for our Workforce Development Board Area through mentoring, assessment, outreach, and program support services.  We have 14 Texas Rising Star Mentor/Early Childhood Specialists, 2 Texas Rising Star Program Supervisors, and 1 Child Care Manager, and salaries for the positions come out of CCQ funding. </t>
  </si>
  <si>
    <t xml:space="preserve">As a part of the strategic plan for WSNCT Child Care Quality, WSNCT provided an one-time incentive to 848 Child Care staff that have been employed for 4 months or longer at their current child care facility. The programs selected to receive these funds  will also be required to accept business coaching. A second Wage Supplement will be offered to staff of previously qualifying programs. To qualify staff must have been employed since July 1, 2022 at their current child care program. We will measure the success of this program through signature pages and a post Wage Supplement Survey. Our estimated number served is 1,192.  </t>
  </si>
  <si>
    <t xml:space="preserve">As a part of the strategic plan for WSNCT resource development, WSNCT will implement activities needed to provide Early Learning programs with staff recruitment tools, informational materials, and documents to promote quality child care. Marketing materials help to support the program's events and provide a way to inform the community of upcoming activities and resources. 
82  Texas Rising Star certified early learning programs received Texas Rising Star banners. WSNCT also received 2,500 window clings, 3000 Texas Rising Star provider brochures, and 750 English/750 Spanish Texas Rising Star parent brochures which were created based on preapproved TWC templates to promote and inform regarding quality early learning education and the importance of Texas Rising Star. </t>
  </si>
  <si>
    <t xml:space="preserve">We will measure the success by tracking effectiveness through early learning programs that have started the assessment certification process (onboarding) and/or newly certified early learning programs. </t>
  </si>
  <si>
    <t xml:space="preserve">As a part of the strategic plan for WSNCT quality child care, WSNCT will provide 6 programs who participated in CLASS in 2023 to receive quality enrichment materials as a support for their quality improvement if they agree to participate in CLASS in 2024. Addressing quality enrichment needs and providing developmentally appropriate resources to enhance early learning environments will either increase, improve or sustain star-level status for certified Texas Rising Star early learning programs. Consistency in program's CLASS participation provides longitudinal data on the teacher-child interactions which can provide the tools, data, and framework to objectively and accurately support teacher-child interactions.
6 WSNCT early learning programs who participated in CLASS in FY23 received quality enrichment materials. An application process was required and as a part of this application process these programs have agreed to continue their participation in the CLASS Project in FY24. </t>
  </si>
  <si>
    <t xml:space="preserve">As a part of the strategic plan for WSNCT career pathways, WSNCT will offer scholarships for up to 40-60 individuals per event to attend conferences for FY2023 including Frog Street Splash Conference. These activities will help individuals obtain their needed annual training clock hours for Child Care Regulation and provide them with information about the latest trends, theories, and techniques from Early Childhood Education Professionals across the state and nation.
38 WSNCT early learning program staff received reimbursement scholarships for the 2023 Frog Street Splash Conference. </t>
  </si>
  <si>
    <t xml:space="preserve">38 out of the 40-60 planned WSNCT early learning program staff received reimbursement scholarships for the 2023 Frog Street Splash Conference. </t>
  </si>
  <si>
    <t xml:space="preserve">WSNCT will offer financial aid/scholarships for select staff who qualify and participate in the Camp Fire Apprenticeship Program. Providing educational scholarships allows Early Childhood professionals to take advantage of an educational and career pathway building program. Apprenticeships offer specific knowledge and skills to participants to increase and sustain quality employees. Success of these activities will be measured by how many participants enroll. 
38 WSNCT early learning program staff participated in the Camp Fire Apprenticeship program. WSNCT early learning participants collectively received the following services 3 CDA Stipends, 29 CDA Courses, 6 EEI Stipends,  24 EEI Courses, 2 ECE TCC Tuition, books, and fees. 12 graduated and received a completion stipend. 
</t>
  </si>
  <si>
    <t xml:space="preserve">Success of these activities will be measured by how many participants enroll. </t>
  </si>
  <si>
    <t xml:space="preserve">As a part of the strategic plan for WSNCT career pathways, WSNCT will offer early learning programs financial incentives based on participants position in the Workforce Registry career lattice. 
1 staff received this incentive this quarter
CDA certificate of completion and certificate for completing the CDA course were both submitted to qualify. 26 participants in total have qualified and received a stipend. </t>
  </si>
  <si>
    <t xml:space="preserve">We will measure the success by tracking the number of staff who move up the career lattice. Our estimated reach for Professional Development Registry Career Pathways is 40 served; however WSNCT only had 26 served. </t>
  </si>
  <si>
    <t>TECPDS Registry training</t>
  </si>
  <si>
    <t>Tarrant County College Scholarships</t>
  </si>
  <si>
    <t>new Texas Rising Star staff stipends</t>
  </si>
  <si>
    <t xml:space="preserve">Other (Shared Services, Pre-K Partnerships) </t>
  </si>
  <si>
    <t>Provided a scholarship to child care program to renew their NECPA accreditation fees, the program is a certified program and this assistance supports their certification and enhancing quality in their program.</t>
  </si>
  <si>
    <t>Program staff received an incentive for achieving certification.</t>
  </si>
  <si>
    <t>The number of child care program staff attaining CDA. This is 25% of the Board's goal to assist 16 individuals with CDA renewals in FY24.</t>
  </si>
  <si>
    <t xml:space="preserve">The training assisted 66 out of the goal of 75 staff with obtaining trainings hours that can be used towards their annual required hours to meet the Texas Rising Star criteria required measure.   </t>
  </si>
  <si>
    <t>Lunch and Learn 10/18/2023 - An informational session on Brazos Valley Texas Rising Star services (not Board funded) 31 child care attendees from 27 programs attended</t>
  </si>
  <si>
    <t>Increased the knowledge of Board Staff regarding licensing and Texas Rising Star benefits.</t>
  </si>
  <si>
    <t>1 early learning program received a hard copy of Frog Street Curriculum.</t>
  </si>
  <si>
    <t>Increase or support Category 3 scores for programs receiving the curriculum. 1 out of target goal of 25 programs supported.</t>
  </si>
  <si>
    <t xml:space="preserve">Teachers continue to remain employed with child care program and program have received a higher percentage for measure P-CQT-01.
</t>
  </si>
  <si>
    <t xml:space="preserve">Board sent one mentor to the NAEYC Annual Conference in Nashville, TN. </t>
  </si>
  <si>
    <t>Increase understanding of the purpose of record retention, artifacts, and language to use when initial assessments are conducted. The number of child care programs submitted a complete documentation portfolio has increased by 15%.</t>
  </si>
  <si>
    <t>Board purchased cultural appreciation materials outdoor equipment for entry-level designated child care programs.</t>
  </si>
  <si>
    <t xml:space="preserve">155
</t>
  </si>
  <si>
    <t xml:space="preserve">Measurable Outcome will be assessed at the completion of the LENA sequences currently being conducted. </t>
  </si>
  <si>
    <t xml:space="preserve">Participants were asked to rank how beneficial they thought the conference was on a scale of 1-5 (5 being incredibly beneficial) in a post TXAEYC Conference survey. Of those that responded, 92% reported a "5", with 8% reporting a "4". 96% reported they would attend the conference again if given the chance. </t>
  </si>
  <si>
    <t xml:space="preserve">A total of 160 ASQ-3 and ASQ-SE2 Start Kits were purchased in Quarter 1. Workforce Solutions Capital Area will begin distributing the ASQ-3 and ASQ-SE2 to early learning programs and parents starting in Quarter 2. We will begin reporting numbers of programs receiving the ASQ Assessments at that time. </t>
  </si>
  <si>
    <t>Increase credential attainment rate and course completion rate for those receiving scholarships.</t>
  </si>
  <si>
    <t>Monthly rental fee for storage room in order to store materials for upcoming training for all programs due to no storage space at WF centers.</t>
  </si>
  <si>
    <t>Increased availability of CCS parental choice for infant and toddler care and increased enrollment in the board area by 7 - 10%.</t>
  </si>
  <si>
    <t xml:space="preserve">Hosted a Frog Street Curriculum Implementation training for Pre-K practitioners. The reach and impact of this activity was to 13 Pre-K practitioners, representing 5 child care programs.  </t>
  </si>
  <si>
    <t>Measurable Outcome will be assessed at the conclusion of the activity. 50% of the 10 program participation goal has been reached.</t>
  </si>
  <si>
    <t>Measurable Outcome will be assessed at the conclusion of the activity. XX% of the 1200 goal of unique individual directors and teachers has been met in Quarter 1.</t>
  </si>
  <si>
    <t>Measurable Outcome will be assessed at the conclusion of the activity. 32.8% of the 250 participant goal has been met in Quarter 1.</t>
  </si>
  <si>
    <t xml:space="preserve">Measurable Outcome will be assessed at the conclusion of the activity. </t>
  </si>
  <si>
    <t>Professional development provided will increase the opportunities child care programs have to access training in their area and provide opportunities to meet child care regulations annual training requirements and Texas Rising Star certification training requirements</t>
  </si>
  <si>
    <t>At the beginning of FY24, a total of 2,444 CCS children in Capital Area were attending a Texas Rising Star Certified program. We will look to see if that number increase by the end of FY24 in part based on the additional promotion of Texas Rising Star programs in Capital Area.</t>
  </si>
  <si>
    <t>Evaluation of the total number of early learning programs with CCS agreements that have achieved Texas Rising Star certification and those Texas Rising Star certified with increased scores will be the method of measuring outcomes/success.</t>
  </si>
  <si>
    <t xml:space="preserve">To increase the total number of infant and toddler slots in Texas Rising Star certified programs in our area by 5%. </t>
  </si>
  <si>
    <t xml:space="preserve">Provided in-person ASQ training to 7 Texas Rising Star Certified programs - 18 teachers and directors attended. </t>
  </si>
  <si>
    <t>An increase in the number of Texas Rising Star certified programs who are equipped and willing to accept children with special needs.</t>
  </si>
  <si>
    <t>attainment of credential- Dallas has a goal of supporting 500 participants in earning higher education. Tuition for BAS/AAS/Certificate for students accounts for 1% of this goal.</t>
  </si>
  <si>
    <t>attainment of credential - Dallas has a goal of supporting 500 participants in earning higher education. CDA credentials awarded this quarter is 2% of this goal.</t>
  </si>
  <si>
    <t>Provided basic business strategies</t>
  </si>
  <si>
    <t>Attended a variety of training classes on ECE topics</t>
  </si>
  <si>
    <t>To gain knowledge of the CLASS program</t>
  </si>
  <si>
    <t>Provided training on a variety of ECE topics</t>
  </si>
  <si>
    <t>Purchased 20 sets of CDA books for teachers enrolled in the ECDA course on CLI Engage</t>
  </si>
  <si>
    <t>Provided books for CDA course work</t>
  </si>
  <si>
    <t xml:space="preserve">To award a candidate for accomplishing her CDA. </t>
  </si>
  <si>
    <t>Provided funds to stabilize business operations</t>
  </si>
  <si>
    <t xml:space="preserve">CPR, First Aid and AED Training was provided to early learning program staff. A total of 5 classes were conducted in the 1st Quarter, three in English and two in Spanish. 82 early learning staff participated and received their First Aid/CPR Certification during that time (these numbers were counted toward live/in-person training on the quarterly data tab). 5 programs were eligible to receive an AED machine due to participation in the course. </t>
  </si>
  <si>
    <t xml:space="preserve">5 programs were eligible to receive an AED machine due to participation in the Training course. </t>
  </si>
  <si>
    <t>Business Support Specialist assisted 1 early learning program to access Child Care Program Employer Initiative</t>
  </si>
  <si>
    <t>Professional development provided will increase the opportunities child care programs have to access training in their area and provide opportunities to meet child care regulations annual training requirements and Texas Rising Star certification training requirements. This is 12% of the 550 providers attending FY24</t>
  </si>
  <si>
    <t>Professional development for 18 providers that received Frog Street Curriculum. This is 30% of the 60 providers attending FY24.</t>
  </si>
  <si>
    <t>Professional development provided will increase the opportunities child care programs have to access training in their area and provide opportunities to meet child care regulations annual training requirements and Texas Rising Star certification training requirements. This is 27% of the 550 providers attending training in FY24</t>
  </si>
  <si>
    <t>Professional development for 2 providers that received TS Creative Curriculum. This is 10% of the 20 providers attending FY24.</t>
  </si>
  <si>
    <t xml:space="preserve">Increase understanding of the importance of the environment in early childhood and how the environment is linked to other categories. Outcomes are TBD and will be provided in a  later report. </t>
  </si>
  <si>
    <t>Board hosted a Director's Boot Camp to enhance administrator's knowledge of best business practices in their child care center with topics ranging from advertising, understanding biases, beating burnout , and legal risks.</t>
  </si>
  <si>
    <t>The project aligns with the Board's goal of assisting Texas Rising Star administrators in meeting category 1 required scoring measure of S-DQT-04.</t>
  </si>
  <si>
    <t xml:space="preserve">Three early learning programs are currently supporting their educators to obtain their CDA and 6 programs requested additional information to assist in their  assessment on how they can support their teachers. </t>
  </si>
  <si>
    <t xml:space="preserve">The Business Support Specialist assisted 10 program directors in promoting this educational opportunity to their teachers and completing the necessary applications. </t>
  </si>
  <si>
    <t>The TECPDS Specialist is currently working with 15 programs to upload and validate staff records in preparation for initial and recertification assessments. Outcomes are TBD and will be provided in a later report.</t>
  </si>
  <si>
    <t xml:space="preserve">Thirty-seven teachers have shown a better understanding of infant and toddler education, feel more confident in their classrooms, and are willing to continue working in the early childhood field, which will assist them in Category 2. The five directors have improved their information dissemination to their staff and have improved their training plans to better align with Texas Rising Star. Outcomes are TBD and will be provided in a later report. </t>
  </si>
  <si>
    <t xml:space="preserve">Both mentors are in the process of submitting their Workforce Registry trainer application. Outcome is TBD and Board will update in a later report. </t>
  </si>
  <si>
    <t xml:space="preserve">Frog street Splash Conference is in July. Outcomes are TBD and will be provided a later report. </t>
  </si>
  <si>
    <t>By supporting Willow Tree Child Care and Learning Center located in a desert area, they were able to  increase their infant capacity increased from 13 to 24.</t>
  </si>
  <si>
    <t>WSB is increasing the number of child care providers who were provided a curriculum to become familiar and implement a curriculum that will assist them towards obtain points on their Texas Rising Star assessment.  The activities observed during the assessment are age appropriate and outlined in the teacher’s lesson plan.</t>
  </si>
  <si>
    <t>WSB supported training for a total of 52 Childcare Staff.  Presenters introduced the materials and guided staff on how to implement the Frog Street curriculum designed for three and four year olds on their daily schedules.  WSB increased the number of child care providers/staff who were provided a curriculum were able to obtain points on their Texas Rising Star assessment.  The activities observed during the assessment are age appropriate and outlined in the teacher’s lesson plan.</t>
  </si>
  <si>
    <t>The two board staff completed the TECPEDS training of trainers (ToT) instruction and passed the TECPDS validator training course this quarter and are now recognized as TECPDS records validator.  This quarter they were able to support 45 child care providers as well as validate over 600 records.</t>
  </si>
  <si>
    <t>Blinn College Child Development 2024 Spring Semester tuition, fees and textbooks - 1 board staff attended</t>
  </si>
  <si>
    <t xml:space="preserve">Board staff is working on completing her Associates Degree. </t>
  </si>
  <si>
    <t>Staff professional development training hours are a requirement of licensing as well as Texas Rising Star, Category 1. The Board's goal is to support 175 staff in attending conferences such as TXAEYC, BVAEYC and SPLASH throughout FY24; we have supported 52% of our target.</t>
  </si>
  <si>
    <t>Provided in house training to Texas Rising Star and Entry Level Designated programs using qualified Texas Rising Star Staff with the goal of helping educators meet their annual training requirements. No quality funds were used for these trainings. A total of 670 Early Learning Staff received training hours in Quarter 2.</t>
  </si>
  <si>
    <t xml:space="preserve"> 61% (732) of the 1200 goal of unique individual directors and teachers has been met in Quarter 2.</t>
  </si>
  <si>
    <t xml:space="preserve">6 scheduled subcontracted trainings were held in the 2nd Quarter. All trainings are research-based to help providers meet their annual training requirement. A total of 175 Early Learning Staff participated and received training hours. </t>
  </si>
  <si>
    <t xml:space="preserve">A total of 3 Infant/Toddler specific subcontracted trainings we held in 2nd Quarter. These trainings are aimed specifically at teachers working with Infants and Toddlers. </t>
  </si>
  <si>
    <t xml:space="preserve">We have already surpassed our goal of issuing 75 training certificates for Infant/Toddler specific professional development trainings. </t>
  </si>
  <si>
    <t xml:space="preserve">A total of six (6) Conscious Discipline Trainings were conducted in Quarter 2. One two-part Conscious Discipline director training and two two-part Conscious Discipline Teacher Trainings. A total of 105 directors and teachers participated. 3 Additional Conscious Discipline classes remain over the rest of the fiscal year. </t>
  </si>
  <si>
    <t xml:space="preserve">75% of participants expressed the training was beneficial in a post class survey as of the end of Quarter 2. Additional feedback with be gathered during the remainder of the year. </t>
  </si>
  <si>
    <t>78% of the 250 participant goal has been met as of Quarter 2.</t>
  </si>
  <si>
    <t xml:space="preserve">4 programs were eligible to receive an AED machine due to participation in the First Aid/CPR Training course. </t>
  </si>
  <si>
    <t xml:space="preserve">51.3 % of the 380 participant goal has been met as of Quarter 2. </t>
  </si>
  <si>
    <t xml:space="preserve">National Accreditation Fee Scholarships were provided to 6 programs currently Nationally Accredited or working toward National Accreditation in Quarter 2. Per the March National Accreditation Report, the 5 current National Accreditation Programs that received reimbursement remained Nationally Accredited. One program, who was reimbursed for Initial Application Fees is awaiting National Accreditation Observation. </t>
  </si>
  <si>
    <t xml:space="preserve">This goal will be measured at the end of the fiscal year to determine if those programs who received reimbursement either maintained or achieved National Accreditation. To date the 5 currently certified programs have maintained their National Accreditation status. </t>
  </si>
  <si>
    <t xml:space="preserve">4% of the 50 program goal have received training as of Quarter 2. </t>
  </si>
  <si>
    <t xml:space="preserve">11  Early Learning Staff received ASQ-3 Training in Quarter 2. These 11 staff were included in the Professional Development numbers on the Quarterly Data tab. </t>
  </si>
  <si>
    <t xml:space="preserve">As of the end of the 2nd quarter, 1  programs have lost Texas Rising Star Certification in FY24 and is currently on Texas Rising Star Suspension. This one program represents less than 2% of the total number of Texas Rising Star Programs currently certified. Currently below our goal of losing no more than 5% of Texas Rising Star programs to Texas Rising Star Suspension Status. </t>
  </si>
  <si>
    <t>Texas Rising Star Implementation Grant: A total of 5 Entry Level Designated programs were purchased early learning resources in Quarter 2. These resources will help support their effort to become Texas Rising Star Certified.</t>
  </si>
  <si>
    <t xml:space="preserve">We have a number of Entry Level Designated programs who have submitted applications for Initial Texas Rising Star Certification. However most initial assessment have yet to be conducted by the CAE. This outcome will be revisited further on in the year. </t>
  </si>
  <si>
    <t xml:space="preserve">Frog Street Curriculum was purchased for a total of 23 programs in Quarter 2. Curriculum included Infant, Toddler, Threes and Pre-K and will be used to assist programs with maintaining and achieving Texas Rising Star Certification. </t>
  </si>
  <si>
    <t>Maintain CLASS Assessment Certification for 3 staff already certified to assist programs with measuring effective interactions. This will assist mentors with improving a programs scores in Category 2 which is weighted heavier under the Texas Rising Star Guidelines.</t>
  </si>
  <si>
    <t xml:space="preserve">A total of 5 teachers were certified in Quarter 2, reaching our goal of 5 LENA Certified teachers in FY24. </t>
  </si>
  <si>
    <t>Outcomes will be measured by the continued or increased star level of Texas Rising Star programs; increase total number of accredited programs</t>
  </si>
  <si>
    <t xml:space="preserve">Conducted a training for 6 programs with 22 attendees covering "Back to Basics for Infants &amp; Toddlers" ( in-person) </t>
  </si>
  <si>
    <t>To increase the total number of infant and toddler slots in Texas Rising Star certified programs in our area by 5%; increase number of programs assessment ready.</t>
  </si>
  <si>
    <t>Increased availability of CCS parental choice for infant and toddler care and increased enrollment in the board area by 7 - 10% will be used to measure outcomes.</t>
  </si>
  <si>
    <t>Increased star level ratings and increased scores on Texas Rising Star assessments (both initial and AM.) - especially focused on Cat.2 scores.</t>
  </si>
  <si>
    <t>Conducted 3 Texas Rising Star orientation sessions for 30 programs with 120 attendees (virtually)</t>
  </si>
  <si>
    <t>Outcomes will be measured by the increased star level rating along with an increase in the scores in categories 2 and 4 on the Texas Rising Star assessment.</t>
  </si>
  <si>
    <t>Outcomes will be measured by reviewing increased star level ratings and increased scores on Texas Rising Star assessments (both initial and AM.)</t>
  </si>
  <si>
    <t xml:space="preserve">Increased star level ratings and increased scores on Texas Rising Star assessments (both initial and AM.) </t>
  </si>
  <si>
    <t>An increase in the number of Texas Rising Star certified programs who are equipped and willing to accept children with special needs will used  to measure outcomes.</t>
  </si>
  <si>
    <t>4 on-site training sessions provided over a variety of topics including early learning environments; using the outdoor classroom; importance of block play for all ages; and Baby Doll Circle Time from Conscious Discipline. Total of 88 programs; 185 attendees  (in-person)</t>
  </si>
  <si>
    <t>co-hosted (2) Family Childcare Network meetings &amp; training with Central TX Chapter of TXAEYC in-person; 15 programs represented and 27 people attended</t>
  </si>
  <si>
    <t>Outcomes will be measured by reviewing increased star level ratings and increased scores on Texas Rising Star assessments (both initial and AM.); additionally by the increase in the number of childcare slots available in our area.</t>
  </si>
  <si>
    <t>co-hosted (10) professional development/training sessions with Central TX Chapter of TXAEYC; 191 attended in-person</t>
  </si>
  <si>
    <t>co-hosted (1) childcare training conference with Central TX Chapter of TXAEYC (58 programs attended; 174 people) in-person</t>
  </si>
  <si>
    <t xml:space="preserve">The measurable outcomes would be for two child care programs to increase the total number of infant slots by four each; one child care program to increase the total number of toddler slots by 11. 40% of the 5 child care programs goal has been reached in Quarter 2. </t>
  </si>
  <si>
    <t>The measurable outcome would be for two mentoring staff to complete the ASQ3 and ASQ:SE2 Train the trainer event and then provide training for 28 child care programs in Quarter 3. The results are TBD based on attendance of professional development.</t>
  </si>
  <si>
    <t>The measurable outcome would be for eleven child care programs to attain a higher star level at Initial Texas Rising Star Certification. 22% of the 50 child care programs goal has been reached for Quarter 2.  (overall 60% of the child care programs goal has been reached in Quarter 2 for this activity category).</t>
  </si>
  <si>
    <t>The measurable outcome would be for the nineteen School Age Programs to attain a higher star level at Initial Texas Rising Star Certification. 38% of the 50 child care programs goal has been reached in Quarter 2.  (overall 60% of the child care programs goal has been reached in Quarter 2 for this activity category).</t>
  </si>
  <si>
    <t>The measurable outcome would be for practitioners to implement the developmentally appropriate curriculum within the classrooms, resulting in a higher Initial Texas Rising Star Assessment score. 72% of the 65 participant goal for PD has been reached in Quarter 2.</t>
  </si>
  <si>
    <t>Provided 2 full time Texas Rising Star staff with salaries, benefits and travel.</t>
  </si>
  <si>
    <t xml:space="preserve">Continue to assist child care programs in maintaining quality care throughout the Concho Valley through mentoring services. </t>
  </si>
  <si>
    <t xml:space="preserve">The measurable outcome would be for practitioners to implement the developmentally appropriate strategies and best practice techniques within the classrooms, resulting in a higher Initial Texas Rising Star Assessment score. 42% of the 65 participant goal for PD has been reached in Quarter 2. </t>
  </si>
  <si>
    <t>The FTEs provided support to Entry Level Designated and Star Level Designated programs.   Providers received site visits during this quarter. This includes classroom observations, virtual and in-person visits, business coaching, onboarding in an effort to increase assessment readiness for Early Learning Providers.</t>
  </si>
  <si>
    <t xml:space="preserve">WSB is preparing a grand opening of the Resource Room where Potential and Texas Rising Star Providers will be invited to visit. Equipment and materials appropriate for the child care environment have been purchased to assist providers in racing the quality of their environment.  WSB estimates that 100 plus day cares will be accessing the resource room in order to obtain the materials and equipment that will assist them with meeting and/or maintain Texas Rising Star certification.                                                                  </t>
  </si>
  <si>
    <r>
      <t xml:space="preserve">Number and Type of Participants 
</t>
    </r>
    <r>
      <rPr>
        <i/>
        <sz val="12"/>
        <rFont val="Calibri"/>
        <family val="2"/>
        <scheme val="minor"/>
      </rPr>
      <t>(if applicable)</t>
    </r>
  </si>
  <si>
    <t>A Texas Rising Star mentor conducted 3 classroom management training sessions for entry level and Texas Rising Star certified programs; 68 programs participated with 212 attendees (virtually)</t>
  </si>
  <si>
    <t>early learning programs completed the business plans and attempted to submit for the Child Care Provider Expansion Initiative Application; the submission window closed.</t>
  </si>
  <si>
    <t>Infant/Toddler specific training provided to 50 child care program staff over the topic of Infant/Toddler Best Practices</t>
  </si>
  <si>
    <t>National Accreditation support by providing 1 scholarship to pay NECPA accreditation fees</t>
  </si>
  <si>
    <t>Preschool specific training provided to 50 child care program staff over the topic of Increased Desired Behavior</t>
  </si>
  <si>
    <t>Training provided to 50 child care program staff over the topic of Sensory Play</t>
  </si>
  <si>
    <t>Training provided to 50 child care program staff over the topic of Children with Learning Disabilities</t>
  </si>
  <si>
    <t>Provided 4 scholarships to child care program staff for CDA renewals</t>
  </si>
  <si>
    <t>Provided incentives to 215 child care staff that recently received initial certification based on the star level Learning received during the assessment</t>
  </si>
  <si>
    <t xml:space="preserve">Infant/Toddler specific training provided to 50 child care program staff over the topic of Cognitive Development </t>
  </si>
  <si>
    <t>Infant/Toddler specific training provided to 24 child care program staff over the topic of Frog Street Curriculum Infant Toddler Training</t>
  </si>
  <si>
    <t>Training provided to 40 child care Directors over the topic of Marketing 101</t>
  </si>
  <si>
    <t>Training provided to 50 child care Directors over the topic of Policy and Procedures</t>
  </si>
  <si>
    <t>Training provided to 50 child care Directors over the topic of Effective Tour Strategies</t>
  </si>
  <si>
    <t>Training provided to 50 child care Directors over the topic of Management Finance and Budgeting</t>
  </si>
  <si>
    <t>Preschool specific training provided to 32 child care program staff over the topic of Cool Critters</t>
  </si>
  <si>
    <t xml:space="preserve">Training provided to 55 child care Directors over the topic of Communication and Conflict </t>
  </si>
  <si>
    <t>Training provided to 50 child care Directors over the topic of Business</t>
  </si>
  <si>
    <t>Preschool specific training provided to 50 child care program staff over the topic of Literacy Best Practices</t>
  </si>
  <si>
    <t>Training provided to 37 child care Directors over the topic of Personnel Issues</t>
  </si>
  <si>
    <t>Preschool specific training provided to 33 child care program staff over the topic of Frog Street Curriculum Preschool Training</t>
  </si>
  <si>
    <t>Family Home specific training provided to 2 child care program staff over the topic of Teaching Strategies Creative Curriculum Training</t>
  </si>
  <si>
    <t>Provided children's assessments to 25 Entry Level programs that participated in a fast track cohort or six month cohort that were identified as needing children's assessments</t>
  </si>
  <si>
    <t>The number of child care programs receiving children's assessments. This is 100% of the Board's goal to assist 25 providers with children's assessments in FY24.</t>
  </si>
  <si>
    <t>Provided indoor kits to 21 Entry Level programs participating in cohort for infant/toddler classrooms</t>
  </si>
  <si>
    <t>Provided indoor learning kits to 21 Entry Level programs participating in a fast track or six month cohort. This is 35% of the 60 Entry Level programs to receive indoor learning kits in FY24. This activity was for 71 infant/toddler classrooms</t>
  </si>
  <si>
    <t>Provided curriculum for 12 Infant and Toddlers to Entry Level programs participating in a cohort</t>
  </si>
  <si>
    <t>Provided infant/toddler curriculum to 12 Entry Level programs participating in a fast track or six month cohort. This is 20% of the 60 Entry Level programs to receive curriculum in FY24</t>
  </si>
  <si>
    <t>Provided retention bonuses to 46 Texas Rising Star certified staff to support staffing and retention. This was awarded to 803 individuals from 46 Texas Rising Star Programs.</t>
  </si>
  <si>
    <t>Program staff received a retention bonus to support staffing at certified programs (46 Texas Rising Star programs). This is 40% of the 2000 individuals to receive a bonus in FY24.</t>
  </si>
  <si>
    <t>Provided virtual training opportunities to 165 child care professionals over the topics of fitness for preschoolers, health and safety in the program, effective management, serve and return, survival guide, summer play and more topics.</t>
  </si>
  <si>
    <t>Professional development provided will increase the opportunities child care programs have to access training in their area and provide opportunities to meet child care regulations annual training requirements and Texas Rising Star certification training requirements. This is 30% of the 550 providers attending training in FY24</t>
  </si>
  <si>
    <t>Provided scholarships to 7 child care program staff for CDA renewals</t>
  </si>
  <si>
    <t>The number of child care program staff attaining CDA. This is 68% of the Board's goal to assist 16 individuals with CDA renewals in FY24.</t>
  </si>
  <si>
    <t>Provided mentoring services to 595 early learning programs, 15 mentors, this includes their salaries, benefits, and travel.</t>
  </si>
  <si>
    <t>mentoring supports for early learning programs 595 programs. 357 Entry Level and 238 Texas Rising Star</t>
  </si>
  <si>
    <t>Provided monetary incentives to child care staff that recently received initial certification based on the star level received during the assessment 286 program staff received this incentive from 37 programs.</t>
  </si>
  <si>
    <t>Program staff received an incentive for achieving certification. This is 20% of the 2500 individuals to receive an incentive in FY24.</t>
  </si>
  <si>
    <t>Provided incentives to 225 Texas Rising Star providers to maintain certification</t>
  </si>
  <si>
    <t>The number of Texas Rising Star certified programs maintaining certification. This is 112% of the Boards goal to assist 200 certified providers.</t>
  </si>
  <si>
    <t>Provided indoor kits to 21 Entry Level programs participating in cohort for preschool and school age classrooms</t>
  </si>
  <si>
    <t xml:space="preserve">Provided indoor learning kits to 21 Entry Level programs participating in a fast track or six month cohort. This is 35% of the 60 Entry Level programs to receive indoor learning kits in FY24. This activity was for 63 preschool and school age classrooms </t>
  </si>
  <si>
    <t>Provided Preschool curriculum for 12 Entry Level programs participating in a cohort</t>
  </si>
  <si>
    <t>Provided preschool curriculum to 12 Entry Level programs participating in a fast track or six month cohort. This is 20% of the 60 Entry Level programs to receive curriculum in FY24</t>
  </si>
  <si>
    <t xml:space="preserve">Local Conference Training: The Board's local TXAEYC chapter - Paso Dearly Learning Norte Chapter of TXAEYC provided a conference on October 21, 2023 "Cooking Up Creativity - Recipes for Early Childhood development and Learning".  Those who attended obtained a certificate of up to 6 hours of professional Development, which are recognized by CCR and Texas Rising Star Criteria. The hours can be used toward their required annual training hours. WSB sponsored 75 slots for this conference, 66 attended. Note: Billing for this activity will appear in second quarter report. </t>
  </si>
  <si>
    <t>WSB supported 9 contracted CCS providers and potential CCS contracted providers in meeting the new requirement of maintaining or becoming a Texas Rising Star provider.  WSB will need to have sufficient number of Mentors to provide mentoring services to the 200 plus child care contracted providers not already in the Texas Rising Star program.</t>
  </si>
  <si>
    <t>WSB had 97 TRS Certified Providers and 215 Non-TRS Providers starting this quarter. Our mentors started to work with the Non-TRS Providers, assigned cases in small volumes, nine (9) were assessment ready.  Out of the nine (9), one (1) was assessed during that quarter.                                   At the end of this quarter WSB total of TRS Certified Providers is 98.</t>
  </si>
  <si>
    <t xml:space="preserve">Workforce Solutions Borderplex assisted  Willow Tree Child Care and Learning Center with the expansion of their infant room by assisting them with the purchase of cribs.  The infant room capacity went from 13 to 24.   </t>
  </si>
  <si>
    <t xml:space="preserve">WSB brought in Frog Street Curriculum trainers to provided exposure and training on how to implement the curriculum in their classrooms and with the specific age group.  The teachers who attended the training are from our child care contracted providers and work with this specific age group.  There were 42 teachers trained in January and 29 trained in March.    </t>
  </si>
  <si>
    <t>Workforce Solutions Borderplex provided 17 scholarships for teachers and directors to enroll in early education college credit courses through our local community college (El Paso Community College) for the Spring semester. By the attendees completing this course, it will count towards meeting their training hours</t>
  </si>
  <si>
    <t xml:space="preserve">This quarter WSB was able to support 17 child care provider staff who are participating in the scholarship program. As a result the college course will count as 50 training hours towards the required hours from Child Care Regulation.  The hours obtained will count towards points for having staff with child development degrees and/or meet the required training hours during the TRS assessment or annual review.  </t>
  </si>
  <si>
    <t xml:space="preserve">Workforce Solutions Borderplex purchased 31 slots for child care providers to attend a Leadership Connection+ that involved a panelist representing Child Care Regulations, resources in the community, and best practices. </t>
  </si>
  <si>
    <t>WSB so increasing the number of child care providers who staff are participating in training and obtain points for having staff meeting the required training hours during the Texas Rising Star assessment, annual reviews and Child Care Regulation visits.</t>
  </si>
  <si>
    <t xml:space="preserve">Workforce Solutions Borderplex brought in Frog Street Curriculum trainers to provided exposure and introduction to the  Frog Street curriculum for child care directors. The focus is for the directors to become familiar with the curriculum (all ages) and be able to support teachers who are being trained on the curriculum. There were 29 directors trained in January and 22 trained in March. </t>
  </si>
  <si>
    <t>WSB provided exposure and introduction to the Frog street Curriculum to 51 directors. The directors are from child care facilities who were provided a curriculum so they can become familiar with the curriculum and understand how they will be able to obtain points on their Texas Rising Star assessment.  Attendees obtained 3 training hours that can be used towards their annual required hours to meet the Texas Rising Star criteria required points.</t>
  </si>
  <si>
    <t xml:space="preserve">Workforce Solutions Borderplex brought in Frog Street Curriculum trainers to provided exposure and training on how to implement the curriculum in their classrooms and with the specific age group (three and four year olds).  The teachers who attended the training are from our child care contracted providers that work with this specific age group.  There were 27 staff trained in January and 25 trained in March.     </t>
  </si>
  <si>
    <t>Workforce Solutions Borderplex established a physical location Resource Room where CCS Provider can meet with the Mentor and have immediate access to educational and age appropriate equipment for their child care that will assist them in meeting the Texas Rising Star criteria.  The location is also the new office space for the Texas Rising Star Mentors.  WSB has placed an order for educational materials and equipment to be delivered and ready for access by the start of the next quarter.</t>
  </si>
  <si>
    <t xml:space="preserve">Workforce Solutions Borderplex's two Board staff went through the TECPDS validator training course and become recognized as a Texas Early Childhood Professional Development System subject matter expert (SME) records validator in January 2024. This quarter they worked with 45 child care providers and have validated over 600 records. Validation may include verifying employment, work experience and training certificates. </t>
  </si>
  <si>
    <t>WSB  supported 17 contracted CCS providers and potential CCS contracted providers in meeting the new requirement of maintaining or becoming a Texas Rising Star provider.  WSB will need to have sufficient number of Mentors to provide mentoring services to the 200 plus child care contracted providers not already in the Texas Rising Star program.</t>
  </si>
  <si>
    <t>WSB had 98 Texas Rising Star Certified Providers and 215 Non-TRS Providers starting this quarter. Our mentors continued to work with the Non-Texas Rising Star Providers, assigned cases in small volumes, seventeen (17) more were assessment ready.  Out of the remaining 8 from last quarter and the 17 from this quarter. WSB had 26 Non-TRS Providers ready for assessment. At the end of this quarter WSB total of TRS Certified Providers is 105.</t>
  </si>
  <si>
    <t xml:space="preserve">Workforce Solutions Borderplex's two Board staff will continue to attend trainings and required meetings as they continue to move forward becoming certified as our board area Infant-Toddler Specialist Network (ITSN) and perform the duties under this certification. The Infant Toddler Specialists have worked with 23 child care providers. </t>
  </si>
  <si>
    <t xml:space="preserve">The two board staff are participating in the Infant-Toddler Specialist training and are obtaining attain the required trainings.  Infant Toddler Specialists are able to provide support in areas while they are in the pathway to completion.  Note: The completion of the certification is estimated by December 2024 per the contractor hired to provided the certification training. </t>
  </si>
  <si>
    <t xml:space="preserve">WSB purchased 43  slots for child care providers to attend an Infant &amp; Toddler on the Go training  sponsored by TXAEYC Paso del Norte Chapter. The attendees were provided with make-and-take activities in the areas of communication, literacy, social/emotional, stem and more.   We had a total of 43 attendees. </t>
  </si>
  <si>
    <t>WSB sponsored slots for this training as part of supporting our child care providers in increasing  their skill set in working with children in the infant and toddler age group.  As result the attendees obtained 4 hours of professional development that will count towards their annual training and experience.  WSB is increasing the number of child care providers who staff are participating in training and obtain points for having staff meeting the required training hours during the Texas Rising Star assessment, annual reviews and Child Care Regulation visits.</t>
  </si>
  <si>
    <t xml:space="preserve">WSB provided training for 52 child care providers working with the children in the afterschool program.  The training was provided by Dr. Gale Gorke and focuses on activities self-regulation, classroom management and inside and outside actives.  We had a total of 52 attendees.  </t>
  </si>
  <si>
    <t>WSB provided this training as part of supporting our child care providers in increasing their skill set in working with the children in their afterschool program.  As result the attendees obtained a total of 4 hours of professional development that will count towards their annual training and experience. WSB is increasing the number of child care providers who staff are participating in training and obtain points for having staff meeting the required training hours during the Texas Rising Star assessment, annual reviews and Child Care Regulation visits.</t>
  </si>
  <si>
    <t xml:space="preserve">WSB provided a refresher training on the utilization of the Frog Street curriculum the providers were already utilizing as part of their classroom management.  This training allowed for sharing best practices, asking questions and obtaining new ideas on how to use the curriculum.  We had a total of 139 attendees. </t>
  </si>
  <si>
    <t>WSB provided this training as part of supporting our child care provider in the continuous implementation of the Frog Street Curriculum in their classroom.  As result the attendees obtained a total of 4 hours of professional development that will count towards their annual training and experience.   WSB is increasing the number of child care providers who staff are participating in training and obtain points for having staff meeting the required training hours during the Texas Rising Star assessment, annual reviews and Child Care Regulation visits.</t>
  </si>
  <si>
    <t xml:space="preserve">WSB purchased 51 slots for child care providers to attend a  Summer Fun and Safety Event sponsored by Texas A&amp;M AgriLife. The attendees were provided strategies to keep the children in care on track with learning during the summer time that included activities for the teacher to children safety while enjoy playful activities. We had a total of 51 attendees. </t>
  </si>
  <si>
    <t>WSB sponsored slot for this training as part of supporting our child care providers in increasing their skill set in working with the during the summer time.  As result the attendees obtained 3 hours of professional development that will count towards their annual training and experience.  WSB is increasing the number of child care providers who staff are participating in training and obtain points for having staff meeting the required training hours during the Texas Rising Star assessment, annual reviews and Child Care Regulation visits.</t>
  </si>
  <si>
    <t xml:space="preserve">WSB purchased  slots for child care providers to attend an Annual Children's Disability Symposium sponsored by CDIC (Children's with Disabilities Information Coalition). The attendees were provided with information and resources related to serving the children with disabilities, how to advocate for the child while provide activities to support their development. We had a total of 41 attendees. </t>
  </si>
  <si>
    <t>WSB sponsored slots for this training as part of supporting our child care providers in increasing  their knowledge and skill set in the field of special education.  As result the attendees obtained 4 hours of professional development that will count towards their annual training and experience.  WSB is increasing the number of child care providers who staff are participating in training and obtain points for having staff meeting the required training hours during the Texas Rising Star assessment, annual reviews and Child Care Regulation visits.</t>
  </si>
  <si>
    <t xml:space="preserve">WSB purchased 36  slots for child care directors and/or assistant directors to attend Leaning with Heart, sponsored by TXAEYC Paso del Norte Chapter, a management training that include empowerment, advice, and resources.  We had a total of 36 attendees. </t>
  </si>
  <si>
    <t>WSB sponsored slots for this training as part of supporting our child care providers in increasing  their knowledge and skill set in the field of management.  As result the attendees obtained 4 hours of professional development that will count towards their annual training and experience.  WSB is increasing the number of child care providers who staff are participating in training and obtain points for having staff meeting the required training hours during the Texas Rising Star assessment, annual reviews and Child Care Regulation visits.</t>
  </si>
  <si>
    <t>WSB provided 19 scholarships for teachers and directors to enroll in early education college credit courses through  our local community college (El Paso Community College) for the Summer I. By the attendees completing this course, it will count towards meeting their training hours</t>
  </si>
  <si>
    <t xml:space="preserve">This quarter WSB was able to support 19 child care provider staff who are participating in the scholarship program. As a result the college course will count as 50 training hours towards the required hours from Child Care Regulation.  The hours obtained will count towards points for having staff with child development degrees and/or meet the required training hours during the Texas Rising Star assessment or annual review.  </t>
  </si>
  <si>
    <t xml:space="preserve">WSB's has one fulltime TECPDS validator that started in June and two support staff that are already recognized as a TECPDS SME records validators since January 2024. This quarter they worked with 25  child care providers and have validated over 88 records. Validation may include verifying employment, work experience and training certificates. </t>
  </si>
  <si>
    <t>The new primary TECPEDS board staff completed the TECPEDS training of trainers (ToT) instruction and passed the TECPDS validator training course this quarter.  WSB has two support staff that were already recognized as TECPDS records validator the 2nd quarter who assisted with the role until the new TECPEDS validator came on board.  This quarter they were able to support 25 child care providers as well as validate over 88 records.</t>
  </si>
  <si>
    <t xml:space="preserve">WSB's two board staff will continue to attend trainings and required meetings as they continue to move forward becoming certified as our board area Infant-Toddler Specialist and perform the duties under this certification. The Infant Toddler Specialists have worked with 60  child care providers. </t>
  </si>
  <si>
    <t xml:space="preserve">The two board staff are participating in the Infant-Toddler Specialist training and are obtaining attain the required trainings.  Infant Toddler Specialists are able to provide support in areas while they are in the pathway to completion.  Note: The completion of the certification is estimated by December 2024 per the contractor hired to provide the certification training. </t>
  </si>
  <si>
    <t xml:space="preserve">WSB supported 20 contracted CCS providers and potential CCS contracted providers in meeting the new requirement of maintaining or becoming a Texas Rising Star provider.  WSB will need to have sufficient number of mentors to provide mentoring services to the 100 plus child care contracted providers not already in the Texas Rising Star program. </t>
  </si>
  <si>
    <t>WSB had 105 Texas Rising Star Certified Providers and 201 Non-Texas Rising Star Providers starting this quarter. Our mentors continued to work with the Non-Texas Rising Star Providers.  At the end of this quarter WSB total of Texas Rising Star Certified Providers is 125 and have five (5) ready for assessment.</t>
  </si>
  <si>
    <t>Increased the knowledge of child care Directors about what services are provided by our Texas Rising Star mentors and Blinn College District Child development Program through quarterly trainings. This is the first out of 4 Lunch and Learn sessions with 31 attendees out of the target goal of 150.</t>
  </si>
  <si>
    <t>Brazos Valley reimbursed lodging for providers and their staff that attended the TXAEYC Conference  held in Round Rock, Texas 11/2 - 11/4/23 to ensure that the providers and staff are able to attend the professional development training provided at the conference.  30 child care staff attended from 18 programs</t>
  </si>
  <si>
    <t>Staff professional development training hours are a requirement of licensing as Early Learning as Texas Rising Star, Category 1. The Board's goal is to support 175 staff in attending conferences throughout FY24; we have supported 17% of our target.</t>
  </si>
  <si>
    <t>Reimbursed lodging for TXAEYC Conference held in Round Rock, Texas 11/2 - 11/4/23 for Board staff attending. (1 Board Staff attended)</t>
  </si>
  <si>
    <t>Purchased electrical outlet plug covers for 62 early learning programs</t>
  </si>
  <si>
    <t>Purchasing these items for the centers will help to improve the safety and security of the center.  The Board has assisted 62 out of 100 early learning program target.</t>
  </si>
  <si>
    <t>Purchased equipment and materials which included playground equipment, furniture and other items for infant and toddler areas for 8 early learning programs</t>
  </si>
  <si>
    <t>By purchasing items for the infant and toddler areas this will help to improve the Category 4 score for indoor/outdoor environment.  The Board has assisted 8 out of 30 early learning programs.</t>
  </si>
  <si>
    <t xml:space="preserve">Blinn College Child Development 2024 Spring Semester tuition, fees and textbooks - a total of 8 early learning program staff attended </t>
  </si>
  <si>
    <t>By providing staff professional development in the area of Child Development this will improve Category 1.  The Board's goal is to have 15 early learning staff enroll in Child Development Courses, we are at 53% of our target.</t>
  </si>
  <si>
    <t>Brazos Valley 2024 Texas Early Childhood Summit held at Thomas Hildebrand Equine Center on March 22, 2024 and Blinn College on March 23, 2024 - 61 early learning program staff attended from 17 programs</t>
  </si>
  <si>
    <t>Frog Street Curriculum Training held on February 24, 2024 at the Center for Regional Services- 3 hour training -  53 early learning program staff attended from 11 programs</t>
  </si>
  <si>
    <t>This training was offered for infants, toddlers, and preschool center staff to become familiar with the curriculum and how to effectively use the resources.  The Board's goal is to support 50 early learning staff throughout FY24; we have exceeded our goal.</t>
  </si>
  <si>
    <t>One Early Learning Program requested a portable sink for Toddler Classrooms and was provided by the Board</t>
  </si>
  <si>
    <t>Purchasing these items for the centers will help to improve the safety of the center related to Category 4. The Board's has assisted 63 out of the 100 provider goal.</t>
  </si>
  <si>
    <t>During communications with our Early Learning  Directors it was identified that an additional 25 centers needed enhancements to their safety and security. 25 Programs have received Two Way Radios</t>
  </si>
  <si>
    <t>Purchasing these items for the centers will help to improve the safety and security of the center related to Category 4. The Board's has assisted 88 out of 100 provider goal.</t>
  </si>
  <si>
    <t>Purchased equipment and materials which included playground equipment, furniture and other items for infant and toddler areas for 30 Child Care programs</t>
  </si>
  <si>
    <t>By purchasing items for the infant and toddler areas this will help to improve the Category 4 score for indoor/outdoor environment.  The Board has assisted 38 out of 30 early learning programs.</t>
  </si>
  <si>
    <t>Lunch &amp; Learn 4/17/2024 - Session on Texas Rising Star Categories 1 &amp; 3 (not Board Funded) 40 child care attendees from 25 programs attended (30 in person, 10 virtually)</t>
  </si>
  <si>
    <t>Increased the knowledge  of EL Staff regarding Texas Rising Star Categories 1 &amp; 3. This is the second out of 4 Lunch and Learn sessions with 71 attendees out of the target goal of 150.</t>
  </si>
  <si>
    <t xml:space="preserve">Creative Curriculum Training held on May 4, 2024 at the Center for Regional Services- 6 hour training -  13 ELCC staff attended from 3 programs </t>
  </si>
  <si>
    <t>This training was offered for infants, toddlers, and preschool center staff to become familiar with the curriculum and how to effectively use the resources.  The Board's goal is to support 50 EL staff throughout FY24; we have exceeded our goal by 16.</t>
  </si>
  <si>
    <t>Lunch &amp; Learn 5/21/2024 - Session on Texas Rising Star Categories 2 &amp; 4 (not Board Funded) 50 child care attendees from 37 programs attended (36 in person, 14 virtually)</t>
  </si>
  <si>
    <t>Increased the knowledge of EL Staff regarding Texas Rising Star Categories 2 &amp; 4. This is the third out of 4 Lunch and Learn sessions with 121 attendees out of the target goal of 150.</t>
  </si>
  <si>
    <t>Brunch &amp; Learn 6/8/2024 - Session on Texas Rising Star  All Categories (not Board Funded) 16 child care attendees from 13 home-based programs attended</t>
  </si>
  <si>
    <t>Increased the knowledge of home-based EL Staff regarding Texas Rising Star All Categories. This is the fourth out of 4 Lunch and Learn sessions with 137 attendees out of the target goal of 150.</t>
  </si>
  <si>
    <t>Texas Rising Star Way of Classroom Teacher-Child  Interactions Training 6/15/2024 (not Board Funded) 99 child care attendees from 25 programs attended</t>
  </si>
  <si>
    <t xml:space="preserve">Increased the knowledge of EL staff regarding Texas Rising Star Categories 1 &amp; 2. </t>
  </si>
  <si>
    <t>Frog Street SPLASH 2024 Conference Registration fees paid for 50 child care staff from 22 programs attending July 11 - 13, 2024 conference</t>
  </si>
  <si>
    <t>Staff professional development training hours are a requirement of licensing as well as Texas Rising Star, Category 1. The Board's goal is to support 175 staff in attending conferences such as TXAEYC, BVAEYC and SPLASH throughout FY24; we have supported 63.4% of our target.</t>
  </si>
  <si>
    <t>Blinn College Child Development 2024 Summer Semester I tuition, fees and textbooks - a total of 4 ELCC staff attended Summer Session I of which 2 are new students for FY2024</t>
  </si>
  <si>
    <t>By providing staff professional development in the area of Child Development this will improve Category 1.  The Board's goal is to have 15 ELCC staff enroll in Child Development Courses, we are at 66% of our target.</t>
  </si>
  <si>
    <t>6 child care programs received a hard copy of Frog Street Curriculum.</t>
  </si>
  <si>
    <t>Increase or support Category 3 scores for programs receiving the curriculum. 7 out of target goal of 25 programs supported.</t>
  </si>
  <si>
    <t>Frog Street Paid Registration for 2 Board staff  to attend Frog Street SPLASH 2024 Conference to be held on July 11 - 13, 2024</t>
  </si>
  <si>
    <t xml:space="preserve">Board staff professional development training hours.  Each Board Texas Rising Star mentor earned 12 hours of professional development towards their required 36 hours of professional development. </t>
  </si>
  <si>
    <t>Blinn College Child Development 2024 Summer Semester I tuition, fees and textbooks - 1 board staff attended (reported last quarter)</t>
  </si>
  <si>
    <t>Board staff is continuing to work on completing her Associates Degree.  Board staff estimated completion of Associates Degree is Spring of 2027.</t>
  </si>
  <si>
    <t>Board purchased infant language and gross motor skill kits for 155 child care programs.</t>
  </si>
  <si>
    <t>Mentoring staff has see an increase of infant teacher engagement in language and gross motor skills.</t>
  </si>
  <si>
    <t>Boards hosted a Frog Street curriculum training for 144 entry-level designated child care programs teachers.</t>
  </si>
  <si>
    <t xml:space="preserve">Increase Texas Rising Participation and certification status, Mentors will measure lesson planning knowledge through the CQIP and scores at the time of certification. </t>
  </si>
  <si>
    <t>Business Support Specialist assisted 8 early learning programs to access Child Care Program Employer Initiative</t>
  </si>
  <si>
    <t>Early learning programs  completed the business plans and attempted to submit for the Child Care Provider Expansion Initiative Application; the submission window closed.</t>
  </si>
  <si>
    <t>Business Support Specialist assisted 6 programs who received the Child Care Relief Funding (CCRF) expansion grants.</t>
  </si>
  <si>
    <t xml:space="preserve">The programs who were awarded the grants provided staff incentives and purchased equipment for their centers to help improve class management.
</t>
  </si>
  <si>
    <t>Business Support Specialist assisted worked with 58 programs through the business coaching sessions and were able to contact to local small business support services and other local agencies to help early learning programs expand their business and operational knowledge.</t>
  </si>
  <si>
    <t>Early learning programs are now working with local agencies to increase their business management knowledge and improve their presence in the community.</t>
  </si>
  <si>
    <t>Business Support Specialist assisted 6 programs who received the Child Care Relief Funding (CCRF) expansion grants. 66 individuals received the inventive.</t>
  </si>
  <si>
    <t>Mentors hosted Peer Learning Community (PLC) sessions for child care programs directors  to provide an in-depth review of Categories 1 and 3 and assist programs with the development of their documentation portfolio.</t>
  </si>
  <si>
    <t>Boards hosted a Frog Street curriculum training for 55 entry-level Learning designated child care programs teachers.</t>
  </si>
  <si>
    <t>Increase Texas Rising Participation and certification status, Mentors will measure lesson planning knowledge through the CQIP and scores at the time of certification.</t>
  </si>
  <si>
    <t xml:space="preserve">Board provider CDA incentives to 3 teachers who attained their CDA credentials and remained with employer for at least three months after certification.
</t>
  </si>
  <si>
    <t>Board has funding for 6 mentors. Board is using Child Care Quality funding for three full time employee positions: Child Care Quality Initiative Coordinator, Texas Rising Star Training Specialist, and Texas Rising Star Onboarding Specialist.</t>
  </si>
  <si>
    <t xml:space="preserve">Board is fully staffed and has 6 full time employee mentors. Board is staffed with 1  Quality Initiative Coordinator full time employee and 1 Training Specialist full time employee. Board currently has the Onboarding Specialist vacant.
</t>
  </si>
  <si>
    <t>Board purchased cultural appreciation materials outdoor equipment for 108 entry-level Learning designated child care programs.</t>
  </si>
  <si>
    <t>Mentors report an increase time in lesson plans for outdoor learning and better points attainment in P-ILE-02 and P-OLE-03.</t>
  </si>
  <si>
    <t>New resources and research to the department where offered to mentoring. Mentor has developed more in-depth CQIP with child care programs. New trainers and topics added to vendor list for future conference.</t>
  </si>
  <si>
    <t>Board  sent two mentors to the TX AEYC Annual Conference in Round Rock.</t>
  </si>
  <si>
    <t>Mentors hosted Peer Learning Community (PLC) sessions for 118 child care programs directors  to provide an in-depth review of Category 4 and assist programs with the development of their documentation portfolio.</t>
  </si>
  <si>
    <t>Business Support Specialist hosted Director Business Support Presentations to disseminate Business Support programs available to child care providers. This includes TWC Child Care and Early Learning Program Provider Resources, the Board's Business Service Unit, TX AEYC TEACH program, and Child Care Business Accelerator. There were 18 attendees.</t>
  </si>
  <si>
    <t>Business Support Specialist hosted an information session for early learning program Directors took place on Tuesday, March 19th at Texas Southmost College.  TWC Regional Business Liaison Employer Engagement and Community Outreach, presented on the funding available for full-time employees to train at the local community college for $1800 for new employees and $900 for incumbent employees.  Texas Southmost College.  on the Child Care and Development Program Year 1 Certificate and 2 Year Associates Degree Program and explained the costs and support the department provides and shared about the financial aid and or other scholarship funds available.  The board shared the benefits of leveling up your team of teachers, referencing Category 1 for Texas Rising Star and other updates regarding Business Support for contracted providers. 40 participants from 10 programs.</t>
  </si>
  <si>
    <t xml:space="preserve">Texas Early Childhood Professional Development System (TECPDS) specialist hosted multiple TECPDS presentations are held with Directors and Practitioners to ensure that Workforce Registry Accounts are not empty accounts, and that required information is scanned and uploaded in the platform. </t>
  </si>
  <si>
    <t>The Board's Infant and Toddler Specialist hosted multiple Infant, Toddler, &amp; Three-Year-Old Early Learning Guidelines Professional Development training. These in-person training supports the entry level directors in completing this requirement for the Texas Rising Star application and helped teachers to gain a deeper dive into the topics of Early Social and Emotional Development, Physical Development, Cognitive Development and Language Development by exploring key knowledge and professional strategies. There were 42 attendees.</t>
  </si>
  <si>
    <t>Two Mentors attended a TXAEYC Training of Training on February 9 &amp; 10</t>
  </si>
  <si>
    <t>Mentors attended Frog Street Splash Conference in July. Board paid for their registration fee</t>
  </si>
  <si>
    <t>Board has funding for 6 mentors. Board is using Child Care Quality funding for three full time employee positions: Child Care Quality Initiative Coordinator, Texas Rising Star Training Specialist, and Texas Rising Star Onboarding Specialist. (8 Full Time, 1 vacant)</t>
  </si>
  <si>
    <t xml:space="preserve">The board is fully staffed and has 6 full time employee mentors, 1 full time employee quality initiative coordinator, and 1 full time employee training specialist. The Training Specialist is also the Board's Texas Early Childhood Professional Development System (TECPDS) Subject Matter Expert (SME) and Infant and Toddler Specialist. The onboarding Specialist position is currently vacant.
</t>
  </si>
  <si>
    <t>The Board's Infant and Toddler Specialist hosted multiple Infant, Toddler, &amp; Three-Year-Old Early Learning Guidelines Professional Development training. These in-person training supports the entry level directors in completing this requirement for the Texas Rising Star application and helped teachers to gain a deeper dive into the topics of Early Social and Emotional Development, Physical Development, Cognitive Development and Language Development by exploring key knowledge and professional strategies. There were 36 attendees.</t>
  </si>
  <si>
    <t xml:space="preserve">29 teachers have shown a better understanding of infant and toddler education, feel more confident in their classrooms, and are willing to continue working in the early childhood field, which will assist them in Category 2. The 7 directors have improved their information dissemination to their staff and have improved their training plans to better align with Texas Rising Star. Project if ongoing and final yearly outcome will be updated in a later report. </t>
  </si>
  <si>
    <t>mentors hosted Peer Learning Community sessions for child care programs directors to provide an in-depth review of Category 4 and assist programs with the development of their documentation portfolio. The objective of the PLC was to help administrators identify the 9 point-based measures from the category, have them list possible examples on how learning centers can be arranged to encourage children to easily access materials and to name at least 3 activities that they can add to the outdoor environment to link and reinforce indoor learning.</t>
  </si>
  <si>
    <t>mentors trained a total 120 administrator staff on Category 4 measure.  By using a pre and post test, these Peer Learning Communities (PLC) helps approximately 77% of administrators improve their understanding of the measures. Furthermore an additional 30% went back to their centers and conducted a self-assessment of their environment after the PLC.</t>
  </si>
  <si>
    <t>Board hosted a Social Emotional Kit Training on April 13, 2024. This training focused on offering administrators and teachers different techniques and resources on how to incorporate social emotional learning in the classrooms and to help teacher identify the signals in young children that may impact their mental well-being. The kit contain materials, resources and classroom equipment, such as books, that deal with inclusion, diversity, managing emotions and empathy. 250 of these kits were given to the same amount of attendees.</t>
  </si>
  <si>
    <t>The project aimed to increased social-emotional and inclusive learning; therefore, assisting programs with Categories 2 and 3. mentors has seen an improvement in about 30% of programs that attended in their lesson plan development, classroom management, and conflict resolutions.</t>
  </si>
  <si>
    <t>In collaboration with Celebrate SEL, the Board developed a pilot program to see what are the benefits of incorporating Celebrate Early Literacy Kits in a classroom. This 1 year pilot program will offer participates additional training throughout the year and will track them, through surveys, focus groups, and in classroom observations to see how Celebrate can be used in conjunction with the program curriculum. There were 140 participants.</t>
  </si>
  <si>
    <t xml:space="preserve">68 programs are currently participating. Based on current survey data; implementation has been positive. Project is ongoing and outcome will be updated in a later report. </t>
  </si>
  <si>
    <t>The Texas Rising Star Training Specialist host various Texas Workforce Registry and Texas Early Childhood Professional Development System (TECPDS) On-Boarding Presentations that are designed for directors and practitioners of early learning programs to understand the benefits and uses of a TECPDS account and to ensure that Workforce Registry Accounts are not empty accounts. Directors and practitioners become more familiar and confident with the functionality and overall purpose of the platform. The presentation also includes the assistance of uploading of records for validation. There were 137 participants in attendance.</t>
  </si>
  <si>
    <t>Currently, she has seen a 75% increase in record submission and account utilization. Project is ongoing and final yearly outcome will be updated in a later report.</t>
  </si>
  <si>
    <t xml:space="preserve">Board has funding for 6 mentors. Board is using CCQ funding for three full time employee positions: Child Care Quality Initiative Coordinator, Texas Rising Star Training Specialist, and Texas Rising Star Program Support Specialist. </t>
  </si>
  <si>
    <t>The board is fully staffed and has 6 full time employee mentors, 1 full time employee quality initiative coordinator, and 1 full time employee training specialist. The Training Specialist is also the Board's Texas Early Childhood Professional Development System (TECPDS) Subject Matter Expert (SME) and Infant and Toddler Specialist. The Board has now hired a Program Support Specialist. There are no current vacancies.</t>
  </si>
  <si>
    <t>Four mentors and the Texas Rising Star Training Specialist (5 total) attended the Texas School Ready/Infant Toddler Specialist Network Summer Institute in Waco, June 25-28</t>
  </si>
  <si>
    <t>Staff who attended were either certified Infant Toddler Specialists or in the process of becoming certified. The institute provide the staff with additional resources that have been implemented that assisted a mentor become certified as a Infant Toddler Specialist.</t>
  </si>
  <si>
    <t xml:space="preserve"> LENA Grow Program Subscription continued in Quarter 1. 5 classrooms concluded the program in Quarter 1. These classrooms were counted in Quarter 4 report. 2 new classrooms began a LENA Grow sequence in Quarter 1. Programs are currently in the middle of the sequence and will complete in Quarter 2. 2 new classrooms (1 early learning program)</t>
  </si>
  <si>
    <t xml:space="preserve">Hearing and Vision screenings to Texas Rising Star programs in Travis County. Hearing and Vision Screenings provide for the health and safety of the children at the program while minimizing administrative work for early learning programs. Screenings will also assist with Category 3 scores (P-PM-02) for programs looking to increase or maintain their Texas Rising Star star level. A total of 54 children were screened at 5 separate early learning programs in Quarter 1. Will look to schedule additional screenings in the coming months. </t>
  </si>
  <si>
    <t>21.5% of the 380 participant goal has been met in Quarter 1.</t>
  </si>
  <si>
    <t>Provided in house training to Texas Rising Star and Entry level Learning Designated programs using qualified Texas Rising Star Staff with the goal of helping educators meet their annual training requirements. No quality funds were used for these trainings. A total of 573 Early Learning Staff received training hours in Quarter 1.</t>
  </si>
  <si>
    <t xml:space="preserve">10 scheduled subcontracted trainings were held in the 1st Quarter. All trainings are research-based to help providers meet their annual training requirement. A total of 302 Early Learning Staff participated and received training hours. </t>
  </si>
  <si>
    <t xml:space="preserve">Capital Area purchased registration for 65 Early Learning Staff to attend the TXAEYC Early Learning Conference in Round Rock on November 2-4. Keynotes and breakouts were focused on Early Childhood topics given by approved trainers. </t>
  </si>
  <si>
    <t>A total of 23 Texas Rising Star Banners were purchased for newly certified Texas Rising Star programs and those requesting replacements due to a previous banner being lost or damaged. Another Texas Rising Star Banner order will talk place in Quarter 4, for newly certified Texas Rising Star programs. 23 Early learning programs</t>
  </si>
  <si>
    <t>Maintain CLASS Assessment Certification for two staff already certified to assist programs with measuring effective interactions. This will assist mentors with improving a programs scores in Category 2 which is weighted heavier under the Texas Rising Star Early Guidelines.</t>
  </si>
  <si>
    <t xml:space="preserve">A total of 2 Programs received an ASQ-3 starter kit in order to begin utilizing ASQ in their programs.  </t>
  </si>
  <si>
    <t xml:space="preserve">Continued LENA Subscription for the remainder of FY24. Capital Area will pause further LENA Sessions while Texas Rising Star Mentors focus on assisting Entry Level Designated Programs with becoming Texas Rising Star. Agreement with LENA has been extended to allow us to revisit the LENA project at a later date. Two (2) Early Learning programs concluded in Quatre 2 with 5 total teachers participating. </t>
  </si>
  <si>
    <t xml:space="preserve">CPR, First Aid and AED Training was provided to Early Learning Program staff. A total of 4 classes were conducted in the 2nd Quarter, three in English and one in Spanish. 113 early learning staff participated and received their First Aid/CPR Certification during that time (these numbers were not counted toward live/in-person training on the quarterly data tab). </t>
  </si>
  <si>
    <t xml:space="preserve">Frog Street Curriculum training was provided for 29 directors in Quarter 2. This implementation training done by certified Frog Street trainers will assist programs with implementation Frog Street throughout their Early Learning Program.  </t>
  </si>
  <si>
    <t xml:space="preserve">Early Learning Resources: A total of 20 current Texas Rising Star Programs were purchased Early Learning Resources in Quarter 2. These resources included Playground equipment, furniture, shelving and toys and will help programs maintain Texas Rising Star Certification through supporting quality environments. </t>
  </si>
  <si>
    <t>Texas Rising Star Staff salary and expenditures. Workforce Solutions Capital Area maintained 11 Texas Rising Star Mentors and an Industry Support Specialist in Quarter 2. Throughout Quarter Two (2), Texas Rising Star Mentors provided in-person or virtual mentoring to 104 unduplicated Early Learning Programs.</t>
  </si>
  <si>
    <t xml:space="preserve">The 306 total programs receiving Texas Rising Star mentoring in Quarters 1 and 2 represents 86% of our goal to provide Texas Rising Star mentoring to all 353 contracted Early Learning Programs throughout FY24. </t>
  </si>
  <si>
    <t xml:space="preserve">A total of 3 Programs received an ASQ-3 starter kit in order to begin utilizing ASQ in their programs.  </t>
  </si>
  <si>
    <t xml:space="preserve">12% of the 50 program goal have received training as of Quarter 3. </t>
  </si>
  <si>
    <t xml:space="preserve">83.6.3 % of the 380 participant goal has been met as of Quarter 3. </t>
  </si>
  <si>
    <t xml:space="preserve">CPR, First Aid and AED Training was provided to Early Learning Program staff. A total of 5 classes were conducted in the 3rd Quarter, three in English and two in Spanish. 123 early learning staff participated and received their First Aid/CPR Certification during that time (these numbers were not counted toward live/in-person training on the quarterly data tab). </t>
  </si>
  <si>
    <t>Over 100% of the 250 participant goal has been met as of Quarter 3 with 318 total staff participating in a First Aid/CPR class over three quarters.</t>
  </si>
  <si>
    <t xml:space="preserve">One Infant/Toddler specific subcontracted training was held in 3rd Quarter. These trainings are aimed specifically at teachers working with Infants and Toddlers. </t>
  </si>
  <si>
    <t>We have already surpassed our goal of issuing 75 training certificates for Infant/Toddler specific professional development trainings.</t>
  </si>
  <si>
    <t xml:space="preserve">National Accreditation Fee Scholarships were provided to 6 programs currently Nationally Accredited or working toward National Accreditation in Quarter 3. Per the June National Accreditation Report, the 10 current National Accreditation Programs that received reimbursement remained Nationally Accredited. Two programs who were reimbursed for Initial Application Fees are awaiting National Accreditation Observation. </t>
  </si>
  <si>
    <t>This goal will be measured at the end of the fiscal year to determine if those programs who received reimbursement either maintained or achieved National Accreditation. To date the 10 currently certified programs have maintained their National Accreditation status and 2 initial applicants are awaiting Certification.</t>
  </si>
  <si>
    <t>Provided in house training to Texas Rising Star and Entry Level Designated programs using qualified Texas Rising Star Staff with the goal of helping educators meet their annual training requirements. No quality funds were used for these trainings. A total of 582 Early Learning Staff received training hours in Quarter 3.</t>
  </si>
  <si>
    <t xml:space="preserve"> 77% (924) of the 1200 goal of unique individual directors and teachers has been met in Quarter 3.</t>
  </si>
  <si>
    <t xml:space="preserve">13 scheduled subcontracted trainings were held in the 3rd Quarter. All trainings are research-based to help providers meet their annual training requirement. A total of 341 child care staff participated and received training hours. </t>
  </si>
  <si>
    <t xml:space="preserve">One (1) Conscious Discipline Training was conducted in Quarter 3. A two-part Conscious Discipline director training focused on parent engagement. A total of 18 directors and teachers participated. 2 Additional Conscious Discipline classes remain in Quarter 4. </t>
  </si>
  <si>
    <t xml:space="preserve">Quarter 3 data combined Quarter 2 data, 82% of participants in all Conscious Discipline classes stated the training was beneficial. On track to reach our goal of 80% of participants finding the training beneficial.  </t>
  </si>
  <si>
    <t xml:space="preserve">Capital Area purchased registration for  Early Learning Staff to attend three separate Early Learning Conferences: Fifteen (15)  Directors  attended the TXAEYC First Big Retreat which took place in April. Eleven (11) Early Learning Staff attended the Region 13 Early Childhood Conference which took place in June. And 28 Early Learning Staff received Frog Street Splash Conference Registration. Registration was paid for in Quarter 3, however the Conference took place in July (Q4) and the numbers trained will be reported next quarter.  </t>
  </si>
  <si>
    <t xml:space="preserve">Participants were asked to rank how beneficial they thought the conference was on a scale of 1-5 (5 being incredibly beneficial) in a post Conference survey. Of those that responded, 92% reported a "5", with 8% reporting a "4". 100% reported they would attend the conferences again if given the chance. </t>
  </si>
  <si>
    <t xml:space="preserve">12  Early Learning Staff received ASQ-3 Training in Quarter 3. These 12 staff were included in the Professional Development numbers on the Quarterly Data tab. </t>
  </si>
  <si>
    <t xml:space="preserve">Capital Area continued partnering with PBS Kids to support early learning programs in the 3rd Quarter by providing PBS Kids resources to support quality learning. To date, 13 Early Learning teachers have received visits totaling  31 hours of coaching support from PBS Kids. </t>
  </si>
  <si>
    <t xml:space="preserve">Outcome will be measured at the end of the year based on surveys provided to the programs participating in the program. </t>
  </si>
  <si>
    <t xml:space="preserve">Director Credential Course. Participants received professional development in both child development and business management in order to meet the criteria to apply for their Director’s Credential. The Director Credential Courses was offered in the 3rd Quarter with a total of 23 early learning staff participating. </t>
  </si>
  <si>
    <t xml:space="preserve">Of the 23 early learning staff that participated, 23 completed their Director Credential (100%), meeting our goal of 80% of participants gaining their Director Credential. </t>
  </si>
  <si>
    <t xml:space="preserve">Workforce Solutions Capital Area began a Spanish CDA Class in Quarter 3. 20 early childhood teachers were  recruited and attended 3 classes in June. Classes continue into Quarter 4, with the goal of participants to have the class complete prior to the end of the fiscal year. These 20 teachers were counted under "Scholarships" on the Quarterly Data tab. </t>
  </si>
  <si>
    <t xml:space="preserve">This goal will be measured at the end of the class, based on the number of participants who achieve their CDA Credential, with the goal of 80% of participants receiving their credential. </t>
  </si>
  <si>
    <t>Texas Rising Star Staff salary and expenditures. Workforce Solutions Capital Area maintained 11 Texas Rising Star mentors and an Industry Support Specialist in Quarter 3. Throughout Quarter Three (3), Texas Rising Star mentors provided in-person or virtual mentoring to and additional 31 unduplicated Early Learning Programs.</t>
  </si>
  <si>
    <t xml:space="preserve">The 347 total programs receiving Texas Rising Star mentoring in Quarters 1 and 2 represents 95% of our goal to provide Texas Rising Star mentoring to all 353 contracted Early Learning Programs throughout FY24. </t>
  </si>
  <si>
    <t xml:space="preserve">Early Learning Resources: A total of 84 current Texas Rising Star Programs were purchased Early Learning Resources in Quarter 3. These resources included Playground equipment, furniture, shelving and toys and will help programs maintain Texas Rising Star Certification through supporting quality environments. </t>
  </si>
  <si>
    <t xml:space="preserve">As of the end of the 3rd quarter, 3  programs have lost Texas Rising Star Certification in FY24 and are currently on Texas Rising Star Suspension. These three programs represent  2% of the total number of Texas Rising Star Programs currently certified. This is currently below our goal of losing no more than 5% of Texas Rising Star programs to Texas Rising Star Suspension Status. </t>
  </si>
  <si>
    <t>Texas Rising Star Implementation Grant: A total of 47 Entry Level Designated programs were purchased early learning resources in Quarter 3. These resources will help support their efforts to become Texas Rising Star Certified.</t>
  </si>
  <si>
    <t xml:space="preserve">A total of 7 Entry Level Designated programs have been certified Texas Rising Star by the end of Quarter 3. An additional 35 ELD's have submitted their Texas Rising Star application and are awaiting an assessment.  This outcome will be revisited in Quarter 4. </t>
  </si>
  <si>
    <t xml:space="preserve">A total of six (6) Parent Trainings were conducted in Quarter 3. Training topics ranged from communication to child development and behavior management. Four trainings were conducted in English, and two in Spanish. A total of 121 parents attended one of the six virtual trainings in Quarter 3. </t>
  </si>
  <si>
    <t xml:space="preserve"> 80% of our goal of having 150 parents attend a parent training has been met as of Quarter 3. We have three more parent trainings scheduled for the remainder of FY24. </t>
  </si>
  <si>
    <t xml:space="preserve">Capital Area held a one-day Parent Engagement Fair in Quarter 3 in partnership with our community partners. The goal of the Parent Engagement Fair was to engage with families and make them aware of the various resources and supports, including career supports, offered by Workforce Solutions Capital Area and other organizations around the Travis County Area. A total of 63 families participated. </t>
  </si>
  <si>
    <t xml:space="preserve">63 families attended the Parent Engagement Fair, surpassing our goal of 40 families. Parents gave an average rating of 4.97 out of a scale of 1-5 (5 being the highest) in a post event evaluation. 100% of parents completing the survey stated they would attend next year if it was held again. </t>
  </si>
  <si>
    <t>Maintain CLASS Assessment Certification for 4 staff already certified to assist programs with measuring effective interactions. This will assist mentors with improving a programs scores in Category 2 which is weighted heavier under the Texas Rising Star Guidelines.</t>
  </si>
  <si>
    <t>Frog Street Curriculum Train the Trainer training was provided for Texas Rising Star mentors in Quarter 3. This training, specific for Texas Rising Star mentors, was to support mentors in working with programs that are currently implementing Frog Street Curriculum within their program. 12 staff attended three separate trainings held in Quarter 3 (Infant/ Toddler, Threes, and Pre-K).</t>
  </si>
  <si>
    <t>Mentors advised and provided technical assistance to 3 existing Texas Rising Star programs who opened new infant classrooms. (13 at one location; 3 at a 2nd location; 3 at 3rd) 19 slots total within 3 early learning programs 19 slots total within 3 early learning programs</t>
  </si>
  <si>
    <t>Outreached to 38 families and provide consumer education materials and consultations about selecting high quality infant and toddler care.</t>
  </si>
  <si>
    <t>38 families (individuals) have increased awareness of quality childcare options for infants and toddlers. Goal of  500 families.</t>
  </si>
  <si>
    <t>Provided Infant/Toddler Early Learning Guidelines training to Texas Rising Star and Early Learning program staff virtually (33 programs; 35 people)</t>
  </si>
  <si>
    <t>Provided SIDS/SBS/Infant Brain development training virtually to program (Texas Rising Star and Early Learning) staff (12 programs; 33 people)</t>
  </si>
  <si>
    <t>Provided 2 in-person trainings for Texas Rising Star certified and Early Learning programs on "Back to Basics" for infants and toddlers (27 people from 8 programs)</t>
  </si>
  <si>
    <t>Provide virtual and face-to-face training sessions to teachers working with infants and toddlers.  164 attendees.</t>
  </si>
  <si>
    <t>164 individuals trained in Q1, 89% of total respondents reported skills gained from training sessions (target 90%). Goal of 400 teachers.</t>
  </si>
  <si>
    <t>Reimbursed 4 NAEYC accredited programs for annual fees and one programs for a consultant visit and annual fee payment (total of 5 programs.)</t>
  </si>
  <si>
    <t>Outcomes will be measured by the continued or increased star level Learning of Texas Rising Star programs.</t>
  </si>
  <si>
    <t>Provided virtual training over the PreK Guidelines to 37 people from 35 Texas Rising Star and Early Learning programs</t>
  </si>
  <si>
    <t>Increased star level Learning ratings and increased scores on Texas Rising Star assessments (both initial and AM.)</t>
  </si>
  <si>
    <t>Provided Texas Rising Star Orientation virtually to 42 people from 31 Early Learning programs</t>
  </si>
  <si>
    <t>Provided in-person training on the use of new school-age curriculum to 70 people from 49 Texas Rising Star Certified and Early Learning Programs</t>
  </si>
  <si>
    <t>Provided virtual training over Classroom Management to 114 people from 31 Texas Rising Star and Early Learning programs</t>
  </si>
  <si>
    <t>Co-hosted an in-person Conference in Spanish with Central TX Chapter of TX AEYC; participants attended from our area as well as other areas in TX; (non CCS; Early Learning; Texas Rising Star certified); 13 programs; 44 people)</t>
  </si>
  <si>
    <t>Provided in-person training for Texas Rising Star and Early Learning programs on topics such as school age STEAM, preschool learning centers; &amp; classroom arrangements (16 programs - 54 staff)</t>
  </si>
  <si>
    <t>Co-hosted 3 in-person training sessions in Spanish with Central TX Chapter of TXAEYC for all area Early Learning Programs (non CCS; Early Learning; Texas Rising Star certified) - 24 programs; 41 people)</t>
  </si>
  <si>
    <t>Co-hosted 4 in-person training sessions in English with Central TX Chapter of TXAEYC for all area Early Learning Programs (non CCS; Early Learning; Texas Rising Star certified) - 23 programs; 62 people)</t>
  </si>
  <si>
    <t>Purchased materials for Social &amp; Emotional training sessions for 75 attendees that will be conducted during Quarter 2.</t>
  </si>
  <si>
    <t>Reimbursed 11 Texas Rising Star 3/Four-Star Programs for sending participants to the TXAEYC Conference - 36 people total</t>
  </si>
  <si>
    <t>Reimbursed 2 Texas Rising Star Certified program directors for CDA renewal fees for them Early Learnings.</t>
  </si>
  <si>
    <t>Staff salaries and benefits for one coordinator; one support staff; 5 full time mentors; 1 mentor who is also an Infant Toddler Specialist and one mentor who is also an Infant Toddler Specialist Subject Matter Expert (SME)</t>
  </si>
  <si>
    <t>Purchased school-age STEM curriculum for 49 Texas Rising Star Certified and Early Learning programs</t>
  </si>
  <si>
    <t>Increased star level Learning rating along with an increase in the scores in categories 2 and 4 on the Texas Rising Star assessment.</t>
  </si>
  <si>
    <t>Purchased school-age classroom materials for all Early Learning and Texas Rising Star programs that provide school-age care (75). These materials will be distributed during Quarter 2.</t>
  </si>
  <si>
    <t>Conducted 3 sessions covering SIDS; SBS; Infant Brain Dev. For 46 programs, 73 attendees (all CCS invited) (virtually).</t>
  </si>
  <si>
    <t>To increase the total number of infant and toddler slots in Texas Rising Star certified programs in our area by 5% &amp; increase compliance with Child Care Regulation standards</t>
  </si>
  <si>
    <t>Conducted Texas ELG training for 36 programs; 89 attendees (virtually)</t>
  </si>
  <si>
    <t>purchased furniture and equipment for 1 new child care program with 24  new infant and toddler slots in (underserved) Milam County (4 infant slots, 20 toddler slots)</t>
  </si>
  <si>
    <t>Increased availability of Child Care Regulation parental choice for infant and toddler care and increased enrollment in the board area by 7 - 10% will be used to measure outcomes.</t>
  </si>
  <si>
    <t>provided consultation services to 5 programs seeking accreditation or renewal of accreditation (unduplicated from Qtr. 1)</t>
  </si>
  <si>
    <t>reimbursed one program for their annual NAEYC renewal fees</t>
  </si>
  <si>
    <t>Provided 4 sessions of a professional learning community (PLC) (4 cohorts of participants) with a mentor/assessor involving a Conscious Discipline book study with 16 programs. (virtually); 63 attendees</t>
  </si>
  <si>
    <t>Conducted Texas PreK training for 36 programs (virtually); 89 attendees</t>
  </si>
  <si>
    <t>Outcomes will be measured by the number of early learning programs who will be assessment ready.</t>
  </si>
  <si>
    <t>4 Program Administrator meetings were conduced that gave participants opportunities to network; receive training; received updates from CCQ and CCS - 107 total programs participated with 175 attendees (virtually)</t>
  </si>
  <si>
    <t>Provided Curriculum training for 16 family childcare programs (in-person)</t>
  </si>
  <si>
    <t>A follow-up session was held to revisit using the ASQ and ASQ SE for 8 programs who were trained previously; no new programs assisted and no expenditures. (in-person); 15 attendees</t>
  </si>
  <si>
    <t>provided a training for all YMCA entry level designation program coordinators who have not yet applied for Texas Rising Star on Category 2 measures; 9 participants representing 30 programs (virtual)</t>
  </si>
  <si>
    <t>purchased furniture and equipment for 1 new child care center; adding a total of 5 new infant and 23 new toddler slots (28 total slots added)</t>
  </si>
  <si>
    <t xml:space="preserve">Conducted 2 training sessions for 3 programs with 38 attendees covering "Back to Basics for Infants &amp; Toddlers" ( in-person) </t>
  </si>
  <si>
    <t xml:space="preserve">Conducted one training session in Spanish for 1 program with 3 attendees covering "Back to Basics for Infants &amp; Toddlers" ( virtual) </t>
  </si>
  <si>
    <t>Conducted one training session covering SIDS; SBS; Infant Brain Dev. For 2 programs (all CCS invited) (virtual); 6 attendees</t>
  </si>
  <si>
    <t>Conducted Texas Infant Toddler ELG training for 2 programs (virtual); 2 attendees</t>
  </si>
  <si>
    <t>provided consultation services to 4 NAEYC Accredited programs who are seeking reaccreditation</t>
  </si>
  <si>
    <t>provided consultation services to 6 programs who are seeking NAEYC accreditation; not new programs</t>
  </si>
  <si>
    <t>reimbursed 2 NAEYC Accredited programs for annual fees and 2 programs seeking accreditation for enrollment fees (4 programs total assisted)</t>
  </si>
  <si>
    <t>Conducted one Program Administrator meeting that gave participants opportunities to network; receive training; receive updates from CCQ and CCS - 55 total programs participated with 73 attendees (virtual)</t>
  </si>
  <si>
    <t>Outcomes will be measured by reviewing increased star level ratings and increased scores on Texas Rising Star assessments (both initial and AM).</t>
  </si>
  <si>
    <t>co-hosted (3) Family Childcare Network meetings &amp; trainings with Central TX Chapter of TXAEYC in-person; 15 programs represented and 15 people attended (in-person)</t>
  </si>
  <si>
    <t>A Texas Rising Star mentor conducted one classroom management training session for entry level and Texas Rising Star certified programs; 24 programs participated with 56 attendees (virtual)</t>
  </si>
  <si>
    <t>provided PreK Guidelines training - all CCS providers invited; 3 programs attended with 3 participants (virtual)</t>
  </si>
  <si>
    <t>Provided 10 sessions of a PLC (4 cohorts of participants) with a mentor/assessor involving a Conscious Discipline book study with 28 programs and 124 participants (virtual).</t>
  </si>
  <si>
    <t>co-hosted (8) professional development/training sessions with Central TX Chapter of TXAEYC; 155 people from 77 programs attended (in-person)</t>
  </si>
  <si>
    <t>Outcomes will be measured by reviewing increased star level ratings and increased scores on Texas Rising Star assessments (both initial and AM); additionally by the increase in the number of childcare slots available in our area.</t>
  </si>
  <si>
    <t>co-hosted (1) childcare training leadership conference with Central TX Chapter of TXAEYC (37 programs attended; 58 people) (in-person)</t>
  </si>
  <si>
    <t>conducted 4 training sessions for all CCS programs (Entry Level and certified) over a variety of topics including creating teamwork through cultural awareness; music and movement; school-age activities; and social/emotional development including category 2 measures. 61 programs attended; 125 people (in-person)</t>
  </si>
  <si>
    <t>Reimbursed one administrative staff from a NAEYC accredited/Four-Star certified provider program for attending the TXAEYC First Big Retreat conference. (in-person)</t>
  </si>
  <si>
    <t>Staff salaries and benefits for one coordinator; one support staff; 5 full time mentors; 1 mentor who is also an Infant Toddler Specialist and one mentor who is also Infant Toddler Specialist</t>
  </si>
  <si>
    <t>purchased unit blocks, shelves, and rugs for 18 Texas Rising Star certified and Entry Level programs who participated in the block training held in February and who completed follow-up assignments and surveys with their mentors</t>
  </si>
  <si>
    <t>funded Nature Explore design plans for 2 Texas Rising Star programs</t>
  </si>
  <si>
    <t>purchased classroom materials and equipment for 11 entry level childcare programs and 33 YMCA (school age) programs (assisted a total of 44 programs.)</t>
  </si>
  <si>
    <t>Staff Salaries and benefits for 3.0 full time employees for Texas Rising Star mentors and 1.0 full time employee for the Child Care Quality Program Liaison position.</t>
  </si>
  <si>
    <t xml:space="preserve">Texas Rising Star Staff supports approximately 100 early learning programs throughout the Board area. </t>
  </si>
  <si>
    <t>A "New" Texas Rising Star Provider Orientation Meeting was held on 01-27-2024. There were 18 attendees.</t>
  </si>
  <si>
    <t>Child care providers that participate in a "New" Texas Rising Star Provider Orientation Meeting will meet the criteria for attaining Texas Rising Star level Two-Star status on their initial Texas Rising Star assessment.  The "New" Texas Rising Star Provider Orientation is a professional development training workshop on the Texas Rising Star Guidelines and the assessment process for Entry Level Designated child care providers.  Child care center staff who attend this orientation meeting receive a binder containing a copy of the Texas Rising Star Guidelines, the CLI Engage User Guides, and the Texas Rising Star CARF and FARF forms and certificate for 6 clock hours of professional development training.</t>
  </si>
  <si>
    <t>A Child Care Provider Meeting was held on 02-20-2024. This was an informational meeting regarding CCS Program attendance and provider reimbursement payment protocols.  59 attendees</t>
  </si>
  <si>
    <t xml:space="preserve"> The Child Care Provider meeting is an informational meeting.  Providers do not receive training hours for attending this meeting.</t>
  </si>
  <si>
    <t>A Child Care Provider Meeting was held on 02-21-2024. This was an informational meeting regarding CCQ Program attendance and provider reimbursement payment protocols. 82 attendees</t>
  </si>
  <si>
    <t xml:space="preserve">Staff salaries and benefits for 9.0 full time employees for Texas Rising Star mentors and 1.0 full time employee for the Child Care Quality Program Liaison position. (Please note: 6 new Texas Rising Star mentors were hired during the second quarter of BCY2024 beginning in January)  (The Child Care Quality Program Liaison position was removed from child care quality on 04-15-2024.) </t>
  </si>
  <si>
    <t>The 6 new Texas Rising Star mentors were working on their online mentor training during this quarter.  The 3 tenured Texas Rising Star mentors provided mentoring services to 35 child care providers during the second quarter.  This translates into roughly 55% of the remaining ELD child care providers (64) receiving mentoring services during the second quarter.</t>
  </si>
  <si>
    <t>A "New" Texas Rising Star Provider Orientation Meeting was held on 05-11-2024; 25 attendees</t>
  </si>
  <si>
    <t xml:space="preserve">Staff salaries and benefits for 9.0 FTEs for Texas Rising Star mentors and 1.0 FTE for the Child Care Quality Program Liaison position. (The Child Care Quality Program Liaison position was removed from child care quality on 04-15-2024.) </t>
  </si>
  <si>
    <t>The 6 new Texas Rising Star mentors continued working on their online Texas Rising Star mentor training and compiling resources they will use when providing mentoring services during this quarter.  The 3 tenured Texas Rising Star mentors continued to provide mentoring services to an additional 16 Entry Level child care providers during the third quarter of BCY2024.  This brings the number of Entry Level child care providers receiving mentoring services to 88 during the third quarter of BCY2024.  This translates into roughly 88% of the Entry Level child care providers receiving mentoring services during the third quarter.</t>
  </si>
  <si>
    <t>Provide 28 child care programs with a Developmentally appropriate screening tool for children birth through age 5. Materials included ASQ-3, ASQ-2 SE and the Materials kit for Implementation. The reach of this activity is to the following child care programs: Brentwood Learning Academy, Busy Bees Day Care Center, Catherine Chandler, Christine Unger, Claudia's Creative Child Care Center, Early-Redwine Child Care Center, Grace Temple CDC, Grape Creek Baptist Church,, Harris Avenue Baptist Church, Kathy's Babies, Kid Biz/Young Scholars Academy, Kidz Are Us Learning Center, Kountry Tyme Academy, Little Coconuts Learning Center, Little Rascals Clubhouse, Luz Diaz Day Care Home, Ozona Community Center, Pumpkin Patch Preschool, SAISD Tiny Texans Child Care Center, SAISD Tiny Texans Blackshear, SAISD Tiny Texans San Jacinto, Santa Rita Learning Academy, Shannon Child development Center, Smart Start Schoolhouse, Southwest Children's Academy, Steady Steps Weekday Children's Ministry, TLC Kids Way, Willow Tree Preschool (One is reserved for new Early Learning Program and one is reserved for Texas Rising Star Staff for training purposes with a total of 30 kits purchased)</t>
  </si>
  <si>
    <t xml:space="preserve">The measurable outcome would be for the child care programs to implement a research based, Developmentally appropriate screening tool, resulting in identifying possible areas of concern and a higher score for Texas Rising Star Initial Assessment.        The Board has exceeded it's goal of 20-25 Early Learning Programs having access to a Developmental screening tool.                                                    $24,824.25 expended using FY23 funds completed in 1st Quarter 2024. </t>
  </si>
  <si>
    <t>The measurable outcomes would be for practitioners to implement the Developmentally appropriate curriculum within the classrooms, resulting in a higher Initial Texas Rising Star Assessment score. 20% of the 65 participant goal for PD has been reached in Quarter 1.</t>
  </si>
  <si>
    <t>Provided 2 child care programs with materials and equipment for infant and toddler expansion. The reach of this activity would be for two child care programs to expand their infant care for four additional infants per child care program; one child care program to expand their toddler care for 11 additional toddlers. The impact would be for each of the child care programs to increase their capacity of infant care by four additional infants; one child care program to increase their capacity of toddler care by 11 additional toddlers.  The child care programs are: Early-Redwine Child Care Center (infant and toddler) and Brentwood Learning Academy (infant). The board did not make adjustments to the original expenditure plan. 8 infant slots were generated, 11 toddler slots were generated.</t>
  </si>
  <si>
    <t xml:space="preserve">Hosted a Frog Street Curriculum Implementation training for Infant, Toddlers and Threes practitioners. The reach of this activity was to 47 Infant, Toddler and Threes practitioners, representing 7 child care programs.  The impact would be for the 47 participants to utilize a developmentally appropriate, age specific curriculum to enhance the quality of care and interaction specific to Infants, Toddlers, and Three year olds. The board did not make adjustments to the original expenditure plan. </t>
  </si>
  <si>
    <t xml:space="preserve">Provided a professional development training opportunity over Lesson Planning and creating meaningful lessons to 27 participants, representing three child care programs. The reach of this activity was to provide practitioners with developmentally appropriate strategies and best practice techniques to provide a higher quality of care. The impact of this activity would be for the represented child care programs to attain a higher star level at Initial Certification. The board did not make adjustments to the original expenditure plan. </t>
  </si>
  <si>
    <t xml:space="preserve">Registered 2 mentoring staff to attend the ASQ3 and ASQ: SE2 Train the Trainer 3 day Virtual training on April 23-25th. The reach of this activity would be for two mentors to attend the Train the trainer event and then train 28 child care programs on the Ages and Stages Assessment kit and materials that were purchased in Quarter one. Training date will be in Quarter 3. The board did not make adjustments to the original expenditure plan. </t>
  </si>
  <si>
    <t xml:space="preserve">Provided 11 child care programs with materials and equipment to enhance the quality of care in the preschool and school age classrooms by providing them with developmentally appropriate and culturally sensitive materials and equipment that is specific to children ages three to five. The reach of this activity would be for eleven child care programs to enhance the quality of care by providing developmentally appropriate, culturally sensitive materials to classrooms for children ages three to five. The impact would be for the eleven child care programs to achieve a higher star level at Initial Assessment. The eleven child care programs are: Brentwood Learning Academy, Busy Bees Day Care, Santa Rita Learning Academy, Steady Steps Weekday Children's Ministry, Pumpkin Patch Preschool, Southwest Children's Academy, Claudia's Creative Child Care Center, Early-Redwine Child Care Center, Little Coconuts Learning Center, Kountry Tyme Academy and TLC Kids Way. The board did not make adjustments to the original expenditure plan. </t>
  </si>
  <si>
    <t xml:space="preserve">Provided 19 After School Programs with an Outdoor Activity Cart with equipment to enhance the quality of care for school aged children. The reach of this activity would be for 19 school age programs to provide opportunities for school age children with outdoor materials that are developmentally appropriate and designed to keep the children actively engaged. The impact would be for the After School programs to achieve a higher star level at Initial Assessment by providing materials and equipment that is specific to school aged children. The After School Programs are: YMCA of San Angelo CDC, San Angelo YMCA-Alta Loma, San Angelo YMCA-Austin, San Angelo YMCA-Belaire, San Angelo YMCA-Bonham, San Angelo YMCA-Bowie, San Angelo YMCA-Bradford, San Angelo YMCA-Crockett,  San Angelo YMCA-Day, San Angelo YMCA-Fannin, San Angelo YMCA-Ft. Concho, San Angelo YMCA-Glenmore, San Angelo YMCA-Goliad, San Angelo YMCA-Holiman, San Angelo YMCA-Lamar, San Angelo YMCA-McGill, San Angelo YMCA-Rio Vista, San Angelo YMCA-Santa Rita and San Angelo YMCA-Downtown. (One is reserved in case a new After School program joins CCS). The board did not make adjustments to the original expenditure plan. </t>
  </si>
  <si>
    <t xml:space="preserve">Provided 5 child care programs with Frog Street Press Curriculum for infant and toddler classrooms. The reach of this activity would be for five child care programs to enhance their quality of infant and toddler care, by providing research based, age appropriate curriculum that is geared specifically toward infants and toddlers. The impact would be for the represented child care programs receive a higher Star rating at Initial Certification. The board did not make adjustments to the original expenditure plan. The five child care programs are: Early Redwine Childcare Center, Kidz Are Us Learning Center, Grace Temple Child Development Center, Santa Rita Learning Academy and Brentwood Learning Academy. </t>
  </si>
  <si>
    <t>The measurable outcome would be for practitioners to implement the developmentally appropriate curriculum within the classrooms, resulting in a higher Initial Texas Rising Star Assessment score. Santa Rita Learning Academy rates as a Texas Rising Star Three-Star at Initial Certification. 10% of the 50 child care programs goal has been reached in Quarter 3.  (overall 90% of the child care programs goal has been reached in Quarter 2 and 3 for this activity category).</t>
  </si>
  <si>
    <t>Provided University Early Learning with Teaching Strategies Curriculum for infant and toddlers. The selected curriculum provides research based, age appropriate curriculum. The reach of this activity would be to 20 infant and toddler aged children to have a developmentally appropriate curriculum that is geared specifically toward infants and toddlers. The impact would be for the represented child care program to receive a higher Star level at Initial Certification. The board did not make adjustment to the original expenditure plan. (Served 1 program)</t>
  </si>
  <si>
    <t>The measurable outcome would be for practitioners to implement the developmentally appropriate curriculum within the classrooms, resulting in a higher Initial Texas Rising Star Assessment score. 1% of the 50 child care programs goal has been reached in Quarter 3. (overall 90% of the child care programs goal has been reached in Quarter 2 and 3 for this activity category).</t>
  </si>
  <si>
    <t>Provided Christine Unger's home care and Willow Tree Preschool with infant and toddler aged classroom materials and equipment to improve the quality of care. The reach of this activity is for children to have developmentally, age appropriate materials and equipment to enhance the quality of care. The impact would be for the represented child care programs to receive a higher Star level at Initial Certification. The board did not make adjustments to the original expenditure plan. (2 programs assisted)</t>
  </si>
  <si>
    <t>The measurable outcome would be for practitioner to use and implement the materials and equipment to provide a higher quality of care, resulting in a higher Initial Texas Rising Star Assessment score. Willow Tree Preschool rates as a Texas Rising Star Two-Star at Initial Certification. 2% of the 50 child care programs goal has been reached in Quarter 3. (overall 90% of the child care programs goal has been reached in Quarter 2 and 3 for this activity category).</t>
  </si>
  <si>
    <t xml:space="preserve">Provided a professional development training opportunity over Child Abuse and Neglect and Child Sex Trafficking to participants, representing three child care programs. The reach of this activity was to provide practitioners with pertinent information best practice and protocols to provide a higher quality of care by being able to recognize the signs of child abuse and neglect or the signs of Child Sex trafficking. The impact of this activity would be for the represented child care programs to attain professional development that meets the requirements of Child Care Regulations and Texas Rising Star Guidelines. The board did not make adjustments to the original expenditure plan. </t>
  </si>
  <si>
    <t xml:space="preserve">The measurable outcome would be for the 13 participants to receive additional professional development clock hours as required by Child Care Regulation and Texas Rising Star. Participants were awarded 5 hours of professional development. 20% of the 65 participant goal for PD has been reached in Quarter 3.  (overall 62% of the child care programs goal has been reached in Quarter 2 and 3 for this activity category). </t>
  </si>
  <si>
    <t xml:space="preserve">2 Texas Rising Star staff members have attended 5 out of the 6 offered PLC groups offered this quarter to assist mentoring staff with best practices, engagement activities and peer feedback. mentors have been in attendance and videos have been submitted. The reach of this activity is for Texas Rising Star staff to attain new skills to better assist the child care programs within our region. The impact would be for all eligible child care programs to become Texas Rising Star Certified by the 9/30/2024 deadline.  </t>
  </si>
  <si>
    <t>The measurable outcome would be for 2 Texas Rising Star staff to assist eligible child care programs in attaining Texas Rising Star Certification by 9/30/2024. Outcome data is TBD regarding child care program Texas Rising Star initial assessment.</t>
  </si>
  <si>
    <t>Provided classroom materials and equipment to Willow Tree Preschool (28- 3 to 5 yr. olds)and University Learning Center (41-3 to 5 yr. olds) to enhance the quality of care for all children, ages 3-5 years old by providing age appropriate, developmentally appropriate materials and equipment to enhance the quality of care. The reach of this activity would be for children ages three-five years old to have developmentally and age appropriate materials in the classrooms. The impact would be for the represented child care programs to receive a higher Star level at Initial Certification. The board did not make adjustments to the original expenditure plan. (Assisted 2 programs)</t>
  </si>
  <si>
    <t>The measurable outcome would be for the child care programs to attain a higher Star level rating at Initial Texas Rising Star Certification. Willow Tree Preschool rates as a Texas Rising Star Two-Star at Initial Certification. 2% of the 50 child care programs goal has been reached in Quarter 3.  (overall 90% of the child care programs goal has been reached in Quarter 2 and 3 for this activity category).</t>
  </si>
  <si>
    <t>Provided Grace Temple Child Development Center with Frog Street Press Three's and Pre-K curriculum to enhance the quality of care for children ages 3-5 years old by providing a research-based, developmentally appropriate curriculum in the classroom. The reach of this activity would be for 31 children ages 3-5 years to have a developmentally and age appropriate curriculum and materials in the classroom. The impact would be for the represented child care program to receive a higher Star level at Initial Certification. The board did not make adjustments to the original expenditure plan. (Assisted 1 program)</t>
  </si>
  <si>
    <t>The measurable outcome would be for practitioners to implement the developmentally appropriate curriculum within the classrooms, resulting in a higher Initial Texas Rising Star Assessment score.  1% of the 50 child care programs goal has been reached in Quarter 3.  (overall 90% of the child care programs goal has been reached in Quarter 2 and 3 for this activity category).</t>
  </si>
  <si>
    <t>Provided University Early Learning Center with outdoor materials and equipment to enhance the quality of care for children 18 months and up. The reach of this activity would be for 41 children ages 18 months and up to utilize the outdoor materials and equipment to enhance the quality of care. The impact of this activity would be for the represented child care program to receive  higher Star level at Initial Certification. The board did not make adjustments to the original expenditure plan. (1 program assisted)</t>
  </si>
  <si>
    <t>The measurable outcome would be for practitioners to use and implement the outdoor materials and equipment to provide a higher quality of care, resulting in a higher Initial Texas Rising Star Assessment score.  1% of the 50 child care programs goal has been reached in Quarter 3.  (overall 90% of the child care programs goal has been reached in Quarter 2 and 3 for this activity category).</t>
  </si>
  <si>
    <t>Purchased 15 ASQ Screener Kits for Early Learning Programs who participated in our training for 15 programs</t>
  </si>
  <si>
    <t>Once Early Learning Program completes the Introductory ASQ training, they receive kits to administer the screeners in their program The Board has a goal of supporting 20 programs with ASQ screeners. The 15 served this quarter is 75% of projected goal.</t>
  </si>
  <si>
    <t xml:space="preserve">Stabilization Grant. Stipends awarded to 541 providers while working toward being Texas Rising Star. 541 Programs received $2,000 to $4,700. </t>
  </si>
  <si>
    <t>Business Finance Training- Zoom 1.5 hours for 30 providers.</t>
  </si>
  <si>
    <t>Training on Physical Development-In-person 2 hours for 34 participants</t>
  </si>
  <si>
    <t>Training on Professional Well-Being - Zoom 2 hours for 49 participants</t>
  </si>
  <si>
    <t>Training: Supporting Children with Disabilities- Zoom 2 hours to 29 participants</t>
  </si>
  <si>
    <t>Provided Early Learning Program with content to work with children of different abilities</t>
  </si>
  <si>
    <t>Training: Leadership in Early Childhood Programs- In person 2 hours for 29 participants</t>
  </si>
  <si>
    <t>Business Training: Developing Calendars - Zoom 2 hours for 32 participants</t>
  </si>
  <si>
    <t>Provided Early Learning Programs with samples of calendars to improve record keeping</t>
  </si>
  <si>
    <t>Training: Intensive Parent Engagement- Virtual  4 hours for 8 participants</t>
  </si>
  <si>
    <t>Provided Early Learning Programs in developing a logic model to follow to increase parent engagement in their facility</t>
  </si>
  <si>
    <t>Training: Differentiated Instruction- Special Needs Adaptations  - Zoom 2 hours provided to 38 participants</t>
  </si>
  <si>
    <t>Training: Support for Children's Regulations- In person 2 hours provided to 4 participants</t>
  </si>
  <si>
    <t>Provided strategies to use with children with challenging behaviors</t>
  </si>
  <si>
    <t>Training: Business Training: Planning Calendars- Zoom 1.50 hours provided to 22 participants</t>
  </si>
  <si>
    <t>Supporting Early Learning Programs in developing monthly calendars for facilities</t>
  </si>
  <si>
    <t>Training: NAEYC Annual Conference In person training for 4 individuals</t>
  </si>
  <si>
    <t>Training: Language Facilitation Training- Zoom 2 hours provided to 6 individuals</t>
  </si>
  <si>
    <t>Training: Business Training: Owners Pay- Zoom 1.50 hours provided to 24 individuals</t>
  </si>
  <si>
    <t>Provided a guide for Early Learning Programs to be able to calculate their annual pay</t>
  </si>
  <si>
    <t>Training: Business Training: Finance Basics &amp; Budgets-Zoom 1.50 hours provided to 28 individuals</t>
  </si>
  <si>
    <t>Provided Early Learning Program with budget templates</t>
  </si>
  <si>
    <t>Training: Language Facilitation Training In-person 2 hours provided to 12 individuals</t>
  </si>
  <si>
    <t>Training: Business Training- Payroll Zoom 1.50 hours provided to 9 individuals</t>
  </si>
  <si>
    <t>Provided Early Learning Programs with strategies to use in developing a payroll schedule</t>
  </si>
  <si>
    <t>Training- ASQ Enterprise Zoom 1.50 hours. This was a training that was delivered to the Early Learning Programs and they did receive an ASQ Screener kit &amp; and access to complete the Developmental screener for the children in their care. This was provided for 1 director.</t>
  </si>
  <si>
    <t>Provided knowledge and training to receive director credentials and maintain licensing requirements</t>
  </si>
  <si>
    <t>CDA Credential support provided to 9 individuals</t>
  </si>
  <si>
    <t>Provided a $300 stipend to 1 teacher for obtaining her CDA through CLI Engage ECDA Program</t>
  </si>
  <si>
    <t>Outdoor Enhancement Awards- provided playground materials for home &amp; centers 34 homes and 32 centers</t>
  </si>
  <si>
    <t>To provide educational materials for playgrounds for Early Learning Programs</t>
  </si>
  <si>
    <t>Initiative: LENA Essential Language Kits. Provided Language Classroom supplemental material to support the teachers who completed the 5 week LENA Cycle (materials only) This was awarded to 10 programs.</t>
  </si>
  <si>
    <t>Purchased Inclusion materials and resources for 2 programs for Inclusion Specialists</t>
  </si>
  <si>
    <t>Specialist  will use materials for center observations</t>
  </si>
  <si>
    <t>Jan, Feb, Mar 2024 Staff salaries, benefits, and travel included 19 Texas Rising Mentors and 1 Business Coach, 1 Inclusion Specialist and 1 Texas Rising Star Program Managers, 1 Texas Rising Star Support Staff, 1 Quality Initiatives Manger, and the Director of Child Care Quality.</t>
  </si>
  <si>
    <t>1 Quality Initiative Coach attended the CLASS Forum in San Antonio, TX- October</t>
  </si>
  <si>
    <t>1 Quality Initiative Manager attended the CDA Conference in Houston, TX0 October</t>
  </si>
  <si>
    <t>Provided ASQ Screener Kits to 3 early learning programs</t>
  </si>
  <si>
    <t>In Q2, our board received partnership with three early learning programs to complete our goal of 20 early learning programs providing ASQ Screeners in their programs.  Meeting our goal at 100%.</t>
  </si>
  <si>
    <t>Provided CPR classes for early learning programs 2.29 &amp; 3.2.24  (in-person) to 35 early learning programs</t>
  </si>
  <si>
    <t>CPR classes offered to early learning programs to receive certification</t>
  </si>
  <si>
    <t xml:space="preserve">Provided Infant/Toddler Care training 1.18.24 &amp; Shaping Your Environments for Effective Learning 2.10.24 (Total in-person= 27) &amp; Inclusive Play for Infants &amp; Toddlers 1.31.24 (Total Virtual= 158)  </t>
  </si>
  <si>
    <t>In Q2 we exceeded our goal of 150 teachers resulting in a completion rate of 123% of I/T training.</t>
  </si>
  <si>
    <t>Hosted Focus Group for program evaluation 1.30.2024 The business coach hosted a focus group for directors and owners to hear what business operations and future training topics they would like the Board to focus on for the upcoming quarter. This was not a training. This was a zoom meeting. 32 individuals attended</t>
  </si>
  <si>
    <t>We exceeded our goal of 20 early learning programs participation, achieving 160%.</t>
  </si>
  <si>
    <t>Business Training on a variety of topics for 523 early learning staff</t>
  </si>
  <si>
    <t>The board has exceeded their goal of 500 early learning program in Q2 in business operation topics 100%.</t>
  </si>
  <si>
    <t>Pre-Service Training in partnership with Educational First Steps (January) for 15 early learning staff</t>
  </si>
  <si>
    <t xml:space="preserve">In Q2, our board has completed 30 % of our goal of reaching 50 participants and increasing the workforce with trained new staff. </t>
  </si>
  <si>
    <t>Texas Rising Star training on categories 1-4 by mentors for 248 early learning staff</t>
  </si>
  <si>
    <t>In Q2, we have achieved 41% by supporting early learning programs with CQIPs.</t>
  </si>
  <si>
    <t>Provided DISC training for 27 Texas Rising Star/Quality staff (in-person)</t>
  </si>
  <si>
    <t>100% of our team completed professional development on communication &amp; styles to support their early learning programs.</t>
  </si>
  <si>
    <t>Provided Monthly ASQ Training for early learning programs for 3 early learning staff</t>
  </si>
  <si>
    <t>Provided developmental screening training, completed goal at 100%. Seventeen (17) early learning program completed training in Q1 and three (3) completed in Q2 resulting in the board achieving 100% of this goal.</t>
  </si>
  <si>
    <t>Provided Money Management Business training with SCORE for 41 early learning program staff 2.21.2024</t>
  </si>
  <si>
    <t>25% of this goal was met by hosting a partnership with SCORE for Business Development</t>
  </si>
  <si>
    <t>Purchased 35 sets of CDA books for teachers enrolled in the ECDA courses on CLI Engage</t>
  </si>
  <si>
    <t>Purchased books were distributed to training participants to increase their business operation practices. Goal met at 100%.</t>
  </si>
  <si>
    <t>Tuition for BAS (8), AAS (27), and Certificate program (3) students / 1 attained BAS (3 unduplicated from the 35 CDA books provided above)</t>
  </si>
  <si>
    <t>Total enrollments attained - 40% BAS, 50% AAS, and 60% certificate programs</t>
  </si>
  <si>
    <t>Tuition for CDA enrollment (26) and Credential attainment (6)</t>
  </si>
  <si>
    <t>19% of total enrollments and 13% of credential attainment</t>
  </si>
  <si>
    <t>Region 10 provided 6 sessions on a variety of topics to early learning programs (March 2024)</t>
  </si>
  <si>
    <t>Our progress rate is 39% of our goal (150 participants). Additional trainings scheduled in Q3.</t>
  </si>
  <si>
    <t>Renewed the Kindermusik Curriculum for awarded providers for 2nd year/refresher training for 30 early learning programs</t>
  </si>
  <si>
    <t>100% of awarded early learning programs received renewed Music curriculum &amp; refresher training.</t>
  </si>
  <si>
    <t>Mental Health First Aid 1.20.2024 in partnership with United Way provided for 11 early learning programs</t>
  </si>
  <si>
    <t>The Board exceeded the goal of 10 early learning programs participating.</t>
  </si>
  <si>
    <t>Administrative Credential Courses in partnership in with Camp Fire for 40 early learning staff</t>
  </si>
  <si>
    <t>This program is actively running.  Results will be reported at the conclusion of the cohort.</t>
  </si>
  <si>
    <t>Texas Rising Star New Provider &amp; Recertification Awards (Lakeshore) Educational Materials provided for 40 early learning programs</t>
  </si>
  <si>
    <t xml:space="preserve">87% of this initiative was met.  There were 46 eligible early learning programs; 40 actually applied for the award. </t>
  </si>
  <si>
    <t>Child Care License Provider Conference Partnership of Educational Materials &amp; Printing Materials &amp; securing the facility for the scheduled April 6, 2024 conference. The conference attendance was 500 individuals.</t>
  </si>
  <si>
    <t>100% of this goal was met.</t>
  </si>
  <si>
    <t>Purchased The Basics Child Care Business Books for 51 early learning staff.</t>
  </si>
  <si>
    <t>100% of teachers enrolled in ECDA program received purchased books for the course. 7% of this goal in Q2 is being met.</t>
  </si>
  <si>
    <t>Jan, Feb, Mar 2024 Staff salaries, benefits, and travel included 19 Texas Rising Mentors and 1 Business Coach, 1 Inclusion Specialist and 2 Texas Rising Star Program Managers, 1 Texas Rising Star Support Staff, 1 Quality Initiatives Manger, 1 Quality Initiative Coordinator, and the Director of Child Care Quality.</t>
  </si>
  <si>
    <t>The FTEs provided support to Entry Level Designated and Star Level Designated programs.  475 providers received site visits during this quarter. This includes classroom observations, virtual and in-person visits, business coaching, onboarding in an effort to increase assessment readiness for Early Learning Providers.</t>
  </si>
  <si>
    <r>
      <t xml:space="preserve">13 new Texas Rising Star Providers received a monetary Award for May 2024. The Texas Rising Star New Provider Award supports early learning programs who have attained a Star Level </t>
    </r>
    <r>
      <rPr>
        <b/>
        <sz val="12"/>
        <rFont val="Calibri"/>
        <family val="2"/>
        <scheme val="minor"/>
      </rPr>
      <t>Certification</t>
    </r>
    <r>
      <rPr>
        <sz val="12"/>
        <rFont val="Calibri"/>
        <family val="2"/>
        <scheme val="minor"/>
      </rPr>
      <t>. Each program received $1,000 to $8,500 based on Texas Rising Star star level and number of children the program is licensed for, for a total of $68,000.
This monetary award is provided with the intent of the programs reinvesting into their program to support an increase in star level or maintain its current star level. Examples may include, but are not limited to, achieving CQIP goals, providing stipends to staff, paying for classroom items, conferences for employees, etc.</t>
    </r>
  </si>
  <si>
    <t xml:space="preserve">100% of this initiative was met.  There were 13 eligible Early Learning Programs; all applied &amp; received for the award. </t>
  </si>
  <si>
    <t>Purchased CPR Pocket Masks for 100 participants from 25 programs attending each CPR class</t>
  </si>
  <si>
    <t>In Q3, 100 % of this goal was met.  All participants received this initiative.</t>
  </si>
  <si>
    <t>Provided (in-person) CPR Classes to 67 individuals: May 4th, 11th, 13th and June 18th, 24th &amp; 29th, 2024</t>
  </si>
  <si>
    <t>CPR classes are offered to early learning programs to receive minimum standards requirements.</t>
  </si>
  <si>
    <t>Provided Infant Toddler training in a 5 part series to 135 individuals by Quality Initiative Manager (virtual)</t>
  </si>
  <si>
    <t>In Q3 the board has completed 100% of our goal of reaching 10 early learning programs with professional development through the Infant Toddler Specialist Network.</t>
  </si>
  <si>
    <t>Business training on a variety of topics (virtual) held monthly had 135 attendees</t>
  </si>
  <si>
    <t>The board has exceeded their goal of 500 Early Learning Program in Q2 in business operation topics 100%</t>
  </si>
  <si>
    <t xml:space="preserve">Pre-Service Training with Partner Educational First Steps was provided to 27 individuals </t>
  </si>
  <si>
    <t xml:space="preserve">In Q3, our board has completed 84% of our goal of reaching 50 participants and increasing the workforce with trained new staff. </t>
  </si>
  <si>
    <t>Provided "How to Supervise Bad Attitudes &amp; Negative Behaviors" Training for Texas Rising Star/ Quality Staff (in-person) for 26 individuals</t>
  </si>
  <si>
    <t>In Q3, the board completed 100% of our team completed professional development on communication &amp; styles to support their Early Learning Programs.</t>
  </si>
  <si>
    <t>Provided "Buying into a Shared Mission" training for Texas Rising Star &amp; Quality Staff  (in-person) for 15 individuals</t>
  </si>
  <si>
    <t>Provided "How to Deliver Exceptional Customer Service" training for Texas Rising Star/ Quality Staff (in-person) for 21 individuals</t>
  </si>
  <si>
    <t>Provided "Professional &amp; Personal Dilemmas &amp; How to Avoid Them" training for Texas Rising Star/ Quality Staff (in-person) for 17 individuals</t>
  </si>
  <si>
    <t>Purchased ASQ Activity Books for ASQ Conference scheduled for August 17, 2024 for 100 attendees</t>
  </si>
  <si>
    <t>Goal- all attendees will receive books at the conference scheduled for August 17, 2024</t>
  </si>
  <si>
    <t>Provided Monthly ASQ Training for programs (in-person) for 14 individuals</t>
  </si>
  <si>
    <t>Provided developmental screening training, completed goal at 100%. In , Seventeen (17) Early Learning Program completed training in Q1 and three (3) completed in Q2 resulting in the board achieving 100% of this goal.</t>
  </si>
  <si>
    <t>Partner: Region 10 provided 3 trainings on a variety of topics to programs for 49 individuals</t>
  </si>
  <si>
    <t>Our progress rate is 71% of our goal (150 participants). Additional training is scheduled in Q4.</t>
  </si>
  <si>
    <t>Provided Administrative Credential Courses in partnership with CampFire for 24 individuals</t>
  </si>
  <si>
    <t>In Q3, the board has met 59% of goal (41 participants) earning their directors credentials.</t>
  </si>
  <si>
    <t>Provided over 24 hours of professional development to programs on a variety of early childhood topics from partners (Frog Street, Lakeshore, 1st 3 Years) (virtual &amp; in-person)- 403.  
Hosted and provided 5.50 hours of professional development at our 1st Pedagogy Conference in June 22, 2024- 63; 
Texas Rising Star training on categories 1-4 by mentors- 80</t>
  </si>
  <si>
    <t xml:space="preserve">In Q3, the board has completed 109% of this goal (500 providers) providing professional development.  The Pedagogy Conference is completed. The board has exceeded their goal. </t>
  </si>
  <si>
    <t>April, May, and June 2024 Staff salaries, benefits, and travel included 19 Texas Rising mentors and 1 Business Coach, 1 Inclusion Specialist, 2 Texas Rising Star Program Managers, 1 Texas Rising Star Support Staff, 1 Quality Initiatives Manger, 1Quality Initiatives Coordinator, and the Director of Child Care Quality, and 1 Senior Success Coach.(28 Total)</t>
  </si>
  <si>
    <t>The 28 FTEs provided support to Entry Level Designated and Star Level Designated programs. 1,413 site visits were conducted during this quarter. This includes classroom observations, virtual and in-person visits, business coaching, onboarding in an effort to increase assessment readiness for Early Learning Providers.</t>
  </si>
  <si>
    <t>Purchased Outdoor Enhancements for Outdoor training on June 1, 2024, for 2 child care programs</t>
  </si>
  <si>
    <t>In Q3, the board completed 100% of this initiative.  Enhancement educational materials were provided to the first 20 early learning programs who registered and attended the training.</t>
  </si>
  <si>
    <t>Provide equipment necessary to keep children safe while in care (AEDs) 20 AEDs were purchased 1 Child Care center received an AED upon Texas Rising Star certification- remaining 19 are still pending certification by CAE</t>
  </si>
  <si>
    <t>The board has reached 5% of the goal to serve 20 programs with AEDs.</t>
  </si>
  <si>
    <t>First Aid/CPR Training provided to  35 child care staff</t>
  </si>
  <si>
    <t>35 child care staff members received First Aid/CPR training as required by Child Care Regulation. This is 17.5% of the Board's goal to have 200 providers CPR/First Aid certified in FY24.</t>
  </si>
  <si>
    <t>Provide materials, equipment, and resources to assist in meeting Texas Rising Star requirements including but not limited to classroom furniture, Developmentally appropriate learning materials, curriculum, outdoor equipment, gross motor equipment and resource books for infants and toddlers (20 centers and homes)</t>
  </si>
  <si>
    <t>Texas Rising Star centers/homes obtained a higher star level Learning, retained their star level Learning, or prepared to become Texas Rising Star. This is 22% of the Board's goal to supply approximately 90 child care centers/homes with equipment and materials in FY24.</t>
  </si>
  <si>
    <t>Texas Rising Star mentors provided training on topics specific to Texas Rising Star measures (104 child care staff)</t>
  </si>
  <si>
    <t xml:space="preserve"> 104 child care staff members received training hours on topics relevant to Texas Rising Star. This is 16% of the Board's goal to support 650 staff with training opportunities.</t>
  </si>
  <si>
    <t>TXAEYC Conference-child care providers attended the TXAEYC Conference in Round Rock (Board paid for hotel and registration fees) 48 child care staff attended the annual TXAEYC conference to obtain required training hours</t>
  </si>
  <si>
    <t>to obtain required training hours</t>
  </si>
  <si>
    <t>Staff Salaries and benefits for Texas Rising Star mentors/assessors will provide mentoring for centers  interested in becoming Texas Rising Star and existing centers who wish to maintain or increase their Texas Rising Star star level Learning. (87 child care centers/homes)</t>
  </si>
  <si>
    <t>Actual YTD: 55%
Texas Rising Star Certified Centers-2023-2024: 100%
Goal has changed due to mandatory Texas Rising Star</t>
  </si>
  <si>
    <t>Provided materials, equipment, and resources to assist in meeting Texas Rising Star requirements including but not limited to: classroom furniture, Developmentally appropriate learning materials, curriculum, outdoor equipment, gross motor equipment and resource books (20 centers and homes)</t>
  </si>
  <si>
    <t>Texas Rising Star centers/homes obtained a higher star level Learning, retained their star level Learning, or prepared to become Texas Rising Star. This is 22% of the Board's goal to supply approximately Learning 90 child care centers/homes with equipment and materials in FY24.</t>
  </si>
  <si>
    <t>Provide equipment necessary for Texas Rising Star centers/homes to upload all required documentation into CLI Engage (scanners) 65 child care centers/homes</t>
  </si>
  <si>
    <t>TXAEYC Conference-Texas Rising Star Staff attended the TXAEYC Conference in Round Rock 4 Texas Rising Star Mentors attended the annual TXAEYC conference to obtain required training hours</t>
  </si>
  <si>
    <t>First Aid/CPR Training was provided to 69 child care staff</t>
  </si>
  <si>
    <t>69 child care staff members received First Aid/CPR training as required by Child Care Regulation. This is 35% of the Board's goal to have 200 providers CPR/First Aid certified in FY24.</t>
  </si>
  <si>
    <t>Provide equipment necessary to keep children safe while in care (AEDs) 20 AEDs were purchased  1 Child Care center received an AED upon Texas Rising Star certification-remaining 18 are still pending certification by CAE</t>
  </si>
  <si>
    <t>This activity is ongoing and yet to be determined</t>
  </si>
  <si>
    <t>Provide real items to assist in meeting Texas Rising Star requirements solely for infants and toddlers as required by measure P-ILE-05 (90 centers and homes)</t>
  </si>
  <si>
    <t>Texas Rising Star centers/homes obtained a higher star level, retained their star level, or prepared to become Texas Rising Star. This is 100% of the Board's goal to supply approximately 90 child care centers/homes with equipment and materials in FY24.</t>
  </si>
  <si>
    <t>Provide materials, equipment, and resources to assist in meeting Texas Rising Star requirements including but not limited to classroom furniture, developmentally appropriate learning materials, curriculum, outdoor equipment, gross motor equipment and resource books solely for infants and toddlers (2 centers and homes)</t>
  </si>
  <si>
    <t>Texas Rising Star centers/homes obtained a higher star level, retained their star level, or prepared to become Texas Rising Star. This is 22% of the Board's goal to supply approximately 90 child care centers/homes with equipment and materials in FY24.</t>
  </si>
  <si>
    <t>Staff salaries and benefits for Texas Rising Star mentors will provide mentoring for centers/homes interested in becoming Texas Rising Star and existing centers who wish to maintain or increase their Texas Rising Star star level. This mentoring will be specific to Infants &amp; Toddlers.  (82 child care centers/homes)</t>
  </si>
  <si>
    <t>Actual YTD: 56%
Texas Rising Star Certified Centers-2023-2024: 100%
Goal has changed due to mandatory Texas Rising Star</t>
  </si>
  <si>
    <t>Provide reimbursement of fees for child care centers to obtain National Accreditation through NAEYC for 2 child care centers going through the National Accreditation process</t>
  </si>
  <si>
    <t xml:space="preserve">
2% of the child care providers in Deep East Texas have began the Accreditation process</t>
  </si>
  <si>
    <t>Texas Rising Star mentors provided training on topics specific to Texas Rising Star measures (140 child care staff)</t>
  </si>
  <si>
    <t>56% of child care centers/homes received training on topics relevant to Texas Rising Star</t>
  </si>
  <si>
    <t>Scholarships given to child care providers to obtain CDA- the scholarship paid for an online class for each participant to obtain required hours through a local junior college (reimbursements were paid to the child care provider or the center/home the provider is employed by)</t>
  </si>
  <si>
    <t>13 of 24 (54%) child care providers currently enrolled through a local junior college to obtain their CDA completed the online class- These providers should graduate by September 2024</t>
  </si>
  <si>
    <t>5 Scholarships given to child care providers to obtain CDA- the scholarship paid for the CDA assessment for each participant</t>
  </si>
  <si>
    <t xml:space="preserve">5 child care providers were assessed by the CDA Council to obtain their CDA  during the 2nd quarter
A total of 14 child care providers have received their CDA
</t>
  </si>
  <si>
    <t>Provide real items to assist in meeting Texas Rising Star requirements solely for Preschool and School-Age children as required by measure P-ILE-05 (90 centers and homes)</t>
  </si>
  <si>
    <t>Staff salaries and benefits for Texas Rising Star mentors will provide mentoring for centers/homes interested in becoming Texas Rising Star and existing centers who wish to maintain or increase their Texas Rising Star star level. (82 child care centers/homes)</t>
  </si>
  <si>
    <t>Provide materials that encourage 500 families to spend time together at home.  The materials in the backpacks are educational with simple instruction, books, toys, manipulatives, and online resources a parent needs to excel at home with their child.  The backpacks meet Texas Rising Star measures that all classrooms are encouraged to engage children in while in the child care facility and encourage their families to do at home.  Family Engagement Event was held on Saturday, April 13. 13 of the 82 child care centers/homes in our Board area participated in the planning and execution of this event- Each center had a booth at the event
Flyers were made to encourage families from all centers/homes to attend</t>
  </si>
  <si>
    <t xml:space="preserve"> 200 children were given family engagement backpacks
40% of the attendance goal was met for this event
More expenditures will be reported in Quarter 3</t>
  </si>
  <si>
    <t>First Aid/CPR Training provided to 69 child care staff at 54 programs</t>
  </si>
  <si>
    <t>69 child care staff members received First Aid/CPR training as required by Child Care Regulation for this quarter (158 total for the year). This is 79% of the Board's goal to have 200 providers CPR/First Aid certified in FY24.</t>
  </si>
  <si>
    <t>Actual YTD certified: 56%
Texas Rising Star Certified Centers-2023-2024: 100%
Goal has changed due to mandatory Texas Rising Star</t>
  </si>
  <si>
    <t>Provide materials, equipment, and resources to assist 11 programs in meeting Texas Rising Star requirements including but not limited to classroom furniture, developmentally appropriate learning materials, curriculum, outdoor equipment, gross motor equipment and resource books solely for infants and toddlers</t>
  </si>
  <si>
    <t>Texas Rising Star centers/homes obtained a higher star level, retained their star level, or prepared to become Texas Rising Star. This is 53% of the Board's goal to supply approximately 83 child care centers/homes with equipment and materials in FY24.</t>
  </si>
  <si>
    <t>Educational Incentives were given to 18 child care staff who obtained their CDA</t>
  </si>
  <si>
    <t>18 Child Care staff received an incentive for obtaining their CDA, this is approximately 82% of the staff who have received a CDA thus far.</t>
  </si>
  <si>
    <t>NAEYC Bootcamp- Board held a 2-day training for any provider interested in becoming Nationally Accredited; 12 attendees</t>
  </si>
  <si>
    <t xml:space="preserve">12 of 83 providers attended the Bootcamp to learn about National Accreditation </t>
  </si>
  <si>
    <t>Scholarships given to 9 child care staff to obtain CDA- the scholarship paid for the CDA assessment for each participant</t>
  </si>
  <si>
    <t xml:space="preserve">9 child care providers were assessed by the CDA Council to obtain their CDA  during the 3rd quarter
A total of 22 child care providers have received their CDA, this is approximately 73% of the Board's goal.
</t>
  </si>
  <si>
    <t>Provide materials, equipment, and resources to 7 child care programs to assist in meeting Texas Rising Star requirements including but not limited to classroom furniture, developmentally appropriate learning materials, curriculum, outdoor equipment, gross motor equipment and resource books</t>
  </si>
  <si>
    <t>Texas Rising Star centers/homes obtained a higher star level, retained their star level, or prepared to become Texas Rising Star. This is 33% of the Board's goal to supply approximately 83 child care centers/homes with equipment and materials in FY24.</t>
  </si>
  <si>
    <t>Provided a facility, materials, and other items that encourage 200 families to spend time together at home.  Don Monopoly performed children's songs and encouraged families to dance/sing together.  Family Engagement Event was held on Saturday, April 13. 13 of the 82 child care centers/homes in our Board area participated in the planning and execution of this event- Each center had a booth at the event.  Board provided each center with a table and two chairs.  Various vendors brought items for families to enjoy time together.</t>
  </si>
  <si>
    <t xml:space="preserve"> An estimated number of 500 attendees were planned for this event.
40% of the attendance goal was met for this event
</t>
  </si>
  <si>
    <t>Purchased health equipment for 2 Early Learning Programs</t>
  </si>
  <si>
    <t>Early Learning Program directors report issues corrected at 2 programs</t>
  </si>
  <si>
    <t>Purchased camera system for 1 Early Learning Program</t>
  </si>
  <si>
    <t>Director report Security system cameras showing clear observations of classrooms and outdoor environments</t>
  </si>
  <si>
    <t>Purchased  equipment for 1 Infant Toddler playground</t>
  </si>
  <si>
    <t>100% Infant and Toddler classes at Early Learning Program utilize playground to increase outdoor experiences  meet P-OLE_5 a minimum of 3 days a week</t>
  </si>
  <si>
    <t>Purchased 13 Infant Toddler curriculum sets for 13 programs</t>
  </si>
  <si>
    <t>Mentors observe at least 80% infant and toddler rooms utilizing curriculum to meet P-PM-03</t>
  </si>
  <si>
    <t>Purchased classroom equipment/materials for Infant/Toddler classrooms in  11 Early Learning Programs</t>
  </si>
  <si>
    <t>Environments in infant/toddler questions will meet 80% of the measures assessed</t>
  </si>
  <si>
    <t>Various trainings were provided by Texas Rising Star and Baker Ripley staff to 222 Early Learning Program staff</t>
  </si>
  <si>
    <t>80 % of staff attending trainings utilizing resources and information received in classrooms</t>
  </si>
  <si>
    <t>Training registration fees for 9 Early Learning Program staff reimbursed</t>
  </si>
  <si>
    <t>100% of staff receiving training utilize knowledge in classrooms or as directors and will meet or exceed annual training requirements.</t>
  </si>
  <si>
    <t>Purchased equipment for 1 PreK playground</t>
  </si>
  <si>
    <t>PreK playground assessment scores for 1 Early Learning Program will increase from previous assessment</t>
  </si>
  <si>
    <t>Purchased 10 PreK curriculum sets for 10 programs</t>
  </si>
  <si>
    <t>80% of PreK classes will show use of curriculum through lesson plans and observations.</t>
  </si>
  <si>
    <t>Purchased classroom equipment/materials for PreK classrooms in 13 Early Learning Programs</t>
  </si>
  <si>
    <t>Environments in PreK classrooms will meet 80%  of the measures assessed</t>
  </si>
  <si>
    <t>Awarded new program  monetary incentives to 13 Early Learning Programs beginning the Texas Rising Star process</t>
  </si>
  <si>
    <t xml:space="preserve">13 Early Learning Programs began process utilizing funding to purchase items needed to </t>
  </si>
  <si>
    <t>5 Texas Rising Star staff attended Frog Street curriculum train the Trainer training.</t>
  </si>
  <si>
    <t>all 5 staff will train or be able to answer questions from Early Learning Programs mentored</t>
  </si>
  <si>
    <t>Purchased  equipment for 2 Infant-Toddler playgrounds</t>
  </si>
  <si>
    <t>Infant and Toddler classes at early learning programs utilize playground to increase outdoor experiences  meet P-OLE_5 a minimum of 3 days a week This accounts for 1% of the Board's goal to provide equipment and materials to 175 programs.</t>
  </si>
  <si>
    <t>Purchased  17 I/T curriculum sets for 17 Early Learning Programs</t>
  </si>
  <si>
    <t>Mentors observe at least 80% infant and Toddler classrooms utilizing curriculum to meet P-PM-03</t>
  </si>
  <si>
    <t>Purchased equipment/materials for 45 infant or toddler classrooms in 22 Early Learning Programs</t>
  </si>
  <si>
    <t>Environments in 45 infant/toddler classrooms will meet 80% of the measures assessed. This activity accounts for 12.5% of the Board's goal to provide equipment and materials to 175 programs.</t>
  </si>
  <si>
    <t>Training registration fees reimbursed for 4 staff from 1 Early Learning Program</t>
  </si>
  <si>
    <t>Various trainings were provided by Texas Rising Star and Baker Ripley staff to 219 Early Learning Program staff</t>
  </si>
  <si>
    <t>80% of staff attending trainings utilizing resources and training knowledge in classrooms</t>
  </si>
  <si>
    <t>Purchased 18 pre k curriculum sets for18 Early Learning Programs</t>
  </si>
  <si>
    <t>80% of PreK classes will show use of curriculum through lesson plans and mentor observations. This activity accounts for 8.7% of the Board's goal to provide equipment/materials/curriculum to 205 programs.</t>
  </si>
  <si>
    <t>Purchased equipment/materials for 46  classrooms in 21 Early Learning Programs</t>
  </si>
  <si>
    <t>Environments in 46  classrooms will meet 80% of the measures assessed. This activity accounts for 10.2% of the Board's goal to provide equipment/materials/curriculum for 205 programs.</t>
  </si>
  <si>
    <t>Purchased equipment for 1 Early Learning Program pre K playground</t>
  </si>
  <si>
    <t>PreK playground scores for 1 early learning program will increase from previous assessment</t>
  </si>
  <si>
    <t>Awarded new program monetary incentives to 3 early learning programs beginning the Texas Rising Star process</t>
  </si>
  <si>
    <t>3 early learning programs began process utilizing incentive to purchase items needed to meet classroom environment measures</t>
  </si>
  <si>
    <t>Paid salaries and benefits for 6 Texas Rising Star staff</t>
  </si>
  <si>
    <t>100% Texas Rising Star staff compensated for mentoring  caseloads averaging 38 early learning program</t>
  </si>
  <si>
    <t>Reimbursed mentor visit travel for 2 mentors</t>
  </si>
  <si>
    <t>Two mentors use POVs to travel to early learning programs; reimbursed for mileage.</t>
  </si>
  <si>
    <t>Replaced broken materials, tables, chairs and sleeping mats posing health and safety hazards in 4 classrooms of 1 early learning program.</t>
  </si>
  <si>
    <t>100% of  health and safety issues in the 4 classrooms no longer exist.</t>
  </si>
  <si>
    <t>Purchased equipment/materials for 6 infant or toddler classrooms in 3 programs</t>
  </si>
  <si>
    <t xml:space="preserve">Environments in 6 infant/toddler classrooms will meet 80% of the measures assessed. </t>
  </si>
  <si>
    <t>Purchased 8 cribs to add to original 5 to be installed in new infant classroom to increase the capacity for up to 13 slots in 1 program.</t>
  </si>
  <si>
    <t>Infant capacity at 1 Early Learning Program will increase infant enrollment by up to 13</t>
  </si>
  <si>
    <t>Texas Rising Star staff provided Interaction, child development, Texas Rising Star measures, health and safety, and classroom management trainings to 450 child care program staff</t>
  </si>
  <si>
    <t>Training registration fees reimbursed for 6 staff from 4 programs</t>
  </si>
  <si>
    <t>100% Texas Rising Star staff compensated for mentoring  caseloads averaging 38 Early Learning Program</t>
  </si>
  <si>
    <t>Two mentors use POVs to travel to Early Learning Programs; reimbursed for mileage.</t>
  </si>
  <si>
    <t>Purchased equipment /materials for 5 PreK classrooms in 2 programs</t>
  </si>
  <si>
    <t>Environments in 5 PreK classrooms will meet 80% of measures assessed.</t>
  </si>
  <si>
    <t>Purchased equipment for 1 program pre K playground</t>
  </si>
  <si>
    <t>PreK playground scores for 2 PreK classes in 1 Early Learning Program will increase from previous assessment</t>
  </si>
  <si>
    <t>Awarded new program monetary incentives to 18 programs beginning the Texas Rising Star process</t>
  </si>
  <si>
    <t>18 early learning programs began process utilizing incentive to purchase items needed to meet classroom environment measures</t>
  </si>
  <si>
    <t xml:space="preserve">Awarded 112 staff of 9 new Three- or Four-Star programs bonus of up to $100 per staff -total allowed $1500 per program  </t>
  </si>
  <si>
    <t>100% of staff involved in initial Early Learning Program assessment received bonus for achieving a 3 or Four-Star rating</t>
  </si>
  <si>
    <t>Professional development was offered on Oct. 28 on the topic of Managing Temper
Tantrums by Prerna Richards. Cost of the training was $1,400. 6 directors, 9 teachers (15 total)</t>
  </si>
  <si>
    <t>Measurable outcomes include a 10% reduction in Child Care Regulation deficiencies related to appropriate supervision of children and an increase in quality teacher-child interactions</t>
  </si>
  <si>
    <t>Texas Rising Star mentors offered training on understanding the CARF and FARF. Training was held on
Oct. 30, 2023 as a Peer Learning Community (PLC). The impact of the training is that more directors have been able to complete their required paperwork. 40 directors</t>
  </si>
  <si>
    <t>Measurable outcomes include one center applying for certification.</t>
  </si>
  <si>
    <t>Texas Rising Star mentors offered training on understanding the CARF and FARF. Training was held on
Nov. 29, 2023 at the main YMCA campus in Victoria. 12 site directors, 2 child care directors, 20 teachers</t>
  </si>
  <si>
    <t xml:space="preserve">34
</t>
  </si>
  <si>
    <t>Measurable outcomes include a 25% increased understanding of the Texas Rising Star requirements and an increased teacher understanding of classroom expectations.</t>
  </si>
  <si>
    <t>Training was offered on Dec. 5, 2023 as a Peer Learning Community (PLC). Trainer was Vickie Maertz. Topic was Professional Goal setting. Planners will be purchased to correlate with the training. Planners will be received and distributed at a later date. 22 center directors</t>
  </si>
  <si>
    <t>Measurable outcomes include a 10% increase in meeting deadlines set by Texas Rising Star mentors.</t>
  </si>
  <si>
    <t>Texas Rising Star mentors offered training on understanding the CARF. Training was held on Dec. 20, 2023 at coastal Kids Daycare. 2 directors, 7 teachers, 1 parent</t>
  </si>
  <si>
    <t>Measurable outcomes include an increased understanding of compliance towards Texas Rising Star certification categories 1 and 3.</t>
  </si>
  <si>
    <t>Ages and Stages Questionnaire starter kits were purchased for providers wishing to use the Ages and Stages Questionnaire developmental screener. Total expenditure was $3,428.08 
We passed out 13 of the 14 kits that were in office (previously acquired and in possession of the Board in the office) and purchased an additional 10, for a total of 24 kits, 23 disbursed. 
21 have been distributed.</t>
  </si>
  <si>
    <t>Measurable outcomes include a 10% increase in the number of Early Childhood Intervention referrals received as a means to identify and address developmental delays in the children at these programs.</t>
  </si>
  <si>
    <t>Ages and Stages Questionnaire materials kits were purchased for the providers who will be using the Ages and Stages Questionnaire screener. These kits include all the items necessary to administer the Ages and Stages Questionnaire. Total expenditure was 2950.00. Ten kits were purchased and eight delivered.</t>
  </si>
  <si>
    <t xml:space="preserve">Measurable outcomes include a 10% use of the Ages and Stages Questionnaire kits in the initial year, beginning June 2024.  </t>
  </si>
  <si>
    <t>Vickie Maertz- Training was offered on Jan 20th, the topic was Special Needs. Cost of the training was $700.00 There were 9 directors and 12 teachers in attendance.</t>
  </si>
  <si>
    <t>Measurable outcomes will include 10% of attendees utilizing strategies taught for Special Needs students. Mentors will observe strategies being used in the classrooms.</t>
  </si>
  <si>
    <t xml:space="preserve">Training was offered on the purpose and implementation of the ASQ. Training was provided by Board Staff on Jan. 30th. Training was offered during a center director PLC. There were 32 directors in attendance. 
</t>
  </si>
  <si>
    <t>Measurable outcomes include a 10% increase in the number of ECI referrals received as a means to identify and address developmental delays in the children at these programs.</t>
  </si>
  <si>
    <t>Training was offered by Rachel Parsons in a center director PLC on February 13th. Topic of training was Leadership/ Supervision of Staff. The cost was $700.00. There were 35 directors in attendance.</t>
  </si>
  <si>
    <t xml:space="preserve">Measurable outcomes include an increase of center staff remaining employed. Mentors will review Children's Learning Institute data. </t>
  </si>
  <si>
    <t xml:space="preserve">Professional development was offered on Managing Tantrums by Prerna Richards on February 24. Training was offered to all teaching staff. The cost was $1400.00. There were 11 directors and 35 teachers in attendance. 
</t>
  </si>
  <si>
    <t xml:space="preserve">Measurable outcomes include a 10% decrease in Child Care Regulation deficiencies related to supervision and care of children.  Mentors will review the screening form for cited deficiencies. </t>
  </si>
  <si>
    <t>Vickie Maertz offered training on March 16th, the topic was Sensory Modulation in the Classroom. The cost was $750.00. There were 5 directors and 18 teachers in attendance.</t>
  </si>
  <si>
    <t xml:space="preserve">Measurable outcomes include an increase of positive interactions with children in the classrooms. Mentors will observe classroom interactions based on Category 2 of the CARF. </t>
  </si>
  <si>
    <t>Prerna Richards offered training on March 23rd, the topic was play based interactions. The cost was $1400.00. There were 9 directors and 19 teachers in attendance.</t>
  </si>
  <si>
    <t xml:space="preserve">Measurable outcomes include the  28 staff in attendance will be able to engage students in appropriate play based interactions which will increase scores on the Texas Rising Star assessment. </t>
  </si>
  <si>
    <t>Social emotional kits and training were provided to 43 early learning programs.</t>
  </si>
  <si>
    <t>Texas Rising Star Category 2- increase retention of Texas Rising Star programs</t>
  </si>
  <si>
    <t>Fifteen collapsible wagons were purchased for the YMCA sites to be used to transport materials from a central location at the site to the area where children are present at the school site. All were delivered by March.</t>
  </si>
  <si>
    <t xml:space="preserve">Measurable outcomes include all 15 utilizing the wagons to increase the number of centers and activities offered at the site. </t>
  </si>
  <si>
    <t xml:space="preserve">The Board employed three Texas Rising Star mentors until one resigned at the beginning of March.  They had a case load of approximately. 20 centers each, now they have 30 each. The Professional Learning Communities continue regularly. </t>
  </si>
  <si>
    <t>Measurable outcome was an increase of 2 centers becoming Texas Rising Star certified at Four-Star. In Q2 there was an increase of 4 programs submitted for assessment. This is  0.06% of the Boards goal by the end of FY24</t>
  </si>
  <si>
    <t xml:space="preserve">LifeVac anti-choking devices were distributed to 3 of our new centers. </t>
  </si>
  <si>
    <t xml:space="preserve">Measurable outcomes: 3 LifeVacs were distributed in quarter 3. We are at 100% of the Board's goal for FY24. Quarter 4 we should have 2 more providers with contracts. </t>
  </si>
  <si>
    <t xml:space="preserve">Training was offered June 8th. on Frog Street curriculum for infants and toddlers provided by Frog Street trainers in person to ensure that teachers are using the curriculum to its fullest extent.  The cost of the training was $3,999.00. There were 26 infant/toddler teachers in attendance in the morning and 21 three &amp; Pre-K teachers in the afternoon. </t>
  </si>
  <si>
    <t>Measurable outcomes for the use of Frog Street curriculum include an 10% increase in centers' Texas Rising Star scores in Category 3, P-PM-03 mentors will monitor CAE assessments.</t>
  </si>
  <si>
    <t>Frog street curriculum was purchased for 4 new providers and an additional 2 infant kits for 2 additional programs.  Total for the bundles and extra infant kits was 28,883.65. Infant/Toddler expense was 22,965.46 (total of 6 programs were assisted)</t>
  </si>
  <si>
    <t xml:space="preserve">Measurable outcomes for the use of Frog Street curriculum include an 10% increase in centers' Texas Rising Star scores in Category 3, P-PM-03 mentors will monitor classrooms for use. </t>
  </si>
  <si>
    <t>Approved a grant application from 1 center expanding infant and/or toddler slots. Also approved grant applications for 6  programs adding enhancements to their classrooms, such as circle rugs, rockers, cribs, etc.. The total paid out in Q3 was $5,500; assisted a total of 7 programs</t>
  </si>
  <si>
    <t xml:space="preserve">Measurable outcomes include the increase of  10% enhancements to infants and toddler classrooms.  Two more centers will  increase infant/toddler slots in quarter 4. </t>
  </si>
  <si>
    <t xml:space="preserve">Training was offered on April 5th for all directors to meet with Child Care Regulations. Texas Rising Star mentors and Child Care Regulation are working together to help ensure all centers hear the same message. </t>
  </si>
  <si>
    <t xml:space="preserve">Measurable outcomes will be a decrease in deficiencies reported by Child Care Regulation. mentors will monitor the points in CLI. </t>
  </si>
  <si>
    <t xml:space="preserve">Training was offered on April 6th for all providers in the Golden Crescent to meet with Child Care Regulations. Texas Rising Star mentors and Child Care Regulation are working together to help ensure all centers hear the same message. </t>
  </si>
  <si>
    <t xml:space="preserve">Training was offered by Rachel Parsons in a center director Peer Learning Community (PLC) on April 16th. The training topic was Program Management techniques . The cost was $700.00. There were 27 directors in attendance. </t>
  </si>
  <si>
    <t xml:space="preserve">Measurable outcome all 27 directors increase knowledge of leadership and management skills to retain staff. mentors will monitor/observe staff on site visits. </t>
  </si>
  <si>
    <t xml:space="preserve">Training was offered on May 18th to all Home Daycares in the Golden Crescent.  Texas Rising Star mentors and Child Care Regulation are working together to help ensure all programs hear the same message. </t>
  </si>
  <si>
    <t>Training was offered by Rachel Parsons in a center director Peer Learning Community (PLC) on May 21st. The training topic was Financial Management. The cost was $700.00. There were  20 directors in attendance.</t>
  </si>
  <si>
    <t xml:space="preserve">Measurable outcomes we have had an increase of 16% of recoupments because of the awareness of the importance of directors reviewing their payment proofs. </t>
  </si>
  <si>
    <t xml:space="preserve">Training was offered by Rachel Parsons in a center director Peer Learning Community (PLC)on June 18th. The training topic was Self Care. The cost was $700.00. There were 16 directors in attendance in person and 2 directors joined by Zoom. </t>
  </si>
  <si>
    <t>Measurable outcome will be an increase of positive attitude towards Texas Rising Star.  The 18 directors indicated by survey they have a more positive reflection of the importance of self care through out the Texas Rising Star process. mentors will monitor changes in quarter 4.</t>
  </si>
  <si>
    <t xml:space="preserve">We employed two Texas Rising Star mentors until we hired one more June 3rd.  They have a case load of approx. 30 centers each until our new hire completes her CLI modules for mentor training.  The Professional Learning communities continue regularly. </t>
  </si>
  <si>
    <t>Measurable outcome was an increase of 2 centers becoming Texas Rising Star certified at Three-Star.  This is  10% of the Boards goal by the end of FY24. 6 out of 61 center.  In Q3 there was an increase of 18 programs submitted for assessment.</t>
  </si>
  <si>
    <t xml:space="preserve">Provided virtual and face-to-face training sessions to 164 teachers working with infants and toddlers.  </t>
  </si>
  <si>
    <t>Outreach families and provide consumer education materials and consultations about selecting high quality infant and toddler care.</t>
  </si>
  <si>
    <t>Provide virtual and face-to-face training sessions to providers on Texas Rising Star (Texas Rising Star) specific content (categories). 327 participants trained in Q1</t>
  </si>
  <si>
    <t>Of the 327 individuals trained in Q1, 89% of total respondents reported skills gained from training sessions (target 90%). Goal of 2,500 providers.</t>
  </si>
  <si>
    <t>Provide virtual and face-to-face training sessions to providers serving Children w/ Disabilities and/or challenging behaviors. 41 Participants</t>
  </si>
  <si>
    <t>Of the 41 individuals trained in Q1, 89% of total respondents reported skills gained from training sessions (target 90%). Goal of 200 providers.</t>
  </si>
  <si>
    <t>Provide hours of mentoring support to providers offering care to children with disabilities and challenging behaviors. 58 hours of mentoring support was delivered to 41 individuals</t>
  </si>
  <si>
    <t>Increased mental health supports and coping strategies to teachers serving children with disabilities and those with behavior challenges. Goal of 485 mentoring hours. Q1 = 12% of goal.</t>
  </si>
  <si>
    <t>Provided cash incentives to 444 programs for maintaining or increasing Texas Rising Star  level Learning/certification.</t>
  </si>
  <si>
    <t>Cash incentives to 500 providers for maintaining or increasing their Texas Rising Star  level Learning/certification; this will early Learning Program increase retention of Texas Rising Star programs. 89% of the goal of 500 was reached this quarter.</t>
  </si>
  <si>
    <t>Provide consumer education resources and referrals to 497 families looking for child care options throughout the region.</t>
  </si>
  <si>
    <t>Consumer education resources to 31,000 families for increased awareness of quality child care options provided by Texas Rising Star programs.</t>
  </si>
  <si>
    <t xml:space="preserve">Provide family engagement activities to 333 families with children enrolled in Texas Rising Star and Entry level Learning Designated programs
</t>
  </si>
  <si>
    <t>Increased opportunities to engage 1,050 families in Entry level Learning Designated and Texas Rising Star programs through participation in family engagement activities.</t>
  </si>
  <si>
    <t>Provided face-to-face and live virtual training sessions to 333 teachers working with infants and toddlers.</t>
  </si>
  <si>
    <t>Of the 219 individuals trained during Q2. 89% of total respondents reported skills gained from training sessions on post training surveys.</t>
  </si>
  <si>
    <t>Outreached to 75 families and provide consumer education materials and consultations about selecting high quality infant and toddler care.</t>
  </si>
  <si>
    <t>20% of the goal of 500 families receiving infant and toddler consumer education has been met. Additional families outreached with infant and toddler consumer education will be provided in Q3 and Q4.</t>
  </si>
  <si>
    <t>Provided face-to-face and live virtual training sessions to 1116 providers on Texas Rising Star  specific content (categories).</t>
  </si>
  <si>
    <t>Of the 1,116 individuals trained during Q2, 88% of total respondents reported skills gained from training sessions on post training surveys.</t>
  </si>
  <si>
    <t xml:space="preserve">Provided face-to-face and live virtual training sessions to 90 providers serving Children w/ Disabilities and/or challenging behaviors. </t>
  </si>
  <si>
    <t>Of the 90 individuals trained in person during Q2, 90% of total respondents reported skills gained from training sessions on post training surveys.</t>
  </si>
  <si>
    <t xml:space="preserve">Provided CDA course training (face-to-face and virtual) to 86 Entry Level Designated and/or Texas Rising Star providers </t>
  </si>
  <si>
    <t>Outcome to be determined. Additional teachers will be enrolled in the 3rd quarter.</t>
  </si>
  <si>
    <t>Provided scholarships for CDA assessments/renewals and early childhood college courses to 79 providers in an effort to increase the number of teachers with CDA credentials and college course credits.</t>
  </si>
  <si>
    <t>Outcome to be determined; based on completion of college course and CDA credentials.</t>
  </si>
  <si>
    <t xml:space="preserve">Provided scholarships for early education conferences to 75 child care providers. </t>
  </si>
  <si>
    <t xml:space="preserve">30% of the  goal of 200 providers receiving scholarships for early education conferences has been met in Q2. </t>
  </si>
  <si>
    <t>CCM Activity: Provided virtual (live) professional development, leadership seminars; and online webinars to 5,000 professionals and community organizations providing support to elementary-aged children participating in afterschool and out of school time (OST) activities in the region.  1,169 individuals attend live sessions &amp; 167 attended online self-paced webinars. (1336 total)</t>
  </si>
  <si>
    <t xml:space="preserve">On post training surveys, 90.63% of the 1,169 attendees who attended live sessions in Q2 strongly agreed that the trainings had meaningful application for their professional work. </t>
  </si>
  <si>
    <t>Provided stipends to 31 providers for the achievement of milestones - Professional Learning Communities (PLC's), CDA and college course completions</t>
  </si>
  <si>
    <t>To be determined. Additional stipends will be provided at the end of the semester as when professional development courses and PLC's have been completed.</t>
  </si>
  <si>
    <t xml:space="preserve">Provided mentoring supports to providers offering care to children with disabilities and challenging behaviors. 163 hours of mentoring offered to 90 individuals 
</t>
  </si>
  <si>
    <t>Increased mental health supports and coping strategies to teachers serving children with disabilities and those with behavior challenges. For Q2,  46% of the goal of 485 hours has been achieved.</t>
  </si>
  <si>
    <t>CCM Activity: Purchased afterschool classroom materials  and resources to support 5 child care providers' existing technological advancement and social emotional learning activities for after schoolers.</t>
  </si>
  <si>
    <t>5 of 10 programs received classroom resources with the desired outcome of increasing youth participation and exposure to technological advancement activities by least 5%.</t>
  </si>
  <si>
    <t>Provided consumer education resources and referrals to 15,878 families looking for child care options.</t>
  </si>
  <si>
    <t>50% of the goal of 31,000 families receiving information about available child care options in the region has been met in Q2.</t>
  </si>
  <si>
    <t xml:space="preserve">Provided family engagement activities to 657 families in Texas Rising Star and Entry Level Designated programs
</t>
  </si>
  <si>
    <t>60% of the goal of 1,050 two-gen family engagement activities within child care programs has been met in Q2.</t>
  </si>
  <si>
    <t xml:space="preserve">Provided TECPDS support to 336 child care programs participating in Texas Rising Star. </t>
  </si>
  <si>
    <t xml:space="preserve">Increased support to providers using the TECPDS platform.  60% of the goal to support 500 with TECPDS resources has been reached in Q2. Board will review TECPDS reports at end of fiscal year to determine the increase records added to the system. </t>
  </si>
  <si>
    <t>Salaries, travel and benefits for 42 staff</t>
  </si>
  <si>
    <t>Supporting 1879 Texas Rising Star and Entry Level Designated programs.</t>
  </si>
  <si>
    <t xml:space="preserve">125 classrooms within 47 programs who participate in children with disabilities services received classroom resources. </t>
  </si>
  <si>
    <t>63% of goal  to provide resources to 200 classrooms serving children with disabilities was attained in Q3. Additional materials to support children with disabilities will be provided in Q4.</t>
  </si>
  <si>
    <t xml:space="preserve">Texas Rising Star personnel (mentoring time) provided 197 hours of mentoring supports to 100 providers offering care to children with disabilities and challenging behaviors. 
</t>
  </si>
  <si>
    <t>Increased mental health supports and coping strategies to teachers serving children with disabilities and those with behavior challenges. For Q3,  86% of the goal of 485 hours has been achieved with the addition of 197 mentoring hours and support to 100 providers.</t>
  </si>
  <si>
    <t>329 preschool teachers completed child assessments in their classrooms in 139 programs. This was Circle Progress Monitoring in classrooms serving preschoolers.  Support included implementation and next steps once screenings were complete (i.e. data driven instruction and communication with parents)</t>
  </si>
  <si>
    <t>This activity has met 82% of the Board's goal to support 500 teachers with these screenings.</t>
  </si>
  <si>
    <t xml:space="preserve">Provided face-to-face and live virtual training sessions to 599 participants who serve Children w/ Disabilities and/or challenging behaviors. </t>
  </si>
  <si>
    <t xml:space="preserve"> 599 providers received training to support children with disabilities this quarter. The fiscal goal of 200 providers trained has been exceeded.</t>
  </si>
  <si>
    <t>CCM Activity: In partnership with the Out2Learn Network,  CASE for Kids employs the nationally validated Youth Program Quality Intervention as a way to impact quality in afterschool settings. 13 programs are participating.</t>
  </si>
  <si>
    <t>Survey results on the effectiveness of the project and impact on quality for these 13 programs will be available in Quarter 4.</t>
  </si>
  <si>
    <t>279 infant and toddler teachers completed developmental screenings for children in their classrooms. mentors supported 279 teachers in 116 programs with completing the CLI Developmental Checklist in classrooms serving infants and toddlers.</t>
  </si>
  <si>
    <t>This activity has met 29% of the goal to support 400 early learning programs.</t>
  </si>
  <si>
    <t>19 classrooms received infant and toddler specific materials to support learning.</t>
  </si>
  <si>
    <t>Materials were provided to staff in 19 classrooms to support implementation of Infant Toddler Foundations trainings for immediate implementation. Only 10% of goal was met, we will continue to provide these materials to classrooms in Q4 to achieve the goal of 200 classrooms.</t>
  </si>
  <si>
    <t>Provided face-to-face and live virtual training sessions to 276 teachers working with infants and toddlers.</t>
  </si>
  <si>
    <t>Of the 400 goal, 276 individuals were trained during Q3. 90% of total respondents reported skills gained from training sessions on post training surveys.</t>
  </si>
  <si>
    <t>Provided outreach to 197 families and provide consumer education materials and consultations about selecting high quality infant and toddler care.</t>
  </si>
  <si>
    <t>62% of the goal of 500 families receiving infant and toddler consumer education has been met. Additional families outreached with infant and toddler consumer education will be provided in Q4.</t>
  </si>
  <si>
    <t>15 programs received reimbursement toward national accreditation fees</t>
  </si>
  <si>
    <t>15 programs who promote high-quality early learning experiences through national accreditation received reimbursement fees. 30% of goal to support 50 providers was met in Q3.</t>
  </si>
  <si>
    <t>Provided incentive grants to 8 early learning programs with current or new formal partnerships with ISD or charter school</t>
  </si>
  <si>
    <t>Provided cash incentives to 8 programs participating in existing pre-k partnerships. The goal to provide incentives to 6 programs was met.</t>
  </si>
  <si>
    <t>Provided stipends to 188 providers for achievement of milestones - Professional Learning Communities (PLC's), CDA and college course completions</t>
  </si>
  <si>
    <t xml:space="preserve">188 of the goal to provide stipends to 850 providers was attained in Q3. </t>
  </si>
  <si>
    <t>Provided face-to-face and live virtual training sessions to 1786 individuals on Texas Rising Star  specific content (categories).</t>
  </si>
  <si>
    <t>With a goal of 2,500 people trained for the year, an additional 1,786 individuals were trained during Q3, with 90% of total respondents reported skills gained from training sessions on post training surveys.</t>
  </si>
  <si>
    <t xml:space="preserve">Provided scholarships for early education conferences to 50 child care individuals. </t>
  </si>
  <si>
    <t>50 early education conference scholarships were provided in Q3.  The goal for FY24 is to provide 200 conference scholarships.</t>
  </si>
  <si>
    <t>CCM Activity: Provided virtual (live) professional development, leadership seminars; and online webinars to 665 professionals and community organizations providing support to elementary-aged children participating in afterschool and out of school time (OST) activities in the region.  665 individuals attend live sessions &amp; 229 attended online self-paced webinars.</t>
  </si>
  <si>
    <t xml:space="preserve">The goal to train 5,000 individuals in FY24 is ongoing. 665 attended training this quarter with 90% of the participants who attended live sessions indicating that the trainings had meaningful application for their professional work. </t>
  </si>
  <si>
    <t>Offered Peer Learning Community (PLC) sessions to 202 early learning practitioners and administrators.</t>
  </si>
  <si>
    <t>Provided 202 training sessions to early learning program practitioners and administrators who are employed at a childcare program in the Gulf Coast region in Q3.</t>
  </si>
  <si>
    <t xml:space="preserve">Provided CDA course training (face-to-face and virtual) to 114 Entry Level Designated and/or Texas Rising Star providers </t>
  </si>
  <si>
    <t xml:space="preserve">Our annual goal to provide CDA training to 200 participants has been met. This quarter, 114 additional  people were enrolled in and attended the CDA course.  </t>
  </si>
  <si>
    <t>Provided scholarships for CDA assessments/renewals and early childhood college courses to 79 providers in an effort to improve the number of teachers with CDA credentials and college course credits.</t>
  </si>
  <si>
    <t>Outcome to be determined; based on completion of college course and CDA credentials in Q4. Goal is to provide 250 educational scholarships for FY24</t>
  </si>
  <si>
    <t xml:space="preserve">Provided TECPDS support to 651 child care programs participating in Texas Rising Star. </t>
  </si>
  <si>
    <t xml:space="preserve">The goal to support 500 with TECPDS resources has been reached in Q3. Board will review TECPDS reports at end of fiscal year to determine the increase records added to the system. </t>
  </si>
  <si>
    <t>Salaries, travel and benefits for 44 staff</t>
  </si>
  <si>
    <t>mentors support provided to 1,855 Texas Rising Star and Entry Level-designated programs</t>
  </si>
  <si>
    <t>Provided classroom materials to 678 Texas Rising Star certified and Entry Level programs.</t>
  </si>
  <si>
    <t>678 (68%)of programs who are Entry Level Designated (ready to be assessed) and those who are Texas Rising Star certified providers received classroom materials. The goal is to provide classroom materials to 1,000 providers.</t>
  </si>
  <si>
    <t>CCM Activity: Purchased afterschool classroom materials  and resources to support 25 child care providers' existing technological advancement and social emotional learning activities for after schoolers.</t>
  </si>
  <si>
    <t>Additional 25 programs received classroom resources with the desired outcome of increasing youth participation and exposure to technological advancement activities by least 5%. The goal to provide materials to 10 afterschool classrooms was exceeded.</t>
  </si>
  <si>
    <t>Provided cash incentives to 131 programs for maintaining or increasing Texas Rising Star certification</t>
  </si>
  <si>
    <t>131 programs received that maintained their Texas Rising Star certification received a cash incentive in Q3. The annual goal of 500 was exceeded.</t>
  </si>
  <si>
    <t>Provided consumer education resources and referrals to 11,344 families looking for child care options.</t>
  </si>
  <si>
    <t>89% of the annual goal to provide 31,000 families with information about quality child care options in the region has been met in Q3. 11,344 families receive information in Q3.</t>
  </si>
  <si>
    <t xml:space="preserve">Provided family engagement activities to 447 families in Texas Rising Star and Entry Level Designated programs
</t>
  </si>
  <si>
    <t>The annual goal to provide 1,050 families with learning activities within child care programs has been met in Q3. An additional 447 families participated in learning activities this quarter.</t>
  </si>
  <si>
    <t xml:space="preserve">Provided three child care programs with materials and equipment for infant and toddler classrooms to enhance the quality of care. The reach of the activity is for three child care programs to provide a better quality of care by providing quality educational materials and equipment that is specific to infant and toddler care. The impact would be for the three child care programs to achieve a higher star level at Initial Assessment. The three child care programs are: Little Coconuts Learning Center, Steady Steps Weekday Children's Ministry, and Kountry Tyme Academy.  The board did not make adjustments to the original expenditure plan. </t>
  </si>
  <si>
    <t>The measurable outcome would be for three child care programs to attain a higher star level at Initial Texas Rising Star Certification. 6% of the 50 child care programs goal has been reached in Quarter 2 (overall 60% of the child care programs goal has been reached in Quarter 2 for this activity category).</t>
  </si>
  <si>
    <t>CPR/First Aid Safety Training (board hosted)(fees paid by participant)  teachers 54 teachers</t>
  </si>
  <si>
    <t>Supporting compliance with Child Care Regulation (CCR) requirements for health and safety. Decrease in number deficiencies cited by CCR. Increase in number of Early Learning Programs qualifying for Entry level Learning Texas Rising Star participation.  Decrease in the number of Licensing deviancies cited by CCR. Verified by quarterly CCR screenings.</t>
  </si>
  <si>
    <t>Purchased Infant and Toddler  Frog Street Curriculum 5 Entry Level classrooms and 4 Texas Rising Star Classrooms</t>
  </si>
  <si>
    <t>Increase in Texas Rising Star participation and/or certified star level Learnings; Increase in retention of Texas Rising Star certified programs (9 early learning programs)</t>
  </si>
  <si>
    <t>Training Infant and Toddler Guidelines (Infant toddler teachers) 25 attended</t>
  </si>
  <si>
    <t>Ages and Stages (ASQ-3) Comprehensive training topics included the importance of Developmental screening, how to administer, score, interpret, and when to make referrals as well as understanding the role of parents in the ASQ-3 screening process. Participants were infant/ toddler teachers and administrators of Early Learning Programs. 40 teachers/directors</t>
  </si>
  <si>
    <t>Pre and Post training results-Knowledge gained. Increase in use of Developmental screenings. Early identification of Developmental disabilities in children and increase in number of referrals to ECI. Increase in family engagement.</t>
  </si>
  <si>
    <t>Social Emotional Training 29 teachers</t>
  </si>
  <si>
    <t>Pre and Post training results-Knowledge gained. Increase in Texas Rising Star participation and/or Star level Learning. Decrease in number of licensing deficiencies cited by Child Care Regulation.</t>
  </si>
  <si>
    <t>CDA training-Building your CDA Professional Portfolio 30 teachers</t>
  </si>
  <si>
    <t>Increase in Texas Rising Star participation and/or certified star level Learnings; Increase in retention of Texas Rising Star certified programs. Increase in the number of early childhood program educators attaining CDA</t>
  </si>
  <si>
    <t>Provided grant to Early Learning Programs to attend TXAEYC Conference 52 teachers/directors</t>
  </si>
  <si>
    <t>Hosted Minimum Standards Training provided by Child Care Regulation staff 58 directors</t>
  </si>
  <si>
    <t>Virtual Coffee Chat for Program Directors 33 attended</t>
  </si>
  <si>
    <t>TECPDS Training 17 directors</t>
  </si>
  <si>
    <t>Training Pre-K Guidelines (preschool teachers) 33 attended</t>
  </si>
  <si>
    <t>Staff salaries and benefits for staff to provide technical assistance and mentoring to early learning programs to support obtaining, maintaining, or increasing star level Learning within Texas Rising Star</t>
  </si>
  <si>
    <t>Increase in Texas Rising Star participation and/or certified star level Learnings; Increase in retention of Texas Rising Star certified programs</t>
  </si>
  <si>
    <t>Texas Rising Star Mentor completed Infant Toddler Specialist Certification</t>
  </si>
  <si>
    <t>Increase in Texas Rising Star participation and/or certified star level Learnings; Increase in retention of Texas Rising Star certified programs.</t>
  </si>
  <si>
    <t xml:space="preserve">LENA Grow-Completed 5-week sequence. 5 classrooms in 5 early learning programs -41 children
Renewed contract with LENA Grow for 10 more classrooms.                                                                            </t>
  </si>
  <si>
    <t>At the end of a LENA Grow 5-week sequence, 41 infants and toddlers in 5 classrooms had a 19% increase in the number of conversational turns.</t>
  </si>
  <si>
    <t>CPR/First Aid Safety Training (board hosted)(fees paid by participants)  66 teachers</t>
  </si>
  <si>
    <t>Supporting compliance with Child Care Regulation (CCR) requirements for health and safety. Decrease in number deficiencies cited by CCR. Increase in number of early learning programs qualifying for Entry Level Texas Rising Star participation.  Decrease in the number of Licensing deviancies cited by CCR. Verified by quarterly CCR screenings.</t>
  </si>
  <si>
    <t>Purchased 9 Infant and Toddler Frog Street Curriculum -5  Infant/4 Toddler, assisted 9 early learning programs</t>
  </si>
  <si>
    <t>Increase in Texas Rising Star participation and/or certified star levels; Increase in retention of Texas Rising Star certified programs</t>
  </si>
  <si>
    <t>Ages and Stages (ASQ-3) Training: Scoring and Interpreting Results 30 attended</t>
  </si>
  <si>
    <t>Frog Street Infant/ Toddler Curriculum Implementation Training  74 attended</t>
  </si>
  <si>
    <t xml:space="preserve">Increase in Texas Rising Star participation and/or certified star levels. More results in next quarter as training and on-site mentoring will ensure the curriculum is being used with fidelity and increase the effectiveness in the classrooms. </t>
  </si>
  <si>
    <t>Infant Toddler Specialist Network Training 147 attended</t>
  </si>
  <si>
    <t>Providing support to individuals to become Infant/Toddler Specialists through CLI.</t>
  </si>
  <si>
    <t>Frog Street 3 yr. old Implementation Training  22 attended</t>
  </si>
  <si>
    <t>Hosted Minimum Standards Training provided by Child Care Regulation staff 48 attended</t>
  </si>
  <si>
    <t>Virtual Coffee Chat for Program Directors 71 attended</t>
  </si>
  <si>
    <t xml:space="preserve">Increase in the number of Program Directors participation in collaborative learning and business development. </t>
  </si>
  <si>
    <t>TECPDS Training for Administrators 20 attended</t>
  </si>
  <si>
    <t>Pre and Post training results-Knowledge gained. Increase in Texas Rising Star participation and/or Star Level. Decrease in number of licensing deficiencies cited by Child Care Regulation.</t>
  </si>
  <si>
    <t>School-Age STEM Training -28 teachers attended</t>
  </si>
  <si>
    <t>To assist Programs in meeting Texas Rising Star requirements</t>
  </si>
  <si>
    <t>Purchased Learning Materials to support LENA Grow for 1 classroom in 5 programs</t>
  </si>
  <si>
    <t>Data provided by LENA will show sustainable increases in the quality and quantity of talk with children. It will also show similar results in improved classroom quality, and increased early literacy and school readiness.</t>
  </si>
  <si>
    <t>Purchased 11 Pre-K and 3 year old Frog Street Curriculum for 11 programs</t>
  </si>
  <si>
    <t>Purchased School-Age STEM Classroom Curriculum 50 kits purchased for 35 programs</t>
  </si>
  <si>
    <t>Staff salaries and benefits for staff to provide technical assistance and mentoring to 108 early learning programs to support obtaining, maintaining, or increasing star level within Texas Rising Star</t>
  </si>
  <si>
    <t>5 Texas Rising Star Mentors participated in monthly Mentor Micro-Credential PLCs.</t>
  </si>
  <si>
    <t>Increase in mentor skills, job satisfaction, and engagement. Career Advancement.</t>
  </si>
  <si>
    <t>Virtual Infant Toddler Training topic: Parent Engagement; 25 in attendance</t>
  </si>
  <si>
    <t>Registered Apprenticeship Program 11 in cohort 1, 18 in cohort 2</t>
  </si>
  <si>
    <t>Cohort 1 will be graduating on August 20 having earned a CDA and a Level 1 Certificate.</t>
  </si>
  <si>
    <t>CPR/First Aid Safety Training (board hosted)(fees paid by participants)  96 teachers</t>
  </si>
  <si>
    <t>Supporting compliance with Child Care Regulation requirements for health and safety. Decrease in number deficiencies cited by Child Care Regulation. Increase in number of early learning programs qualifying for Entry Level Texas Rising Star participation.  Decrease in the number of Licensing deviancies cited by Child Care Regulation. Verified by quarterly Child Care Regulation screenings.</t>
  </si>
  <si>
    <t>Scholarships awarded to teachers to obtain their Infant/Toddler CDA - 10 obtained CDA credential.</t>
  </si>
  <si>
    <t>Awarded to  Individuals to support obtainment of the CDA credential. This initiative supports early educators work toward career advancement and increase salary opportunities.</t>
  </si>
  <si>
    <t>Virtual Infant Toddler Best Practices Training  24 in attendance</t>
  </si>
  <si>
    <t>Annual Week of the Young Child Conference. Early Childhood Educators gathered  to connect, collaborate, and learn together. Feature speakers and various topics for Early Childhood Practitioners and Administrators  total of 6 hours. 239 attended</t>
  </si>
  <si>
    <t xml:space="preserve">Increase in knowledge and skills of participants. Pre and Post tests measured increase in knowledge gained. mentors observed positive change in participants daily practice.  </t>
  </si>
  <si>
    <t>Minimum Standards Training provided by Child Care Regulation staff - 56 attended</t>
  </si>
  <si>
    <t>Virtual Coffee Chat for child care Program Administrators - 30 Attended</t>
  </si>
  <si>
    <t>Virtual Community of Practice for Program Directors- 22 Attended</t>
  </si>
  <si>
    <t>Scholarships awarded to Teachers to obtain their Preschool CDA. 5 obtained CDA Credential.</t>
  </si>
  <si>
    <t>Frog Street Pre-K Implementation Training - 40 attended</t>
  </si>
  <si>
    <t>TECPDS records were verified by Local Board SME. 40 records verified</t>
  </si>
  <si>
    <t>This is a 20% increase in records verified in TECPDS.</t>
  </si>
  <si>
    <t>Increase in Texas Rising Star participation and/or certified star levels; Increase in retention of Texas Rising Star certified programs.</t>
  </si>
  <si>
    <t>1 Quality Initiatives Coach received Infant Toddler Specialist Certification through the Children's Learning Institute</t>
  </si>
  <si>
    <t>The Certification Program pathway will allow specialist to gain access to an training on certified Infant Toddler Specialist content. It will also increase their knowledge and skills to support infant and toddler teachers and administrators.</t>
  </si>
  <si>
    <t>ECE Specialist Micro-Credential - 5 mentors participated</t>
  </si>
  <si>
    <t xml:space="preserve">Texas Rising Star mentors earned badges linked to specific, demonstrable skills. Competencies are developed to better serve and support early childhood teachers and administrators. </t>
  </si>
  <si>
    <t>Texas Rising Star Manager, mentors, and Support Staff attended the Frog Street Splash Conference - 8 staff participated.</t>
  </si>
  <si>
    <t>Attending ECE conferences is important for staying updated with research, methods, polices, and networking with peers.</t>
  </si>
  <si>
    <t>Quality Award-Texas Rising Star Achievement. 3 Entry Level Designated programs were assessed and achieved Texas Rising Star Certification.
Provided one-time grants of materials, equipment and resources to maintain or increase Texas Rising Star star levels.</t>
  </si>
  <si>
    <t>Provided one-time grants of materials, equipment and resources to maintain or increase Texas Rising Star star levels.</t>
  </si>
  <si>
    <t xml:space="preserve">59 Texas Rising Star Programs received Brightwheel - This is a Shared Services to support the Program with their program administration such as billing and tuition management, enrollment management, parent communication, recordkeeping, financial reporting and payroll.  </t>
  </si>
  <si>
    <t>The shared services will help 59 programs excel in the administration of their business while staying connected with their parents.  The Board has exceeded the goal of 47 Texas Rising Star programs receiving a Shared Services support program.</t>
  </si>
  <si>
    <t>10/21/2023 Child care professionals participated in 2 (1.5) hour virtual sessions with presenter Natasha Harris with Integrity Learning.  1st session Being Authentic:  Reflective Leadership Training for Directors - In this session the participants learned to how to use their Director's ability to lead in the present, to be aware of their reactions which pave the way to lead others. 2nd Session Managing Difficult Conversations:  Conflict Resolutions Amongst Staff - In this session participants learned to define conflict resolutions and provider tips on how to have those difficult conversations professionally and what you can implement to address differences quickly.   104 attendees</t>
  </si>
  <si>
    <t>1st session - participants received (1.5) training clock hours/.15 CEUs under Management Leadership per Child Care Regulation Minimum Standards.  Texas Core Competencies for Early Childhood Practitioners and Administrators:  Administrator 3.3 2nd Session -  Participants received (1.5) training clock hours/.15 CEUs Management Technique Regulation Minimum Standards.  Texas Core Competencies for Early Childhood Practitioners and Administrators:  Administrator Core Competency: 3.4</t>
  </si>
  <si>
    <t>11/4/2023 Child care professionals participated in 2 (1.5) hour virtual sessions with presenter Jenice Dames 1st session What Makes Young Learners Tick - In this session the participants learned what the Executive Functioning is and why it is vital skill to emphasize in the classroom. 2nd Session 101  Ways Not to Praise a Child - In this session participants explored what research says about the effects of praise on young children and compared that to the benefits of encouragement.    111 attendees</t>
  </si>
  <si>
    <t>1st session - participants received (1.5) training clock hours/.15 CEUs under Professional development per Child Care Regulation Minimum Standards.  Texas Core Competencies for Early Childhood Practitioners and Administrators:  Practitioner Core Competency: 2.2 &amp; 4.1 2nd Session -  Participants received (1.5) training clock hours/.15 CEUs Attachment and Responsive Caregiving per Regulation Minimum Standards.  Texas Core Competencies for Early Childhood Practitioners and Administrators:  Practitioner Core Competency: 2.1</t>
  </si>
  <si>
    <t xml:space="preserve">12/2/2023 Child care professionals participated in 2 (1.5) hour virtual sessions with presenter Kristin Omo with Smith County Champion 1st session That Scary Word: Autism - In this session the participants learned the early warning signs of Autism in Infants, Toddlers, and Pre-K children and ways to help children with this rising disability. 2nd Session Nutrition Impacts Behavior - In this session participants learned how nutrition impacts the way children behave and ways to help these issues.  130 attendees   </t>
  </si>
  <si>
    <t>1st session - participants received (1.5) training clock hours/.15 CEUs under Care of Children with Special Needs per Child Care Regulation Minimum Standards.  Texas Core Competencies for Early Childhood Practitioners and Administrators:  Practitioner Core Competency: 1.3 2nd Session -  Participants received (1.5) training clock hours/.15 CEUs Guidance &amp; Discipline per Regulation Minimum Standards.  Texas Core Competencies for Early Childhood Practitioners and Administrators:  Practitioner Core Competency: 1.4, 4.1 &amp; 8.4</t>
  </si>
  <si>
    <t>1 Teacher attained their CDA credential resulting in a positive impact on the quality of care, they were able to increase their knowledge in child development and improved their skills when working with children and families. The Board has completed 4% of the 25 scholarship goal for the year.</t>
  </si>
  <si>
    <t xml:space="preserve">36 Texas Rising Star programs received research-based curriculum for their classrooms to close achievement gaps and address any instructional needs in the age groups they serve. (Frog Street Curriculum - Infant/Toddler/Threes/Pre-K Curriculum).  </t>
  </si>
  <si>
    <t>36 Texas Rising Star Programs were able to close achievement gaps and address any instructional needs in the age groups they serve.  Teachers are scheduled to attend a training on how to implement the curriculum in their classroom.  Implementation Training Date is Tentative 32.7% of the 110 estimated reach of this activity has been completed.</t>
  </si>
  <si>
    <t xml:space="preserve">12 Texas Rising Star Mentor Staff. </t>
  </si>
  <si>
    <t xml:space="preserve">The Board continues to work towards reaching the goal of having 15 Texas Rising Star Mentor Staff. </t>
  </si>
  <si>
    <t xml:space="preserve">02/08/2024 - 25 Child Care Providers were awarded through the 2024 Infant and Toddler Initiative Grant a learning package complete with age-appropriated material and furniture for either their infant or toddler classroom. </t>
  </si>
  <si>
    <t>The Board met 100% of the goal to support 25 providers.</t>
  </si>
  <si>
    <t xml:space="preserve">01/30/2024 - We offered one-time incentive package to 107 Texas Rising Star Programs to support staff retention. This incentive helped increase staff retention of child care staff and helped keep reliable employees happy and loyal to the child care program. This one time incentive helped boost morale, provide consistency and help keep highly skilled teachers. </t>
  </si>
  <si>
    <t xml:space="preserve">The Board exceeded the goal by 40 child care staff that received this incentive. </t>
  </si>
  <si>
    <t>01/27/2024 - Child care professionals participated in 2 (3) hour sessions with presenters Dr Ana Mendoza, Debra L Arce &amp; Jennifer Rodriguez with Science 2.0. 1st session (Spanish) Conducts disruptive en niños– La sesión ayudo a los educadores aprender en como de escalar comportamientos disruptivos, así como, como intervenir a esos comportamientos. 2nd Session Tienes gestión de aula (Spanish) La sesión dio estrategias efectivas para el manejo miento del salón y técnicas para que los educadores implementen en sus horarios de clase. Ellos tambien aprendieron a cómo manejar efectivamente sus salones con estrategias apropiados de acuerdo con las edades.
Child care professionals participated in 2 (3) hour sessions with presenters Dr Ana Mendoza, Debra L Arce &amp; Jennifer Rodriguez with Science 2.0. 1st session Disruptive Behaviors in Children – The session helped educators learn how to escalate disruptive behaviors, as well as how to intervene in those behaviors. 2nd Session You Have Classroom Management (Spanish) The session gave effective strategies for classroom management and techniques for educators to implement in the classroom. They also learned how to effectively manage their classrooms with age-appropriate strategies. 81 attendees</t>
  </si>
  <si>
    <t xml:space="preserve">The Board continues to be on track towards reaching the goal of 3% of teachers that are continuing their education to attain a degree/certification in Early Childhood, Child Development, or related field. </t>
  </si>
  <si>
    <t>02/24/2024 - Child care professionals participated in 2 (3) hour sessions with presenter Dr William J DeMeo with Specialty Psychological Services LLC. 1st session Supporting Young Children with Autism: Strategies for Success!: The workshop provided participants with more advanced knowledge of how-to enhance learning, social, and behavioral outcomes for young children diagnosed with Autism. 2nd Session Effectively Handling Oppositional Defiant Behavior: The workshop focused on providing participants with knowledge of effective and appropriate prevention and intervention strategies for children who exhibit oppositional defiant disorder. The session focused on the latest research in the field of psychology on best practices of identifying, preventing, and intervening with children who exhibit oppositional behavior. 91 attendees</t>
  </si>
  <si>
    <t>03/23/2024 - Child care professionals participated in 2 (3) hour sessions with presenter Adilia Frazer. 1st session (Spanish) Profesionalismo Y Conducta Etica: Se reviso la guía de Conducta Ética de la Asociación Nacional Para Educación Infantil - NAEYC con sus responsabilidades profesionales en educación infantil para con sí mismo, los niños, las familias, los compañeros/trabajo y la comunidad.  2nd Sesión Directores en Control (Spanish) Administradores y directores tendrán la oportunidad de evaluarse individualmente de quien es en control y de cómo aplicarse para demonstrar estar en control. Podrán desarrollar un plan personal con objetivos tangibles para mantener el control de su negocio.
 Child care professionals participated in 2 (3) hour sessions with presenter Adilia Frazer. 1st session (Spanish) Professionalism and Ethical Conduct: Revised the National Association for Early Childhood Education (NAEYC) Ethical Conduct guide with your professional responsibilities in early childhood education to yourself, children, families, peers/work, and the community.  2nd Session Directors in Control (Spanish) Managers and directors will have the opportunity to individually assess who is in control and how to apply themselves to demonstrate being in control. They will be able to develop a personal plan with tangible goals to stay in control of their business. 89 attendees</t>
  </si>
  <si>
    <t>01/2024- 2024 Spring Semester - Child Care Teachers were given the opportunity to attain their Child Development Associate (CDA) through South Texas College (STC). Tuition cost covered for CDA I, CDA II and the cost of the books.  16 attendees</t>
  </si>
  <si>
    <t xml:space="preserve">The Board is at 6% of the 25 scholarship goal.  </t>
  </si>
  <si>
    <t>The Board continues to be on track towards reaching the goal of 10%.</t>
  </si>
  <si>
    <t>03/06/2024  - 24 Child Care Providers were awarded through the 2024 Preschool and School Age Initiative Grant a learning package complete with age-appropriate material and furniture for either their infant or toddler classroom.</t>
  </si>
  <si>
    <t>The Board met 100% of the goal to support 24 providers.</t>
  </si>
  <si>
    <t>03/13/2024 - We awarded new and existing Texas Rising Star Providers FrogStreet Curriculum and the implementation training.  24 programs</t>
  </si>
  <si>
    <t xml:space="preserve">The Board is at 24% of the goal of 110 Texas Rising Star programs receiving a curriculum. </t>
  </si>
  <si>
    <t xml:space="preserve">03/20/2024 - We awarded 29 new Texas Rising Star Programs a research based School Age Curriculum and the Implementation Training to close achievement gaps and address any instructional needs in school age.  </t>
  </si>
  <si>
    <t xml:space="preserve">The Board is at 58% of the goal of 50 Texas Rising Star programs receiving a curriculum. </t>
  </si>
  <si>
    <t>13 Texas Rising Star Mentor Staff.</t>
  </si>
  <si>
    <t>The Texas Early Childhood Professional Development System (TECPDS) Subject Matter Expert (SME) provided specific TECPDS support to 4 child care programs. They provided on-site visits to assist providers scan and enter certificates into TECPDS. In addition, the TECPDS Subject Matter Expert (SME) also provided support by validating training, education and employment certificates/documents to 102 child care programs. 106 programs total.</t>
  </si>
  <si>
    <t>Validating certificates for 102 child care programs (approximately 302 teachers) and providing specific support to 4 child care programs (approximately 24 teachers) helped child care programs with the Texas Rising Star Assessment Category 1 Director and Staff Qualification and Training measures.</t>
  </si>
  <si>
    <t>02/08/2024 - 25 Child Care Providers were awarded through the 2024 Infant and Toddler Initiative Grant a learning package complete with age-appropriated material and furniture for either their infant or toddler classroom.  Expenditure occurred in this quarter</t>
  </si>
  <si>
    <t xml:space="preserve">1 Child care center employee  received an incentive for the completion of the CDA program and receipt of the CDA Credential ($600). </t>
  </si>
  <si>
    <t xml:space="preserve">04/27/2024 - 49 Child Care Directors and Owners had the opportunity to attend a 3 hour training session on Employment Laws &amp; Regulations. Tommy Simmons with Texas Workforce Commission (TWC) discussed topics such as Wage and hour Law and other payroll issues, presented an introduction to Creating an Effective Policy Handbook and Employee Benefits. Mr. Simmons also did a segment covering the most important legal issues for recruiting and hiring employees and what to look out for regarding voluntary and involuntary work separation.  We also provided a hard copy of the Texas Guidebook for Employers to each attendee as a resource for our providers to reference. </t>
  </si>
  <si>
    <t xml:space="preserve">The Board continues to be on track towards reaching the goal of 30% of teachers that are continuing their education to attain a degree/certification in Early Childhood, Child Development, or related field. </t>
  </si>
  <si>
    <t>04/20/2024 - 2024 Child Care Conference.  In person conference for all child care professionals.   Concurrent workshops were available  in all age groups including, Directors and Administrators. 441 attendees</t>
  </si>
  <si>
    <t>05/18/2024 - Child care professionals participated in 2 (3) hour sessions with presenter Esmeralda Aguirre with FrogStreet. 1st session Developmentally Appropriate Practices: In this training session teachers learned how to maintain a classroom environment that helps promote the cognitive, physical, emotional, and social needs of children. Developmentally appropriate practices require that teachers make daily intentional decisions based on their knowledge of each child's level of development, taking into consideration the child's learning style as well as cultural and social differences. 2nd Session Every Which Way We Move the Essentials of Physical Development in the Preschool Classroom: In this session it reviewed the developmental milestones that characterize young children's progression and acquisition of fine and gross motor skills. participants will learning strategies for incorporating and integrating physical development activities throughout the school day, such as through writing, drawing, outdoor learning experiences, and music and movements. 104 attendees</t>
  </si>
  <si>
    <t>06/22/2024 - A Texas Rising Star Exclusive Virtual Conference was hosted for Texas Rising Star Providers. Concurrent workshops were available for child care professionals in all age groups including, Directors and Administrators. 280 attendees</t>
  </si>
  <si>
    <t xml:space="preserve">We processed the cost of the CDA application and related payments to the Council for Professional Recognition for sixteen(16) students.  The cost per application was for $425 for each student.   </t>
  </si>
  <si>
    <t xml:space="preserve">13 Texas Rising Star mentor Staff. </t>
  </si>
  <si>
    <t xml:space="preserve">The Board continues to work towards reaching the goal of having 15 Texas Rising Star mentor Staff. </t>
  </si>
  <si>
    <t>06/06/2024 - We offered an incentive package to all Texas Rising Star Programs to support staff retention. This incentive helped increase staff retention of child care staff and helped keep reliable employees happy and loyal to the child care program. This one time incentive helped boost morale, provide consistency and help keep highly skilled teachers.  Expenditure has not occurred. 510 packages awarded.</t>
  </si>
  <si>
    <t>The board exceeded the goal by 29%.  (528 child care staff were incentivized. Goal was 410)</t>
  </si>
  <si>
    <t>06/05/2024 - We awarded 21 new Texas Rising Star Programs a research based School Age Curriculum and the Implementation Training to close achievement gaps and address any instructional needs in school age.  (Name of Curriculum: MindWorks Resources)</t>
  </si>
  <si>
    <t xml:space="preserve">The Board is at 100% of the goal of 50 Texas Rising Star programs receiving a curriculum </t>
  </si>
  <si>
    <t>03/20/2024 - We awarded 29 new Texas Rising Star Programs a research based School Age Curriculum and the Implementation Training to close achievement gaps and address any instructional needs in school age. (Name of Curriculum: MindWorks Resources)  Expenditure occurred in this quarter</t>
  </si>
  <si>
    <t>03/13/2024 - We awarded 26 new and existing Texas Rising Star Providers FrogStreet Curriculum and the implementation training.  Expenditure occurred in this quarter</t>
  </si>
  <si>
    <t>03/06/2024  - 24 Child Care Providers were awarded through the 2024 Preschool and School Age Initiative Grant a learning package complete with age-appropriate material and furniture for either their infant or toddler classroom. Expenditures occurred in this quarter.</t>
  </si>
  <si>
    <t>The Texas Early Childhood Professional Development System (TECPDS) Subject Matter Expert (SME) provided specific TECPDS support to 6 child care programs such as providing on-site visits to assist providers scan and enter certificates into TECPDS. In addition, the TECPDS subject matter expert also provided support by validating training, education and employment certificates/documents to 189 child care programs. 195 programs total.</t>
  </si>
  <si>
    <t>Validating certificates for 189 child care programs (approximately 411 directors and teachers) and providing specific support to 6 child care programs (5 directors and 1 staff) helped child care programs with the Texas Rising Star Assessment Category 1 Director and Staff Qualification and Training measures.</t>
  </si>
  <si>
    <t>Promoting a Healthy, Safety &amp; Nutrition Early Care Indoor Environment -Providers received training to strengthen practices with sanitizing, handwashing, and model healthy family style meals at the centers. Program Management Support (FARF) training for 20 individuals</t>
  </si>
  <si>
    <t>TBD as the Educators are receiving ongoing program management support training on the FARF.</t>
  </si>
  <si>
    <t>CARF Training - 60 staff who are currently working on becoming Texas Rising Star are receiving CARF training</t>
  </si>
  <si>
    <t>TBD this is ongoing. Mentors have noticed that the providers are having a difficult time with Category 2</t>
  </si>
  <si>
    <t>Health &amp; Safety, Mental Wellness, and Learn &amp; Grow Curriculum - training was on Health practices ( medication, allergies, illness), Safety (inclement weather, evacuations procedures, Mental Wellness(taking care of ourselves) provided for 75 individuals</t>
  </si>
  <si>
    <t>Providers will have an understanding on health and safety because many of the licensing deficiencies are due to not practicing safety</t>
  </si>
  <si>
    <t>Regarding Knowledge of Child Care Regulations - training on the new updates with the minimum standards training for 60 individuals</t>
  </si>
  <si>
    <t>TBD - deficiency support</t>
  </si>
  <si>
    <t xml:space="preserve">Classroom PreK Kit- some classroom furniture was purchased in order to help 2 programs meet indoor environment. Centers needed additional shelves for the 6 defined interest areas, as the programs did not have enough shelves. Having the additional shelves has helped with the classroom management. </t>
  </si>
  <si>
    <t>TBD and will update at a later date as more providers will be receiving classroom PreK kits if needed. The Board has completed 7% of the goal to assist 27 programs with this activity.</t>
  </si>
  <si>
    <t xml:space="preserve">Parent Engagement - training to learn ways on how to connect with their families as their centers for 60 individuals </t>
  </si>
  <si>
    <t>TBD - providers need early Learning Program with getting their families to participate. The Board has planned 10 Parent engagement events. 10% of the activity goal has been reached in Q1.</t>
  </si>
  <si>
    <t xml:space="preserve">Texas Rising Star  Staff includes Salaries, Travel, Benefits </t>
  </si>
  <si>
    <t xml:space="preserve">Board has 2 Texas Rising Star mentors </t>
  </si>
  <si>
    <t>Pediatric CPR &amp; First Aid Training - for 61 individuals</t>
  </si>
  <si>
    <t>CPR &amp; 1st Aid Training - the board reached 33.8% of the goal to serve the 180.</t>
  </si>
  <si>
    <t>Shaken Baby Syndrome, Brain Development, and SIDS training for 28 individuals</t>
  </si>
  <si>
    <t xml:space="preserve">TBD as the Infant educators needed professional development training to meet their staff training plan. </t>
  </si>
  <si>
    <t>Assessment readiness- reviewed the Texas Rising Star certification checklist, TECPEDS- review how-to-guide to set apply for center director &amp; uploading certificates for 20 individuals</t>
  </si>
  <si>
    <t xml:space="preserve"> CLI Engage &amp; TECPEDS setting up accounts, Staff orientation for 19 new staff </t>
  </si>
  <si>
    <t>Regarding Knowledge of Child Care Regulations - training on the new updates with the minimum standards training for 45 individuals</t>
  </si>
  <si>
    <t xml:space="preserve"> New onboarding group 3- Topic reviewed the FARF and onboarding trainings on CLI Engage provided for 21 individuals</t>
  </si>
  <si>
    <t xml:space="preserve">Business Support – review minimum standard admission form and Texas Early Childhood Professional Development System (TECPDS)  How-to-guides on how to create and account, connect as a Director and upload certificates. Parent Handbook content, Texas Rising Star Digital resources, Hiring process and finding the Best Fit for your program. Using a staff orientation,  evaluation forms, interview questions, staff training plan and referral forms for on-going recruitment. This training supported 20 individuals.
</t>
  </si>
  <si>
    <t>Provided Scholarships to 25 educators for them to work on obtaining their CDA</t>
  </si>
  <si>
    <t>TBD as the Educators are receiving ongoing support training to meet criteria in the FARF. 62.5 % of the goal has been reached of the 100%.</t>
  </si>
  <si>
    <t xml:space="preserve">Learning Center Poster Pack - purchased for 30 programs for their Preschool classrooms. As part of the CARF for labeling centers. </t>
  </si>
  <si>
    <t xml:space="preserve">To label classroom learning centers to increase the scores for Texas Rising Star Indoor Environment P-ILE-04. </t>
  </si>
  <si>
    <t>Toddler Curriculum Training for 8 individuals</t>
  </si>
  <si>
    <t>TBD - Educators are receiving ongoing training on curriculum.</t>
  </si>
  <si>
    <t>Parent Engagement - training for program staff to learn ways on how to connect with their families at their centers.  This training was given to 10 individuals.</t>
  </si>
  <si>
    <t>TBD - providers need help with getting their families to participate. The Board has planned 10 Parent engagement events. 100% of the activity goal will be reached in Q4.</t>
  </si>
  <si>
    <t>Business Support – review minimum standard admission form and Texas Early Childhood Professional Development System (TECPEDS) How-to-guides on how to create and account, connect as a Director and upload certificates. Parent Handbook content, Texas Rising Star Digital resources, Hiring process and finding the Best Fit for your program. Using a staff orientation,  evaluation forms, interview questions, staff training plan and referral forms for on-going recruitment. This training was for 154 individuals.</t>
  </si>
  <si>
    <t>TBD as the Educators are receiving ongoing program management support training on the FARF/CARF.</t>
  </si>
  <si>
    <t xml:space="preserve"> New onboarding - Topic reviewed the FARF and onboarding trainings on CLI Engage for 20 individuals</t>
  </si>
  <si>
    <t>Regarding Knowledge of Child Care Regulations - training on the new updates with the minimum standards for 45 individuals</t>
  </si>
  <si>
    <t xml:space="preserve">Spark and Start Mini Child Care Conference - Health and Nutrition- The importance for proper growth and development.  Developing Positive Relationships with Families-helps bridge child's experience with the program and home and it fosters child's sense of belonging in the program setting.  Working with Children with Special Needs in the Classroom- promoting an inclusive environment in classroom. This training had 104 attendees. </t>
  </si>
  <si>
    <t xml:space="preserve">TBD - as the Educators are receiving ongoing support training to meet criteria in FARF. </t>
  </si>
  <si>
    <t xml:space="preserve">Board has 3 Texas Rising Star mentors </t>
  </si>
  <si>
    <t>One Sr. Early Childhood Specialist serving as the primary Infant Toddler Specialist provided 4.5 hours of ELITE support to 4 classroom teachers serving infant and toddlers participating in the Infant Toddler Specialist Network Elite pilot program within 3 early learning programs. The Infant Toddler Specialist also participated in the Learn with Me for Trainers Train the Trainer (TOT) receiving 1.5 annual clock hours.</t>
  </si>
  <si>
    <t>The Infant Toddler Specialists provided 4 classroom teachers serving infant and toddlers ELITE support in 3 early learning programs.  4.5 annual hours were provided to 4 classroom teachers supporting infant and toddler development.</t>
  </si>
  <si>
    <t xml:space="preserve">Texas Rising Star Early Childhood Specialists conducted 4 virtual and 7 in person professional development sessions with 210 participants offering 13 clock hours for participants to use towards achieving their annual hours.  </t>
  </si>
  <si>
    <t>A total of 4 virtual and 7 in person professional developments sessions were held with 210 early learning program administrators and staff receiving 13 clock hours for participants to use toward achieving their annual hours. Participants received 13 clock hours towards achieving their annual hours.</t>
  </si>
  <si>
    <t xml:space="preserve">As a part of the onboarding process, Texas Rising Star Early Childhood Specialists conducted 13 virtual and 2 in person Texas Rising Star orientations, including the TWC Background Check Portal presentation and 2 virtual Facilities Assessment Record Forms overview for 403 administrators and staff awarding 25 annual hours. </t>
  </si>
  <si>
    <t xml:space="preserve">A total of 15 virtual and 2 in person onboarding professional developments sessions were held with 403 early learning program administrators and staff receiving 25 clock hours for participants to use toward achieving their annual hours. 25 professional development hours were received for participants to use toward achieving their annual hours. </t>
  </si>
  <si>
    <t>1 CDA participant completed their required CDA courses and was awarded an educational scholarship to pay for their CDA Application fee. (Program staff)</t>
  </si>
  <si>
    <t>1 early learning program staff completed the CDA course and was awarded an educational scholarship to pay for their CDA Application fee to obtain their CDA credential. 1% of the Board's goal to reach 136 participants to complete a CDA.</t>
  </si>
  <si>
    <t xml:space="preserve">Paid salaries and benefits for fifteen (15) Texas Rising Star Board Staff.  One of the Sr. Early Childhood Specialists has a dual role as a certified Infant Toddler Specialist. Three of the Early Childhood Specialists will pursue their Infant Toddler Specialist certification. These Board Staff ensure the continuation of the Texas Rising Star program activities for our Workforce development Board Area through mentoring, assessment, outreach, and program support services.  We have 15 Texas Rising Star Mentor/Early Childhood Specialists, 2 Texas Rising Star Program Supervisors, and 1 Child Care Manager, and salaries for the positions come out of CCQ funding. </t>
  </si>
  <si>
    <t xml:space="preserve">Paid salaries and benefits for One Director of Quality North Texas, one Director of Quality North Central, two Early Education Professional development Specialist that serves as the TECPDS SME, one Administrative Assistant, two Special Projects Coordinator, and three Early Education Professional development Specialist. The Special Projects Coordinators, Administrative Assistant, and Early Education Professional development Specialist will work to produce all agreed upon deliverables in a productive and effective way increasing the overall productivity of overall child care. Director of Quality North Texas and Director of Quality North Central will manage staff and continuously monitor progress. We will monitor outcomes of each role based on WSNCT agreed upon deliverables. </t>
  </si>
  <si>
    <t>All  staff are hired, trained, and working towards improving quality for Early Learning Programs in the North Central WFB.</t>
  </si>
  <si>
    <t xml:space="preserve">Texas Early Childhood Professional Development System subject matter experts provided support to 17 programs with the creation, correction, or completion of TECPDS director accounts. </t>
  </si>
  <si>
    <t xml:space="preserve">17 TECPDS Directors accounts were confirmed as complete for 17 WSNCT early learning programs. </t>
  </si>
  <si>
    <t>Thirteen (13) Texas Rising Star Board Staff (Early Childhood Specialist) participated in Mentor Micro-Credential PLC's as required by the Texas Rising Star guidelines. No CCQ funding is allocated for participation.</t>
  </si>
  <si>
    <t>Two (2) Sr. Early Childhood Specialist are participating in the Continuous Quality Improvement: Mechanisms for Strengthening ECE Program Quality and Workforce Competency research-policy partnership grant between CLI and TWC. Phase 1 of this research grant is designed to explore implementation variability in Texas Rising Star Continuous Quality Improvement plan delivery, receipt, and response. The Specialists are providing specified mentoring to 8 early learning programs, 2 administrators and 4 ECE teachers. Specialist participation includes trainings and Micro credential PLCs.</t>
  </si>
  <si>
    <t xml:space="preserve">Four Texas Rising Star Early Childhood Specialists attended the TXAEYC Conference November 1-4, in Round Rock, TX. Participants received a total of 15.5 annual clock hours.   </t>
  </si>
  <si>
    <t>4 Early Childhood Specialists attended a state sponsored conference and received 15.5  professional development hours towards achieving their annual clock hours.</t>
  </si>
  <si>
    <t>Four Early Childhood Specialists attended the US Play Coalition Play Date, October 8th at the Fort Worth Botanical Gardens. Participants received a total of 6 annual clock hours.</t>
  </si>
  <si>
    <t>4 Early Childhood Specialists attended a national conference held locally and received 6 professional development hours towards their annual clock hours.</t>
  </si>
  <si>
    <t>Two Early Childhood Specialists attended the Texas Children in Nature conference December 6-8 in Houston. Participants received 7 annual clock hours.</t>
  </si>
  <si>
    <t>2 Early Childhood Specialists attended a national conference and received 7 professional development hours toward their annual clock hours.</t>
  </si>
  <si>
    <t xml:space="preserve">Fifteen Texas Rising Star Early Childhood Specialists, Two Early Childhood Program Supervisors and 1 Child Care Manager attended the Virtual Collaborative Symposium virtually in December 2023 conducted by TWC. Participants received a total of 11.25 annual clock hours. </t>
  </si>
  <si>
    <t>A total of  15 Early Childhood Specialists, 2 Early Childhood Program Supervisors and 1 Child Care Manager attended a virtual conference and received 11.25 professional development hours towards their annual clock hours.</t>
  </si>
  <si>
    <t xml:space="preserve">WSNCT offered LENA Grow in 27 early learning programs. LENA Grow is an evaluation tool that tracks and measures teacher-child interactions over 11 weeks with guided coaching sessions. WSNCT provided devices to early learning programs within our Texas Rising Star early learning programs to support Category 2: Teacher-Child Interactions in the Texas Rising Star assessment tool. 20 early learning programs have qualified.
</t>
  </si>
  <si>
    <t xml:space="preserve">20 early learning programs have qualified to participate in the LENA Grow evaluation tool to track teacher child interactions. Program evaluation dates have been schedule. Between 01/01/24-03/31/24, out of 33 students 48% of children were experiencing more than 7.8+ conversational turns per hour. 100% of children who started out experiencing less talk than the national median of 15 turns per hour had an average increase of +11.5 turns per hour. 56% of children who started out experiencing less talk than their peers in the same classroom (in the bottom third) had an average increase of +6.9 turns per hour. 2 programs and 3 classrooms served. </t>
  </si>
  <si>
    <t xml:space="preserve">WSNCT provided CLASS assessments for 72 classrooms and 2 reliably double-coded classrooms from 12 early learning programs in the Fall and the Spring. CLASS gives Early Childhood Specialists the tools, data, and framework to objectively and accurately support teacher-child interactions. The assessments were completed by contracted CLASS certified observers. </t>
  </si>
  <si>
    <t xml:space="preserve">Fall 2023 Class scores were received and distributed. 72 classrooms were observed, and 2 were double coded. Within the 72 classrooms observed, there were 16 infants, 25 toddlers, and 29 preschool classrooms observed.  The infant rooms scored an average of 4.82/7 in their only domain, Responsive Caregiving. The toddler classrooms averaged 5.64/7 in Emotional &amp; Behavior Support and 3.62/7 in Engaged Support for Learning. PreK classrooms scored an average of 5.66/7 in Emotional Support, 5.12/7 in Classroom organization, and 2.81/7 in Instructional Support. This is 100% of the board's goal of 12 programs served. </t>
  </si>
  <si>
    <t xml:space="preserve">One Senior Early Childhood Specialist serving as the primary Infant Toddler Specialist provided 1 professional development hour of ELITE support to 4 classroom teachers serving infants and toddlers participating in the Infant Toddler Specialist Network Elite pilot program within 3 early learning programs. </t>
  </si>
  <si>
    <t>4 infant toddler classroom teachers received 1 hour of professional development training on interactive lesson planning using the CIRCLE Infant/Toddler Curriculum, increasing the knowledge of curriculum implementation.</t>
  </si>
  <si>
    <t xml:space="preserve">WSNCT provided two incentives to Child Care staff that have been employed for 6 months or longer at their current child care facility and meet all other requirements. The programs selected to receive these funds  will also be required to participate in industry supports. </t>
  </si>
  <si>
    <t>This is the first of 2 Wage Supplements scheduled for FY24. 1,049 participants qualified to receive the Wage Supplement. This is 98% of the board's goal of 1,072 served. Signature pages are currently being collected as confirmation of participant's receipt of the Wage Supplement.</t>
  </si>
  <si>
    <t xml:space="preserve">WSNCT enlisted a conference trainer for the Child Care Licensing Conference. 165 attendees </t>
  </si>
  <si>
    <t xml:space="preserve">165 early learning professionals from WSNCT early learning programs attended the Childcare Licensing Conference held April 6, 2024. The 165 participants in attendance from WSNCT early learning programs made up 29% of the total attendees for this conference. This is 330% of the boards goal of 50 served. </t>
  </si>
  <si>
    <t xml:space="preserve">TECPDS SMEs provided training on TECPDS to 75 participants </t>
  </si>
  <si>
    <t xml:space="preserve">Early Childhood Specialists conducted 17 virtual Texas Rising Star orientations, including the TWC Background Check Portal presentation and 2 virtual Facilities Assessment Record Forms overviews, for 762 administrators and staff, awarding a total of 28.5 annual hours. </t>
  </si>
  <si>
    <t>28.5 professional development hours were received for participants to use toward achieving their annual hours.</t>
  </si>
  <si>
    <t xml:space="preserve"> Texas Rising Star Early Childhood Specialists conducted 12 virtual and 14 in-person professional development sessions with 454 participants, offering  34.5 clock hours for participants to use towards achieving their annual hours. Two of those virtual trainings were professional learning communities geared towards administrators with 19 participants. </t>
  </si>
  <si>
    <t>34.5 professional development hours were received for participants to use toward achieving their annual hours.</t>
  </si>
  <si>
    <t xml:space="preserve">Texas Early Childhood Professional Development System (TECPDS) subject matter expert provided support to 326 programs with the creation, correction, or completion of TECPDS director account and 75 participants supported with professional development opportunities. We will measure the success of this activity based on the number of director's accounts created or confirmed each quarter. Our estimated reach is 690. </t>
  </si>
  <si>
    <t xml:space="preserve">326 TECPDS Directors accounts were confirmed as complete for 326 WSNCT early learning programs. 27 early learning professionals attended an in-person professional development opportunity with the TECPDS SMEs to receive 3 hours of professional development. 48 attended virtual sessions which offered one-hour of professional development. Based on the TECPDS deliverable to complete or confirm director's accounts for 25% of WSNCT programs with a  CCS agreement as of October 1, 2023 (690); this is 200% of the board's goal to serve 172 programs this quarter. </t>
  </si>
  <si>
    <t xml:space="preserve">Paid salaries and benefits for One Director of Quality North Texas, one Director of Quality North Central, two Early Education Professional Development Specialist that serves as the TECPDS SME, one Administrative Assistant, two Special Projects Coordinator. The Special Projects Coordinators, Administrative Assistant, and Early Education Professional Development Specialist will work to produce all agreed upon deliverables in a productive and effective way increasing the overall productivity of overall child care. Director of Quality North Texas and Director of Quality North Central will manage staff and continuously monitor progress. We will monitor outcomes of each role based on WSNCT agreed upon deliverables. </t>
  </si>
  <si>
    <t xml:space="preserve">All staff are hired, trained, and working towards improving quality by implementing planned and approved quality initiatives and supporting the access, understanding, and use of the TECPDS platform. </t>
  </si>
  <si>
    <t xml:space="preserve">Paid salaries and benefits for fifteen (15) Texas Rising Star Board Staff.  One of the Sr. Early Childhood Specialists has a dual role as a certified Infant Toddler Specialist. Three of the Early Childhood Specialists will pursue their Infant Toddler Specialist certification. These Board Staff ensure the continuation of the Texas Rising Star program activities for our Workforce Development Board Area through mentoring, assessment, outreach, and program support services.  We have 15 Texas Rising Star Mentor/Early Childhood Specialists, 2 Texas Rising Star Program Supervisors, and 1 Child Care Manager, and salaries for the positions come out of CCQ funding. </t>
  </si>
  <si>
    <t xml:space="preserve">669 early learning programs receiving mentoring assistance to attain, maintain, or increase certification level. </t>
  </si>
  <si>
    <t>Fifteen (15) Texas Rising Star Board Staff (Early Childhood Specialists) participate in Mentor Micro-Credential PLCs as required by the Texas Rising Star guidelines. Seven Early Childhood Specialists are registered trainers and have been assigned to the Trainers Micro-Credential.  No CCQ funding is allocated for participation.</t>
  </si>
  <si>
    <t>396 total coaching badges have been awarded. One senior early Childhood Specialist has reached 100% of the 50 badge benchmark, while 13.36% of Early Childhood Specialists are close to meeting the 50 badge benchmark. 7 of the 15 Early Childhood Specialists have received a total of 58 badges for the Trainer Micro-Credential.</t>
  </si>
  <si>
    <t>4 Early Childhood Specialists and 2 Program Supervisors attended the Southern Early Childhood Association Annual Conference in Atlanta, GA, March 6-March 9, 2024. Conference attendees received 21 annual clock hours for participation.</t>
  </si>
  <si>
    <t>21 professional development hours were earned towards annual clock hours for each participant.</t>
  </si>
  <si>
    <t xml:space="preserve">One Early Childhood Specialist attended the Learning &amp; The Brain: Teaching Engaged Brains in San Francisco, February 22-24, 2024. Four focus areas for this conference were (1.) classroom strategies to help improve motivation and engagement; (2) strategies to foster growth mindsets in teaching staff that will in turn help promote those same growth mindsets within students; (3) create a less distracted, more motivated learning environment; (4) impact of technology and how to incorporate the use of technology within the classroom.  Participants received 15.75 clock hours. </t>
  </si>
  <si>
    <t>15.75 professional development hours were earned towards annual clock hours</t>
  </si>
  <si>
    <t>One Program Supervisor and two Early Childhood Specialists attended the Beyond School Hours Conference in New Orleans, LA, on February 14-17, 2024.  Participants received 26 annual clock hours.</t>
  </si>
  <si>
    <t>26 professional development hours were earned towards annual clock hours.</t>
  </si>
  <si>
    <t>WSNCT offered LENA Grow in 27 early learning classrooms within 2 programs. LENA Grow is an evaluation tool that tracks and measures teacher-child interactions over 11 weeks with guided coaching sessions. WSNCT provided devices to early learning programs within our Texas Rising Star early learning programs to support Category 2: Teacher-Child Interactions in the Texas Rising Star assessment tool.</t>
  </si>
  <si>
    <t xml:space="preserve">2 early learning programs have participated in the LENA Grow evaluation tool to track teacher child interactions. Program evaluation dates have been schedule. Between 04/01/24-06/30/24, out of 88 students 10% of children were experiencing more than 1.8+ conversational turns per hour. 40% Children who started out experiencing less talk than the national median of 15 turns per hour had an average increase of +3.0 turns per hour. 67% of Children who started out experiencing less talk than their peers in the same classroom (in the bottom third) had an average increase of +5.6 turns per hour. 12 teachers, 2 programs, and 7 classrooms served. This activity reached 7/27 classrooms which is 26% of the board's goal of 27 classrooms. </t>
  </si>
  <si>
    <t xml:space="preserve">WSNCT provided CLASS assessments for 72 classrooms and 2 reliably double-coded classrooms from 12 early learning programs in the Fall and the Spring. CLASS gives Early Childhood Specialists the tools, data, and framework to objectively and accurately support teacher-child interactions. These assessments were completed by contracted CLASS certified observers. </t>
  </si>
  <si>
    <t xml:space="preserve">11 early learning programs with 63 classrooms (one double coded) served which completed 92% of the board's estimated reach of 12 participants. Spring 2024 Class scores were received and distributed. The results are as follows for the 2023-2024 school year pertaining to the updated information received from the spring scores. Within the 62 classrooms that have been observed so far, with 1 school still pending. There were 14 infant, 23 toddler and 25 preschool classrooms observed. The infant rooms scored an average of 4.99/7 in fall and 5.12/7 in spring. This shows an increase of 13% improvement in their only domain of Overall Responsive Caregiving. The toddler classrooms have a total of 2 domains. The toddler rooms scored an average of 5.47/7 in fall and 5.60/7 in spring. This shows an increase of 13% in the domain of Overall Emotional &amp; Behavior Support. The toddler room also scored an average of 3.59/7 in the fall and 3.54/7 in the spring. This shows a decrease of 4% in the domain Overall Engaged Support for Learning. The PreK classrooms have a total of 3 domains. The PreK classrooms score an average of 5.75/7 in fall and 5.79/7 in spring. This shows an increase of 3% in the domain of Overall Emotional Support. PreK also scored an average of 5.16/7 in the fall and 5.07/7 in the spring. This shows a decrease of 9% in the domain of Overall Classroom Organization. PreK’s final class scores an average of 2.99/7 in the fall and 2.72/7 in the spring. This shows a decrease of 27% in the domain of Overall Instructional Support. </t>
  </si>
  <si>
    <t>One Sr. Early Childhood Specialist serving as the primary Infant Toddler Specialist provided 1 hour of virtual ELITE support to 3 classroom teachers serving infant and toddlers participating in the Infant Toddler Specialist Network Elite pilot program within 3 early learning programs. Another Sr. Early Childhood Specialist earned their certification as an Infant Toddler Specialist.</t>
  </si>
  <si>
    <t>The Infant Toddler Specialists provided 3 classroom teachers serving infant and toddlers ELITE support in 3 early learning programs. 1 annual clock hour was provided to 3 classroom teachers supporting infant and toddler development.</t>
  </si>
  <si>
    <t xml:space="preserve">WSNCT has continued with 67 CDA scholarships for Infant Toddler credential to WSNCT early learning program staff.  These academic scholarships will assist participants in obtaining specific knowledge and skill development to increase classroom performance and sustain quality within their early learning programs. </t>
  </si>
  <si>
    <t xml:space="preserve">From quarter 2's initial enrollment, 67 participants have remained enrolled in infant/toddler CDA courses with 5/67 completing their CDA courses to date. This is 50% of the board's goal for 134 participants served. </t>
  </si>
  <si>
    <t xml:space="preserve">As a part of the strategic plan for WSNCT Child Care Quality, WSNCT offered 90 WSNCT programs a grant opportunity for infant toddler outdoor enhancement.  This opportunity supports Texas Rising Star Early Learning Programs in meeting outdoor learning environment measures for Category 4 in the Texas Rising Star assessment tool. Our estimated reach of this activity is 90 early learning programs. </t>
  </si>
  <si>
    <t xml:space="preserve">90 programs received Infant Toddler Outdoor Enhancements completing 100% of the board's goal of 90 participants served with this activity. </t>
  </si>
  <si>
    <t xml:space="preserve">WSNCT extended an opportunity for WSNCT early learning programs to receive a total of 100 infant toddler curricula.  Early learning programs that received the grant attended curriculum training and was given coaching support by Early Childhood Specialists to ensure that key area learning domains and weekly instructional plans are implemented with fidelity. </t>
  </si>
  <si>
    <t xml:space="preserve">55 early learning programs received infant toddler curriculum through the distribution of 130 infant toddler curricula. With the estimated reach of 100 curricula distributed we met our goal by 130%. </t>
  </si>
  <si>
    <t>WSNCT provided childcare-related professional development opportunities for Early Learning Programs, including one large conference. 128 attendees</t>
  </si>
  <si>
    <t xml:space="preserve">128 participants were served with this activity including 57 who attended the in-person Bright from the Start mini conference and 71 participants who received live virtual professional development. This is 51% of the board's estimated reach of 250 served. </t>
  </si>
  <si>
    <t xml:space="preserve">WSNCT offered multiple curriculum training opportunities from January 2024-September 2024. 27 participants attended both the virtual and in person trainings. These trainings focus on training to support the utilization of curriculum in early learning classrooms. Our estimated reach of this activity is 150. </t>
  </si>
  <si>
    <t xml:space="preserve">54 participants have been served through this activity. 54/150 is 36% of the board's goal of 150 served. </t>
  </si>
  <si>
    <t xml:space="preserve">Early Childhood Specialists conducted 11 Texas Rising Star orientations (3 in person and 8 virtual), including the TWC Background Check Portal presentation for 196 administrators and staff, awarding a total of 13 annual hours. </t>
  </si>
  <si>
    <t>13 professional development hours were received for participants to use toward achieving their annual hours.</t>
  </si>
  <si>
    <t xml:space="preserve"> Texas Rising Star Early Childhood Specialists conducted 18 virtual and 9 in-person professional development sessions with 261 participants, offering 43 clock hours for participants to use towards achieving their annual hours. Three of those virtual trainings were professional learning communities geared towards administrators with 49 participants.</t>
  </si>
  <si>
    <t>43 professional development hours were received for participants to use toward achieving their annual hours.</t>
  </si>
  <si>
    <t xml:space="preserve">WSNCT offered 136 participants who work for WSNCT programs scholarships to enroll in CDA preparation courses for Preschool or Family Child Care and pay for their required application upon completion. 100 participants remain enrolled. </t>
  </si>
  <si>
    <t xml:space="preserve">100 participants have remained enrolled in PreK or Family Child Care CDA courses with 5/100 completing their CDA courses to date. This is 74% of the boards goal of 136 participants served. </t>
  </si>
  <si>
    <t xml:space="preserve">The Board offered financial aid/scholarships for 24 select staff who qualify and participate in the Apprenticeship Program. </t>
  </si>
  <si>
    <t xml:space="preserve">24 participants have been served through this activity serving 69% of the board's goal of 35 participants served. </t>
  </si>
  <si>
    <t xml:space="preserve"> WSNCT offered early learning programs financial incentives based on participant's upward movement on the Workforce Registry career lattice (education based). 21 attendees</t>
  </si>
  <si>
    <t xml:space="preserve">21 participants were served through this activity. This is 29% of the boards estimated reach for this activity. </t>
  </si>
  <si>
    <t>1  program dropped from study participation due to ownership changes.</t>
  </si>
  <si>
    <t>Fifteen (15) Texas Rising Star Board Staff (Early Childhood Specialists) participate in mentor Micro-Credential PLCs as required by the Texas Rising Star guidelines. Seven Early Childhood Specialists are registered trainers and have been assigned to the Trainers Micro-Credential.  No CCQ funding is allocated for participation.</t>
  </si>
  <si>
    <t>During quarter 3, 5 Early Childhood Specialists earned a total of 43 badges.</t>
  </si>
  <si>
    <t xml:space="preserve">Paid salaries and benefits for fifteen (15) Texas Rising Star Board Staff.  One of the Sr. Early Childhood Specialists has a dual role as a certified Infant Toddler Specialist. Three of the Early Childhood Specialists will pursue their Infant Toddler Specialist certification. These Board Staff ensure the continuation of the Texas Rising Star program activities for our Workforce Development Board Area through mentoring, assessment, outreach, and program support services.  We have 15 Texas Rising Star mentor/Early Childhood Specialists, 2 Texas Rising Star Program Supervisors, and 1 Child Care Manager, and salaries for the positions come out of CCQ funding. </t>
  </si>
  <si>
    <t xml:space="preserve">667 early learning programs receiving mentoring assistance to attain, maintain, or increase certification level. </t>
  </si>
  <si>
    <t xml:space="preserve">TECPDS SMEs provided support to 156 early learning programs with the creation, correction, or completion of TECPDS director account. We will measure the success of this activity based on the number of director's accounts created or confirmed each quarter. Our estimated reach is 595. </t>
  </si>
  <si>
    <t xml:space="preserve">156 TECPDS Directors accounts were confirmed as complete for 156 WSNCT early learning programs. Based on the TECPDS deliverable to complete or confirm director's accounts for 25% of WSNCT programs with a  CCS agreement as of October 1, 2023; this is 26% of the board's goal to serve 149 programs this quarter. </t>
  </si>
  <si>
    <t>Three Early Childhood Specialists participated in the ASQ®-3 &amp; ASQ®:SE-2 Training of Trainers based on the Ages &amp; Stages Questionnaires®, Third Edition (ASQ®-3), and Ages &amp; Stages Questionnaires®: Social–Emotional, Second Edition (ASQ®:SE-2). Ages &amp; Stages Questionnaires® (ASQ®) provides reliable, accurate developmental and social-emotional screening for children between birth and age 6.  Three Early Childhood Specialist are trained to  support and train early learning programs to implement the screening tools.</t>
  </si>
  <si>
    <t>Six Early Childhood Specialists attended the Texas Rising Star Early Educator Conference in Arlington, TX from April 24-26,2024. Conference attendees received 7.5 annual clock hours for participation. Five Early Childhood Specialists and One Child Care Manager attended the NAEYC Professional Learning Institute in New Orleans, LA from June 1-5,2024. Conference attendees received 20.25 annual clock hours for participation. 12 participants total</t>
  </si>
  <si>
    <t>27.75 professional development hours were earned towards annual clock hours for each participant.</t>
  </si>
  <si>
    <t>Fifteen Texas Rising Star Early Childhood Specialists, Two Early Childhood Program Supervisors and 1 Child Care Manager attended the Virtual Collaborative Symposium virtually in April 2024 conducted by TWC. Participants received a total of 5.25 annual clock hours. 18 attendees total</t>
  </si>
  <si>
    <t>A total of  15 Early Childhood Specialists, 2 Early Childhood Program Supervisors and 1 Child Care Manager attended a virtual conference and received 5.25 professional development hours towards their annual clock hours.</t>
  </si>
  <si>
    <t>Two Early Childhood Specialist pursuing their Infant Toddler Specialist certification attended the Infant Toddler Specialist Network Foundations virtual Train the Trainer  from May 14-16, 2024. Attendees received 20 annual clock hours for participation.</t>
  </si>
  <si>
    <t>20 professional development hours were earned towards annual clock hours for each participant. Participates can now train infant/toddler ECE professional in best practices in that age group.</t>
  </si>
  <si>
    <t xml:space="preserve"> WSNCT offered opportunities for 150  assessment ready programs to acquire resources based on the program's assessment needs. Addressing quality enrichment needs and providing developmentally appropriate resources to enhance early learning environments to increase selected programs Texas Rising Star readiness. Our estimated reach of this activity is 150.</t>
  </si>
  <si>
    <t xml:space="preserve">150 programs received Quality Enrichment Kits to enhance their early learning environment based on Texas Rising Star standards. This is 100% of the board's goal for 150 participants served. </t>
  </si>
  <si>
    <t>WSNCT purchased preschool curricula for 8 early learning programs. Early learning programs that receive the grant attended curriculum training and were given coaching support by Early Childhood Specialists to ensure that key area learning domains and weekly instructional plans are implemented with fidelity.</t>
  </si>
  <si>
    <t xml:space="preserve">8 participants were served through the distribution of 10 preschool curricula. 100% of the projected curricula has been distributed to meeting 100% of the boards estimated reach of this activity. </t>
  </si>
  <si>
    <t>Directors and assistant directors of our providers are required to maintain at least 36 hours of child care training.  Workforce Solutions North Texas paid the costs for a Director and Assistant Director from one of our providers to attend TXAEYC November 2023. Impact was the application of new skills acquired through additional training and insight received at the conference. Progression will be tracked through evaluation and quarterly observations. 1 director, 1 assistant director</t>
  </si>
  <si>
    <t xml:space="preserve"> Impact was the application of new skills acquired through additional training and insight received at the conference. Progression will be tracked through evaluation and quarterly observations.</t>
  </si>
  <si>
    <t>Historically our local Texas Rising Star providers have scored lower on the teacher/child interaction portion of the assessment. "Beyond the Page" is a quality initiative that focuses on the professional development of child care center classroom teachers. The initiative focuses on early childhood literacy. This quarter, Texas Rising Star staff choose a theme, an age-appropriate book, and supplemental manipulative aimed to train and assist classroom teachers on strategic read-aloud and techniques. 204 books were purchased this quarter along with 204 supplementals for each classroom.  Track progression through evaluation, required training and quarterly observations. 10 participants in this quarter.</t>
  </si>
  <si>
    <t xml:space="preserve">Measurable outcomes will be measured by enhanced scores of the Texas Rising Star assessment regarding the teacher/child interaction. </t>
  </si>
  <si>
    <t>Staff salaries and benefits for an additional staff member to ensure mandated state guidelines requiring participating CCAS centers currently being integrated into the Texas Rising Star program to be mentored. (4 total mentoring staff)
Staff will support the current 43 Texas Rising Star-certified centers in our local board area and 39 Entry Level programs.</t>
  </si>
  <si>
    <t xml:space="preserve">To help support parent engagement and consumer education designed to increase understanding and selection of quality child care promotional items were purchased to use at events such as job fairs and local outreach events. Awareness of Texas Rising Star program participation in order to outreach and recruit non-Texas Rising Star centers to become Texas Rising Star certified and to outreach non-contracted centers to join the CCAS/Texas Rising Star program. Intended to inform the public on the importance of choosing Quality child care centers for buy-in and involvement with the Texas Rising Star program. Community Awareness is vital to keep our clients and providers informed on what Texas Rising Star can do for their children. The estimated reach is community wide. </t>
  </si>
  <si>
    <t xml:space="preserve">Historically our local Texas Rising Star providers have scored lower on the teacher/child interaction portion of the assessment. "Beyond the Page" is a quality initiative that focuses on the professional development of child care center classroom teachers. The initiative focuses on early childhood literacy. This quarter, Texas Rising Star staff choose a theme, an age-appropriate book, and supplemental manipulative aimed to train and assist classroom teachers on strategic read-aloud and techniques. 204 books were purchased this quarter along with 204 supplementals for each classroom.  Track progression through evaluation, required training and quarterly observations. The reach was 43 Texas Rising Star centers and 204 classrooms. </t>
  </si>
  <si>
    <t>Measurable outcomes will be measured by enhanced scores of the Texas Rising Star assessment regarding the teacher/child interaction. 100% of the Board's goal to reach 43 Texas Rising Star centers with this activity has been reached.</t>
  </si>
  <si>
    <t>4 Texas Rising Star staff completed CLI PLC for each month</t>
  </si>
  <si>
    <t>Virtual badges earned</t>
  </si>
  <si>
    <t>1 Texas Rising Star Mentor attended the HHSC-ECI conference in Denton, TX in December 2023</t>
  </si>
  <si>
    <t>Early Childhood Intervention (ECI) subject matter expert (SME) training and knowledge gained</t>
  </si>
  <si>
    <t>2 Texas Rising Star staff attended the TWC CCQ Board Strategic Planning meeting in October 2023</t>
  </si>
  <si>
    <t>Training and knowledge gained</t>
  </si>
  <si>
    <t>31 scholarships for child care center staff to take the Infant/Toddler CDA course were paid for by Workforce Solutions North Texas. This project aligns with our goal to enhance the quality of education and care to our clients and enhances their Texas Rising Star star level quality scores of the center.</t>
  </si>
  <si>
    <t>TBD; course is in progress and expected to end June 2024, enrollments 100% of goal.</t>
  </si>
  <si>
    <t>29 scholarships for child care center staff to take the Pre-K CDA course were paid for by Workforce Solutions North Texas.  This project aligns with our goal to enhance the quality of education and care to our clients and enhances their Texas Rising Star level quality scores of the center.</t>
  </si>
  <si>
    <t>Directors and assistant directors of our providers are required to maintain at least 36 hours of child care training. Training on early learning and child development topics, including, but not limited to, health and safety, pre-k care, infant/toddler care, inclusion, teaching dual-language learners, understanding developmental screenings, mental health, nutrition and physical activity, equity, behavior management, parent relationships, indoor and outdoor learning, environments, and social-emotional development. This quarter the Director's luncheon was over "Texas Rising Star certification requirements".</t>
  </si>
  <si>
    <t>This completes 10% of the goal to serve programs by providing required annual training hours.</t>
  </si>
  <si>
    <t xml:space="preserve">24 Texas Rising Star Three- and Four-Star providers from 12 facilities met in-person with Mentor Staff to go over Quality Day of Play and the importance of teacher interactions with the children and the interactive play component of the event being held. </t>
  </si>
  <si>
    <t>Increase Texas Three- and Four-Star providers knowledge of what is needed to be able to showcase what Play and Quality Care look like in a Texas Rising Star Facility at the Quality Day of Play Event.</t>
  </si>
  <si>
    <t xml:space="preserve">To help support parent engagement and consumer education designed to increase understanding and selection of quality child care, promotional items were purchased to use at events such as job fairs and local outreach events. Awareness of Texas Rising Star program participation in order to outreach and recruit non-Texas Rising Star centers to become Texas Rising Star certified and to outreach non-contracted centers to join the CCAS/Texas Rising Star program. Intended to inform the public on the importance of choosing Quality child care centers for buy-in and involvement with the Texas Rising Star program. Community Awareness is vital to keep our clients and providers informed on what Texas Rising Star can do for their children. The estimated reach is community wide. </t>
  </si>
  <si>
    <t>Historically our local Texas Rising Star providers have scored lower on the teacher/child interaction portion of the assessment. "Beyond the Page" is a quality initiative that focuses on the professional development of child care center classroom teachers. The initiative focuses on early childhood literacy. This quarter, Texas Rising Star staff choose a theme, an age-appropriate book, and supplemental manipulative aimed to  assist classroom teachers on strategic read-aloud and techniques. 204 books were purchased this quarter along with 204 supplementals for each classroom.  Track progression through evaluation and quarterly observations. 43 participants this quarter.</t>
  </si>
  <si>
    <t>Measurable outcomes will be measured by enhanced scores of the Texas Rising Star assessment regarding the teacher/child interaction.  100% of the Board's goal to reach 43 Texas Rising Star centers with this activity has been reached.</t>
  </si>
  <si>
    <t xml:space="preserve">There has been a demonstrated need for our providers to obtain support in providing high quality safe indoor and outdoor equipment. There is also a demonstrated need for expansion to allow for more client placement. This is a two-part assessment divided into professional development and Quality improvement to help our child care centers focus on four areas of need: Curriculum, professional development, indoor environment, and outdoor environment. Two providers requested assistance within their center.
</t>
  </si>
  <si>
    <t xml:space="preserve">Staff salaries and benefits for additional staff member to ensure mandated state guidelines requiring participation in the required TECPDS program. Staff will support the Texas Rising Star mentors in onboarding and the current 43 Texas Rising Star-certified centers in our local board area and 39 Entry Level programs. </t>
  </si>
  <si>
    <t>Staff salaries and benefits for additional staff member to mentor and train child care program staff serving infants and toddlers, particularly classroom teachers., and provide technical assistance and cross-training on infant and toddler-focused topics to local Texas Rising Star mentors who are not certified Infant-Toddler Specialists. In May, five centers were provided training and technical assistance for the following areas: Classroom management, Infant Toddler teacher interaction, Classroom and outdoor specific to infant toddler set up, and behavior management. One training was held for all providers over Family Engagement with 11 participants. In June, five centers were provided trainings and technical assistance for the following areas: IT Training, classroom management, real life multicultural, and classroom setup. One training was held for all providers over Promoting Social and Emotional Development with 8 participants.</t>
  </si>
  <si>
    <t>Measurable outcomes will be measured by enhanced scores of the Texas Rising Star assessment regarding infants and  toddlers.</t>
  </si>
  <si>
    <t>Directors and assistant directors of our providers are required to maintain at least 36 hours of child care training. Training on early learning and child development topics, including, but not limited to, health and safety, pre-k care, infant/toddler care, inclusion, teaching dual-language learners, understanding developmental screenings, mental health, nutrition and physical activity, equity, behavior management, parent relationships, indoor and outdoor learning, environments, and social-emotional development. This quarter the Director's luncheon was over "Teacher-Child Interactions: The Art of Art". 31 attendees</t>
  </si>
  <si>
    <t>31 Directors/Assistant Directors from our contracted centers (37%) received 2 hours of training - 23 in person, 8 virtual.</t>
  </si>
  <si>
    <t>Staff salaries and benefits for additional staff member to ensure mandated state guidelines requiring participating CCAS centers currently being integrated into the Texas Rising Star program to be mentored. (5 total mentoring staff) Staff will support the current 43 Texas Rising Star-certified centers in our local board area and 39 Entry Level programs.</t>
  </si>
  <si>
    <t>Measurable outcomes will be measured by enhanced scores of the Texas Rising Star assessment regarding participation in TECPDS.</t>
  </si>
  <si>
    <t xml:space="preserve">Historically our local Texas Rising Star providers have scored lower on the teacher/child interaction portion of the assessment. "Beyond the Page" is a quality initiative that focuses on the professional development of child care center classroom teachers. The initiative focuses on early childhood literacy. This quarter, Texas Rising Star staff choose a theme, an age-appropriate book, and supplemental manipulative aimed to  assist classroom teachers on strategic read-aloud and techniques. 204 books were purchased this quarter along with 204 supplementals for each classroom.  Track progression through evaluation and quarterly observations. The reach was 43 Texas Rising Star centers and 204 classrooms. </t>
  </si>
  <si>
    <t>There has been a demonstrated need for our providers to obtain support in providing high quality safe indoor and outdoor equipment. There is also a demonstrated need for expansion to allow for more client placement. This needs assessment was for Quality improvement to help our child care centers focus on their specific areas of need:  indoor environment, and outdoor environment.  17 providers requested assistance within their center.</t>
  </si>
  <si>
    <t xml:space="preserve">Renewed contract with Lena Grow for 50 more classrooms. </t>
  </si>
  <si>
    <t xml:space="preserve">Increased kindergarten readiness. Help Programs detect delayed communication early on so that more attention can be given to the children that might be struggling. Also, help  the teacher to understand her relationships with her students better. </t>
  </si>
  <si>
    <t xml:space="preserve">Provided Brightwheel Learning to 62 facilities. This is utilized for attendance tracking, billing processes, and parent communication. </t>
  </si>
  <si>
    <t>Providers are utilizing Brightwheel to submit attendance to Kinder Connect. Increased communication between providers and parents. The Board's gool of providing 62 programs with Brightwheel has been met by 100%</t>
  </si>
  <si>
    <t>Various trainings provided in person and virtually to directors and staff.  541 attendees</t>
  </si>
  <si>
    <t>Provides staff with required training hours and also increases quality in the classroom. Decrease in number of licensing deficiencies cited by Child Care Regulation.</t>
  </si>
  <si>
    <t>Paid for providers lodging to attend the 2023 TXAEYC Conference 11/2/24-11/4/24 for various training options. 25 attendees</t>
  </si>
  <si>
    <t>Provided monthly trainings to directors and all staff. 117 attendees</t>
  </si>
  <si>
    <t>Paid for one of the speakers that spoke at the Paris Junior College Workshop in September. Reimbursed 56 participants for their fees.</t>
  </si>
  <si>
    <t xml:space="preserve">Paid for 1 provider staff to attend CDA Classes. </t>
  </si>
  <si>
    <t>Increase number of early childhood program educators attaining CDA. The Board has a minimum goal of 5 participants receiving a CDA. If this participant completes their certificate, this will be 20% of the minimal goal.</t>
  </si>
  <si>
    <t xml:space="preserve">Purchased books for 62 centers. </t>
  </si>
  <si>
    <t xml:space="preserve">Inspires children to want to read and develops their imaginations. Increases the number of providers interested in participating in CCS. </t>
  </si>
  <si>
    <t>Paid for providers and Texas Rising Star staff lodging to attend the 2023 TXAEYC Conference 11/2/24-11/4/24 for various training options. 6 participants</t>
  </si>
  <si>
    <t xml:space="preserve">Provides additional training to Texas Rising Star mentors and WFC Provider Staff as well as creating networking opportunities between providers and WFC as well as other Board area Staff. </t>
  </si>
  <si>
    <t>Purchased supplies from Red Cross to provide AED and First Aid trainings to 62 providers.</t>
  </si>
  <si>
    <t xml:space="preserve">Providers are able to have life saving technology on site in case of an emergency after proper training is provided. Certificates will be earned by providers who participate. </t>
  </si>
  <si>
    <t>Purchased family engagement backpacks for providers who requested and agreed to  provide feedback. 1121 families; 33 programs</t>
  </si>
  <si>
    <t xml:space="preserve">Increases family engagement for those who received them. Families are providing pictures of them utilizing the tools in the backpacks together at home. </t>
  </si>
  <si>
    <t xml:space="preserve">Provided Brightwheel to 62 facilities. This is utilized for attendance tracking, billing processes, and parent communication. </t>
  </si>
  <si>
    <t>Providers are utilizing Brightwheel to submit attendance to Kinder Connect. Increased communication between providers and parents. The Board's goal of providing 62 programs with Brightwheel has been met  100%</t>
  </si>
  <si>
    <t>Various trainings provided in person and virtually to directors and staff. 876 attendees</t>
  </si>
  <si>
    <t>Provides staff with required training hours and increases quality in the classroom. Decrease in number of licensing deficiencies cited by Child Care Regulation.</t>
  </si>
  <si>
    <t>Paid for a speaker to present 2 sessions at the Paris Junior College child care conference. 77 attendees</t>
  </si>
  <si>
    <t>Pre-registered for the Texas Licensed Child Care Association's Fall Conference. 24 attendees</t>
  </si>
  <si>
    <t xml:space="preserve">Paid for 3 provider staff to attend CDA courses at Texarkana College. </t>
  </si>
  <si>
    <t xml:space="preserve">Increases number of early childhood program educators obtaining CDA. The Board has a minimum goal of 5 participants receiving a CDA. If these participants complete their certificates this will meet 80% of our minimal goal. </t>
  </si>
  <si>
    <t>Mental health training provided to provider staff.  45 attendees</t>
  </si>
  <si>
    <t xml:space="preserve">This activity completes 9% of the Board's goal to support 500 early learning program staff with professional development. </t>
  </si>
  <si>
    <t>Prepaid for speakers for the annual child care conference scheduled for April 13th.  153 attendees</t>
  </si>
  <si>
    <t>Pre-payment for the facility used for our annual child care conference scheduled 4/13/24. Registration is open to 200 participants. 174 participants were registered for the conference, 153 attended.</t>
  </si>
  <si>
    <t xml:space="preserve">Provides a venue for providers to attend the annual conference. Registration is open to 200 participants. 174 participants registered for the conference. </t>
  </si>
  <si>
    <t>Purchased family engagement backpacks for providers who requested and agreed to  provide feedback. 764 families; 40 programs</t>
  </si>
  <si>
    <t xml:space="preserve">Purchased quality classroom items for 64 teachers who will attend the Workforce Solutions Northeast Texas annual child care conference scheduled for 4/13/24. </t>
  </si>
  <si>
    <t xml:space="preserve"> - increase Texas Rising Star participation and/or certified star levels
 - increase retention of Texas Rising Star certified programs
</t>
  </si>
  <si>
    <t xml:space="preserve">Personnel costs for Texas Rising Star staff employed with WFSNETX. </t>
  </si>
  <si>
    <t xml:space="preserve">Provided Brightwheel to 62 programs. This is utilized for attendance tracking, billing processes and parent communication. </t>
  </si>
  <si>
    <t xml:space="preserve">Various trainings provided in person and virtually to 424 directors and staff. </t>
  </si>
  <si>
    <t>Provides staff with required training hours and increases quality in the classroom. Decrease in number of licensing deficiencies cited by Child Care Regulation. This meets 85% of the Board's goal to support 500 early learning staff with Professional Development.</t>
  </si>
  <si>
    <t>Paid the remaining speakers for our annual Childcare Conference 4/13/24. 153 staff attended</t>
  </si>
  <si>
    <t>Provides staff with required training hours and increases quality in the classroom. Decrease in number of licensing deficiencies cited by Child Care Regulation. With these participants, the Board has exceeded the goal of supporting 500 early learning staff with professional development.</t>
  </si>
  <si>
    <t>Personnel costs for Texas Rising Star staff employed with WFSNETX. 4 mentors</t>
  </si>
  <si>
    <t xml:space="preserve">Reimbursed 4 Texas Rising Star mentors for out of pocket training expenses. </t>
  </si>
  <si>
    <t xml:space="preserve">Number of Early Learning Programs attaining, maintaining, and increasing Texas Rising Star certifications. </t>
  </si>
  <si>
    <t xml:space="preserve">Purchased "Gaga Ball Pits" (playground equipment) for 6 providers who applied and were approved for grant. </t>
  </si>
  <si>
    <t>Number of childcare and Early Learning Programs receiving materials to attain, maintain, or increase Texas Rising Star certification levels. This meets 75% of the Board's goal to support 8 programs with outdoor equipment.</t>
  </si>
  <si>
    <t>Purchased incentive cards for staff at centers who maintained 6 months employment after participating in Lena Grow program. 20 teachers</t>
  </si>
  <si>
    <t xml:space="preserve">Retention of staff at providers who participate. </t>
  </si>
  <si>
    <t xml:space="preserve">Provided 12-month subscription for a case management software for six (6) Texas Rising Star Early Learning Programs who are currently participating in the Shared Services program.  
</t>
  </si>
  <si>
    <t>The Board will measure the success of this activity through Early Learning Programs meeting their CQIP goals.  Measurable outcomes include an increase in the assessment scores for Category 3 for these providers.</t>
  </si>
  <si>
    <t xml:space="preserve">Provided forty-eight (48) child care teachers from six (6) Early Learning Programs working towards Texas Rising Star certification and six (6) Texas Rising Star certified Early Learning Programs with curriculum training. </t>
  </si>
  <si>
    <t>The Board will measure the success of this activity through Early Learning Programs meeting their CQIP goals for child care teacher training.  Measurable outcomes include an increase in delivery of higher quality interactions and a decrease in the number of Child Care Regulation deficiencies.</t>
  </si>
  <si>
    <t>Provided nineteen (19) unduplicated participants from three (3) Early Learning Programs working towards Texas Rising Star certification and five (5) Texas Rising Star certified Early Learning Programs with scholarships for TSI testing, tuition, and books to obtain their Associates degree in Early Childhood Education or Education. (total scholarship given = fifty-two (52) participants from nine (9) Early Learning Programs working towards Texas Rising Star certification and fourteen (14) Texas Rising Star certified Early Learning Programs.)</t>
  </si>
  <si>
    <t>The Board will measure the success of this activity through Early Learning Programs meeting their CQIP goals for teacher education.  Measurable outcomes include an increase in the number of child care teachers pursuing or attaining a college degree in early childhood education.</t>
  </si>
  <si>
    <t xml:space="preserve">Personnel costs for six (6) Texas Rising Star staff (Three (3) staff at 1.00 FTE; one (1) staff at .75 FTE and .25 other FTE; two (2) staff at .50 FTE and .50 other FTE) </t>
  </si>
  <si>
    <t>The Board will measure the success of this activity through an increase in early learning programs participating in Texas Rising Star and achieving or maintaining certification.</t>
  </si>
  <si>
    <t>Provided twenty-two (22) unduplicated participants from three (3) early learning programs working towards Texas Rising Star certification and nine (9) Texas Rising Star certified early learning programs with scholarships for TSI testing, tuition, and books to obtain their Associates degree in Early Childhood Education or Education. (total scholarship given = sixty (60) participants from ten (10) early learning programs working towards Texas Rising Star certification and fourteen (14) Texas Rising Star certified early learning programs.)</t>
  </si>
  <si>
    <t>The Board will measure the success of this activity through early learning programs meeting their CQIP goals for teacher education.  Measurable outcomes include an increase in the number of child care teachers pursuing or attaining a college degree in early childhood education. The Board has met 88% of the goal to serve 25 participants with educational scholarships.</t>
  </si>
  <si>
    <t xml:space="preserve">Provided reimbursement for one hundred eighty-three (183) child care teachers from six (6) early learning programs working towards Texas Rising Star certification and twenty-two (22) Texas Rising Star certified early learning programs for attending a local ECE Conference. </t>
  </si>
  <si>
    <t>The Board will measure the success of this activity through early learning programs meeting their CQIP goals for child care teacher training.  Measurable outcomes include an increase in delivery of higher quality interactions and a decrease in the number of Child Care Regulation deficiencies.</t>
  </si>
  <si>
    <t xml:space="preserve">Personnel costs for seven (7) Texas Rising Star staff (Three (3) staff at 1.00 FTE; two (2) staff at .75 FTE and .25 other FTE; one (1) staff at .50 FTE and .50 other FTE) </t>
  </si>
  <si>
    <t xml:space="preserve">Provided two (2) child care teachers from one (1) Early Learning Program working towards Texas Rising Star certification with curriculum training. </t>
  </si>
  <si>
    <t xml:space="preserve">The Board will measure the success of this activity through the Early Learning Program meeting their CQIP goals for child care teacher training.  Measurable outcomes include an increase in delivery of higher quality interactions and a decrease in the number of Child Care Regulation deficiencies. </t>
  </si>
  <si>
    <t>Provided thirty-one (31) programs working towards Texas Rising Star certification with infant &amp; toddler learning materials and/or outdoor equipment.</t>
  </si>
  <si>
    <t xml:space="preserve">The Board will measure the success of this activity by early learning programs meeting their CQIP goals for environments.  Measurable outcomes include an increase the number of early learning programs participating in the Texas Rising Star program and higher assessment scores in Category 4. </t>
  </si>
  <si>
    <t>15 providers/participants received online training resources for Creative Curriculum</t>
  </si>
  <si>
    <t>This activity met 15% of the Board's goal to support 100 participants with professional development in FY24.</t>
  </si>
  <si>
    <t>Provided thirteen (13) unduplicated participants from one (1) program working towards Texas Rising Star certification and three (3) Texas Rising Star certified programs with scholarships for TSI testing, tuition, and books to obtain their Associates degree in Early Childhood Education or Education. (total scholarship given = fifty-four (54) participants from four (4) programs working towards Texas Rising Star certification and nineteen (19) Texas Rising Star certified programs.)</t>
  </si>
  <si>
    <t>The Board will measure the success of this activity through early learning programs meeting their CQIP goals for teacher education.  Measurable outcomes include an increase in the number of child care teachers pursuing or attaining a college degree in early childhood education. The Board has met 140% of the goal to serve 25 participants with educational scholarships.</t>
  </si>
  <si>
    <t>Provided eleven (11) home providers working towards Texas Rising Star certification with curriculum.</t>
  </si>
  <si>
    <t xml:space="preserve">The Board will measure the success of this activity through early learning programs meeting their CQIP goals for classroom instruction.  Measurable outcomes include an increase in children's language development or SEL competencies. </t>
  </si>
  <si>
    <t>Provided two (2) programs working towards Texas Rising Star certification and thirteen (13) Texas Rising Star certified programs with printed Pre-K curriculum, digital resources, and online assessment tool.</t>
  </si>
  <si>
    <t xml:space="preserve">The Board will measure the success of this activity through early learning programs meeting their CQIP goals for classroom instruction.  Measurable outcomes include an increase in children's language development or SEL competencies.  </t>
  </si>
  <si>
    <t>Provided thirty-two (32) programs working towards Texas Rising Star certification with preschool &amp; school-age learning materials and/or outdoor equipment.</t>
  </si>
  <si>
    <t>The Board will measure the success of this activity through the early learning program meeting their CQIP goals for teacher education.  Measurable outcomes include an increase in the number of child care teachers pursuing or attaining a college degree in early childhood education. The Board has met 140% of the goal to serve 25 participants with educational scholarships.</t>
  </si>
  <si>
    <t>First Aid and CPR training was provided to 5 centers serving 42 employees.</t>
  </si>
  <si>
    <t>To allow child care program's financial assistance in First Aid and CPR to allow funds usually spent on this to go back into the program The Board's goal is to support 92 early learning programs with CPR/First Aid Training. The Board has met 5% of this goal in Q1.</t>
  </si>
  <si>
    <t>Back office solutions allow for Director/Administrators to be out of the office more and into the classroom working with teachers. A Brightwheel subscription was provided to 1 child care program</t>
  </si>
  <si>
    <t xml:space="preserve"> To decrease the number of licensing deficiencies cited by Child Care Regulation specific to paperwork.</t>
  </si>
  <si>
    <t>Supply Building grants were provided to 4 child care programs</t>
  </si>
  <si>
    <t>Increase Texas Rising Star participation and preparation for assessment.</t>
  </si>
  <si>
    <t>First Aid and CPR Training was provided to 78 participants from 12 programs</t>
  </si>
  <si>
    <t>To allow child care program's financial assistance in First Aid and CPR to allow funds usually spent on this to go back into the program as well as help prevent Child Care Regulation deficiencies The Board's goal is to support 90 early learning programs with CPR/First Aid Training. The Board has met 13% of this goal in Q1, serving 78 participants.</t>
  </si>
  <si>
    <t>FBI Fingerprints were provided to 22 individuals from 3 programs.</t>
  </si>
  <si>
    <t>To allow child care program's financial assistance in FBI Fingerprinting to allow funds usually spent on this to go back into the program as well as help prevent Child Care Regulation deficiencies. The Board's goal is to support 92 early learning programs with CPR/First Aid Training. The Board has met 5% of this goal in Q1 assisting in 22 individual finger prints.</t>
  </si>
  <si>
    <t xml:space="preserve">Infant Toddler Specialists Provide training expertise specific to the Infant and Toddler to 22 staff allowing for improvement in quality care. </t>
  </si>
  <si>
    <t>The Board's goal is to support 90 early learning programs.  The Board met 24%  of this goal in Q2.</t>
  </si>
  <si>
    <t>Back office solutions allow for Director/Administrators to be out of the office more and into the classroom working with teachers. A High Mamma subscription was provided to 1 child care program</t>
  </si>
  <si>
    <t>To decrease the number of licensing deficiencies cited by Child Care Regulation specific to paperwork.</t>
  </si>
  <si>
    <t>Frog Street flip chart, Provided missing flip chart for Frog Street curriculum to ensure staff had all materials to teach curriculum correctly for 1 program.</t>
  </si>
  <si>
    <t>The Board's goal is to support 90 early learning programs with equipment and materials. The Board has met 24% of this goal in Q2.</t>
  </si>
  <si>
    <t>179 $500 Lakeshore kit grants were awarded to 37 early learning programs.</t>
  </si>
  <si>
    <t>Provide Lakeshore kits to every EPL classroom after they submit their Texas Rising Star application.  The Board's goal is to distribute 404 kits.  The Board has distributed 179 kits which met 44% of this goal in Q2.</t>
  </si>
  <si>
    <t>Texas Rising Star personnel costs; 3 Mentors and a portion of the Child Care Program Specialist (based on number of hours dedicated to quality activity)</t>
  </si>
  <si>
    <t>Supporting 90 early learning programs in the Board area</t>
  </si>
  <si>
    <t>29 early learning programs were awarded $500 for reaching Texas Rising Star certification</t>
  </si>
  <si>
    <t>Provide $500 to each facility that obtains their Texas Rising Star certification.  The Board's goal is to support 90 centers.  The Board met 32% of this goal in Q2.</t>
  </si>
  <si>
    <t>First Aid &amp; CPR training was provided to 76 participants from 9 early learning programs</t>
  </si>
  <si>
    <t>To allow child care program's financial assistance in First Aid and CPR to allow funds usually spent on this to go back into the program as well as help prevent Child Care Regulation deficiencies The Board's goal is to support 90 early learning programs with CPR/First Aid Training. The Board has met 10% of this goal in Q3, serving 9 early learning programs.</t>
  </si>
  <si>
    <t>FBI Fingerprints reimbursements were provided to 11 early learning programs for 57 participants to support programs in Child Care Regulation compliance and in spending those costs on other needs</t>
  </si>
  <si>
    <t xml:space="preserve"> The Board's goal is to support 90 early learning programs with FBI Fingerprint reimbursements. The Board has met 8% of this goal in Q3 assisting 11 early learning programs.</t>
  </si>
  <si>
    <t>Infant Toddler Specialist provided training expertise specific to 16 Infant and Toddler staff allowing for improvement in quality care.</t>
  </si>
  <si>
    <t>The Board's goal is to support 90 early learning programs.  The Board met 7%  of this goal in Q3.</t>
  </si>
  <si>
    <t>Provided back office solutions to 16 early learning programs</t>
  </si>
  <si>
    <t>Back office solutions allow for Director/Administrators to be out of the office more and into the classroom working with teachers. To decrease the number of licensing deficiencies cited by Child Care Regulation specific to paperwork.</t>
  </si>
  <si>
    <t>At the Heart conference - A sense of Belonging, working with special needs populations was provided and 292 individuals attended</t>
  </si>
  <si>
    <t>Decreasing the number licensing deficiencies and increase quality activities in early learning programs.</t>
  </si>
  <si>
    <t>Texas Rising Star personnel costs; 3 mentors Salary/benefits</t>
  </si>
  <si>
    <t>Supporting 90 early learning programs in the Board area.</t>
  </si>
  <si>
    <t>41 early learning programs received $500 Lakeshore Kit grants for applying to become Texas Rising Star certified</t>
  </si>
  <si>
    <t>Provide Lakeshore kits to every EPL classroom after they submit their Texas Rising Star application.  The Board's goal is to distribute 404 kits.  The Board has distributed 141 kits which met 35% of this goal in Q3.</t>
  </si>
  <si>
    <t>43 early learning programs received grants in the amount of $1000 for obtaining Texas Rising Star certification</t>
  </si>
  <si>
    <t>Provide $1,000 to each facility that obtains their Texas Rising Star certification.  The Board's goal is to support 90 centers.  The Board met 48% of this goal in Q3.</t>
  </si>
  <si>
    <t>41 early learning programs received an outdoor equipment grant  in the amount of $3,000 for obtaining their Texas Rising Star certification</t>
  </si>
  <si>
    <t>Provide $3,000 to each facility that obtains their Texas Rising Star certification to increase their scores in category 4 of the Classroom Assessment Record Form.  The Board's goal is to support 90 centers.  The Board met 46% of this goal in Q3.</t>
  </si>
  <si>
    <t>Staff salaries and benefits for The Early Care and Education Specialists (mentors) who are working with providers that are Entry level designated. Mentors guide programs through the process of becoming Texas Rising Star Certified . For  providers that are already Texas Rising Star certified, Mentors are working with them to maintain their Texas Rising Star Certification, give support and provide ongoing training/technical assistance.</t>
  </si>
  <si>
    <t>Forty-four Initial Applications were submitted to the Centralized Assessment Entity to assess Entry level Learning programs  in gaining Texas Rising Star certification.  The mentors conducted 193 mentoring visits with Entry level Learning providers and 247 visits with those already certified Texas Rising Star working toward increasing and maintaining the number of Texas Rising Star programs available in our area.</t>
  </si>
  <si>
    <t>Rural Capital has provided the opportunity for providers in 4 of the 9 counties to join the Shared Service Alliance. There are 2 different service contractors covering 2 different areas. Total the service contractor has held 15 initial interest meetings in the last quarter. There are a total of 12 providers that have joined the Shared Services Alliance. These providers are receiving the opportunity to utilize professional training and Development, business coaching and support, and compliance guidance.</t>
  </si>
  <si>
    <t xml:space="preserve"> A satisfaction survey is sent to the participants on a quarterly basis. 11/12 providers indicated a positive impact from the participation of the alliance. </t>
  </si>
  <si>
    <t>13 Texas Rising Star Staff salaries, travel, benefits, etc.</t>
  </si>
  <si>
    <t>Staff supports 350 programs in the Board area.</t>
  </si>
  <si>
    <t>Ages &amp; Stages Questionnaire (ASQ) Resource Kits for measuring child development was purchased for 9 programs.</t>
  </si>
  <si>
    <t>Nine of twenty-one, Early Learning Programs, received the Ages and Stages Questionnaire (ASQ) resource kits for measuring child development.</t>
  </si>
  <si>
    <t>First Aid &amp; CPR Certification, 46 programs</t>
  </si>
  <si>
    <t xml:space="preserve">Forty-six individuals received in-person CPR &amp; First Aid training in Cedar Park, San Marcos, and Round Rock combined. All forty-six participants obtained certification valid for two years. This has met the Goal of the Board supporting providers to be certified in CPR/First Aid training. </t>
  </si>
  <si>
    <t>Twenty-one individuals initiated their Director's Credential in a virtual course spanning 10 weeks - course is still in progress. Individuals in the Director's Credential program are improving their business acumen and learning more about HR organization. Training Calendar Trainings Completed (C) or in Progress (IP): Director's Credential (IP), 2 Virtual Trainings (C), and 1 In-Person Training©; 44 participants</t>
  </si>
  <si>
    <t xml:space="preserve"> Pre-assessment of the participants indicates 79% of the participants are neutral or less than confident in their directorship skill. Twenty-three total individuals attended trainings hosted online and in-person earning two training hours per training. Participants gained knowledge on rate setting via virtual session(5), learned strategies to improve their leadership skills via virtual session(7), and received additional training in behavior prevention in an in-person session(11). Post-assessment survey of the rate setting, leadership skills training, and behavior prevention training show that participants left the trainings with greater understanding of the topics discussed and found the trainings helpful to their professional development. </t>
  </si>
  <si>
    <t>271 Early Learning Program representatives participated in Peer Learning Communities and/or Director Conversations</t>
  </si>
  <si>
    <t xml:space="preserve">Participants improved their understanding of KinderConnect (70), Texas Early Childhood Professional Development System (TECPDS) (58), and various Staff Retention strategies (56). 87 Directors or representatives participated in smaller PLC's focusing on various Texas Rising Star measures, to assist with obtaining or maintaining Texas Rising Star status, with their mentors. Topics for these PLCs were: Real Items (9), Community Resources (23), Family Engagement (11), Staff Morale (14), Toddler Roundtable (9), Support for Children's Regulation (7), Creating a Safe Space in Afterschool (8), and Big Feelings are Welcome Here (6). Eighteen Texas Rising Star applications were submitted to CLI for Assessment. </t>
  </si>
  <si>
    <t>Ages &amp; Stages Questionnaire (ASQ) Training for Providers, 54 programs</t>
  </si>
  <si>
    <t>Nine of twenty-one, Early Learning Programs, fifty-four total directors/teachers, were trained in completing the Ages and Stages Questionnaire (ASQ), empowering the parents and teachers to understand the individual child progress and providing individualized activities/exercises/interactions to help ensure development via in-person training sessions.</t>
  </si>
  <si>
    <t>Texas Rising Star Continuous Mentoring</t>
  </si>
  <si>
    <t xml:space="preserve">Early Education Specialist (mentors) continued to provided mentoring services in order to assist Early Learning Programs (ELP's) in obtaining or maintaining Texas Rising Star certification. Mentoring took place either virtually or in person and in various formats: 1-on-1, PLC, or Director's Conversation. 322 early learning programs received 1:1 mentoring services during Q2: 118 were Texas Rising Star certified and 204 were Entry Level Designees. 271 early learning program representatives participated in PLCs and/or Director Conversations. 184 Directors or early learning program representatives participated in Director Conversations. </t>
  </si>
  <si>
    <t>Staff supports 350 programs in the Board area with ongoing training/technical assistance and maintain Texas Rising Star certification.</t>
  </si>
  <si>
    <t>Rural Capital supported a fatherhood summit with a community partner to host an event aimed at fathers in the community to offer fellowship and parent training. Goal was to serve 75 fathers. 101 total participants</t>
  </si>
  <si>
    <t>Satisfaction surveys were sent to all participants. 95% reported that the event help the attendee acknowledge their priority of being a father. Following the event one father checked himself into rehab to get clean as a result of learning how to be a better father.</t>
  </si>
  <si>
    <t xml:space="preserve">Rural Capital purchased one set of story walk materials including the page displays and the book pages to support multiple events. The first event that will be supported is our local family event. This story walk will connect the Dia De Nino to the Baby Day event. The story is offered in both English and Spanish to support other language learners.  </t>
  </si>
  <si>
    <t xml:space="preserve">Pending </t>
  </si>
  <si>
    <t xml:space="preserve">No data on how many families or parents were reached as the event has not taken place yet. </t>
  </si>
  <si>
    <t>Rural Capital has provided the opportunity to providers in 4 of the 9 counties. There are 2 different service contractors covering 2 different areas. Total the service contractor has held 15 initial interest meetings in the last quarter. There are a total of 22 providers that have joined the Shared Services Alliance. These providers are receiving the opportunity to utilize professional training and development, business coaching and support, and compliance guidance.</t>
  </si>
  <si>
    <t xml:space="preserve"> A satisfaction survey is sent to the participants on a quarterly basis. Of the 6 providers that returned the survey, all 6 providers indicated a positive impact from the participation of the alliance. </t>
  </si>
  <si>
    <t>83 individuals received in-person CPR &amp; First Aid training in Cedar Park, San Marcos, and Round Rock combined.</t>
  </si>
  <si>
    <t xml:space="preserve">
 -All forty-six participants obtained certification valid for two years. </t>
  </si>
  <si>
    <t>Ages &amp; Stages Questionnaire (ASQ) Training for Providers
86 total directors/teachers, were trained in completing the Ages and Stages Questionnaire (ASQ),</t>
  </si>
  <si>
    <t xml:space="preserve">
- 86 participants understood how ASQ empowered the parents and teachers to understand the individual child progress and providing individualized activities/exercises/interactions to help ensure development via in-person training sessions.</t>
  </si>
  <si>
    <t>8 Ages &amp; Stages Questionnaire (ASQ) Resource Kits for measuring child development</t>
  </si>
  <si>
    <t>Eight of eighteen, Early Learning Programs, received the Ages and Stages Questionnaire (ASQ) resource kits for measuring child development. This is 44% of the Board's goal.</t>
  </si>
  <si>
    <t xml:space="preserve">Early Education Specialist (mentors) continued to provided mentoring services in order to assist Early Learning Programs (ELP's) in obtaining or maintaining Texas Rising Star certification. Mentoring took place either virtually or in person and in various formats: 1-on-1, PLC, or Director's Conversation. 329 ELP's received 1:1 mentoring services during Q3. 372 ELP representatives participated in PLCs and/or Director Conversations.  </t>
  </si>
  <si>
    <t>Training Calendar Trainings Completed (C) or in Progress (IP): Director's Credential (C), 8 Virtual Trainings (C), and 13 In-Person Training©</t>
  </si>
  <si>
    <t xml:space="preserve"> Of the twenty-one individuals who initiated their Director's Credential fourteen directors or aspiring directors received their Directors Credential. Individuals in the Director's Credential program improved their business acumen and garnered more knowledge about HR organization. 
- Pre-assessment of the participants indicates 79% of the participants are neutral or less than confident in their directorship skill. 
- Post- assessment of the participants indicated that 93% of those that completed the course improved their confidence level in their directorship skills.   
Three hundred and sixty-seven total individuals attended trainings hosted online and in-person earning two training hours per training. Participants gained knowledge on Collaboration Practices(11), HR Organization (4), Emotional Coaching (7), Behavior Management (25), and Typical Behavior for Infants, Toddlers, and Twos (5). -
Pre-assessment of Collaboration Practices showed 100% of the participants felt confident in their collaboration practices. -
Post-assessment survey showed that 75% of the participants felt the training was helpful to their professional development. -
-Pre-assessment survey of HR Organization showed 100% of the participants were confident or somewhat confident of their HR practices. 
Post-assessment survey showed that 100% of the participants felt the training was helpful to their professional development with 25% of the participants boosting their confidence level to  extremely confident. 
-Pre-assessment of  Emotional Coaching indicated that 83% of the participants were somewhat confident or extremely confident of their abilities to assist children with emotional regulation. 
Post-assessment indicated 100% of the participants were confident or extremely confident in their abilities to assist children with emotional regulation.  
-Pre-assessment of Managing Difficult Behavior indicated that 88% of the participants were somewhat confident or extremely confident in managing difficult behavior. 
Post-assessment indicated that 100% of the participants felt somewhat or extremely confident in managing difficult behavior and found the training helpful to their professional development. </t>
  </si>
  <si>
    <t xml:space="preserve">45 individuals have begun the Child Development Associate Credential (CDA) process. Sixty five individuals applied for the 2024 CDA cohort with fourteen beginning that process in San Marcos and thirty one beginning the process in Cedar Park. All individuals who were eligible and had a completed application packet were able to join the cohort. Assessment data is pending. </t>
  </si>
  <si>
    <t>69% of the goal of 65 individuals starting the CDA program has been completed.</t>
  </si>
  <si>
    <t xml:space="preserve">Two of three Conscious Discipline cohorts were completed. The Cedar Park cohort had 25 individuals enrolled with 12 completing all three sessions. The cohort in Round Rock had 25 enrolled with 19 completing all three sessions. </t>
  </si>
  <si>
    <t xml:space="preserve">
-Pre-assessment indicated 20% of the participants felt somewhat not confident in their understanding of Conscious Discipline. 
Post- assessment indicates 100% of the participants found the training helpful to their professional development with 100% indicating they felt extremely confident in their new skills.</t>
  </si>
  <si>
    <t>Rural Capital is providing a community event to families which will provide information on the Texas Rising Star Program along with interactive table activities. This event is expected to serve over 100 participants. Community Nonprofits will assist in providing the activities for the families.</t>
  </si>
  <si>
    <t xml:space="preserve">Secured the location and community speakers and hosts. The event is scheduled to take place Sept 7 2024 from 10-3pm </t>
  </si>
  <si>
    <t>Texas Rising Star/QRIS (except PD)*</t>
  </si>
  <si>
    <t xml:space="preserve"> 35 Entry level Learning and Texas Rising Star certified providers received Infant/Toddler Curriculum</t>
  </si>
  <si>
    <t>to be able to provide developmentally appropriate practices for each classroom</t>
  </si>
  <si>
    <t xml:space="preserve">23 Participants attended a Zoom Training on "Tiny Steps to Transitions" </t>
  </si>
  <si>
    <t>To increase Provider Knowledge in strategies to incorporate transitions during their daily schedules in and out of their classrooms to help with classroom management.</t>
  </si>
  <si>
    <t>32 Participants attended a Zoom Training on "Behavioral Resources for Early Learning Programs"</t>
  </si>
  <si>
    <t>To increase Provider Knowledge in resources available to help understand, practice, and utilize strategies in the classroom.</t>
  </si>
  <si>
    <t xml:space="preserve"> 51 Provider Participants attended the Semi-Annual provider meeting titled "Kindergarten Readiness" and "Looking to Hire?"</t>
  </si>
  <si>
    <t>To increase provider knowledge of resources available for Kindergarten Readiness and Workforce resources to help with the hiring of qualified staff for their facilities.</t>
  </si>
  <si>
    <t>20 Provider Participants received college scholarships for child development courses for fall 2023 Semester</t>
  </si>
  <si>
    <t>To increase the number of provider staff who obtain their CDA or college degrees in Early Childhood.</t>
  </si>
  <si>
    <t>35 Entry level Learning providers and Texas Rising Star certified providers received PreK Curriculum</t>
  </si>
  <si>
    <t>90 provider received School age Curriculum</t>
  </si>
  <si>
    <t>15 initial Texas Rising Star providers received Diversity equipment prior to Texas Rising Star Assessment</t>
  </si>
  <si>
    <t>to help enhance their Texas Rising Star Assessment scores</t>
  </si>
  <si>
    <t>20 Family Home Curriculums were purchased for Registered Home and Licensed Home providers</t>
  </si>
  <si>
    <t>135 Providers received Outdoor Learning Environment equipment</t>
  </si>
  <si>
    <t>to help enhance their outdoor environment for Texas Rising Star Category 4</t>
  </si>
  <si>
    <t>45 School age providers received a cabinet to store equipment</t>
  </si>
  <si>
    <t>43 early learning programs were supported by the FROG Bus which delivers equipment, materials and info to CCS Rural Providers</t>
  </si>
  <si>
    <t>Increase the number of CCS rural providers who are exposed to the information about the Texas Rising Star program so providers know what the benefits are to them and the families and children they serve</t>
  </si>
  <si>
    <t>Staff salaries and benefits for 4 Texas Rising Star Staff (salaries, fringe, travel, etc.)</t>
  </si>
  <si>
    <t>To maintain current staffing level Learnings in order to complete needed assessments, mentoring and onboarding of all CCS Providers</t>
  </si>
  <si>
    <t>42 Participants attended an in-person Frogstreet Infant and Toddler Curriculum Training  All providers who use or are interested in utilizing the Frog Street PreK Curriculum were encouraged to learn how, build upon or get a refresher on activities, ideas and support in the classrooms.</t>
  </si>
  <si>
    <t>Increase the knowledge needed for providers to fully utilize the resources of the curriculum to enhance their PreK classrooms and meet the requirements of Texas Rising Star</t>
  </si>
  <si>
    <t xml:space="preserve">Infant Toddler Specialist provided in-person Talk with Me Training Part 1 to 80 Participants and provided Part 2 to 4 participants </t>
  </si>
  <si>
    <t>To increase providers knowledge on how to use the target strategies consistently and effectively in the classrooms for Infants and Toddlers to promote language development.</t>
  </si>
  <si>
    <t>103 Participants attended a Zoom training on "Don't Stop Talking" Texas Rising Star Category 2 in the Classroom assessment record form</t>
  </si>
  <si>
    <t>To increase providers knowledge in strategies to meet Texas Rising Star Category 2 Teacher-Child Interactions and provide quality interactions with the children they serve.  This will be measured by the points achieved in their assessment in Category 2.</t>
  </si>
  <si>
    <t>106 Participants attended a Zoom Training on "Instructional Formats and Approaches to Learning" a subcategory of Category 2 in the Texas Rising Star Classroom assessment record form</t>
  </si>
  <si>
    <t>To increase providers knowledge on how the teacher balances instruction across activity settings and formats.  To show a flexible environment that extends through the day in both formal and informal settings.  This will be measured by the outcome of the scores of their assessment in this subcategory.</t>
  </si>
  <si>
    <t>33 Participants attended an in-person Frogstreet PreK Curriculum Training All providers who use or are interested in utilizing the Frog Street PreK Curriculum were encouraged to learn how, build upon, or get a refresher on activities, ideas and support in the classrooms.</t>
  </si>
  <si>
    <t>Increase the knowledge needed for providers to fully utilize the resources of the curriculum to enhance their PreK classrooms and meet the requirements of Texas Rising Star.</t>
  </si>
  <si>
    <t>12 Participants attended an in-person Teaching Strategies Home Curriculum Training</t>
  </si>
  <si>
    <t>3 Participants attended an in-person Lifelong Learning Workshop hosted by Texas Tech Child Development Research Center (Reimbursed to programs)</t>
  </si>
  <si>
    <t>Increase the knowledge of early childhood education with a tour of TTU-CDRC Nationally Accredited facility for visual learning of what developmentally appropriate classroom environments look like to enhance the child's learning experiences.</t>
  </si>
  <si>
    <t>8  early learning program staff participants received college subsidies for child development courses for Spring 2024 Semester</t>
  </si>
  <si>
    <t>32 participants received in-person training by their mentor on Category 2 "Teacher-Child Interactions"</t>
  </si>
  <si>
    <t xml:space="preserve">To increase providers knowledge in strategies to meet Texas Rising Star Category 2 Teacher-Child Interactions and provide quality interactions with the children they serve.  This will be measured by the points achieved in their assessment in Category 2. </t>
  </si>
  <si>
    <t>29 Texas Rising Star  Three- and Four-Star providers received Developmentally appropriate equipment for their Participation in the "Quality Day of Play" event to showcase a "Mobile Classroom" to show what Quality Child Care looks like and how children learn through play and teacher-child Interactions</t>
  </si>
  <si>
    <t xml:space="preserve">To increase the communities knowledge of what Quality Child Care looks like.  To increase the enrollment at the Texas Rising Star  Three- and Four-Star Facilities. </t>
  </si>
  <si>
    <t>6 Texas Rising Star Staff salaries, fringe, travel, etc.</t>
  </si>
  <si>
    <t>To maintain current staffing levels in order to complete needed mentoring and onboarding of all CCS Providers by the state imposed deadline of 9/30/24 and to maintain compliance with the Texas Rising Star program.</t>
  </si>
  <si>
    <t>Payment was sent to the CDA Council for two provider staff to receive their Infant/Toddler CDA</t>
  </si>
  <si>
    <t xml:space="preserve">To achieve higher quality teachers  in the classrooms and help raise the score on the Texas Rising Star assessment in the area of Staff Qualifications. </t>
  </si>
  <si>
    <t>17 providers received infant/toddler equipment and materials for their missed Texas Rising Star annual monitoring</t>
  </si>
  <si>
    <t>17 providers will have developmentally appropriate infant/toddler materials to help maintain Texas Rising Star Quality.</t>
  </si>
  <si>
    <t>50 providers received infant/toddler natural and real items for their indoor and outdoor learning environments</t>
  </si>
  <si>
    <t xml:space="preserve">50 Providers will have more natural and real materials for their indoor and outdoor learning environments to attain and or maintain their Texas Rising Star quality classrooms. </t>
  </si>
  <si>
    <t>73 providers received infant/toddler Sensory and Self-Regulation kits for their facilities</t>
  </si>
  <si>
    <t>73 providers will have more equipment to help with Social Regulations and Sensory Processing.</t>
  </si>
  <si>
    <t>3 initial providers received infant/toddler equipment and materials for their Texas Rising Star initial Assessment</t>
  </si>
  <si>
    <t>3 initial providers now have more infant/toddler equipment and materials to maintain their Texas Rising Star quality standards.</t>
  </si>
  <si>
    <t>Infant Toddler Specialist provided 8 Participants via Zoom Infant Toddler Specialist Network T-PLC: Talk with me: Promoting Early Learning Part 1</t>
  </si>
  <si>
    <t>Infant Toddler Specialist  provided 8 Participants via Zoom Infant Toddler Specialist Network T-PLC: Talk with me: Promoting Early Learning Part 2</t>
  </si>
  <si>
    <t>47 Provider Participants attended the Semi-Annual provider meeting titled "The Importance of Having Qualified Staff in the Early Childhood Field" via Zoom</t>
  </si>
  <si>
    <t>To increase provider knowledge of resources available to help with the hiring of qualified staff for their facilities.</t>
  </si>
  <si>
    <t>47 Provider Participants attended the "Child Care Regulation Personnel" training via Zoom</t>
  </si>
  <si>
    <t>To increase the provider knowledge of Child Care Regulations regarding personnel to avoid deficiencies in this area.</t>
  </si>
  <si>
    <t>32 Participants attended the "Summer Fun for Everyone" (Bring the field trips to the center) via Zoom</t>
  </si>
  <si>
    <t>To increase provider knowledge of resources that can be used to provide creative, developmentally appropriate, social, hands on interactions with the children at or around the facility.</t>
  </si>
  <si>
    <t>6 participants attended a mentor Texas Rising Star Overview Training at their facility</t>
  </si>
  <si>
    <t>To increase all provider staff's knowledge of the Texas Rising Star Process.</t>
  </si>
  <si>
    <t>18 Provider Participants received college subsidies for child development courses for Summer 2024 Semester</t>
  </si>
  <si>
    <t>Payment was sent to the CDA Council for one provider staff to receive their Preschool/FCC CDA</t>
  </si>
  <si>
    <t xml:space="preserve">To achieve higher quality teachers in the classrooms and help raise the score on the Texas Rising Star Assessment in the area of Staff Qualifications. </t>
  </si>
  <si>
    <t>FROG Bus-Delivers equipment, materials and info to 58 CCS Rural Providers</t>
  </si>
  <si>
    <t>42 providers received PreK and school age materials and equipment for missed Texas Rising Star annual monitoring</t>
  </si>
  <si>
    <t>42 providers now have more materials and equipment to help maintain Texas Rising Star quality standards.</t>
  </si>
  <si>
    <t>7 initial providers received PreK and school age materials and equipment for initial assessments</t>
  </si>
  <si>
    <t>7 initial providers now have more materials and equipment to help maintain Texas Rising Star quality standards.</t>
  </si>
  <si>
    <t>126 providers received diversity, natural/real environment and sensory processing and social emotional equipment for their facilities</t>
  </si>
  <si>
    <t xml:space="preserve">126 providers now have more materials and equipment to help with their indoor and outdoor learning environments to attain and or maintain their Texas Rising Star quality classrooms. </t>
  </si>
  <si>
    <t>29 Texas Rising Star Three- and Four-Star providers participated in the "Quality Day of Play" event. Providers were able to show the community what quality play looks like in their facilities by showcasing a "Mobile Classroom" that was set up with developmentally appropriate materials and Texas Rising Star standards.  Providers were able to choose what interest area they wanted to showcase and were assisted by Texas Rising Star mentors to choose quality materials and equipment that they were able to take back to their facility after the event was over.</t>
  </si>
  <si>
    <t xml:space="preserve">To increase the communities knowledge of what Quality Child Care looks like.  To increase the enrollment at the Texas Rising Star Three- and Four-Star Facilities. Providers have more equipment and materials to enhance their facilities with more indoor and outdoor learning equipment and materials. </t>
  </si>
  <si>
    <t>6 providers with a total of 41 staff received "Staff incentive reimbursement" for attaining Texas Rising Star certification</t>
  </si>
  <si>
    <t>41 staff now have monetary incentives to acknowledge their part in obtaining the Texas Rising Star certification.</t>
  </si>
  <si>
    <t>Assisted in addressing the need to expand the infant and toddler area for 13 slots, this would include developmentally appropriate material and equipment for 1 child care program  (Lil Kids Klub Jr. Daycare and Learning Center, License number 1671519). Materials purchased are specific to infants and toddlers across four learning domains: Social/Emotional, Physical, Language/Literacy and Cognitive. This will assist in addressing the expansion or increased infant/toddler care throughout the community.</t>
  </si>
  <si>
    <t>Early Learning programs received materials and equipment that will enhance the classrooms in order to meet the expansion in the infant and toddler classroom. The Boards goal is to assist a total of 127 programs with equipment and materials.  A total of 1 program was assisted in Q2.</t>
  </si>
  <si>
    <t>To enhance the quality of care for all children in the classroom, educational materials/equipment were provided to 8 child care programs (Alejandra's Day Care, license number 828358, Train-ing Days, license number 878646, KinderClub Learning Center LLC, license number 1342446,Johnsons Daycare &amp;Learning Center license number 1400187, Johnsons Daycare &amp; Learning Center # 2 license number 1528877, Johnsons Daycare and Learning Center #4 license number 1760817,Hortencia Gonzalez license number 236717, and Tiny Angels Day Care License # 531697). Materials purchased were based on mentoring visit/needs assessment. Educational materials/equipment will enhance the classroom in order to meet the children children's physical, cognitive, social/emotional and language and literacy domains.</t>
  </si>
  <si>
    <t xml:space="preserve">Early Learning programs received materials and equipment that will enhance the indoor Classroom Environment. Classroom materials influence learning and the role in investigation. Instructional resources encourage discovery, exploration, experimentation, and problem solving. The Board's goal is to assist a total of 127 programs with equipment and materials. A total of 8  programs were assisted in Q2, </t>
  </si>
  <si>
    <t xml:space="preserve">To enhance the quality of care for the children when they are outdoors, playing on the playground areas, equipment was provided to 4 child care program (DaVinci Day Care &amp; Learning  Center, license number 1642090, Reyesitos Day Night #1 license 878738,Reyesitos Day Care Center # 2 license 831681,Victoy Land Daycare, License number 170845, 1). Equipment purchased was based on mentoring/needs assessment visit. Equipment,  (shade) will be provided in areas so that all ages groups can benefit from the shaded areas on the playgrounds. </t>
  </si>
  <si>
    <t>Early Learning programs received materials and equipment that will  create a more comfortable and pleasant environment, encouraging children to spend more times outdoors and to protect the children from the harmful effects of UV rays. The Board's goal is to assist a total of 127 programs with equipment and materials. A total of 4 program was assisted in Q2</t>
  </si>
  <si>
    <t>Supplies in supporting Texas Rising Star mentors with staff development</t>
  </si>
  <si>
    <t>Materials were purchased to support to staff development for mentors</t>
  </si>
  <si>
    <t>To support the need of quality care for 56 Early Learning Programs by providing materials that will enhance their classrooms in the areas of the children's physical, cognitive, and language and literacy domains.  These needs of Early Learning Program's, were identified throughout the mentoring visit.</t>
  </si>
  <si>
    <t>Early learning programs will receive materials that meet the needs of the program.  The boards goal is to assist a total of 56 programs with equipment and materials. A total of 56 programs were assisted in Q2</t>
  </si>
  <si>
    <t>To assist the 127 early learning programs to meet their needs.  This materials  will enhance the classroom  in order to meet the children's Physical, Cognitive, social/emotional, literacy and creative Arts domain.</t>
  </si>
  <si>
    <t>Materials were purchased to assist early learning programs to enhance their classroom environment.  A total of 127 programs were assisted in Q2</t>
  </si>
  <si>
    <t>To enhance the quality of care for all infant/toddler in the classroom, educational materials/equipment were provided to Best Little Schoolhouse 2, License Number 87843 to support their 33 Infants/Toddlers within 4 classrooms. 
Materials purchased were based on mentoring visit/needs assessment. Educational materials/equipment will enhance the classroom in order to meet the  children's physical, cognitive, social/emotional and language and literacy domains.</t>
  </si>
  <si>
    <t>This activity has met 27% of the Board's goal to assist 124 early learning programs with infant and toddler equipment and materials.</t>
  </si>
  <si>
    <t xml:space="preserve">85 Early Learning Program Educators received CPR, First-Aid and AED. This training supports programs in meeting the basic health and safety requirements to meet the Child Care Regulation Licensing Standards </t>
  </si>
  <si>
    <t xml:space="preserve">85 out of 120 Early Learning Programs will be in compliance with Child Care Regulation ongoing training requirements for the child care program staff. </t>
  </si>
  <si>
    <t>Parents will interact with the children through reading a set of bilingual books which it focus on the six main emotions experienced by very young children.  100 families served</t>
  </si>
  <si>
    <t>The Board's goal to reach 60 parents was exceeded by 66%</t>
  </si>
  <si>
    <t>The Board's goal is to assist a total of 350 Participants with equipment and materials. Early Childhood Practitioner will attain their required yearly training hours through the 6th  Annual Child Care Conference witch was held on 07/27/2024.</t>
  </si>
  <si>
    <t>Supplies in supporting Texas Rising Star mentors  with staff development</t>
  </si>
  <si>
    <t>Materials were purchased to support required mentor professional development.</t>
  </si>
  <si>
    <t>To enhance the quality of care for all children in the classroom, educational materials/equipment were provided to 8 child care programs 
(Sunshine Academy LLC , License Number 167749, ABC Discovery Learning, License Number 150757, Train-ing  Days, License Number 878646, Children's Fountain of Knowledge Learning Center , License Number 887440, Magic Times Child Care, License Number 816600, Play and Learn, License Number 1703491, Little Treasure Learning Center, License Number 1711924, Best Lil Schoolhouse Academy, LLC ,License Number 1635289 ). 
Materials purchased were based on mentoring visit/needs assessment. Educational materials/equipment will enhance the classroom in order to meet the children  physical, cognitive, social/emotional and language and literacy domains.</t>
  </si>
  <si>
    <t xml:space="preserve">Early learning programs received materials and equipment that will enhance the indoor Classroom Environment. Classroom materials influence learning and the role in investigation. Instructional resources encourage discovery, exploration, experimentation, and problem solving. The Board's goal is to assist a total of 128 programs with equipment and materials to enhance a developmental appropriate classroom and to meet the Texas Rising Star Requirement. A total of 8  programs were assisted in Q3, </t>
  </si>
  <si>
    <t xml:space="preserve">To enhance the quality of care for the children when they are outdoors, playing on the playground areas, equipment was provided to 2 child care program (Creative Kids Learning Academy, License Child Care Center, License Number 1707779., Kristy-Lines Academy, LLC,  License Number  1669959). Equipment purchased was based on mentoring/needs assessment visit. Equipment,  (shade) will be provided in areas so that all ages groups can benefit from the shaded areas on the playgrounds. </t>
  </si>
  <si>
    <t>The Board's goal is to assist a total of 128 programs with materials and equipment that will  create a more comfortable and pleasant environment, encouraging children to spend more times outdoors, increase their gross motor skills, and to protect the children from the harmful effects of UV rays.  A total of 2 program was assisted in Q3</t>
  </si>
  <si>
    <t>To assist the 128 early learning programs to meet their needs materials  were provided to enhance the classroom in order to meet the children's Physical, Cognitive, social/emotional, literacy and creative Arts domain.</t>
  </si>
  <si>
    <t>Materials were purchased to assist early learning programs to enhance their classroom environment. Early Learning programs will use material to plan and create developmentally appropriate activities for the children in the classroom.  A total of 128 programs were assisted in Q3</t>
  </si>
  <si>
    <t xml:space="preserve">To enhance the quality of care for all children, educational materials/equipment were provided to 3 child care programs (Once Upon A Dream, license number 1695027, Pat's Day care License number 504592, and Poka Dots, license number 1503518). Materials purchased were based on mentoring visit.  Educational materials/equipment will enhance the classroom in order to meet the children physical, cognitive, social/emotional and language and literacy domains.  </t>
  </si>
  <si>
    <t>Early Learning programs received Materials and equipment will enhance the classrooms in order to meet the children’s physical, cognitive, social/emotional and Language and Literacy domains. The Board's goal is to assist a total of 120 programs with equipment and materials. A total of 3 programs were assisted in Q1, which is 2.5% of the goal.</t>
  </si>
  <si>
    <t>Early learning guidelines training provided for 26 infant/toddler teachers</t>
  </si>
  <si>
    <t>Texas Rising Star category 2- increase in retention of Texas Rising Star certified programs This is 26% of the Board's goal to provide professional development to 100 unique participants for Infant and Toddler.</t>
  </si>
  <si>
    <t>Infant/toddler intentional play training for 25 attendees</t>
  </si>
  <si>
    <t>Texas Rising Star category 2  increase in retention of Texas Rising Star certified programs</t>
  </si>
  <si>
    <t>Early learning guidelines training for Pre k, 23 attendees</t>
  </si>
  <si>
    <t>Texas Rising Star category 2  increase in retention of Texas Rising Star certified programs. This is 23% of the Board's goal to provide professional development to 100 unique participants.</t>
  </si>
  <si>
    <t>Training provided on Building positive relationships with children and families for 13 attendees</t>
  </si>
  <si>
    <t>Texas Rising Star category 3  increase in retention of Texas Rising Star certified programs</t>
  </si>
  <si>
    <t>Training provided on Emotional needs for Pre-K for 12 attendees</t>
  </si>
  <si>
    <t>Training provided on Intentional Authentic Assessments; 12 attendees</t>
  </si>
  <si>
    <t>Outdoor Equipment was purchased for 42 early learning programs</t>
  </si>
  <si>
    <t>Texas Rising Star category 4  increase in retention of Texas Rising Star certified programs. This is 42% of the Board's goal to provide 100 programs with Indoor/Outdoor materials and equipment.</t>
  </si>
  <si>
    <t>Self-regulations for infant/toddler training; 25 attendees</t>
  </si>
  <si>
    <t>Texas Rising Star Category 2- increase retention of Texas Rising Star programs/strengthen infant &amp; toddler services.</t>
  </si>
  <si>
    <t>Scholarships for CDA at Lamar Institute of Technology; 8 attendees</t>
  </si>
  <si>
    <t>CDA will be gained at the end of semester to help with education requirements TBD</t>
  </si>
  <si>
    <t>self-regulations for Pre-k training, 28 attendees</t>
  </si>
  <si>
    <t>Nurturing Self-esteem training, 5 attendees</t>
  </si>
  <si>
    <t>Leaders vs Managers training; 5 attendees</t>
  </si>
  <si>
    <t>Help Directors with Leadership skills  5 of 75 goal</t>
  </si>
  <si>
    <t>Using Assessments to create Teacher goals training; 11 attendees</t>
  </si>
  <si>
    <t>TECPDS SME provided TECPDS support and guidance; 13 attendees</t>
  </si>
  <si>
    <t>Creation of accounts and verification of records entered accurately</t>
  </si>
  <si>
    <t>Infant/Toddler expansion - Provided equipment (chairs, cribs, changing tables) to furnish classroom; 1 early learning program</t>
  </si>
  <si>
    <t>Support to assist a Texas Rising Star program to gain 8  infant slots. This is 38% of the goal to provide 21 additional slots.</t>
  </si>
  <si>
    <t>TX EARLY LEARNING GUIDELINES FOR INFANT/TODDLERS training, 10 attendees</t>
  </si>
  <si>
    <t>This activity served 10% of the Board's goal to serve 100 participants with Infant-Toddler specific Professional Development.</t>
  </si>
  <si>
    <t>BUILDING RELATIONSHIPS WITHIN YOUR TEAM training; 12 attendees</t>
  </si>
  <si>
    <t>This activity served 12% of the Board's 100 participant goal.</t>
  </si>
  <si>
    <t>SUPPORT CHILDREN WITH SENORY PROCESSING NEEDS training; 13 attendees</t>
  </si>
  <si>
    <t>This activity served 26% of the Board's goal to support 50 participants in Inclusive Classroom Development.</t>
  </si>
  <si>
    <t>HIRING AND RETAINING STAFF training; 12 attendees</t>
  </si>
  <si>
    <t xml:space="preserve">PURCHASED EQUIPMENT FOR 28 ENTRY LEVEL PROVIDERS </t>
  </si>
  <si>
    <t>28% of the Board's goal to support 100 programs with outdoor materials was met with this activity.</t>
  </si>
  <si>
    <t>PURCHASED EQUIPMENT FOR 22 Texas Rising Star certified programs</t>
  </si>
  <si>
    <t>22% of the Board's goal to support 100 programs with indoor materials was met with this activity.</t>
  </si>
  <si>
    <t xml:space="preserve">TECPDS SME support. Number of programs receiving professional development/training opportunities with an EEPD 84. The half the trainings were done in-person and the other half over zoom. The trainings provided were conducted by programs and not induvial. </t>
  </si>
  <si>
    <t>Training opportunities enhance knowledge on TECPDS, along with learning new strategies.</t>
  </si>
  <si>
    <t xml:space="preserve">Tarrant County College (Books). This was part of the Tarrant County scholarship. Provided vouchers to 4 scholarship recipients to purchase textbooks for their classes.  </t>
  </si>
  <si>
    <t xml:space="preserve">Provided books to increase staff PD to enhance individual career lattice. </t>
  </si>
  <si>
    <t xml:space="preserve">3 Board staff attended the October 2023 CCQ strategic planning meeting. </t>
  </si>
  <si>
    <t>Training opportunities to enhance knowledge and learn new strategies regarding CCQ plan.</t>
  </si>
  <si>
    <t>TECPDS SME support. Number of users currently employed with Entry Level designation program who create an account 54. After user creates a new account, Early Education Professional Development staff sent out a letter via e-mail explaining more about TECPDS and along with their contact information.</t>
  </si>
  <si>
    <t>Increase the number TECPDS usage, training and completed accounts.</t>
  </si>
  <si>
    <t>TECPDS SME support. Number of users outreached each month via e-mail after creation for completion follow-up 597.</t>
  </si>
  <si>
    <t>Increase the number of TECPDS usage and completed accounts.</t>
  </si>
  <si>
    <t xml:space="preserve"> Texas Rising Star staff salaries/benefits --Andrea Potter, Carlette Thigpen, Cathy Gregg, Curtisha Dupree, Danielle Abbott, Jessica Glasco, Josselyn Cherry, Kelsey Harris, Khrysthal Fountain, Kristine Ashcraft, Laila Darboe, Mandi Compton, Melinda Solimine, Misty Alvarado, Paige Douglas, Monique Evans, Rhonda Pointer, Sandy Porterfield.   </t>
  </si>
  <si>
    <t>Supporting programs in Q1</t>
  </si>
  <si>
    <t>TECPDS SME support: Number of users that the Early Education Professional Development staff have provide specific TECPDS support to, 39. That includes users reaching out via e-mail or phone call with questions regarding their account or needing step by step instructions. 39 programs</t>
  </si>
  <si>
    <t>Increase the number of TECPDS usage.</t>
  </si>
  <si>
    <t>Interact TX Teachstone. 2  Texas Rising Star staff attended this conference.</t>
  </si>
  <si>
    <t>Training opportunities to enhance knowledge, learn new techniques, enhance quality skills.</t>
  </si>
  <si>
    <t>TXAEYC Conference. 10 Texas Rising Star staff attend this conference.</t>
  </si>
  <si>
    <t>PD training opportunities to meet mentor hours.</t>
  </si>
  <si>
    <t xml:space="preserve">Build Conference. 4 Texas Rising Star staff attended this conference. </t>
  </si>
  <si>
    <t xml:space="preserve">QRIS Training </t>
  </si>
  <si>
    <t>SMU CLASS 75 Infant/111 Toddler/104 Pre-K, 290 classes, 67 programs</t>
  </si>
  <si>
    <t xml:space="preserve">UT Health/Science Infant/Toddler circle curriculum </t>
  </si>
  <si>
    <t>Helps teachers plan activities to help children meet the specified development benchmarks.</t>
  </si>
  <si>
    <t xml:space="preserve">New Texas Rising Star wage supplement. </t>
  </si>
  <si>
    <t xml:space="preserve">Wage Supplement grants were provided for eligible programs based on CLASS or TECPDS participation. Texas Rising Star certified programs were asked to fill out an application for either CLASS or TECPDS and had to meet certain qualifications for the staff member to receive the wage supplement. For CLASS they had to be observed during the assessment and for TECPDS, they had to have their education, CDA if applicable, and training hours for 2023-2024 in their account.  Each staff member received $500. 249 staff received the wage supplement. </t>
  </si>
  <si>
    <t xml:space="preserve">increase staff retention and usage for TECPDS. </t>
  </si>
  <si>
    <t xml:space="preserve">Tarrant County College (Books). This was part of the Tarrant County scholarship. Provided vouchers to scholarship recipients to purchase textbooks for their classes.  </t>
  </si>
  <si>
    <t xml:space="preserve">CDA training with Green Space. We provide scholarships to staff members that work in a Texas Rising Star center. </t>
  </si>
  <si>
    <t xml:space="preserve">PD enhancement for education career lattice Texas Rising Star. </t>
  </si>
  <si>
    <t xml:space="preserve">Council for Professional Recognition- CDA application  </t>
  </si>
  <si>
    <t xml:space="preserve">Tarrant County College Scholarships </t>
  </si>
  <si>
    <t xml:space="preserve">Increase staff PD to enhance individual career lattice. </t>
  </si>
  <si>
    <t xml:space="preserve">Together we Grow training </t>
  </si>
  <si>
    <t>Training opportunities to enhance knowledge, learn new techniques, enhance teaching skills.</t>
  </si>
  <si>
    <t xml:space="preserve">TECPDS SME support: The number of individuals that the EEPDS (Early Education Professional Development Specialist) trained. </t>
  </si>
  <si>
    <t>TECPDS SME support: The number of childcare programs who received training.</t>
  </si>
  <si>
    <t xml:space="preserve">TECPDS SME support: The number of individuals that the EEPDS (Early Education Professional Development Specialist) provide virtual training. </t>
  </si>
  <si>
    <t xml:space="preserve">NAEYC Memberships: 33 Texas Rising Star staff.    </t>
  </si>
  <si>
    <t xml:space="preserve">Education translation. We provide reimbursement to 4 providers who got their staffs members education translated. </t>
  </si>
  <si>
    <t xml:space="preserve">Allow provider to take advantage of previously attained education so they can determine their progress on the career lattice. To possibly help increase the center star level. </t>
  </si>
  <si>
    <t>CCL Annual Conference-Resource book was provided to 700 attendees</t>
  </si>
  <si>
    <t>CCL PD training opportunities for all licensed/registered providers.</t>
  </si>
  <si>
    <t>TECPDS SME support: The number of users outreached each month via e-mail after creation for completion follow-up. 719 participants, 35 programs</t>
  </si>
  <si>
    <t xml:space="preserve">Increase the number of completed accounts. </t>
  </si>
  <si>
    <t>TECPDS SME support: The number of users currently employed with the Entry Level program  who create an account. 28664 participants, 30 programs served</t>
  </si>
  <si>
    <t xml:space="preserve">Increase the number of  teachers creating a new account. </t>
  </si>
  <si>
    <t>Teachstone CLASS observer trainer-Pre-K. 14 Texas Rising Star mentors.</t>
  </si>
  <si>
    <t>PD mentor training.</t>
  </si>
  <si>
    <t>Supporting programs in Q2</t>
  </si>
  <si>
    <t xml:space="preserve"> Texas Rising Star staff salaries/benefits - Andrea Potter, Carlette ThigPen, Cathy Gregg, Curtisha Dupree, Danielle Abbott, Jessica Glasco, Josselyn Cherry, Kelsey Harris, Khrysthal Fountain, Kristine Ashcraft, Laila Darboe, Mandi Compton, Melinda Solimine, Misty Alvarado, Paige Douglas, Monique Evans, Rhonda Pointer, Sandy Porterfield, Leslie Merino, Stirling Finch.</t>
  </si>
  <si>
    <t xml:space="preserve">Lakeshore orders. 164 child care programs received infant and toddler kits (materials and/or equipment) to support programs that attain, maintain, or increase certification level. The infant/toddler specialist will provide a training on how to use those kits in the next quarter. </t>
  </si>
  <si>
    <t xml:space="preserve">Addressing quality enrichment needs and providing quality resources that are developmentally appropriate helps to increase, sustain, and improve the quality of Texas Rising Star childcare facilities. </t>
  </si>
  <si>
    <t>Wage Supplement grants were provided for eligible programs based on CLASS or TECPDS participation. Texas Rising Star certified programs were asked to fill out an application for either CLASS or TECPDS and had to meet certain qualifications for the staff member to receive the wage supplement. For CLASS they had to be observed during the assessment and for TECPDS, they had to have their education, CDA if applicable, and training hours for 2023-2024 in their account.  Each staff member received $500. 845 staff within 139 programs received the wage supplement. 313 TECPDS and 532 CLASS</t>
  </si>
  <si>
    <t xml:space="preserve">Improved retention of child care and early learning program staff Increase staff retention and usage for TECPDS. </t>
  </si>
  <si>
    <t xml:space="preserve"> CDA course scholarship provided to staff members that work in a Texas Rising Star center to complete the CDA courses in order for them to eventually attain their CDA certificate. 1 participant received the scholarship to attend the CDA training with Green Space. </t>
  </si>
  <si>
    <t>1-Credential attainment rate enhancement for education career lattice Texas Rising Star.</t>
  </si>
  <si>
    <t>SMU CLASS 70 Infant/111 Toddler/ 106 Pre-K classes, 67 programs 
67 Texas Rising Star programs were assessed using the CLASS observation tool.  Teacher-Child Interaction progress was measured through point-in-time assessments (beginning of year and end of year)Boosting teacher/child interaction scores through mentoring to assessment scores. We were able to get 67 programs assessed for CLASS.</t>
  </si>
  <si>
    <t xml:space="preserve"> Our goal was to get 64 programs assessed. Our total percentage was 104%, we were able to surpass our original goal. </t>
  </si>
  <si>
    <t xml:space="preserve">Infant-Toddler Specialist  - Currently the mentors are working with 6 programs. Infant-Toddler specialist spent 9.5 contact hours on infant-toddler activities. </t>
  </si>
  <si>
    <t xml:space="preserve">6 programs received through Infant Toddler Specialist coaching and  Improved the quality of child care for Infant and toddlers. </t>
  </si>
  <si>
    <t xml:space="preserve">2 Texas Rising Star child care programs received 2 UT Health/Science Infant/Toddler curriculum each.   </t>
  </si>
  <si>
    <t xml:space="preserve">Helped teachers plan activities to help children meet the specified development benchmarks. </t>
  </si>
  <si>
    <t xml:space="preserve">CLI Infant/Toddler curriculum training. The curriculum training was a virtual one. 
53 child care and early learning programs receiving infant/toddler-focused
materials and/or equipment that attain, maintain, or increase certification level </t>
  </si>
  <si>
    <t xml:space="preserve">Pre-K Partnership stipends. Pre-K  partnerships provides collaboration between and ISD and Texas Rising Star program to provide a quality pre-k education. </t>
  </si>
  <si>
    <t xml:space="preserve">Increased partnership between school districts, charter schools, and local child care and early learning programs. We were able to support 5 early learning programs for the Pre-K partnership. Our goal was to support 32 early learning programs. Our total percentage was 15%. </t>
  </si>
  <si>
    <t>New Texas Rising Star wage supplement: Improve retention of  84 child care and early learning program staff increased staff retention for Texas Rising Star providers. We provided 624 wage supplement to the early childhood professionals.</t>
  </si>
  <si>
    <t xml:space="preserve"> Our goal was to give the wage supplement to 500 early childhood professionals. Our total percentage was 124%, we were able to surpass our goal. </t>
  </si>
  <si>
    <t xml:space="preserve">Region 10 Training. Provided virtual training sessions for teachers and directors. 42 programs are in compliance with Child Care Regulation ongoing training  requirements for child care program staff.  </t>
  </si>
  <si>
    <t xml:space="preserve">Together we grow PD Richards training; 122 programs are in compliance with Child Care Regulation ongoing training  requirements for child care program staff. </t>
  </si>
  <si>
    <t xml:space="preserve"> Training opportunities to enhance knowledge, learn new techniques, enhance teaching skills. </t>
  </si>
  <si>
    <t xml:space="preserve">Our goal was to serve 500 participants/programs. The total percentage we served this quarter was 63% this quarter. Overall for the year we surpassed our goal.  </t>
  </si>
  <si>
    <t>TECPDS SME provided training support to 1 program (2 staff)</t>
  </si>
  <si>
    <t xml:space="preserve"> Training opportunities enhance knowledge on TECPDS, along with learning new strategies.</t>
  </si>
  <si>
    <t>1 credential attainment was completed. This assists the participant to advance in the career lattice.</t>
  </si>
  <si>
    <t xml:space="preserve">Tarrant County College (Books). This was part of the Tarrant County scholarship. Provided vouchers to scholarship recipients to purchase textbooks for their classes. 3 child care staff programs receive learning materials to attain, maintain, or increase certification level. </t>
  </si>
  <si>
    <t xml:space="preserve">17 participants attained their credential. Tarrant County Scholarships </t>
  </si>
  <si>
    <t xml:space="preserve">17-Credential attainment rate.  Increase staff PD to enhance individual career lattice. </t>
  </si>
  <si>
    <t xml:space="preserve">Our goal was to incentivize 100 early childhood professionals. Our total percentage was 261%, we were able to surpass our original goal. </t>
  </si>
  <si>
    <t xml:space="preserve">TECPDS SME support: The number of users currently employed with the Entry Level program  who create an account. 30,245 users and 51 programs.  Many of the users do not add their current employment to their account. </t>
  </si>
  <si>
    <t xml:space="preserve">TECPDS SME support: The number of users outreached each month via e-mail after creation for completion follow-up. 473 users and 51 programs. Many of the users do not add their current employment to their account. </t>
  </si>
  <si>
    <t xml:space="preserve">Q3 Texas Rising Star Staff-Andrea Potter, Carlette ThigPen, Cathy Gregg, Curtisha Dupree, Danielle Abbott, Jessica Glasco, Josselyn Cherry, Kelsey Harris, Khrysthal Fountain, Kristine Ashcraft, Laila Darboe, Mandi Compton, Melinda Solimine, Misty Alvarado, Paige Douglas, Monique Evans, Rhonda Pointer, Sandy Porterfield, Leslie Merino, Stirling Finch. </t>
  </si>
  <si>
    <t>On average 560 child care and early learning programs receiving mentoring assistance that attain, maintain, or increase certification level Supporting Programs in Q3.</t>
  </si>
  <si>
    <t>NAEYC PLI Conference- 3 Texas Rising mentors attend this conference.</t>
  </si>
  <si>
    <t>On average, 560 child care and early learning programs receiving mentoring assistance that
attain, maintain, or increase certification developed training opportunities to meet mentor hours.</t>
  </si>
  <si>
    <t xml:space="preserve">Texas School Readiness Conference- 5 Texas Rising Star mentors attended this conference. </t>
  </si>
  <si>
    <t>On average, 560 child care and early learning programs receiving mentoring assistance that
attain, maintain, or increase certification developed training opportunities to meet mentor hours.  PD training opportunities to meet mentor hours.</t>
  </si>
  <si>
    <t>Bob Pike Train the trainer boot camp- 2 Texas Rising Star mentors attended this camp.</t>
  </si>
  <si>
    <t>On average, 560 child care and early learning programs receiving mentoring assistance that
attain, maintain, or increase certification level.  PD training opportunities to meet mentor hours.</t>
  </si>
  <si>
    <t>Education translation. We provide reimbursement to providers who get their staffs members education translated.  3-Credential attainment rate of individuals who had previous education.  3 will meet the Child Care Regulation requirements.</t>
  </si>
  <si>
    <t xml:space="preserve">  Allow provider to take advantage of previously attained education so they can determine their progress on the career lattice. To possibly help increase the center star level. </t>
  </si>
  <si>
    <t xml:space="preserve">Bass Printing. Provided a 100 providers with a banner that has their current star level.   </t>
  </si>
  <si>
    <t>Approximately 293 child care and early learning programs pursuing Texas Rising Star certification. Outreach materials help support the program events and provides a way to inform programs and community of upcoming activities and resources being provided. This activity assisted 34% of the Board's goal.</t>
  </si>
  <si>
    <t xml:space="preserve">Lakeshore orders.  527 early learning programs received materials and/or equipment that attain, maintain, or increase certification level. We provided 527 early learning programs with resources. </t>
  </si>
  <si>
    <t xml:space="preserve">Our goal was to support 300 early learning programs for FY24. Our total percentage was 175%, we were able to surpass our original goal. </t>
  </si>
  <si>
    <t>Offered reimbursements to 4 Texas Rising Star centers for required CPR/First-Aid trainings for 29 staff.</t>
  </si>
  <si>
    <t>Twenty nine CPR/First-Aid training certificates obtained by staff. The number of individuals trained exceeded the Board's target of 1-23 participants.</t>
  </si>
  <si>
    <t>Offered a 3 month and/or 6 month employment retention incentive to staff that were successful in educational attainment and that stayed employed at the same facility at 3 months and/or then 6 months afterwards. One staff from one CCS facility obtained this incentive for 6 months of continued employment.</t>
  </si>
  <si>
    <t>One staff member remained employed at the same facility at 6 months after completing the educational program for child development and obtained an employment retention incentive as a result. This incentive remains in place for others and is considered ongoing to the next quarter. This quarter, the Board reached 20% of its goal to support 5 participants with this activity.</t>
  </si>
  <si>
    <t>Conducted training on the Trauma Epidemic on 10/5/23. 
20 attendees from 4 centers and 1 home participated.</t>
  </si>
  <si>
    <t xml:space="preserve">Increased knowledge of 20 staff on various professional development topics related to child Development. </t>
  </si>
  <si>
    <t>Conducted training on How to Manage Stress in the Workplace on 11/14/23.
18 attendees from 5 centers and 2 homes participated.</t>
  </si>
  <si>
    <t>Increased knowledge of 18 staff on various professional development topics.</t>
  </si>
  <si>
    <t>Conducted training on the Four Stages of Play on 12/14/23.
21 attendees from 4 centers and 2 homes participated.</t>
  </si>
  <si>
    <t xml:space="preserve">Increased knowledge of 21 staff on various professional development topics related to child Development. </t>
  </si>
  <si>
    <t>Conducted a Texas Rising Star training on Making Connections Over Corrections on 12/5/23.
23 attendees rom 6 centers and 2 homes participated.</t>
  </si>
  <si>
    <t>Increased knowledge of 21 staff on various professional development topics related to child development and the Texas Rising Star program.</t>
  </si>
  <si>
    <t>Reimbursed one center for the cost of one staff to attend the TXAEYC Conference.</t>
  </si>
  <si>
    <t>Increased knowledge of one staff on various professional development topics related to early childhood education during the TXAEYC Conference.</t>
  </si>
  <si>
    <t>Reimbursed one center for the cost of one staff's CDA Application Fee to the Council on Professional Recognition.</t>
  </si>
  <si>
    <t>Increased  knowledge of one staff by supporting their application to obtain the CDA national credential.</t>
  </si>
  <si>
    <t xml:space="preserve">Staff salaries and benefits for mentors who work with current Texas Rising Star providers are being worked, along with Entry Level Designated programs in the process of pursuing Texas Rising Star.
Amount noted here are all providers in our area that either are Texas Rising Star or are pursuing accreditation. </t>
  </si>
  <si>
    <t>Followed Texas Rising Star Guidelines related to required activities for all Texas Rising Star Providers. Mentor process is ongoing as Entry Level Designated programs prepare for a Texas Rising Star assessment.</t>
  </si>
  <si>
    <t>Offered six Entry Level Designated facilities (4 centers and 2 homes) an incentive for completing goals within their CQIP. Incentives offered were monetary on a tiered basis, for up to three goals.</t>
  </si>
  <si>
    <t>Encouraged CQIP goal completion with Entry Level Designated providers by offering related incentives. These facilities have completed all stated goals with a revised CQIP now in place.
(The Texoma Board will no longer be offering incentives for CQIP goal completion in BCY'24.)</t>
  </si>
  <si>
    <t>Conducting an Ages and Stages Questionnaire Assessment Pilot Project with three facilities/classes (1 center and 2 homes) participating. Participants have undergone two training sessions (1/27 and 2/24/24) on the assessments and will conduct their initial assessments by 4/30/24.</t>
  </si>
  <si>
    <t>From the Board Strategic Planning session, our Board understood the need for a review of school readiness and started with a small assessment project for BCY'24. 
This activity should be successful with three participating facilities.</t>
  </si>
  <si>
    <t>Offered reimbursements to 1 Texas Rising Star centers for required CPR/First-Aid trainings for 3 staff.</t>
  </si>
  <si>
    <t>Three CPR/First-Aid training certificates obtained by staff. The number of individuals trained exceeded the Board's target of 1-23 participants.</t>
  </si>
  <si>
    <t>Conducting an Infant/Toddler Expansion Initiative with nine centers. At this time, just one facility has completed their plan to increase their infant/toddler slots and were paid an incentive, as a result. 4 infant slots generated at 1 program</t>
  </si>
  <si>
    <t>As additional infant and toddler slots were identified as a need at the statewide Board Strategic Planning Session in October 2023, the Texoma Board has worked to implement an Infant and Toddler Expansion Initiative. This initiative should be completed by July 2024.</t>
  </si>
  <si>
    <t>Our Infant Toddler Specialist conducted the following Infant Toddler Specialist Network trainings:
Navigating the CIRCLE Infant/Toddler Curriculum on 1/16/24 including 8 participants from 2 centers and 2 homes.
Same training conducted on 1/22/24 including 6 participants from 2 centers.
Same training conducted on 1/29/24 including 9 participants from 3 centers.</t>
  </si>
  <si>
    <t>Increased knowledge of 23 staff, including owners and directors, on the CIRCLE Infant/Toddler curriculum.</t>
  </si>
  <si>
    <t>Conducted training on Caring for Children Who Are Ill on 1/25/24.
13 attendees from 3 centers and 1 home participated.</t>
  </si>
  <si>
    <t>Increased knowledge of 13 staff on various professional development topics related to child development, including health and safety. (Survey results)</t>
  </si>
  <si>
    <t>Conducted training titled Scientific MATHgicians: Linking it Together on 2/22/24.
21 attendees from 6 centers and 1 home participated.</t>
  </si>
  <si>
    <t>Increased knowledge of 21 staff on various professional development topics related to child development.</t>
  </si>
  <si>
    <t>Conducted training titled "Straighten it Out" Effective Classroom Management and Organization on 3/19/24.
23 attendees from 7 centers and 1 home participated.</t>
  </si>
  <si>
    <t>Increased knowledge of 23 staff on various professional development topics related to child development.</t>
  </si>
  <si>
    <t>Conducted Texas Rising Star session on CIRCLE Infant and Toddler Foundations - Best Practices on 2/6/24.
34 attendees from 9 centers and 1 home participated.</t>
  </si>
  <si>
    <t>Increased knowledge of 34 staff on various professional development topics related to child development and the Texas Rising Star program.</t>
  </si>
  <si>
    <t>Conducted a Peer Learning Community (PLC) session for owners/directors titled Streamline the Start on 1/18/24.
16 attendees from 10 centers and 1 home participated.</t>
  </si>
  <si>
    <t>Increased knowledge of 16 owners and directors on various professional development topics related to child development, the Texas Rising Star program, or other administrative functions.</t>
  </si>
  <si>
    <t>Conducted a Peer Learning Community (PLC)session for owners/directors titled Coaching Up Your Team on 2/15/24.
19 attendees from 13 centers and 1 home participated.</t>
  </si>
  <si>
    <t>Increased knowledge of 19 owners and directors on various professional development topics related to child development, the Texas Rising Star program, or other administrative functions.</t>
  </si>
  <si>
    <t>Conducted a Peer Learning Community (PLC) session for owners/directors titled Texas Rising Star: After the Stars - Making Meeting Measures Manageable on 3/24/24.
15 attendees from 7 centers and 1 home participated.</t>
  </si>
  <si>
    <t>Increased knowledge of 15 owners and directors on various professional development topics related to child development, the Texas Rising Star program, or other administrative functions.</t>
  </si>
  <si>
    <t>Covered the cost of two staff CDA Application Fee's to the Council on Professional Recognition for two centers.</t>
  </si>
  <si>
    <t>Increased  knowledge of two staff by supporting their application to obtain the CDA national credential.</t>
  </si>
  <si>
    <t>Sponsored two participants from two centers with Scholarships to support their pursuit of educational attainment in either one of the following programs:
Child Development Associate - Occupational Skills Award, a Child Development Certificate, or a Child Development Administrators Certificate.</t>
  </si>
  <si>
    <t>Increased education and encouraged continued professional development  in child development courses to further assist with teacher knowledge and the intention to increase CCS capacity at quality facilities.</t>
  </si>
  <si>
    <t>Offered a 3 month and/or 6 month employment retention incentive to staff that were successful in educational attainment and that stayed employed at the same facility at 3 months and/or then 6 months afterwards. One staff from one CCS facility obtained this incentive for 3 months of continued employment.</t>
  </si>
  <si>
    <t>One staff member remained employed at the same facility at 3 months after completing the educational program for child development and obtained an employment retention incentive as a result. This incentive remains in place for others and is considered ongoing to the next quarter. This quarter, the Board cumulatively reached 40% of its goal to support 5 participants with this activity.</t>
  </si>
  <si>
    <t>Offered an incentive for educational attainment for certificates for either a Child Development Associate - Occupational Skills Award (2 staff), a Child Development Certificate (1 staff), and a Child Development Administrators Certificate (1 staff) from four facilities.</t>
  </si>
  <si>
    <t>Four staff members completed Child Development programming at various levels at a local community college and received an incentive on a tiered level, as a result. The Board has far exceeded the target of 2 participants receiving educational attainment incentives.</t>
  </si>
  <si>
    <t>Our Texas Early Childhood Professional Development System (TECPDS) Subject Matter Expert (SME) began validating documents in TECPDS for childcare providers that were pending their initial assessment for the Texas Rising Star program (2 centers and 2 homes reviewed, encompassing 15 staff).</t>
  </si>
  <si>
    <t>Reviewed staff documents loaded into TECPDS (to support the Texas Rising Star process) for education and professional development hours to ensure accuracy. Started process with those facilities pending an initial Texas Rising Star assessment. This process will continue.</t>
  </si>
  <si>
    <t xml:space="preserve">Contracted staff fees for mentors who work with current Texas Rising Star providers are being worked, along with Entry Level programs in the process of pursuing Texas Rising Star.
Amount noted here are all providers in our area that either are Texas Rising Star (25) or are pursuing accreditation (41). </t>
  </si>
  <si>
    <t>Followed Texas Rising Star Guidelines related to required activities for all Texas Rising Star Providers. Mentor process is ongoing as Entry Level programs prepare for a Texas Rising Star assessment.
Updated number here to match Entry Level program submitted plan as of 4/16/24.</t>
  </si>
  <si>
    <t>Offered one Entry Level center an incentive for completing goals within their CQIP. Incentives offered were monetary on a tiered basis, for up to three goals.</t>
  </si>
  <si>
    <t>Offered a quality program called STEAM to area childcare providers, with Art as the focus in the 4th year. This program was open to classes for ages 3-5 and individual children ages 6-12. 
For the classes, ages 3-5, 680 children participated from 56 classes at 27 centers and 5 homes.
For the individual children, ages 6-12, 150 children participated from 10 centers and 4 homes (inclusive of those facilities already noted above).</t>
  </si>
  <si>
    <t>This Project aligned with our plan to assist childcare providers to further increase the quality of care they provide in their facility by offering a quality activity with quality supplies and a fun activity to further the children's knowledge and experiences.
This activity far exceeded the Board's target of 8 facility participants.</t>
  </si>
  <si>
    <t>Conducting an ASQ Assessment Pilot Project with three facilities/classes (1 center and 2 homes). Participants have undergone two training sessions and have conducted their initial assessments in this quarter. Incentives were given to all participating facilities for completing their initial assessments. Final assessments will be conducted by 10/31/24.</t>
  </si>
  <si>
    <t>From the Board Strategic Planning session, our Board understood the need for a review of school readiness and started with a small assessment project for BCY'24. 
This activity should be successful with three participating facilities; however, this project may not be finalized until October to give the providers sufficient time to conduct two sessions within the year.</t>
  </si>
  <si>
    <t>Offered reimbursements to 4 Texas Rising Star centers for required CPR/First-Aid trainings for 15 staff.</t>
  </si>
  <si>
    <t>Fifteen CPR/First-Aid training certificates obtained by staff. The number of individuals trained exceeded the Board's target of 1-23 participants.</t>
  </si>
  <si>
    <t>Five facilities (3 centers and 2 homes) were assessed and earned Texas Rising Star certification during this quarter. As a result, 20 infant slots and 85 toddler slots were increased during this quarter within the Texas Rising Star program.</t>
  </si>
  <si>
    <t>With Texas Rising Star attainment now a legislatively mandated practice, infant and toddler slots at Texas Rising Star providers will continue to increase. Specific growth in this area is unknown at this point.</t>
  </si>
  <si>
    <t>Conducted an Infant/Toddler Expansion Initiative with nine facilities with all completing their plan to increase their indicated infant/toddler slots and were paid an incentive, as a result. An additional 49 infant and/or toddler slots generated at 9 programs. (28 infant slots were at Non Texas Rising Star programs, and 1 toddler slot was a Non Texas Rising Star program)</t>
  </si>
  <si>
    <t>As additional infant and toddler slots were identified as a need at the statewide Board Strategic Planning Session in October 2023, the Texoma Board implemented an Infant and Toddler Expansion Initiative with 49 infant and/or toddler slots increased. Board has far exceeded the target of one provider increasing their infant/toddler capacity.</t>
  </si>
  <si>
    <t>Offered a 3 month and/or 6 month employment retention incentive to staff that were successful in educational attainment and that stayed employed at the same facility at 3 months and/or then 6 months afterwards. Two staff from one CCS facility obtained this incentive for continued employment.</t>
  </si>
  <si>
    <t>Two staff members remained employed at the same facility at 3 or 6 months after completing the educational program for child development and obtained an employment retention incentive as a result. This incentive remains in place for others and is considered ongoing to the next quarter. This quarter, the Board cumulatively reached 80% of its goal to support 5 participants with this activity.</t>
  </si>
  <si>
    <t>Offered an incentive for educational attainment for certificates for either a Child Development Associate - Occupational Skills Award (2 staff),  CDA National Credential (1 staff), a Child Development Certificate (1 staff), and a Child Development Administrators Certificate from two facilities.</t>
  </si>
  <si>
    <t>Three staff members completed Child Development programming at various levels at a local community college and received an incentive on a tiered level, as a result. The Board has far exceeded the target of 2 participants receiving educational attainment incentives.</t>
  </si>
  <si>
    <t>Conducted a Texas Rising Star session on Understanding Neurodevelopment on 4/2/24.
44 attendees from 13 centers and 1 home participated.</t>
  </si>
  <si>
    <t>Increased knowledge of 44 staff on various professional development topics related to child development and the Texas Rising Star program.
Participants in the professional development activity completed satisfaction evaluations at the conclusion of the event and reported that items learned could be taken back and used in the classroom.</t>
  </si>
  <si>
    <t>Conducted a Texas Rising Star session on Teaching Tactics for Triumphant Transitions on 6/4/24.
40 attendees from 12 centers and 2 homes participated.</t>
  </si>
  <si>
    <t>Increased knowledge of 40 staff on various professional development topics related to child development and the Texas Rising Star program.
Participants in the professional development activity completed satisfaction evaluations at the conclusion of the event and reported that items learned could be taken back and used in the classroom.</t>
  </si>
  <si>
    <t>Conducted training on Supporting the Social Emotional Development of Young Children on 5/14/24.
25 attendees from 9 centers and 2 homes participated.</t>
  </si>
  <si>
    <t>Increased knowledge of 25 staff on various professional development topics related to child development.
Participants in the professional development activity completed satisfaction evaluations at the conclusion of the event and reported that items learned could be taken back and used in the classroom.</t>
  </si>
  <si>
    <t>Conducted training on Creating Pathways: Integrating Arts, Crafts, and Music for Holistic Learning on 6/20/24.
30 attendees from 7 centers and 2 homes participated.</t>
  </si>
  <si>
    <t>Increased knowledge of 30 staff on various professional development topics related to child development.
Participants in the professional development activity completed satisfaction evaluations at the conclusion of the event and reported that items learned could be taken back and used in the classroom.</t>
  </si>
  <si>
    <t>Conducted a Peer Learning Community (PLC) session for owners/directors titled Beyond the Bucks: Exploring Alternative Motivators on 5/9/24.
18 attendees from 15 centers participated.</t>
  </si>
  <si>
    <t>Increased knowledge of 18 owners and directors on various professional development topics related to child development, the Texas Rising Star program, or other administrative functions.
Participants in the professional development activity completed satisfaction evaluations at the conclusion of the event and reported that items learned could be taken back and used in the classroom.</t>
  </si>
  <si>
    <t>Conducted a training series on Financial Literacy virtually for owners and directors on 6/27/24, titled Created Your Spending Plan.
6 attendees from 2 centers and 1 home participated.</t>
  </si>
  <si>
    <t>Increased knowledge of 6 owners and directors on various professional development topics related to financial literacy.
Participants in the professional development activity completed satisfaction evaluations at the conclusion of the event and reported that items learned could be taken back and used in the classroom.</t>
  </si>
  <si>
    <t>Held a professional development conference on 4/20/24 that offered up to 4.5 hours of training credit on various topics.
115 attendees from 21 centers and 7 homes.</t>
  </si>
  <si>
    <t>Increased knowledge of 115 staff on various professional development topics related to child development.
Participants in the professional development activity completed satisfaction evaluations at the conclusion of the event and reported that items learned could be taken back and used in the classroom.</t>
  </si>
  <si>
    <t>Covered the cost of one staff CDA Application Fee to the Council on Professional Recognition for one center.</t>
  </si>
  <si>
    <t xml:space="preserve">Increased  knowledge of one staff by supporting their application to obtain the CDA national credential.
80% of the Board's goal to offer support for the cost of the CDA national credential has been completed (4 out of 5 expected participants). </t>
  </si>
  <si>
    <t>Sponsored nine participants from six centers with Scholarships to support their pursuit of educational attainment in either one of the following programs: Child Development Associate - Occupational Skills Award, a Child Development Certificate, or a Child Development Administrators Certificate.</t>
  </si>
  <si>
    <t>Increased education and encouraged continued professional development  in child development courses to further assist with teacher knowledge and the intention to increase CCS capacity at quality facilities. Board has reached 90% of its goal of assisting 10 students. Goal of at least three completers has been accomplished.</t>
  </si>
  <si>
    <t>Our Texas Early Childhood Professional Development System (TECPDS) Subject Matter Expert (SME) has been validating documents in TECPDS for childcare providers that were/are pending their initial assessment for the Texas Rising Star program (6 centers reviewed, encompassing 41 staff).</t>
  </si>
  <si>
    <t>Contracted staff fees for mentors who work with current Texas Rising Star providers are being worked, along with Entry Level programs in the process of pursuing Texas Rising Star.
Amount noted here are all providers in our area that either are Texas Rising Star (26) or are pursuing accreditation (43). 
Five centers attained Texas Rising Star accreditation during this quarter</t>
  </si>
  <si>
    <t>Followed Texas Rising Star Guidelines related to required activities for all Texas Rising Star Providers. mentor process is ongoing as Entry Level-designated programs prepare for a Texas Rising Star assessment.</t>
  </si>
  <si>
    <t>Offered a quality program for the 2nd year on Literacy that was open for classes ages 3-5 and 6-12. 
For the classes, ages 3-5, 646 children participated from 21 centers and 6 homes.
For the classes, ages 6-12, 354 children participated from 11 centers and 5 homes (inclusive of those same facilities already noted above). 1000 children total</t>
  </si>
  <si>
    <t>1 Child care staff attended Learn2Lead leadership conference</t>
  </si>
  <si>
    <t>Increase management skills to ensure longevity of staff</t>
  </si>
  <si>
    <t>Staff salaries and benefits for 4 full time employees Texas Rising Star staff  who mentored 139 teaching staff members to help maintain and/or increase star level for:
35 Texas Rising star programs received mentoring to maintain or raise star level
27 CCS programs received target mentoring to h early learning program on board them to Texas Rising Star
4 providers were helped getting connected to TECPDS as a director of their center</t>
  </si>
  <si>
    <t xml:space="preserve">4 full time employees Texas Rising Star staff mentored 139 teaching staff members to help maintain and/or increase star level Learning for 35 Texas Rising Star programs.
Increase number of Texas Rising Star certificated centers. 5 programs are now assessment ready. 
Ensure the director, or identified person, is connect to the center in TECPDS so they are assessment ready. </t>
  </si>
  <si>
    <t>1 Texas Rising Star program received equipment to enhance the learning environment</t>
  </si>
  <si>
    <t>To maintain and/or increase star level Learning with teaching equipment The Board has met 6% of the minimum goal to provide 15-20 programs with materials/equipment.</t>
  </si>
  <si>
    <t xml:space="preserve">
9 directors received training from a 3 party individual 
38 infant and toddler teachers received training from the Infant Toddler Specialist Network roadshow
22 directors received training from the Infant Toddler Specialist Network roadshow</t>
  </si>
  <si>
    <t xml:space="preserve"> 
9 directors received the last Director's toolbox training
1 Infant toddler training completed with 38% participation
1 full time employee Infant Toddler Specialist completed 30 hours of mentoring with infant and toddler teaching staff</t>
  </si>
  <si>
    <t xml:space="preserve">20 students received a scholarship to attend CDA training at a local college </t>
  </si>
  <si>
    <t>20 students received a scholarship to pay for the training hours needed for the CDA certification. In Q2, the Board has completed 40% of the goal to assist 50 students with obtaining a CDA.</t>
  </si>
  <si>
    <t>Staff Salaries and benefits for 4 full time employees Texas Rising Star staff who mentored 88 teaching staff members to help maintain and/or increase star level for:
9 Texas Rising star programs received mentoring to maintain or raise star level 
1 CCS programs received target mentoring to help onboard them to Texas Rising star
1 provider was helped connecting to Texas Early Childhood Professional Development System (TECPDS) as a director for their center</t>
  </si>
  <si>
    <t xml:space="preserve">3 full time employees Texas Rising Star staff mentored 88 teaching staff members, in addition to the previous quarter, to help maintain and/or increase star level for 9 Texas rising star programs, in addition to the previous quarter.
Increase number of Texas Rising Star certified centers. 12 programs are now assessment ready, in addition to the previous quarter.
Ensure the director, or identified person is connected to the center in Texas Early Childhood Professional Development System (TECPDS) so they are assessment ready. </t>
  </si>
  <si>
    <t>14 students received a scholarship to pay for the CDA testing</t>
  </si>
  <si>
    <t xml:space="preserve">14 students received a scholarship to pay for the CDA test for certification. In Q3, the board has completed 28% of the goal to assist 50 students with obtaining a CDA. </t>
  </si>
  <si>
    <t>Staff Salaries and benefits for 4 full time employees Texas Rising Star Staff who mentored teaching staff members to help maintain and/or increase star level and onboard for certification.
Staff Salary and benefits for 1 full time employee to mentor staff on TECPDS and CLI Engage
Staff Salary and benefits for 1 full time employee to mentor staff on Infant and Toddler specific activities</t>
  </si>
  <si>
    <t>3 FTE staff mentored 80 teachers at all centers previously reported, to increase skills to maintain and/or raise star level
1 FTE TECPDS SME assisted 11 directors and teachers
1 FTE IT Specialist assisted 3 mentors with materials specific to infants and toddlers and 1 early learning program with specific infant and toddler activities</t>
  </si>
  <si>
    <t>3 Texas Rising Star mentors attended the Texas Rising Star Early Educator Conference</t>
  </si>
  <si>
    <t>3 Texas Rising Star mentors attended the Texas Rising Star Early Educator conference. This is 50% of the Early Childhood staff.</t>
  </si>
  <si>
    <t xml:space="preserve"> CLI Engage &amp; Texas Early Childhood Professional Development System (TECPDS) setting up accounts, Staff orientation for 20 new staff</t>
  </si>
  <si>
    <t xml:space="preserve">To provide the required venue , TECPDS Trainers and training materials  to host the 6th  Annual Child Care Conference for 350 participants.  Which will be held on 07/27/2024. </t>
  </si>
  <si>
    <t xml:space="preserve">Wage Supplement for Education 
Improved retention of 24 child care and early learning program staff. Incentives will be provided to recognize and promote career pathway growth and movement for 100 early childhood professionals along the Workforce Registry. We were able to provide incentives to 261 early childhood professionals for attaining a degree/CDA or completing their TECPDS account. </t>
  </si>
  <si>
    <t xml:space="preserve">TECPDS SME support: The number of individuals that the EEPDS (Early Education Professional Development Specialist) provide virtual training. 
98 staff employed at various Tarrant County CCMS programs Increased TECPDS knowledge, accounts, and verified documents. </t>
  </si>
  <si>
    <t xml:space="preserve">TECPDS SME support: The number of individuals that the EEPDS (Early Education Professional Development Specialist) trained. 
55 staff employed at various Tarrant County CCMS programs Increased Texas Early Childhood Professional Development System (TECPDS) knowledge, accounts, and verified documents. Training opportunities enhance knowledge on TECPDS, along with learning new strategies. We had 319 participants that attended the variety trainings we offered. </t>
  </si>
  <si>
    <t>Council for Professional Recognition- CDA application 
1-Credential attainment rate PD enhancement for education career lattice Texas Rising Star.</t>
  </si>
  <si>
    <t>Encouraged CQIP goal completion with Entry Level providers by offering related incentives. These facilities have completed all stated goals with a revised CQIP now in place.
(The Texoma Board will no longer be offering incentives for CQIP goal completion in BCY'24; this was a completer from BCY'23.)</t>
  </si>
  <si>
    <t>372 Early Learning Program representatives participated in Peer Learning Communities and/or Director Conversations</t>
  </si>
  <si>
    <t>Participants improved their understanding of CLI Engage (46), Creating an Afterschool Environment (94), and Minimum Standards (125). 87 Directors or representatives participated in smaller PLC's focusing on various Texas Rising Star measures, to assist with obtaining or maintaining Texas Rising Star status, with their mentors. Topics for these PLCs were: Outdoor Learning Environments (33), Play based Interactions (8), Summer Interactions (8), Indoor Learning Environment (11), Health and Nutrition (14), Supports for Children's Regulation (4), Family Engagement (13),and Infant Roundtable (8). Nineteen Texas Rising Star applications were submitted to CLI for assessment.</t>
  </si>
  <si>
    <t>Texas Rising Star Continuous Mentoring for 372 early learning programs</t>
  </si>
  <si>
    <t>Expenditures reported are as of October 2024</t>
  </si>
  <si>
    <t>Provided ten (10) early learning programs with materials to support expanding their operation
Within the last 12 months, four (4) went from registered homes to licensed homes, three (3) centers opened 1-2 classrooms, and three (3) centers opened 3 or more classrooms.  Early learning programs were awarded a budget to use with Lakeshore to order materials and furniture for the expanded child care spots or classrooms.
Total number of additional Infant slots = 13/ Total number of additional Toddler slots = 42</t>
  </si>
  <si>
    <t>The Board will measure the success of this activity by the addition of child care spots in Early Learning Programs.  Measurable outcomes include an increase the number of child care spots in Early Learning Programs some in child care deserts and additional children and families being served.  The Board has met 67% of the goal to provide support/materials to 15 Early Learning Programs.</t>
  </si>
  <si>
    <t xml:space="preserve">Provided Wage Supplement awards to 3 teachers working in three (3) Texas Rising Star-certified programs that met criteria that includes number of hours working in direct care, wage currently making, length of time working for the program, education, and experience. </t>
  </si>
  <si>
    <t>The Board will measure the success of this activity through Early Learning Program's feedback on teacher and staff retention.  Measurable outcomes include an increase in the number of child care teachers pursuing or attaining a college degree in early childhood education along with increasing the number of staff working in the child care field.</t>
  </si>
  <si>
    <t>Provided ten (10) early learning programs with materials to support expanding their operation
Within the last 12 months, four (4) went from registered homes to licensed homes, three (3) centers opened 1-2 classrooms, and three (3) centers opened 3 or more classrooms.  Early learning programs were awarded a budget to use with Lakeshore to order materials and furniture for the expanded child care spots or classrooms. 
 Total number of additional Preschool slots = 28 / Total number of additional School-Age slots = 6</t>
  </si>
  <si>
    <t>The Board will measure the success of this activity by the addition of child care spots in Early Learning Programs.  Measurable outcomes include an increase the number of child care spots in Early Learning Programs some in child care deserts and additional children and families being served.  The Board has met 67% of the goal to provide support/materials to 15 Early Learning Program's.</t>
  </si>
  <si>
    <t>Provided six (6) unduplicated participants from one (1) early learning program working towards Texas Rising Star certification and three (3) Texas Rising Star-certified programs with scholarships for TSI testing, tuition, and books to obtain their Associates degree in Early Childhood Education or Education. 
Total scholarships given = forty-seven (47) participants from four (4) early learning programs working towards Texas Rising Star certification and nineteen (19) Texas Rising Star-certified programs.</t>
  </si>
  <si>
    <t>The Board will measure the success of this activity through Early Learning Programs meeting their Continuous Quality Improvement Plan goals for teacher education.  Measurable outcomes include an increase in the number of child care teachers pursuing or attaining a college degree in early childhood education. The Board has met 150% of the goal to serve 25 participants with educational scholarships.</t>
  </si>
  <si>
    <t xml:space="preserve">Provided reimbursement for 103 child care teachers from 6 early learning programs working towards Texas Rising Star certification and 22 Texas Rising Star-certified programs for attending a local Early Childhood Education Conference. </t>
  </si>
  <si>
    <t xml:space="preserve">The Board will measure the success of this activity through Early Learning Programs meeting their Continuous Quality Improvement Plan goals for child care teacher training.  Measurable outcome include an increase in delivery of higher quality interactions and a decrease in the number of Child Care Regulation deficiencies. </t>
  </si>
  <si>
    <t xml:space="preserve">Provided education bonuses to twelve (12) scholarship participants who completed either a Provider Certification, Administrator Certification, or an Associate Degree in Child Development. </t>
  </si>
  <si>
    <t>The Board will measure the success of this activity through Early Learning Programs meeting their Continuous Quality Improvement Plan goals for teacher education.  Measurable outcomes include an increase in the number of child care teachers pursuing or attaining a college degree in early childhood education.</t>
  </si>
  <si>
    <t>Provided social emotional materials for twelve (12) early learning programs with a total of forty-three (43) infant and toddler classrooms working on Recertification.</t>
  </si>
  <si>
    <t xml:space="preserve">The Board will measure the success of this activity by Early Learning Programs meeting their Continuous Quality Improvement Plan goals for teacher child interactions.  Measurable outcomes include an increase the number of Early Learning Programs completing Recertification assessment with higher scores in Category 2. Leading to additional 4 Star Certifications and a rise in quality. </t>
  </si>
  <si>
    <t>Provided social emotional materials for twelve (12) early learning programs with a total of twenty-five (25) preschool and School-age classrooms working on Recertification.</t>
  </si>
  <si>
    <t xml:space="preserve">Texas Rising Star Personnel: Salary and benefits costs for seven (7) Texas Rising Star staff 
(Three (3) staff at 1.00 FTE; two (2) staff at .75 FTE and .25 other FTE; one (1) staff at .50 FTE and .50 other FTE) </t>
  </si>
  <si>
    <t>The Board will measure the success of this activity through an increase in Early Learning Programs participating in Texas Rising Star and achieving or maintaining certification.</t>
  </si>
  <si>
    <t xml:space="preserve">Provided five (5) Onboarding Program Bonuses to support programs to attain Texas Rising Star Certification. </t>
  </si>
  <si>
    <t xml:space="preserve">The Board will measure the success of this activity by Early Learning Programs meeting their Continuous Quality Improvement Plan goals.  Measurable outcomes include an increase the number of Early Learning Programs participating in the Texas Rising Star program and higher assessment scores. </t>
  </si>
  <si>
    <t>Payment was sent to the CDA Council for one child care program staff to receive their Infant/Toddler CDA renewal</t>
  </si>
  <si>
    <t>Infant Toddler Specialist provided 8 participants via Zoom Infant Toddler Specialist Network T-PLC: Talk with me: Promoting Early Learning Part 2</t>
  </si>
  <si>
    <t>To increase  program  knowledge on how to use the target strategies consistently and effectively in the classrooms for Infants and Toddlers to promote language development.</t>
  </si>
  <si>
    <t>Infant Toddler Specialist provided 5 participants via Zoom Infant Toddler Specialist Network T-PLC: Talk with me: Promoting Early Learning Part 3</t>
  </si>
  <si>
    <t>To increase program knowledge on how to use the target strategies consistently and effectively in the classrooms for Infants and Toddlers to promote language development.</t>
  </si>
  <si>
    <t>7 child care programs received Infant/Toddler equipment for either their Initial Texas Rising Star assessment or their annual monitoring assessment</t>
  </si>
  <si>
    <t>7 program now have more materials and equipment to help maintain Texas Rising Star quality standards.</t>
  </si>
  <si>
    <t>4 Entry level programs and Texas Rising Star-certified programs received Frog Street Infant/Toddler Curriculum</t>
  </si>
  <si>
    <t>To be able to provide developmentally appropriate practices for each classroom</t>
  </si>
  <si>
    <t>5 child care programs with a total of 83 staff received "Staff incentive reimbursement" for attaining Texas Rising Star certification</t>
  </si>
  <si>
    <t>83 staff now have monetary incentives to acknowledge their part in obtaining the Texas Rising Star certification.</t>
  </si>
  <si>
    <t>17 individuals received college subsidies for child development courses for Fall 2024 Semester</t>
  </si>
  <si>
    <t>To increase the number of program staff who obtain their CDA or college degrees in Early Childhood.</t>
  </si>
  <si>
    <t>25 participants attended an in-person Texas Early Childhood Professional Development System (TECPDS) training with TECPDS Subject Matter Expert (SME) and mentor</t>
  </si>
  <si>
    <t xml:space="preserve">To increase knowledge of how to set up TECPDS account to score highest possible points in category 1. </t>
  </si>
  <si>
    <t>121 Participants attended Fun and Function Training via Zoom</t>
  </si>
  <si>
    <t xml:space="preserve">To increase program knowledge to help with Social Regulations and Sensory Processing in the classrooms by using the equipment that was given to them. </t>
  </si>
  <si>
    <t>25 Participants attended Action Based Learning (ABL) "Building Brain Power through Purposeful Movement" Training  in person</t>
  </si>
  <si>
    <t>To increase program knowledge of how using movement prepares the child's brain to learn.</t>
  </si>
  <si>
    <t>94 Participants attended Active Supervision Training in person</t>
  </si>
  <si>
    <t xml:space="preserve">To increase program knowledge of how Active Supervision promotes a safe environment and prevents injuries in young children. </t>
  </si>
  <si>
    <t>6 participants attended in person a mentor training on Category 2 Pt. 1 Teacher and Child  interactions</t>
  </si>
  <si>
    <t>To increase knowledge of Teacher/child interactions to help program high quality learning for children and to help with higher scores on their initial Texas Rising Star Assessment</t>
  </si>
  <si>
    <t>6 participants attended in person a mentor training on Category 2 Pt. 2 Teacher and Child interactions</t>
  </si>
  <si>
    <t>36 participants attended in person a mentor training on Category 4 indoor and outdoor learning environments.</t>
  </si>
  <si>
    <t xml:space="preserve">To increase knowledge of what is needed in the learning environments to provide high quality learning environments and  to get the highest points needed for their initial Texas Rising Star assessment </t>
  </si>
  <si>
    <t>42 participants attended an in person training "Story Play"</t>
  </si>
  <si>
    <t xml:space="preserve">To increase knowledge on how to help children develop imagination, oral communication skills, auditory discrimination, listening and pre-reading skills, creativity, visual discrimination, critical thinking, and sequencing skills.  </t>
  </si>
  <si>
    <t>43 participants attended an in person training "Cooking up educational fun using the right recipe"</t>
  </si>
  <si>
    <t xml:space="preserve">To increase knowledge on hands-on ideas to incorporate books with activities in the classroom to promote literacy and other skills. </t>
  </si>
  <si>
    <t>25 participants attended an in person training "Connecting Leadership to Management"</t>
  </si>
  <si>
    <t xml:space="preserve">To increase knowledge on ideas and strategies for staff meetings, retention, and many other issues that arise as a leader in the Early Learning Program. </t>
  </si>
  <si>
    <t xml:space="preserve">300 books purchased for caregivers to go with the "Story Time" Training 2 different title books.         
2 books for 150 caregivers within 75 programs = 300 </t>
  </si>
  <si>
    <t>4 Entry level programs and Texas Rising Star-certified programs received Frog Street Curriculum</t>
  </si>
  <si>
    <t>53 programs received Action Based Learning Kits to go with the training provided</t>
  </si>
  <si>
    <t>150 books purchased for 50 programs to go with the "Connecting Leadership to Management" training. This included 3 different title books for each of the 50 programs = 150 books</t>
  </si>
  <si>
    <t>37 School age child care programs received Outdoor Equipment</t>
  </si>
  <si>
    <t>To help enhance their outdoor environment for Texas Rising Star Category 4</t>
  </si>
  <si>
    <t>Texas Rising Star Personnel: 6 Texas Rising Star Staff salaries, fringe, travel, etc.</t>
  </si>
  <si>
    <t>To maintain current staffing levels in order to complete needed mentoring and onboarding of all CCS program by the state imposed deadline of 9/30/24 and to maintain compliance with the Texas Rising Star program.</t>
  </si>
  <si>
    <t>13 child care programs received PreK and school-age materials and equipment for waived Texas Rising Star annual monitoring</t>
  </si>
  <si>
    <t>13 programs now have more materials and equipment to help maintain Texas Rising Star quality standards.</t>
  </si>
  <si>
    <t>15 initial child care programs received PreK and school age materials and equipment for initial assessments</t>
  </si>
  <si>
    <t>15 initial programs now have more materials and equipment to help maintain Texas Rising Star quality standards.</t>
  </si>
  <si>
    <t>To Increase the number of CCS rural programs who are exposed to the information about the Texas Rising Star program so programs know what the benefits are to them and the families and children they serve</t>
  </si>
  <si>
    <t>In July, 4 centers were provided training and technical assistance in classroom observation. One training was held for all programs over Preventing and Responding to Challenging Behaviors with 19 participants. 
In August, 4 centers were provided trainings and technical assistance for the following areas:  Classroom observation, Intro of Infant Toddler Specialist Network, Assessment ready and needs assessment for classroom setup. One training was held for all programs over Part B of Challenging Behaviors with 9 participants. 
In September, 5 centers were provided trainings and technical assistance for the following areas: Classroom observation and classroom setup. One training was held for all programs over Classroom Environment with 16 participants. 
44 total participants from 13 programs were supported with these trainings.</t>
  </si>
  <si>
    <t>Measurable outcomes will be measured by enhanced scores of the Texas Rising Star assessment regarding Infants and  Toddlers.</t>
  </si>
  <si>
    <t xml:space="preserve">Directors and assistant directors of child care programs are required to maintain at least 36 hours of child care training annually. Training on early learning and child development topics can include, but not limited to, health and safety, pre-k care, infant/toddler care, inclusion, teaching dual-language learners, understanding developmental screenings, mental health, nutrition and physical activity, equity, behavior management, parent relationships, indoor and outdoor learning, environments, and social-emotional development. This quarter the Director's Luncheon training was provided to 16 individuals and was over "Intellectual or Developmental Disability (IDD) / Autism". </t>
  </si>
  <si>
    <t xml:space="preserve"> Directors/Assistant Directors from our contracted centers received 2 hours of training -  14 in person participants,  2 virtual participants. Increased the number of training hours offered to participants by 2 hours for the current quarter. Of the required 36 director training hours and 30 staff training hours, this activity is calculated to have increased training hour completion by 5% of the total 36 Director Training Hours requirement and 6% of the total 30 Staff Training Hours requirement. </t>
  </si>
  <si>
    <t>All child care staff of child care programs are required to maintain at least 30-36 hours of child care training annually. Training on early learning and child development topics held by third party host can include, but not limited to, health and safety, pre-k care, infant/toddler care, inclusion, teaching dual-language learners, understanding developmental screenings, mental health, nutrition and physical activity, equity, behavior management, parent relationships, indoor and outdoor learning, environments, and social-emotional development. 
This quarter the Connection's Training had two guest speakers who trained 43 individuals. One trained over "Challenging Behaviors" and the other one trained over "Child/Teacher Interactions".</t>
  </si>
  <si>
    <t>43 participants received 6 hours of training regarding teacher/child interaction. This activity increased the number of required training hour completion rate of participants by 6 hours for the quarter resulting in the 43 participants acquiring 20% of the 30 hour staff training requirement.</t>
  </si>
  <si>
    <t>Texas Rising Star Personnel: Staff salaries and benefits for additional staff member to ensure mandated state guidelines requiring participating CCS centers currently being integrated into the Texas Rising Star program to be mentored. (5 total mentoring staff) Staff will support the current 43 Texas Rising Star-certified centers in our local board area and 39 Entry Level programs.</t>
  </si>
  <si>
    <t>"Beyond the Page" is a quality initiative that focuses on the professional development of child care center classroom teachers and early childhood literacy. This quarter, Texas Rising Star staff choose a theme, an age-appropriate book, and supplemental manipulative aimed to  assist classroom teachers on strategic read-aloud and techniques. 204 books were purchased this quarter along with 204 supplemental resources for each classroom within 43 total child care programs.</t>
  </si>
  <si>
    <t>Texas Rising Star Personnel: 7 Texas Rising Star mentor staff participated in their assigned Peer Learning Community for each month</t>
  </si>
  <si>
    <t>There has been a demonstrated need for child care programs to obtain support in providing high-quality safe indoor and outdoor equipment, as well as support for expansion to allow for more client placement. 16 child care programs requested equipment for their center.</t>
  </si>
  <si>
    <t xml:space="preserve">TECPDS SME Personnel: Staff salaries and benefits for additional staff member to ensure mandated state guidelines requiring participation in the required Texas Early Childhood Professional Development System (TECPDS) program. Staff will support the Texas Rising Star mentors in onboarding and support the current Texas Rising Star-certified centers in our local board area and all Entry Level programs. </t>
  </si>
  <si>
    <t>Measurable outcomes will be measured by enhanced scores of the Texas Rising Star assessment regarding participation in Texas Early Childhood Professional Development System (TECPDS).</t>
  </si>
  <si>
    <t>Texas Rising Star Personnel: 2 Texas Rising Star mentors and 1 other Texas Rising Star staff attended the 2024 Frog Street conference in Grapevine, TX in July.</t>
  </si>
  <si>
    <t>Texas Rising Star Personnel: 2 Texas Rising Star staff attended the TWC CCQ Board Strategic Planning meeting in August.</t>
  </si>
  <si>
    <t>As a part of the strategic plan for WSNCT quality child care, WSNCT offered LENA Grow in 5 early learning programs (supporting 27 classrooms). LENA Grow is an evaluation tool that tracks and measures teacher-child interactions over 11 weeks with guided coaching sessions. WSNCT provided devices to these Texas Rising Star early learning programs to support Category 2: Teacher-Child Interactions in the Texas Rising Star assessment tool.</t>
  </si>
  <si>
    <t xml:space="preserve">9 early learning classrooms in 5 early learning programs have participated in the LENA Grow evaluation tool to track teacher child interactions. Program evaluation dates have been schedule. One of the early learning programs dropped participation end of July 2024. Between 07/01/2024-09/30/2024, 31% who started out experiencing less talk than their peers in the same classroom (in the bottom third) had an average increase of +3.3 turns per hour. 45% Children who started out experiencing less talk than the national median of 15 turns per hour had an average increase of +4.2 turns per hour. 5 teachers and 9 classrooms in 5 early learning programs and 9 classrooms were served this quarter. This activity reached a total of 15 early learning programs in which is 100% of the board's goal of 27 classrooms were met. </t>
  </si>
  <si>
    <t>Board Infant Toddler Specialist provided 1 hour of virtual ELITE support to 4 classroom teachers serving infant and toddlers participating in the Infant Toddler Specialist Network Elite pilot program within 4 early learning programs. 
The Infant Toddler Specialist conducted two virtual professional development trainings on Infant Toddler Best Practices and one virtual training on the Infant Toddler Curriculum Overview for 54 participants offering a total of 5.5 annual clock hours.</t>
  </si>
  <si>
    <t>The Infant Toddler Specialists provided 4 classroom teachers serving infant and toddlers ELITE support in 4 early learning programs. A total of 6 annual clock hours were provided to 4 classroom teachers in ELITE and 54 participants virtually attended professional development training supporting infant and toddler development.</t>
  </si>
  <si>
    <t xml:space="preserve">As a part of the strategic plan for WSNCT training and professional development, WSNCT has offered 67 CDA scholarships to WSNCT early learning program staff.  These academic scholarships will assist participants in obtaining specific knowledge and skill development to increase classroom performance and sustain quality within their early learning programs. 
We will measure the success of these courses by tracking the number of individuals who complete the course and the number of individuals who receive their CDA. 
Our estimated reach for this activity is 67 participants served. </t>
  </si>
  <si>
    <t>67 participants have remained enrolled in infant/toddler CDA courses. One additional participant completed their CDA courses this quarter bringing the total to 6/67 completing their CDA courses to date. 67 is 50% of the board's goal for 134 participants served. Participants will be able to continue their courses with the possibility of additional participants completing in the following year.</t>
  </si>
  <si>
    <t xml:space="preserve">As a part of the strategic plan for WSNCT Child Care Quality, WSNCT provided two wage supplement incentives to 857 Child Care staff that have been employed for 6 months or longer at their current child care facility and meet all other requirements. The programs selected to receive these funds  are required to participate in industry supports. </t>
  </si>
  <si>
    <t xml:space="preserve">This was the second of 2 wage supplements scheduled for FY24. 857 participants qualified to receive the wage supplement. Overall this initiative served 1,049 individuals total as only qualifying applicants from the first round could qualify for the second round. There was some attrition due to retention. 1,049 or 98% of the board's goal of 1,072 were served. </t>
  </si>
  <si>
    <t>As a part of the strategic plan for WSNCT quality child care, provided monetary stipends to 60 individuals from 11 early learning programs for the participation in the CLASS Spring 2024 assessment to support teacher-child interaction evaluation and goal setting opportunities for continued quality improvement.</t>
  </si>
  <si>
    <t xml:space="preserve">11 early learning programs with 58 classrooms participated in both the Fall and Spring CLASS Assessments in FY24. 100% of the estimated reach was achieved, and all 60 individuals from the 11 early learning programs received the CLASS participation stipend. Additionally, 100% of survey participants, without exception, reported that CLASS was a significant benefit for their program, reinforcing the effectiveness of this program. </t>
  </si>
  <si>
    <t>Texas Rising Star Early Childhood Specialists (mentors) conducted 25 virtual and 23 in-person professional development sessions with 691 participants, offering 74 clock hours to use towards achieving their annual hours. One of those virtual trainings were professional learning communities geared towards administrators with 1 participant (who particpated in the other sessions).</t>
  </si>
  <si>
    <t>300 online and 390 in-person participants received 72.5 professional development hours to achieve their annual hours of 30 for staff. 1 virtual participant in the professional learning community received 1.5 hours to use toward achieving their yearly hours. These annual hours assist with maintaining licensing requirements and can result in lower licensing deficiencies.</t>
  </si>
  <si>
    <t xml:space="preserve">As a part of the strategic plan for WSNCT training and professional development, WSNCT offered 100 participants who work for WSNCT programs scholarships to enroll in CDA preparation courses for Preschool or Family Child Care and pay for their required application upon completion. </t>
  </si>
  <si>
    <t>100 participants have remained enrolled in PreK or Family Child Care CDA courses with 12 additional completing their CDA courses bringing the total to 17/100 completing their CDA courses to date. 100 served is 74% of the boards goal of 136 participants served (anticipated). Participants will be able to continue their courses with the possibility of additional participants completing in the following year.</t>
  </si>
  <si>
    <t>As a part of the strategic plan for WSNCT, WSNCT offered multiple curriculum training opportunities from January 2024-September 2024. These trainings focused on supporting the utilization of curriculum in early learning classrooms. 107 child care program staff attended (35 participants received in-person curriculum professional development and 72 participants received virtual curriculum professional development through this activity this quarter)</t>
  </si>
  <si>
    <t xml:space="preserve">35 participants received in-person curriculum professional development and 72 participants received virtual curriculum professional development through this activity this quarter. The total participants served with this activity was 161. With the board estimated reach of 150 served the board reached 107% of the goal. </t>
  </si>
  <si>
    <t>As a part of the strategic plan for WSNCT career pathways, WSNCT offered 58 early learning program staff financial incentives based on participant's upward movement on the Workforce Registry career lattice.</t>
  </si>
  <si>
    <t>58 participants were served through this activity this quarter. Overall this activity served 79 which 105% of the boards estimated reach.</t>
  </si>
  <si>
    <t>As a part of the strategic plan for WSNCT career pathways, WSNCT offered 20 reimbursement funding for early learning program staff to attend conferences for FY2024. This activity will help individuals obtain their needed annual training clock hours for Child Care Regulation and provide them with information about the latest trends, theories, and techniques from Early Childhood Education Professionals across the state and nation.</t>
  </si>
  <si>
    <t xml:space="preserve">20 participants were served through this activity. This is 40% of the boards estimated reach for this activity. </t>
  </si>
  <si>
    <t>As a part of the strategic plan for WSNCT, WSNCT offered multiple training opportunities from January 2024-September 2024. These trainings focused on the current needs of the early childhood community and supported 255 individuals obtain their required annual training clock hours for their Texas Rising Star assessment. Additionally, these opportunities provided necessary information to improve care for the children in WSNCT classrooms and/or programs, thereby improving on identified needs that meet and/or support the program's Continuous Quality Improvement Plan goals.</t>
  </si>
  <si>
    <t xml:space="preserve">An additional 255 participants were served in Q4. 45 participants received live virtual professional development around the utilization of awarded quality enrichment materials. An additional 81 attended the second Bright from the Start Conference to receive in person professional development on July 27th. 129 participated in the monthly virtual training options offered for directors and teachers. 383 served is 191% of the board's estimated reach of 200 served. </t>
  </si>
  <si>
    <t xml:space="preserve">Early Childhood Specialists (mentors) conducted 16 Texas Rising Star orientations (8 in person with 364 attendees and 9 virtual with 193 attendees), including the CCR Background Check Portal presentation and 4 virtual Facilities Assessment Record Form Overviews for 557 total administrators and staff, awarding a total of 27 annual hours. </t>
  </si>
  <si>
    <t> A total of 557 participants received 27 professional development hours to use toward achieving their annual hours of 36 for administrators who were assisted with maintaining licensing requirements, which can result in lower licensing deficiencies.</t>
  </si>
  <si>
    <t xml:space="preserve">4 Early Childhood Specialists conducted 12 LENA Grow virtual individual coaching sessions for 8 teachers within 5 participating early learning programs. LENA Grow is an evaluation tool that tracks and measures teacher-child interactions over 11 weeks with guided coaching sessions. Individual coaching sessions provides support for Category 2: Teacher-Child Interactions in the Texas Rising Star assessment tool. </t>
  </si>
  <si>
    <t>Early childhood specialists conducted 17 virtual coaching hours virtually with 8 participating teachers in 4 early learning programs to increase the quality and quantity of talk with children. Teachers gained skills that improved classroom conversations in Category 2 Language Facilitation and Support measures.</t>
  </si>
  <si>
    <t>Texas Rising Star Personnel: As a part of the strategic plan for WSNCT training and professional development, WSNCT held a regional conference for 75 Texas Rising Star mentors in collaboration with Tarrant and Dallas.</t>
  </si>
  <si>
    <t xml:space="preserve">75 participants attended the Regional Mentor Conference: Your Today Is Not Your Tomorrow from 5 different board areas including WSNCT, Dallas, Tarrant, Texoma and Northeast. With 75 participants in attendance the we reached 100% of the board goal of 75 served. </t>
  </si>
  <si>
    <t xml:space="preserve">As a part of the strategic plan for WSNCT resource development, WSNCT provided support to early learning programs with staff recruitment tools, informational materials, and documents to promote quality child care. 72 early learning programs received Texas Rising Star banners upon their completion of their Texas Rising Star assessment. </t>
  </si>
  <si>
    <t xml:space="preserve">72 early learning programs received Texas Rising Star banners based on their receipt of their Texas Rising Star status. 72 is 96% of the board's estimated 75 served. </t>
  </si>
  <si>
    <t>Texas Rising Star Personnel: Paid salaries and benefits for 1 Director of Quality North Texas, 1 Director of Quality North Central, 2 Early Education Professional Development Specialists that serves as the Texas Early Childhood Professional Development System (TECPDS) Subject Matter Expert (SME), 1 Administrative Assistant, and 2 Special Projects Coordinator. 
The Special Projects Coordinators, Administrative Assistant, and Early Education Professional Development Specialist work to produce all agreed upon deliverables in a productive and effective way increasing the overall productivity of overall child care. Director of Quality North Texas and Director of Quality North Central manages staff and continuously monitors progress.</t>
  </si>
  <si>
    <t xml:space="preserve">Texas Rising Star Personnel: 3 Texas Rising Star Early Childhood Specialists (mentors) attended the Frog Street Splash Conference July 2024, in Grapevine, TX. Participants received a total of 12 annual clock hours. 
4 Early Childhood Specialists (mentors) attended the Division for Early Childhood (DEC-SPED) Conference, September 17-20, 2024 in New Orleans, LA. Participants received a total of 23.75 annual clock hours. 
1 Early Childhood Specialists attended the Zero to Three Conference from July 31-August 1, 2024 in Long Beach, CA. Participant received 10 annual clock hours. </t>
  </si>
  <si>
    <t>A total of 8 Early Childhood Specialists attended conferences and obtained a total of 45.75 professional development hours. Three Early Childhood Specialists were trained on the Frog Street curriculum and will be able to support and answer questions from the early learning programs mentored. Five Early Childhood Specialists attending national conferences will be able to support and answer questions from the early learning programs mentored with research-based strategies and best practices.</t>
  </si>
  <si>
    <t xml:space="preserve">Texas Rising Star Personnel: Paid salaries and benefits for fifteen (15) Texas Rising Star mentors, 2 Texas Rising Star Program Supervisors, and 1 Child Care Manager. 
1 Sr. Early Childhood Specialists has a dual role as a certified Infant Toddler Specialist and another has achieved their Infant Toddler Specialist certification. 2 of the Early Childhood Specialists are in the process of receiving their Infant Toddler Specialist certification. These Board Staff ensure the continuation of the Texas Rising Star program activities for our Workforce Development Board Area through mentoring, assessment, outreach, and program support services. </t>
  </si>
  <si>
    <t xml:space="preserve"> 680 early learning programs received mentoring assistance to attain, maintain, or increase certification level. </t>
  </si>
  <si>
    <t>Texas Rising Star Personnel: Two (2) Sr. Early Childhood Specialists are participating in the Continuous Quality Improvement: Mechanisms for Strengthening ECE Program Quality and Workforce Competency research-policy partnership grant between CLI and TWC. Phase 1 of this research grant is designed to explore implementation variability in Texas Rising Star Continuous Quality Improvement plan delivery, receipt, and response. The Specialists are providing specified mentoring to 6 early learning programs (which includes 6 administrators and  3 Early Childhood educators). Specialist participation includes trainings and Micro credential PLCs. Cohort 1 for the study participants is coming to an end and recruitment for Cohort 2 has begun.</t>
  </si>
  <si>
    <t>1  program dropped this quarter from study participation due to staffing changes.</t>
  </si>
  <si>
    <t>TECPDS SME Personnel: Texas Early Childhood Professional Development System (TECPDS) Subject Matter Experts (SME) provided support to 156 programs with the creation, correction, or completion of TECPDS director account.</t>
  </si>
  <si>
    <t xml:space="preserve">137 TECPDS Directors accounts were confirmed as complete for 137 WSNCT early learning programs. Overall 636 TECPDS accounts which is 106% of the board's goal 595. </t>
  </si>
  <si>
    <t>Texas Rising Star Personnel: 5 Early Childhood Specialists (mentors) participated in the ASQ®-3 &amp; ASQ®:SE-2 Training of Trainers based on the Ages &amp; Stages Questionnaires®, Third Edition (ASQ®-3), and Ages &amp; Stages Questionnaires®: Social–Emotional, Second Edition (ASQ®:SE-2). Ages &amp; Stages Questionnaires® (ASQ®) provides reliable, accurate developmental and social-emotional screening for children between birth and age 6. These Early Childhood Specialists are trained to  support and train early learning programs to implement the screening tools.</t>
  </si>
  <si>
    <t>TBD. Participants received 21 hours toward Train the Trainer hours that can be used as a part of their annual clock hours.</t>
  </si>
  <si>
    <t xml:space="preserve">UT Health/Science Infant/Toddler curriculum was provided to 1 Texas Rising Star child care program.  </t>
  </si>
  <si>
    <t xml:space="preserve">1 Texas Rising Star child care program received infant/toddler-focused materials and/or equipment that attain, maintain, or increase certification level.  Helps teachers plan activities to help children meet the specified development benchmarks.  </t>
  </si>
  <si>
    <t>Lakeshore Bungalows were provided to 52 programs. Programs had to fill out an application in order to be consider for this item. The application consisted of needing the center's information along with answering four questions.</t>
  </si>
  <si>
    <t xml:space="preserve">52 early programs receiving equipment that attain, maintain, or increase certification level. Addressing quality enrichment needs and providing quality resources that are developmentally appropriate helps to increase, sustain, and improve the quality of Texas Rising Star childcare facilities. </t>
  </si>
  <si>
    <t>Infant-Toddler Specialist  spent 11 contact hours on infant-toddler activities and provided a virtual training to 97 individuals.</t>
  </si>
  <si>
    <t xml:space="preserve">9 programs received through ITSN coaching.  Improve the quality of child care for Infant and toddlers. </t>
  </si>
  <si>
    <t>Wage supplements were distributed to 624 staff of recently certified Texas Rising Star early learning programs based on completion of the following: 1) obtainment of Two- Three- and Four-Star Texas Rising Star level for newly certified programs, star level increases, recertification star level increases, and those that maintain Four-Star after assessment.</t>
  </si>
  <si>
    <t xml:space="preserve">Improve retention of  37 child care staff increased staff retention for Texas Rising Star providers. We provided 624 wage supplement to the early childhood professionals. Our goal was to give the wage supplement to 500 early childhood professionals. Our total percentage was 124%, we were able to surpass our goal. </t>
  </si>
  <si>
    <t xml:space="preserve">Wage supplements were distributed to 12 individuals from 11 child care programs for participating in CLASS. Individuals had to be observed during the assessment. Determination on if they were observed is done by reviewing the scores that were collected for each site that participated. Each individual received $250.00. </t>
  </si>
  <si>
    <t xml:space="preserve">Improved retention of child care and early learning program staff Increase staff retention and usage for TECPDS. Success will be measured based on how many wage supplements are issued during the program year. Success will be measured based on how many wage supplements are issued during the program year. For the year we were able to issue 1,300 wage supplements. </t>
  </si>
  <si>
    <t>Wage supplement for Education. We provided an wage supplement to 6 child care staff members who completed any of the following higher education certifications/degrees: after-school certification, preschool child care provider certification, child care administration certification, CDA, associates degree in early child hood, bachelor's degree in early childhood, or a Master's degree in early childhood.</t>
  </si>
  <si>
    <t xml:space="preserve">Improved retention of 6 child care staff. Incentives will be provided to recognize and promote career pathway growth and movement for 100 early childhood professionals along the Workforce Registry. We were able to incentivize 261 early childhood professionals for attaining a degree/CDA or completing their TECPDS account. Our goal was to incentivize 100 early childhood professionals. Our total percentage was 261%, we were able to surpass our original goal. </t>
  </si>
  <si>
    <t>Educational stipend for Camp Fire Apprenticeship Program. We provided stipends for 23 Tarrant county child care staff that graduated from the Camp Fire Apprenticeship Program.</t>
  </si>
  <si>
    <t xml:space="preserve">Activity outcomes will be measured by the number of students who obtain a credential during the program year. All 23 graduates received a CDA credential. </t>
  </si>
  <si>
    <t>Scholarships for Council for Professional Recognition - CDA application was provided to 9 individuals</t>
  </si>
  <si>
    <t xml:space="preserve">9-Credential attainment rate professional development enhancement for education career lattice Texas Rising Star. Activity outcomes will be measured by the number of students who obtain a credential during the program year.  In total we had eleven students receive their CDA credential and four students renew their CDA. </t>
  </si>
  <si>
    <t>2024 ASQ Training: We had an application for Texas Rising Star programs that wanted to implement ASQ. Before applying they had to agree to the following requirements: application must be filled out by the owner/or director, applicant must be a director, assistant Directorio administer, must be employed at current location for 1 year or more, must be a certified program, must participate in all day training about implementation ASQ Training, must be willing to train the staff at their location about ASQ's, must be willing to work with a mentor on implementing ASQ's in their program, must be willing to implement ASQ's in their program, your program is not listed in the ASQ enterprise. If their application was chosen they would receive a full day of in-person training, ASQ Kit, and a stipend ($1,000.00 centers and $500.00 homes).  37 individuals attended this training as part of this initiative.</t>
  </si>
  <si>
    <t xml:space="preserve">A variety of training opportunities for all Texas Rising Star and Entry Level Designated programs, approximately 500 programs/participants, will be provided in the areas of teacher-child interactions and children with disabilities. This activity will help the provider meet the measure for S-FE-02 when going through a recertification. The outcome of this activity is based on the provider on learning and given the resources to implement the ASQ's. It's also based on the mentor working with the provider to create goals around ASQ's. </t>
  </si>
  <si>
    <t>Tarrant County Scholarships: We provided a scholarship to 5 early childhood professionals who were interested in attaining their associates in early childhood at Tarrant County College.</t>
  </si>
  <si>
    <t xml:space="preserve">5-Credential attainment rate.  Increase staff professional development to enhance individual career lattice. Activity outcomes will be measured by the number of students who obtain a credential during the program year. For the year we had three students that gradated with their associates degree. </t>
  </si>
  <si>
    <t xml:space="preserve">Tarrant County College (Books). This was part of the Tarrant County scholarship. 1 scholarship recipient was provided vouchers to purchase textbooks for their classes.  </t>
  </si>
  <si>
    <t xml:space="preserve">Provided books to increase staff professional development to enhance individual career lattice. </t>
  </si>
  <si>
    <t>Texas Early Childhood Professional Development System Subject Matter Expert provided training to 302 individuals.</t>
  </si>
  <si>
    <t xml:space="preserve">302 staff employed at various Tarrant County CCMS programs Increased TECPDS knowledge, accounts, and verified documents. Training opportunities enhance knowledge on TECPDS, along with learning new strategies. We had 302 participants that attended the variety trainings we offered. Our goal was to serve 500 participants/programs. The total percentage we served this quarter was 60% this quarter. Overall for the year we surpassed our goal.  </t>
  </si>
  <si>
    <t xml:space="preserve">Active Shooter Training. This in-person training focused on home visit safety, fire safety, and de-escalation techniques for early childhood professionals, and situational awareness. 54 participants  </t>
  </si>
  <si>
    <t xml:space="preserve">We had 54 individuals attend from Tarrant County. A variety of training opportunities for all Texas Rising Star and Entry Level Designated programs.  Structured professional development can improve early learning quality and staff. development. The outcome of this activity will be measured on the amount of early learning programs who meet the required training hours per staff for both Child Care Regulation and Texas Rising Star eligibility. </t>
  </si>
  <si>
    <t>Texas Rising Star Conference and Celebration. We offered multiple in-person training sessions in the morning along with our keynote speaker. In the afternoon was the celebration for the providers. We provided lunch, guest speakers, recognized some of the child care staff in the community. At the end of the celebration we asked the participants to complete a survey.  449 total participants and 317 that received certificates for the conference.</t>
  </si>
  <si>
    <t xml:space="preserve">A variety of training opportunities for all Texas Rising Star and Entry Level Designated programs, approximately 500 programs/participants, will be provided in the areas of teacher-child interactions and children with disabilities. The outcome of this activity will be measured on the amount of early learning programs who meet the required training hours per staff for both Child Care Regulation and Texas Rising Star eligibility. </t>
  </si>
  <si>
    <t>Texas Early Childhood Professional Development System Subject Matter Expert support: The number of childcare programs who received in-person training. 15 program trained. 183 participants</t>
  </si>
  <si>
    <t>15 Tarrant County CCS program Increased TECPDS knowledge, accounts, and verified documents. Training opportunities enhance knowledge on TECPDS, along with learning new strategies.</t>
  </si>
  <si>
    <t>Texas Early Childhood Professional Development System Subject Matter Expert support: The number of individuals that the EEPDS (Early Education Professional Development Specialist) provide virtual training. 14 participants</t>
  </si>
  <si>
    <t>14 staff employed at various Tarrant County CCS programs Increased TECPDS knowledge, accounts, and verified documents. Training opportunities enhance knowledge on TECPDS, along with learning new strategies.</t>
  </si>
  <si>
    <t xml:space="preserve">TECPDS SME Personnel: Texas Early Childhood Professional Development System Subject Matter Expert outreached 982 users within 41 programs each month via e-mail after creation for completion follow-up as many of the users do not add their current employment to their account. </t>
  </si>
  <si>
    <t>982 users and 41 programs employed at various Tarrant County CCMS programs Increased TECPDS knowledge, accounts, and verified documents. Training opportunities enhance knowledge on TECPDS, along with learning new strategies.</t>
  </si>
  <si>
    <t>Lakeshore resources were provided to 71 early learning programs based on individual assessment needs. 81 programs</t>
  </si>
  <si>
    <t xml:space="preserve">81 early learning programs receiving materials and/or equipment that attain, maintain, or increase certification level. We provided 527 early learning programs with resources. Our goal was to support 300 early learning programs for FY24. Our total percentage was 175%, we were able to surpass our original goal. </t>
  </si>
  <si>
    <t xml:space="preserve">Lakeshore Bungalows were provided to 35 early learning programs. Programs had to fill out an application in order to be consider for this item. The application consisted of needing the center's information along with answering four questions. </t>
  </si>
  <si>
    <t xml:space="preserve">35 early learning programs receiving equipment that attain, maintain, or increase certification level. Our goal was to support 300 early learning programs for FY24. Our total percentage was 175%, we were able to surpass our original goal. </t>
  </si>
  <si>
    <t xml:space="preserve">Staff Education document translation reimbursement was provided to 4 programs who got their staff members' educational documents translated for Texas Rising Star scoring support. </t>
  </si>
  <si>
    <t>Texas Rising Star Personnel: NAFCC conference. 3 Texas Rising staff members attended this conference.</t>
  </si>
  <si>
    <t xml:space="preserve">This activity is planned to support the requirements for 20 Texas Rising Star mentors to complete 36 hours of annual professional development training. Staff will attend a variety of specialized conferences to help sustain and improve quality outcomes. Mentor staff will use their training to better support their programs.  All Texas Rising Star early learning programs will benefit from the professional development of their mentors. </t>
  </si>
  <si>
    <t xml:space="preserve">Texas Rising Star Personnel: 2024 CCQ Strategic Planning Meeting. 3 Texas Star Staff Members attended this meeting. </t>
  </si>
  <si>
    <t xml:space="preserve">This activity is planned to support the requirements for 20 Texas Rising Star mentors to complete 36 hours of annual professional development training.  Staff will attend a variety of specialized conferences to help sustain and improve quality outcomes. Mentor staff will use their training to better support their programs.  All Texas Rising Star early learning programs will benefit from the professional development of their mentors. </t>
  </si>
  <si>
    <t>Texas Rising Star Personnel: Revving Up Your Coaching: Drive to Change. 10 Texas Rising Star staff members attended this training.</t>
  </si>
  <si>
    <t>Texas Rising Star Personnel: Special Needs Conference. 3 Texas Rising Star members attended this conference.</t>
  </si>
  <si>
    <t xml:space="preserve">Texas Rising Star Personnel: Salaries and benefits for Andrea Potter, Carlette Thigpen, Cathy Gregg, Curtisha Dupree, Danielle Abbott, Jessica Glasco, Josselyn Cherry, Kelsey Harris, Khrysthal Fountain, Kristine Ashcraft, Laila Darboe, Mandi Compton, Melinda Solimine, Misty Alvarado, Paige Douglas, Monique Evans, Rhonda Pointer, Sandy Porterfield, Leslie Merino, Stirling Finch, Naomie Banatte. </t>
  </si>
  <si>
    <t>On average 560 child care and early learning programs receiving mentoring assistance that attain, maintain, or increase certification level Supporting Programs in Q4.</t>
  </si>
  <si>
    <t xml:space="preserve">Texas Early Childhood Professional Development System (TECPDS) Subject Matter Expert (SME) support: The number of users currently employed with the Entry Level-designated program  who create an account. 32,482 users and 41 programs.  Many of the users do not add their current employment to their account. </t>
  </si>
  <si>
    <t>32,482 users and 41 programs employed at various Tarrant County CCS programs Increased TECPDS knowledge, accounts, and verified documents. Training opportunities enhance knowledge on TECPDS, along with learning new strategies.</t>
  </si>
  <si>
    <t>Provided in-person CPR classes to 123 early learning program staff (July-September)</t>
  </si>
  <si>
    <t>In Q4, provided CPR classes are offered to early learning programs to receive minimum standards requirements 100%.</t>
  </si>
  <si>
    <t>Provided CLI Infant Toddler Curriculum implementation in-person training to 69 child care staff</t>
  </si>
  <si>
    <t>The board has exceed there goal of 500 early learning programs in Q4 on business operation topics 100%</t>
  </si>
  <si>
    <t>Purchased curriculum for 3 home programs who received the Infant Toddler Expansion Grant</t>
  </si>
  <si>
    <t>In Q4, provided educational materials and curriculum to Increase in Texas Rising Star participation for 3 homes at 100%.</t>
  </si>
  <si>
    <t>Provided Infant Toddler Expansion Grant to 3 homes and 3 centers totaling $285,000</t>
  </si>
  <si>
    <t>In Q4, provided educational materials and curriculum to increase the number of infants and toddlers enrolled in a Texas Rising Star facility at 100%. Increased capacity with 13 additional toddler and 2 infant enrollments.</t>
  </si>
  <si>
    <t>Wonderschool Project - Business Operation System continued support to 5 programs utilizing Wonderschool platform - providing a child care management tool to assist directors in managing their daily operational tasks more effectively.</t>
  </si>
  <si>
    <t xml:space="preserve">In Q4, the board has met this goal at 100%. </t>
  </si>
  <si>
    <t>Provided 11 hours of professional development to Early Learning Programs on a variety of early childhood topics from Frog Street: 42 virtual &amp; 44 in-person</t>
  </si>
  <si>
    <t>In Q4, the board has exceeded their goal of providing professional development to 500 programs.</t>
  </si>
  <si>
    <t>Provided 4.5 hours of professional development to Early Learning Programs on a variety of early childhood topics from Lakeshore: 138 virtual &amp; 15 in-person</t>
  </si>
  <si>
    <t xml:space="preserve">Provided 8 hours of professional development to Early Learning Programs on a variety of early childhood topics from First Three Years: 56 virtual </t>
  </si>
  <si>
    <t>Provided scholarships for 33 early learning program staff to attend the TXAEYC Conference in October 2024</t>
  </si>
  <si>
    <t>In Q4, the board provided scholarships to meet their goal of providing 500 early learning programs with professional development.  The board exceeded this goal and providers maintain minimum standards requirements by attending the conference to receive their hours.</t>
  </si>
  <si>
    <t>Business training on a variety of topics (virtual) held monthly.
198 child care program staff attended.</t>
  </si>
  <si>
    <t>The board has exceed there goal of 500 early learning programs in Q4  in business operation topics 100%</t>
  </si>
  <si>
    <t>Provided 6.5 hours of professional development on a variety of topics from the Institute of Childhood Preparedness. There were 45 virtual participants &amp; 93 in-person participants, for a total of 138 attendees.</t>
  </si>
  <si>
    <t>In Q4, the board has completed and exceeded this goal (500 programs) providing professional development.</t>
  </si>
  <si>
    <t>Hosted and provided 5.50 hours of professional development at our in-person Inclusion Conference on July 2, 2024 to 78 child care staff</t>
  </si>
  <si>
    <t>Provided funding for 12 teachers to attend the Frogstreet teacher curriculum training</t>
  </si>
  <si>
    <t>Provided funding for 41 administrators to attend the Frogstreet Leadership Symposium</t>
  </si>
  <si>
    <t>Provided training to 59 child care program staff on the HATCH Technology Table</t>
  </si>
  <si>
    <t>Partnered with United Way &amp; Help Me Grow North Texas to host the ASQ Conference (in-person) 
77 child care staff attended</t>
  </si>
  <si>
    <t>In Q4 the board exceed their goal of providing professional development to 500 programs with community partners.</t>
  </si>
  <si>
    <t>Hosted Guidance and Relationship with Parents training through contracted trainers for 55 child care staff</t>
  </si>
  <si>
    <t>Hosted in-person Montessori teacher curriculum training for 12 child care staff</t>
  </si>
  <si>
    <t>In Q4, the board completed 6% of their goal of providing Montessori training to 50 programs.</t>
  </si>
  <si>
    <t>Partnered with Region 10 to host Super Saturday training on Managing Behaviors
146 child care staff attended</t>
  </si>
  <si>
    <t>Tuition for BAS/AAS/Certificate for 42 students</t>
  </si>
  <si>
    <t>Total enrollments attained - 65% Bachelor of Arts and Science, 88% Associate of Arts and Science, and 60% certificate programs</t>
  </si>
  <si>
    <t>Tuition to cover the cost for Child Development Associate Certification for 25 students</t>
  </si>
  <si>
    <t>21% of total early learning programs enrolled have been reimbursed for the cost of the Child Development Associate Certification - Child Development Associate Certification.</t>
  </si>
  <si>
    <t xml:space="preserve">Provided 34 participants who completed the Administrative Credential Course with a $500 stipend </t>
  </si>
  <si>
    <t>85% of the participants from Q2 passed their test and received their certificate.</t>
  </si>
  <si>
    <t>Texas Rising Star in-person training by mentors provided 4.5 hours on categories 1-4 to 31 child care staff</t>
  </si>
  <si>
    <t>Provided Administrative Credential Courses in partnership with Campfire for 17 individuals (virtual)</t>
  </si>
  <si>
    <t>In Q4, the board has met 83% of goal earning their directors credentials.</t>
  </si>
  <si>
    <t>Purchased Child Development Associate books for 9 teachers enrolled in the Childrens Learning Institute Child Development Associates online program</t>
  </si>
  <si>
    <t>Increased the total of teachers obtaining higher education level (Child Development Associate Certification - Child Development Associate Certification)</t>
  </si>
  <si>
    <t>Texas Rising Star Personnel: Hosted a Mentor Conference in partnership with North Central Texas &amp; Tarrant boards</t>
  </si>
  <si>
    <t>In Q4, the board completed 100% of our team completed professional development on communication &amp; styles to support their early learning programs.</t>
  </si>
  <si>
    <t>Texas Rising Star Personnel: 6 Texas Rising Star and Quality staff attended Frogstreet Conference in July 2024</t>
  </si>
  <si>
    <t>Texas Rising Star Personnel: Provided "Wickedly Effective Public Speaking &amp; Presentations" in-person training for 14 Texas Rising Star/ Quality Staff</t>
  </si>
  <si>
    <t>Texas Rising Star Personnel: Provided "Getting It &amp; Giving It" in-person training for 16 Texas Rising Star/ Quality Staff</t>
  </si>
  <si>
    <t>Texas Rising Star Personnel: Registered 3 Texas Rising Star/ Quality staff to attend the TXAEYC Conference in October 2024</t>
  </si>
  <si>
    <t>The Board exceeded their continued efforts ensuring staff receives ongoing professional development. Staff attending the conference will increase the supply of quality child care from receiving content knowledge to support programs.</t>
  </si>
  <si>
    <t>Texas Rising Star Personnel: Purchased 30 memberships for Texas Rising Star/ Quality staff for National Association for the Education of Young Children</t>
  </si>
  <si>
    <t>Increase participation in a professional organization and broaden their options to professional development opportunities and information on child care.</t>
  </si>
  <si>
    <t>Texas Rising Star Personnel: Purchased supplies for 24 Texas Rising Star/Quality staff</t>
  </si>
  <si>
    <t>Provided supplies for staff who work remotely to effectively perform daily task and respond to early learning program's needs.</t>
  </si>
  <si>
    <t>Purchased Montessori Materials for 3 early learning programs who attended professional development</t>
  </si>
  <si>
    <t>Provided resources and support to Montessori programs participating and interested in Texas Rising Star and continuous quality improvement.</t>
  </si>
  <si>
    <t xml:space="preserve">Texas Rising Star Personnel: July, August, September 2024 Staff salaries, benefits, and travel included 19 Texas Rising mentors and 1 Business Coach, 1 Inclusion Specialist, 2 Texas Rising Star Program Managers, 1 Texas Rising Star Support Staff, 1 Quality Initiatives Manger, 1 Quality Initiatives Coordinator, and the Director of Child Care Quality, and 1 Senior Success Coach. 1 Texas Rising Star Program Manager was terminated on 9/24/2024. 28 Total staff </t>
  </si>
  <si>
    <t>The 28 FTEs provided support to Entry Level Designated and Star Level Designated programs. 1,705 site visits were conducted during this quarter. This includes classroom observations, virtual and in-person visits, business coaching, onboarding in an effort to increase assessment readiness for early learning programs.</t>
  </si>
  <si>
    <t xml:space="preserve">Purchased HATCH Technology Interactive Table for Preschool/ PreK classrooms for 30 programs. </t>
  </si>
  <si>
    <t>30 provider's classrooms received the equipment to enhance the children's language development &amp; cooperative play skills.</t>
  </si>
  <si>
    <t>provided 40 programs a Newly Texas Rising Star certified monetary incentive for obtaining their Texas Rising Star status.</t>
  </si>
  <si>
    <t>In Q4 the board reached their goal of 100%. 40 early learning programs obtained their Texas Rising Star status and stipends in the amount of $216,500 were awarded.</t>
  </si>
  <si>
    <t>Allowed teachers to purchase Infant/Toddler items for their classrooms after attending an Infant Toddler Specialist Network training with our mentors. Teachers that participated were granted $100 each for their classrooms. 62 staff from 15 early learning programs</t>
  </si>
  <si>
    <t xml:space="preserve">Childcare and early learning programs attainment of specific Continuous Quality Improvement Plan goals. Number of teachers participating in monthly trainings offered by Workforce Solutions. </t>
  </si>
  <si>
    <t xml:space="preserve">Provided 37 centers access to an ordering portal to order Early Childhood Education materials and/or equipment needed for infants &amp; toddlers. Centers new to Texas Rising Star programs received $2,000 and centers who have been Texas Rising Star for longer received $1,500. </t>
  </si>
  <si>
    <t>Number of childcare and early learning programs receiving infant/toddler specific materials to attain, maintain, or increase Texas Rising Star certification levels and gives centers additional funding to purchase needed quality items they would otherwise not be able to obtain.</t>
  </si>
  <si>
    <t>Purchased Infant/Toddler specific curriculum for 5 child care programs</t>
  </si>
  <si>
    <t xml:space="preserve">Number of child care and early learning programs  receiving infant/toddler specific materials to attain, maintain, or increase Texas Rising Star certification levels. </t>
  </si>
  <si>
    <t>Paid for 24 child care program staff and workforce staff to attend training at the Texas Licensed Childcare Association conference in Grapevine, TX.</t>
  </si>
  <si>
    <t>Provides staff with required training hours and increases quality in the classroom. Decrease in number of licensing deficiencies cited by Child Care Regulation. When directors and staff are able to attend these conferences it fosters networking with other providers and they are able to focus on improving quality at their centers and programs.</t>
  </si>
  <si>
    <t>Paid for the Keynote speaker at Paris Junior College's fall child care workshop. 110 participants</t>
  </si>
  <si>
    <t>Provides staff with required training hours and increases quality in the classroom. Decrease in number of licensing deficiencies cited by Child Care Regulation. The Board has exceeded the goal of supporting 500 early learning staff in professional development.</t>
  </si>
  <si>
    <t>Various trainings provided in person and virtually to  directors and staff. 949 participants</t>
  </si>
  <si>
    <t xml:space="preserve">Provides staff with required training hours and increases quality in the classroom. Decrease in number of licensing deficiencies cited by Child Care Regulation. </t>
  </si>
  <si>
    <t xml:space="preserve">Texas Rising Star Personnel: costs for 4 Texas Rising Star mentor staff employed with WFSNETX. </t>
  </si>
  <si>
    <t xml:space="preserve">Increase in Texas Rising Star participation and/or certified star levels and retention in Texas Rising Star program.  Lower number of deficiencies cited from Child Care Regulation. </t>
  </si>
  <si>
    <t>Purchased PreK curriculum for 3 child care programs</t>
  </si>
  <si>
    <t>Number of childcare and early learning programs  receiving materials to attain, maintain, or increase Texas Rising Star certification levels. This meets 75% of the Board's goal to support programs with outdoor equipment.</t>
  </si>
  <si>
    <t xml:space="preserve">Purchased awnings to provide shade on playgrounds for 5 child care programs. </t>
  </si>
  <si>
    <t>Providers reported  satisfaction with Texas Rising Star services. The shade will help centers spend more time in their outdoor environments, so children can remain safely outside while playing in various weather conditions.</t>
  </si>
  <si>
    <t xml:space="preserve"> </t>
  </si>
  <si>
    <t>Admin able to maintain visual oversight of ensuring safety in 2 classroom</t>
  </si>
  <si>
    <t>Purchased ground covering(mulch) for playground 1 program</t>
  </si>
  <si>
    <t>100% of fall zones on playground area is safe and meets licensing requirements.</t>
  </si>
  <si>
    <t>Purchased moveable steps for 2 toddler classrooms in 1 program.</t>
  </si>
  <si>
    <t xml:space="preserve">100% of children in 2 toddler classrooms able to reach classroom sinks to wash hands. Licensing wrote them up previously for children's inability to wash hands. </t>
  </si>
  <si>
    <t>Purchased equipment/materials for 2 infant or toddler classrooms in 1 program</t>
  </si>
  <si>
    <t xml:space="preserve">Environments in 2 infant/toddler classrooms will meet 80% of the measures assessed. </t>
  </si>
  <si>
    <t xml:space="preserve">Awarded 105 staff from 14 new Three- or Four-Star programs a wage supplement bonus of up to $100 per staff. Total allowed $1500 per program  </t>
  </si>
  <si>
    <t>Texas Rising Star staff provided trainings on interactions, child development, Texas Rising Star measures, health and safety, and classroom management to 633 child care program staff</t>
  </si>
  <si>
    <t>Reimbursed CDA application fees for 5 candidates (scholarship)</t>
  </si>
  <si>
    <t>100% of candidates awarded CDA credential increasing the number of program staff with qualifying education.</t>
  </si>
  <si>
    <t>Training registration fees reimbursed for 19 staff from 7 programs</t>
  </si>
  <si>
    <t>Awarded 16 new programs a monetary incentives to support them in beginning the Texas Rising Star process</t>
  </si>
  <si>
    <t>16 early learning programs began process utilizing incentive to purchase items needed to meet classroom environment measures</t>
  </si>
  <si>
    <t>Texas Rising Star Personnel: Paid salaries and benefits for 6 Texas Rising Star staff</t>
  </si>
  <si>
    <t>100% Texas Rising Star staff compensated for mentoring  caseloads averaging 40 early learning programs.</t>
  </si>
  <si>
    <t>Awarded recertification monetary incentives to 4 programs recertified as Three- and Four- Star programs</t>
  </si>
  <si>
    <t xml:space="preserve">4 currently certified programs reassessed at a three star or four star level received monetary incentive to be utilized toward program needs. </t>
  </si>
  <si>
    <t>Infant Toddler Specialist provided infant toddler specific trainings to 50 individuals</t>
  </si>
  <si>
    <t xml:space="preserve">1 Infant and toddler specialist presented 5 trainings to 50  teachers and directors in our area that were specific to infant and toddler behavior. 100% of board goal was met. </t>
  </si>
  <si>
    <t xml:space="preserve">499 staff members at 39 Texas Rising Star programs received retention/hiring incentives based on a rubric that identified education level, longevity, location and after hour care. </t>
  </si>
  <si>
    <t xml:space="preserve">In Q4 the board completed 98% of the goal of 40 Texas Rising Star receiving staff incentives. </t>
  </si>
  <si>
    <t>2 early learning programs entered into Formal PreK partnerships</t>
  </si>
  <si>
    <t xml:space="preserve">One early learning program has one PreK three partnership with Wylie ISD and one early learning program has one pre-k four partnership with Wylie ISD. </t>
  </si>
  <si>
    <t>2 Scholarships were provided for Child Development Associate Credential testing</t>
  </si>
  <si>
    <t xml:space="preserve">2 students received a scholarship to pay for the Child Development Associate Credential test for certification. In Q4 the board as completed 32% of the goal to assist 50 students with obtaining a Child Development Associate credential. </t>
  </si>
  <si>
    <t xml:space="preserve">86 teachers and directors were trained by a third party in an Inservice training titles 2.0. </t>
  </si>
  <si>
    <t xml:space="preserve">In Q4 the board has completed 100% of this goal. </t>
  </si>
  <si>
    <t>Texas Rising Star Personnel: Staff salaries and benefits for 4 full time Texas Rising Star staff who mentored teaching staff members and directors to help maintain and/or increase star level and onboard for certification
Staff Salary and benefits for 1 full time employee to mentor staff on Texas Workforce registry and CLI Engage
Staff salary and benefits for .75 employee to mentor staff on Infant and toddler specific activities</t>
  </si>
  <si>
    <t xml:space="preserve">4 full time staff mentored 148 teachers and directors at all centers previously reported, to increase skills to maintain and/or raise star level. 
1 full time Texas workforce registry specialist helped 96 directors and teachers to maneuver their Texas workforce registry account and their CLI Engage account.
1 Infant and toddler specialist presented 5 trainings to 50  teachers and directors in our area that were specific to infant and toddler behavior. </t>
  </si>
  <si>
    <t xml:space="preserve">3 new and/or expanded child care programs received materials to help with the expansion of their program and/or the opening of a new program. </t>
  </si>
  <si>
    <t xml:space="preserve">These materials will be used to help the program with the Texas Rising star certification. In Q4 the board completed 100% of the goal. </t>
  </si>
  <si>
    <t>Assisted 1 program - C.I. Montessori Campus East - with their expansion of an infant and toddler classroom. The child care program's expansion opened up 19 child care slots. WSB assisted with the purchasing of cribs, carpet, shelves and age appropriate manipulative toys. 10 infant and 9 toddlers.</t>
  </si>
  <si>
    <t>By supporting C.I. Montessori Campus East they were able to open new spaces to offer infant and toddlers care.  They now have 10 infant slots and 9 toddler slots.</t>
  </si>
  <si>
    <t>WSB provided a wage supplement focused on staff retention to support child care programs with retaining staff. These staff retention stipends are for teachers who are participating in WSB's educational scholarship initiative. The stipend is tied to continuing and/or completion of early education college degree, as well as those who continue with employer after they graduate. WSB is offering the stipend to teachers who participated in two semesters in the course of this fiscal year and remains at their current employer. 11 wage supplements have been provided.</t>
  </si>
  <si>
    <t xml:space="preserve">WSB had 11 teachers who participated in two semesters in the course of this fiscal year receive  a retention stipend.  Those supported continued to remain employed.     </t>
  </si>
  <si>
    <t xml:space="preserve">WSB brought in trainer Tyler Kearns to provide training for our child care provider staff who work with the children in the afterschool programs.  The training was called "Positive Connection and Empowering Youth".  We had a total of 77 attendees.   </t>
  </si>
  <si>
    <t xml:space="preserve">WSB provided this training as part of supporting our child care programs on increasing their skill set to work with the children in the afterschool program. The attendees obtained a total of four hours of professional development.  WSB is assisting child care programs and staff with acquiring training hours towards meeting Child Care Regulations required training hours and obtain points towards having staff meet the required training hours during the Texas Rising Star assessment and annual reviews. </t>
  </si>
  <si>
    <t xml:space="preserve">WSB provided training overview on Infant through Pre-K Early Literacy curriculum for our child care Texas Rising Star providers.  The training was provided by Celebrate Successful Early Learning. The curriculum is an early learning literacy bilingual supplement to be used along with the child care programs current curriculum. We had a total of 228 attendees. </t>
  </si>
  <si>
    <t xml:space="preserve">WSB provided the curriculum overview for Texas Rising Star programs and staff in order to expose them to a supplemental curriculum focusing on early literacy which they can implement in their lesson planning and daily activities.  The attendees obtained one hour of professional development.  WSB is assisting the child care provider staff with meeting areas related to Texas Rising Starrequirements lesson planning and age appropriate activities. </t>
  </si>
  <si>
    <t xml:space="preserve">WSB provided an refresher training on the implementation of the infant through PreK Frog Street curriculum.  The focus audience were center based child care staff who had previously received the curriculum and needed further support and guidance. The training was provided by the Texas Rising Star Mentors.  We had a total of 56 attendees. </t>
  </si>
  <si>
    <t xml:space="preserve">WSB provided the training as a means to assist with full implementation of the curriculum, share best practices, and support the child care staff with the use of the curriculum.  The attendees obtained four hours of professional development.  WSB is assisting the staff with meeting curriculum support and planning as required by Texas Rising Starcriteria.  </t>
  </si>
  <si>
    <t xml:space="preserve">WSB brought in Teaching Strategies curriculum trainers to provide exposure and training on how to implement the curriculum in a child care home provider environment. There were 10 home programs that attended the English session and 18 programs that attended the Spanish session; there was at total of 28 attendees.  </t>
  </si>
  <si>
    <t xml:space="preserve">WSB provided training for registered and group home programs to support with the implementation of a curriculum suited for a home environment that focused on developmental appropriate activities. The attendees obtained six hours of professional development.  WSB is assisting the staff with meeting curriculum support and planning as required by Texas Rising Star criteria.   </t>
  </si>
  <si>
    <t xml:space="preserve">WSB provided training for child care provider staff on several key points such as developmental mild stone, developmental red flags, inclusion in the classroom, and how to speak with parent on developmental concerns. The training was provided by ECI (Early Childhood Intervention) and titled All Together Now.  We had a total of 73 attendees. </t>
  </si>
  <si>
    <t xml:space="preserve">WSB provided training for child care staff as a means to support them with tools that can assist with early identification of potential delays in the child's development and provide activities that will assist the child's needs. In addition, the staff will be able to share resources to parents if needed.  WSB is assisting the staff with means to identify potential development delays and assist them to better complete the required Texas Rising Star developmental form that helps identify if the child is developing accordingly to their chronological age.  </t>
  </si>
  <si>
    <t xml:space="preserve">WSB provided 40 scholarships for teachers and directors to enroll in early education college credit courses through  our local community college (EPCC) for the Fall semester.  The attendees will be able to bring back to the classroom the skills they are obtaining in their courses.  The attendees will  also have training hours that will count toward towards meeting Child Care Regulation  and Texas Rising Star criteria.  </t>
  </si>
  <si>
    <t xml:space="preserve">This quarter WSB was able to support 40 child care program staff who are participating in the scholarship program. After successful completion of course the attendees will be potentially eligible for the course to count as 50 training hours towards the required hours under Child Care Regulations (CCR). The hours obtained will also count towards points for having staff with child development degrees and/or meet the required training hours during the Texas Rising Star assessment or annual review. </t>
  </si>
  <si>
    <t>WSB is in support of connecting with parents on what is quality child care, why it is important, and resources available in the community that support families.  The focus is to outreach and communicate resources to educate child care, early learning programs and parents. WSB emails our CCS parent monthly newsletters. A total of 11,172 newsletters were sent to parents (cumulative with three newsletters sent)</t>
  </si>
  <si>
    <t xml:space="preserve">WSB has implemented methods to track the outcomes through QR codes, google analytics, MailChimp.  WSB emails our CCS parent monthly newsletters and we have a average of 61% open rate.  Google analytics data indicates that persons are clicking on website and looking at parent services and resources.  </t>
  </si>
  <si>
    <t xml:space="preserve">WSB purchased educational equipment and materials to support child care providers with planning intentional spaces for activities that will help children grow and develop. One way we support and distribute these items is through the child care provider resource room.  It provides immediate and easy access to the materials and equipment. This quarter we had 79 child care programs receive educational equipment and materials through the use of the child care provider resource room.  </t>
  </si>
  <si>
    <t>WSB purchased the equipment and materials appropriate for the child care setting in order to assist programs in raising the quality of their learning environments. There were seventy-nine child care programs that utilized the child care program resource room.  Texas Rising Star mentors assisted the child care programs with identifying the items that would assist them with the environments and meet the Texas Rising Star criteria.  .</t>
  </si>
  <si>
    <t>WSB established a physical location that serves as an office space for 6 Texas Rising Star mentors and as a child care provider resource room where CCS providers can meet with the mentor for coaching, and have immediate access to educational and age appropriate equipment for their child care facility while assisting them in meeting the Texas Rising Star criteria.  144 child care programs have accessed/used this resource room.</t>
  </si>
  <si>
    <t xml:space="preserve">The Texas Rising Star mentors are able to use the child care program resource room as their touch down location, prepare their work and at the same time assist the child care programs when they utilize the facility.  Texas Rising Star mentors have worked with 144 child care programs this quarter and part of their support is assisting them with establishing well rounded and appropriate indoor and outdoor environments in their child care facilities.  </t>
  </si>
  <si>
    <t xml:space="preserve">TECPDS SME Personnel: WSB's has one fulltime Texas Early Childhood Professional Development System (TECPDS) validator that started in June and two support staff that are already recognized as a TECPDS SME records validators since January 2024. This quarter they validated 994 records. Validation may include verifying employment, work experience and training certificates. </t>
  </si>
  <si>
    <t>The primary TECPEDS validator along with TECPEDS validator support team were able to validate 994 records. Validation may include verifying employment, work experience and training certificates.  This type of validation support the trainings and training hours taken by the child care are valid to be counted towards their annual training requirement.</t>
  </si>
  <si>
    <t xml:space="preserve">Infant Toddler Specialist Personnel: WSB's two board staff will continue to attend trainings and required meetings as they continue to move forward becoming certified as our board area Infant-Toddler Specialist and perform the duties under this certification. The Infant Toddler Specialists have worked with 183 child care programs. </t>
  </si>
  <si>
    <t xml:space="preserve">The two board staff are participating in the Infant-Toddler Specialist training and are obtaining attain the required trainings. Infant-Toddler Specialist Network are able to provide support in areas while they are in the pathway to completion.  Note: The completion of the certification is estimated by December 2024 per the contractor hired to provide the certification training. </t>
  </si>
  <si>
    <t>Texas Rising Star Personnel: WSB supports contracted CCS programs and potential CCS contracted programs in meeting the new requirement of maintaining or becoming a Texas Rising Star program. WSB will need to have sufficient number of mentors to provide mentoring services to the 100 plus child care contracted programs not already in the Texas Rising Star program.</t>
  </si>
  <si>
    <t>WSB had 130 Texas Rising Star certified programs and 176 Non-Texas Rising Star programs starting this quarter. Our mentors continued to work with the Non-Texas Rising Star programs.  At the end of this quarter WSB total of Texas Rising Star certified programs is 157, 114 ready for assessment and 14 in the Texas Rising Star Pathway.</t>
  </si>
  <si>
    <t xml:space="preserve">Purchased developmentally appropriate curriculum "Celebrate Successful Early Learning" for Home Providers and Child Care Centers. Celebrates promote oral language development, early literacy skills, phonological awareness, and language vocabulary. The curriculum is suited for all ages from infants to pre-school.  We provided the supplemental curriculum to 135 child care programs that includes in-person and hands-on training.    </t>
  </si>
  <si>
    <t xml:space="preserve">WSB provided early literacy curriculum to 135 child care programs that are in the Texas Rising Star Pathway and Texas Rising Star certified.  The curriculum is a supplement to be used by both homes and center based programs.  The curriculum provides the core skills young children need to be Kindergarten Ready.  WSB is assisting the staff with meeting curriculum support and planning as required by Texas Rising Star criteria.   </t>
  </si>
  <si>
    <t xml:space="preserve">First Aid &amp; CPR training was provided to 124 participants from 24 early learning programs.
This support allows child care program's financial assistance in First Aid and CPR to allow funds usually spent on this to go back into the program as well as help prevent Child Care Regulation deficiencies </t>
  </si>
  <si>
    <t>The Board's goal is to support 90 early learning programs with CPR/First Aid Training. The Board has met 27% of this goal in Q4, serving 24 early learning programs.</t>
  </si>
  <si>
    <t xml:space="preserve">FBI Fingerprint costs were reimbursed to 21 early learning programs for 66 individuals.
This support allows child care program's financial assistance in FBI Fingerprinting to allow funds usually spent on this to go back into the program as well as help prevent CCR deficiencies. </t>
  </si>
  <si>
    <t>The Board's goal is to support 90 early learning programs with FBI fingerprints. The Board has met 23 % of this goal in Q4 assisting 21 early learning programs.</t>
  </si>
  <si>
    <t>Infant Toddler Specialist provided training expertise specific to 218 Infant and Toddler staff within 38 child care programs allowing for improvement in quality care.</t>
  </si>
  <si>
    <t>The Board's goal is to support 90 early learning programs.  The Board met 42%  of this goal in Q4.</t>
  </si>
  <si>
    <t>Infant / Toddler expansion materials for 1 early learning program, included 3 sinks for infant classroom and 4 sinks and 4 step stools for toddler classrooms to be in compliance with Child Care Regulations. This support provided 3 Infant and 2 Toddler slots to be opened up for Child Care Services scholarship children.</t>
  </si>
  <si>
    <t>To ensure that the early learning program will be in compliance with Child Care Regulations to open their Facility on time and serve more of the Child Care Services scholarship children.</t>
  </si>
  <si>
    <t>Provided back-office solutions to 19 early learning programs to allow for Director/Administrators to be out of the office more and into the classroom working with teachers.</t>
  </si>
  <si>
    <t>At the Heart Conference provided training on Classroom management to 362 individuals</t>
  </si>
  <si>
    <t>Decreasing the number of licensing deficiencies cited by Child Care Regulations specific to Responsibilities of Employees and Caregivers - Demonstrate Competency, Good Judgments-Control and Responsibilities of Caregivers - Supervision of children.</t>
  </si>
  <si>
    <t>14 early learning programs received $500 Lakeshore Kit grants for applying to become Texas Rising Star certified.</t>
  </si>
  <si>
    <t>Provide Lakeshore kits to every early learning program classroom after they submit their Texas Rising Star application.  The Board's goal is to distribute 404 kits.  The Board has distributed 14 kits to 6 early learning programs which met 4% of this goal in Q4.</t>
  </si>
  <si>
    <t>9 early learning programs received a $3,000 Outdoor Equipment grant for obtaining Texas Rising Star certification.</t>
  </si>
  <si>
    <t>Provide $3,000 to each early learning program that obtains their Texas Rising Star certification to increase their scores in category 4 of the Classroom Assessment Record Form.  The Board's goal is to support 90 centers.  The Board met 10% of this goal in Q4.</t>
  </si>
  <si>
    <t>Provided materials, equipment, and supplies for the outdoor playground to 1 early learning program who was affected by a tornado.</t>
  </si>
  <si>
    <t>To ensure the timely reopening of the early learning program's playground after the winds from a tornado had destroyed the entire playground by providing needed supplies to ensure compliance.</t>
  </si>
  <si>
    <t>9 early learning programs received tiered financial Recognition Incentives based on the number of Child Care Services scholarship children they have in their center.</t>
  </si>
  <si>
    <t>To increase the number of CCS scholarship children in all 90 child care services programs.</t>
  </si>
  <si>
    <t xml:space="preserve">Provided 1 early learning program with Frog Street materials that were identified as missing in their curriculum. </t>
  </si>
  <si>
    <t>To ensure the early learning program implements their Frog  Street curriculum with fidelity by having all materials to do so. It is the Board's goal to support 90 programs with FrogStreet curriculum, this provider represents 1% of these programs.</t>
  </si>
  <si>
    <t>No Activities to report for Q4</t>
  </si>
  <si>
    <t xml:space="preserve">LENA Grow-Completed 5-week sequence in 5 classrooms with in 4 child care programs (supporting 7 teachers and 41 children)                                                                                                                                                   </t>
  </si>
  <si>
    <t xml:space="preserve"> Increase in conversational turns. This will be measured that  by the Lena Grow impact report Texas Rising Star assessment tool category 2.</t>
  </si>
  <si>
    <t>CPR/First Aid Safety Training (board hosted with fees paid by participants) for 80 teachers</t>
  </si>
  <si>
    <t>Supporting compliance with Child Care Regulation requirements for health and safety. Decrease in number deficiencies cited by Child Care Regulation. Increase in number of Early Learning Programs qualifying for Entry Level Texas Rising Star participation.  Decrease in the number of Licensing deviancies cited by Child Care Regulation. Verified by quarterly Child Care Regulation screenings.</t>
  </si>
  <si>
    <t>Science, Technology, Engineering, and Math (STEM)  Mini- Conference for 52 Infant and Toddler Teachers (6 hours)</t>
  </si>
  <si>
    <t xml:space="preserve">Increase in knowledge and skills of participants. Pre and Post tests measured increase in knowledge gained. Mentors observed positive change in participants daily practice.  </t>
  </si>
  <si>
    <t>Virtual Training - Powerful Conversations in the Infant Toddler Classroom (2 hours) for 58 teachers</t>
  </si>
  <si>
    <t>Virtual Promoting Early Language Development Training (2 hours) for 25 teachers</t>
  </si>
  <si>
    <t>Virtual Supporting Early Cognitive Development Training (2 hours) for 20 teachers</t>
  </si>
  <si>
    <t>Virtual Supporting Early Social Emotional Development Training (2 hours) for 30 teachers</t>
  </si>
  <si>
    <t>Virtual Understanding and Using Developmental Assessments Training (2 hours) for 18 teachers</t>
  </si>
  <si>
    <t>8 new infant slots were created at 1 Texas Rising Star program - provided materials, equipment and resources</t>
  </si>
  <si>
    <t>Increase in the number of infant slots available among Texas Rising Star Programs.</t>
  </si>
  <si>
    <t>4 infant slots and 12 toddler slots were created in 2 Entry Level designated Start-Up Programs - provided materials, equipment and resources (16 total slots)</t>
  </si>
  <si>
    <t>Increase in the number of infant and toddler slots in Entry Level Designated programs.</t>
  </si>
  <si>
    <t xml:space="preserve">Virtual Community of Practice (CoP) for 33 Program Directors </t>
  </si>
  <si>
    <t>Provided funding to 10 home-based teachers to attend the Family Home Child Care Provider Conference (6 hours) (3rd Party Hosted)</t>
  </si>
  <si>
    <t>School Readiness and the Pre-K Guidelines Training (2 hours) provided to 39 teachers</t>
  </si>
  <si>
    <t>Texas Early Childhood Professional Development System (TECPDS) Training for Administrators (2 hours) was provided to 17 child care staff</t>
  </si>
  <si>
    <t>Minimum Standards Training provided by Child Care Regulation staff  (3 hours) to 37 child care staff</t>
  </si>
  <si>
    <t>Supporting compliance with Child Care Regulation requirements for health and safety. Decrease in number deficiencies cited by Child Care Regulation. Increase in number of Early Learning Programs qualifying for Entry Level Texas Rising Star participation.  Decrease in the number of Licensing deviancies cited by Child Care Regulation. Verified by quarterly CCR screenings.</t>
  </si>
  <si>
    <t xml:space="preserve">supported 12 teachers within the Registered Apprenticeship Program </t>
  </si>
  <si>
    <t>Increase in the number of early childhood educators attaining a Early Childhood Education Level 1 Certificate (15 college credit hours)  and CDA Certificate.</t>
  </si>
  <si>
    <t xml:space="preserve">Texas Rising Star Personnel: 8 Texas Rising Star staff - Manager, mentors, and Support Staff attended the Frog Street Splash Conference (12 hours) </t>
  </si>
  <si>
    <t>Attending Early Childhood Education conferences is important for staying updated with research, methods, polices, and networking with peers.</t>
  </si>
  <si>
    <t>Texas Rising Star Personnel: Staff salaries and benefits for 8 staff to provide technical assistance and mentoring to 106 early learning programs to support obtaining, maintaining, or increasing star level within Texas Rising Star.</t>
  </si>
  <si>
    <t>Increase in Texas Rising Star participation and/or certified star levels; increase in retention of Texas Rising Star certified programs.</t>
  </si>
  <si>
    <t>Texas Rising Star Personnel: Early Childhood Education Specialist Micro-Credential - 4 mentors participated, 1 mentor completed.</t>
  </si>
  <si>
    <t xml:space="preserve">Texas Rising Star mentors  continue to earned badges linked to specific, demonstrable skills. Competencies are developed to better serve and support early childhood teachers and administrators. </t>
  </si>
  <si>
    <t xml:space="preserve">A total of 2 programs received an ASQ-3 starter kit in order to begin utilizing ASQ in their programs.  </t>
  </si>
  <si>
    <t xml:space="preserve">14% (7) of the 50 program goal have received training as of the end of Quarter 4. While this did not meet our goal of 50 programs, we will look to continue this activity into FY2025, understanding the limitations of staff availability to conduct the training may cause us to modify the goal for next year. </t>
  </si>
  <si>
    <t xml:space="preserve">CPR, First Aid and AED Training was provided to early learning program staff. A total of 4 classes were conducted in the 4th Quarter, two in English and one in Spanish. 101 early learning staff participated and received their First Aid/CPR Certification during that time (these numbers were not counted toward live/in-person training on the quarterly data tab). </t>
  </si>
  <si>
    <t>Over 100% of the 250 participant goal has been met as of the end of FY24 with 419 total staff participating in a First Aid/CPR class over the fiscal year.</t>
  </si>
  <si>
    <t xml:space="preserve">Hearing and Vision Screenings: Capital Area offered hearing and vision screenings to Texas Rising Star programs in Travis County. Hearing and Vision Screenings provided support for the health and safety of the children at the program while minimizing administrative work for early learning programs. A total of 2 programs received Hearing and Vision Screenings in Quarter 4, with additional programs scheduled in the coming months. </t>
  </si>
  <si>
    <t xml:space="preserve">Currently, 2 programs have received Hearing and Vision Screenings. An additional 7 have submitted applications and are awaiting their scheduled visit. </t>
  </si>
  <si>
    <t>Two Infant/Toddler specific subcontracted trainings were held in 4th Quarter. These trainings were specifically for teachers working with Infants and Toddlers. 52 staff participated.</t>
  </si>
  <si>
    <t xml:space="preserve">Infant/Toddler Outdoor Enhancement Grant: Too often infants and toddlers are not considered when designing or planning an outdoor playground or learning space. This leads to minimal opportunities for infants and toddlers to have a safe, developmentally appropriate place outside to explore and learn. Capital Area purchased Infant and Toddler specific outdoor playground equipment for 41 programs in Quarter 4. </t>
  </si>
  <si>
    <t xml:space="preserve">We surveyed programs applying for the Infant/Toddler grant to determine the number of Infants and toddlers their program currently serves. Of the 41 programs that received infant/toddler playground grants, collectively the programs serve 618 infants and 1,158 toddlers, well exceeding our goal of 200 infants and toddlers being impacted by these resources. </t>
  </si>
  <si>
    <t>National Accreditation Fee Scholarships were provided to 6 programs currently Nationally Accredited or working toward National Accreditation in Quarter 4. All 6 programs reimbursed in Quarter 4 were currently nationally accredited.</t>
  </si>
  <si>
    <t xml:space="preserve">Of the 16 programs that were reimbursed for their annual National Accreditation fee, all 16 programs remain nationally accredited. The two programs that were reimbursed for their application fees are not yet accredited and are awaiting visits from the accrediting organization they applied to. </t>
  </si>
  <si>
    <t xml:space="preserve">Jeanette Watson Premium Pay Wage Supplements are awarded to professionals for length of services and who have a certification or higher education in early-childhood-related studies. Additional funding will also allow us to award to staff who do not have a degree. The program aims to augmenting low wages as well as decrease turnover, helping children maintain a stable relationship with a caregiver. A total of 379 early learning staff received a wage supplement. </t>
  </si>
  <si>
    <t xml:space="preserve">At the time the recipients picked up their checks, roughly 3 months after receiving their Jeanette Watson award letters, 368 out of 379 recipients stated that they were still employed in the early childhood field, which mean 97% of recipients are still employed in the field 3 months after being awarded. A second follow up survey will be sent 6 months from the time of the award (January) to continue to examine the retention rate of those who received the Jeanette Watson Wage Supplement. </t>
  </si>
  <si>
    <t xml:space="preserve">Four (4) Conscious Discipline Trainings were conducted in Quarter 4. Two, two-part Conscious Discipline teacher trainings (two in English, two in Spanish) focused on implementing Conscious Discipline in the classroom. A total of 74 directors and teachers participated. </t>
  </si>
  <si>
    <t xml:space="preserve">In Quarter 4, 100% of participants who completed the course stated that the class was either beneficial or extremely beneficial, bringing the total for FY24 to 91% of participants who completed the course stating the course was beneficial. This exceeds our goal of 80% of participants finding the course beneficial. </t>
  </si>
  <si>
    <t>Provided in house training to Texas Rising Star and Entry Level Designated programs using qualified Texas Rising Star staff with the goal of helping educators meet their annual training requirements. No quality funds were used for these trainings. A total of 581 early childhood staff received training hours in Quarter 4.</t>
  </si>
  <si>
    <t xml:space="preserve"> 94% (1,131) of the 1200 goal of unique individual directors and teachers has been met by the end of Fiscal Year 2024. In review of the attendance data, the primarily reason for this shortfall is the overwhelming number of individuals trained attend multiple trainings. </t>
  </si>
  <si>
    <t xml:space="preserve">11 scheduled subcontracted trainings were held in the 4th Quarter. All trainings are research-based to help child care programs meet their annual training requirement. A total of 387 early childhood staff participated and received training hours. </t>
  </si>
  <si>
    <t xml:space="preserve">Capital Area purchased registration for early learning staff to attend Conferences: 28 child care staff received Frog Street Splash Conference Registration. Registration was paid for in Quarter 3, however the Conference took place in July (Q4) therefor the numbers are being counted this month.  </t>
  </si>
  <si>
    <t xml:space="preserve">Participants were asked to rank how beneficial they thought the conference was on a scale of 1-5 (5 being incredibly beneficial) in a post Conference survey. Of those that responded, 78% reported a "5", with the remaining 22% reporting a "4". 100% reported they would attend the conferences again if given the chance. This meets our goal of at least 80% of participants finding the conference beneficial or incredibly beneficial. </t>
  </si>
  <si>
    <t xml:space="preserve">Frog Street Curriculum Director Implementation training was provided  to 11 directors in Quarter 4. Programs were invited to send administrations to the training to support them in the implementation of the Frog Street curriculum within their programs. </t>
  </si>
  <si>
    <t xml:space="preserve">36  early learning staff received ASQ-3 Training in Quarter 4. These 36 staff were included in the professional development numbers on the Quarterly Data tab. </t>
  </si>
  <si>
    <t xml:space="preserve">14% (7) of the 50 programs goal have received training as of the end of Quarter 4. While this did not meet our goal of 50 programs, we will look to continue this activity into FY2025, understanding the limitations of staff availability to conduct the training may cause us to modify the goal for next year. </t>
  </si>
  <si>
    <t xml:space="preserve">Director and Teacher Symposium. A multiple day, in-person Director and Teacher Symposium was conducted in collaboration on August 4th and 5th. This symposium included multiple training sessions and speakers promoting best practices for child care center directors, owners, and teachers ranging from program administration to infants and toddlers. A total of 672 directors and teachers participated in one or both days. </t>
  </si>
  <si>
    <t xml:space="preserve">Of the participants that completed the post Symposium survey, 95% indicated they were Satisfied or Very Satisfied with the symposium. 95% of participants also indicated they would attend the Symposium again in the future if offered. </t>
  </si>
  <si>
    <t>Workforce Solutions Capital Area has concluded their Spanish CDA Class in Quarter 4. 20 early childhood teachers were  recruited and attended 6 classes in Quarter 4. These 20 teachers were counted under "Scholarships" on the Quarterly Data tab in Quarter 3 and were not counted again in Quarter 4. (20 duplicated)</t>
  </si>
  <si>
    <t xml:space="preserve">All 20 CDA participants completed the course and received a training certificate for 120 training hours and are eligible to apply for their CDA. We are currently working with participants to cover the cost of the application, therefor the outcome of those receiving their CDA Certificate will not be known for a while yet. </t>
  </si>
  <si>
    <t xml:space="preserve">Capital Area continued partnering with PBS Kids to support early learning programs in the 4th Quarter by providing PBS Kids resources to support quality learning. In Quarter 4, 18 Early Learning teachers have received visits totaling 17 hours of coaching support from PBS Kids. These 18 teachers were counted in the Quarterly Data Tab under In-Person Training. </t>
  </si>
  <si>
    <t xml:space="preserve">End of year surveys will go out at the end of the month. Survey results will be shared in Quarter 1 of FY2025 Report. </t>
  </si>
  <si>
    <t xml:space="preserve">Frog Street Curriculum was purchased for a total of 13 programs in Quarter 4. Curriculum included Infant, Toddler, Threes and Pre-K and will be used to assist programs with maintaining and achieving Texas Rising Star Certification. </t>
  </si>
  <si>
    <t xml:space="preserve">A total of 11 Entry Level Designated programs have been certified Texas Rising Star in all of FY2024. Many more have submitted their Texas Rising Star  application and are awaiting an assessment window. The percentage of Texas Rising Star programs did not change from the beginning of FY2025 to the end of FY2025. The primarily reason for this lack of change is the slower processes by which programs are receiving initial Texas Rising Star Assessments as well as Capital Area having 11 more contracted program at the end of FY2024 than at the start. This played a role in keeping the percentage the same throughout FY2024. </t>
  </si>
  <si>
    <t>A total of 23 Texas Rising Star Banners were purchased for newly certified Texas Rising Star programs and those requesting replacements due to a previous banner being lost or damaged.</t>
  </si>
  <si>
    <t>At the beginning of FY24, a total of 2,444 CCS children in Capital Area were attending a Texas Rising Star certified program. We will look to see if that number increase by the end of FY24 in part based on the additional promotion of Texas Rising Star programs in Capital Area.</t>
  </si>
  <si>
    <t>Texas Rising Star Personnel: Maintain CLASS Assessment Certification for two Capital Area staff already certified to assist programs with measuring effective interactions. This will assist mentors with improving a programs scores in Category 2 which is weighted heavier under the Texas Rising Star Guidelines.</t>
  </si>
  <si>
    <t xml:space="preserve">Early Learning Resources: A total of 45 current Texas Rising Star Programs were purchased early learning resources in Quarter 4. These resources included playground equipment, furniture, shelving and toys and will help programs maintain Texas Rising Star Certification through supporting quality environments. </t>
  </si>
  <si>
    <t xml:space="preserve">As of the end of the 4th quarter, 6  programs have lost Texas Rising Star Certification in FY24 and are currently on Texas Rising Star Suspension or their CCS Contract has closed. These six programs represent  4% of the total number of Texas Rising Star Programs currently certified (153). This is meets our goal of losing no more than 5% of currently certified Texas Rising Star programs to Texas Rising Star Suspension Status. </t>
  </si>
  <si>
    <t>Texas Rising Star Implementation Grant: A total of 41 Entry Level Designated programs were purchased early learning resources in Quarter 4. These resources will help support their efforts to become Texas Rising Star certified.</t>
  </si>
  <si>
    <t xml:space="preserve">A total of 11 Entry Level Designated programs have been certified Texas Rising Star in all of FY2024. Many more have submitted their Texas Rising Star application and are awaiting an assessment window. The percentage of Texas Rising Star programs did not change from the beginning of FY2025 to the end of FY2025. The primarily reason for this lack of change is the slower processes by which programs are receiving initial Texas Rising Star  Assessments as well as Capital Area having 11 more contracted program at the end of FY2024 than at the start. This played a role in keeping the percentage the same throughout FY2024. </t>
  </si>
  <si>
    <t xml:space="preserve">A total of three (3) Parent Trainings were conducted in Quarter 4. Training topics ranged from communication to child development and behavior management. all three trainings were conducted in English. A total of 134 parents attended one of the three virtual trainings in Quarter 4. </t>
  </si>
  <si>
    <t xml:space="preserve">We achieved our goal of having at least 150 parents participate in a training by having a total of 255 parents participate in a parent training throughout FY2024. </t>
  </si>
  <si>
    <t>Texas Rising Star Personnel: Maintain CLASS Assessment Certification for 1 Texas Rising Star staff already certified to assist programs with measuring effective interactions. This will assist mentors with improving a programs scores in Category 2 which is weighted heavier under the Texas Rising Star Guidelines.</t>
  </si>
  <si>
    <t xml:space="preserve">Inclusion materials/resources were purchased for programs who have requested a consultation or training from our Workforce Solutions Capital Area Inclusion Specialist. These resources were selected by the Inclusion Specialist and Family Services team specifically for the program based on conversations and observations conducted. A total of 14 programs received Inclusion specific materials in Quarter 4. </t>
  </si>
  <si>
    <t xml:space="preserve">Out of 112 children designated as having a disability in TWIST, only 4 were expelled from their program based on a review of TWIST Case Notes. These numbers indicate only 4% of children with disabilities were expelled from their early learning program in FY2024. None of the 14 programs who received Inclusion Resources expelled a child, based on our review, meeting our goal. </t>
  </si>
  <si>
    <t>Texas Rising Star Personnel: Staff salary and expenditures. Workforce Solutions Capital Area maintained 10 Texas Rising Star mentors and an Industry Support Specialist in Quarter 4. Throughout Quarter Four (4), Texas Rising Star mentors provided in-person or virtual mentoring to an additional 31 unduplicated Early Learning Programs.</t>
  </si>
  <si>
    <t xml:space="preserve">The 357 total programs receiving Texas Rising Star mentoring throughout FY2024 represents 100% of our goal to provide Texas Rising Star mentoring to all 353 contracted early learning programs. The number of programs mentored is higher than total contracted programs due to new programs opening agreements with Capital Area throughout FY2024. </t>
  </si>
  <si>
    <t xml:space="preserve">CPR &amp; First Aid Certification: 64 individuals received in-person CPR &amp; First Aid training in Cedar Park, Marble Falls, San Marcos, and Round Rock combined. All sixty-four participants received certification. </t>
  </si>
  <si>
    <t xml:space="preserve">64 out of 64 individuals were certified in CPR &amp; First Aid. </t>
  </si>
  <si>
    <t xml:space="preserve">Infant Toddler Specialist Coaching Visits: 5 individuals within 2 early learning programs received 1:1 infant and toddler coaching. Teachers gained professional development supporting infant and toddler development. </t>
  </si>
  <si>
    <t xml:space="preserve">2 Early learning programs received 1:1 infant and toddler training. Measurable outcome TBD based on increased or sustained category two and four scores. </t>
  </si>
  <si>
    <t>40 individuals completed the Child Development Associate Credential (CDA) process and were submitted through TXAEYC T.E.A.C.H to the council for certification. 
65 individuals applied for the 2024 CDA cohort with fourteen beginning that process in San Marcos and thirty one beginning the process in Cedar Park. All individuals who were eligible and completed an application packet were able to join the cohort.</t>
  </si>
  <si>
    <t>40 of the 45 individuals in this activity completed their CDA. This is 88% of those who started and the Board's goal was to be at 80% completion rate.</t>
  </si>
  <si>
    <t xml:space="preserve">Conscious Discipline training was provided. The final Conscious Discipline cohort training was completed in San Marcos. The cohort had 24 individuals enrolled with 7 individuals completing all three sessions. </t>
  </si>
  <si>
    <t xml:space="preserve">
Post- assessment indicates 100% of the participants found the training helpful to their professional development with 100% indicating they felt extremely confident in their new skills.</t>
  </si>
  <si>
    <t xml:space="preserve">Director's Conversations: 221 early learning program staff participated in monthly Director Conversations, which is a Community of Practice. Participants improved their understanding of Challenging Behaviors (78), Business (31), and Building Community Connections (64). </t>
  </si>
  <si>
    <t xml:space="preserve">
TBD, Upon Assessment from CAE categories will be evaluated to see increased or maintained scores.</t>
  </si>
  <si>
    <t xml:space="preserve">Provided 6  Virtual Trainings, 9 In-Person Trainings, and a Child Care Symposium
310 individuals attended trainings hosted online earning 2 training hours per training. Participants gained knowledge on Positive Communication (20), Sensorial, Linguistic, and Emotional Scaffolding (12), Kids with Differences (22), Handling Challenging Behavior (25), What is Sensory Modulation (11), Communication and Conflict (15), Classroom Management(13), and Literacy for Infants (16).
176 individuals received Frog Street Training in Infant, Toddler, Threes, and Pre-K curriculum. Training was held virtually for Directors (27). Cedar Park (66), Round Rock (35), and San Marcos (48) each offered in-person/hands-on training.  
214 teachers and directors attended the Symposium held in conjunction with Capital Area Partners. Directors started their day with a keynote speaker then had their choice of 3 sessions from 12 different training topics specifically chosen for program directors. On day two, teachers started their day with a keynote speaker, then had their choice of 3 sessions from 30 various topics ranging from TECPDS to classroom management to avoiding burnout. A Spanish language track was also available. </t>
  </si>
  <si>
    <t xml:space="preserve">Post training survey showed the majority of individuals who participated in the Kids with Differences training left with a better understanding of children with differences and felt validated with approaches they were already using. 
Post training survey showed individuals who participated  in the Communication and Conflict training, left with a better understanding of strategies that can be used to mediate conflict and difficult conversations. 
Post training survey for Frog Street Training indicate the an overwhelming majority of participants felt the training was very helpful and left feeling extremely  comfortable with the curriculum after receiving training. Survey also indicated participants would like additional training in the future. 
Survey results for the Symposium indicate a positive experience for the majority of the participants. Survey also included needs assessment for future quality initiatives. </t>
  </si>
  <si>
    <t xml:space="preserve">Workforce Incentive: $215,500 was distributed amongst 62 early learning teachers based on required components. Four qualification tiers were established based on longevity at their current early learning program. All candidates had to have a current CDA, AA, BA/BS or higher degree to qualify. </t>
  </si>
  <si>
    <t>TBD. Awarded in September, six and twelve month follow up surveys will be done in March of 2025 &amp; September 2025 to determine workforce retention.</t>
  </si>
  <si>
    <t>Ages &amp; Stages Questionnaire (ASQ) Training for Providers: 0 additional early learning programs received training on Ages &amp; Stages questionnaire in Q4. 
However, 17 total early learning programs participated in the Ages &amp; Stages pilot program, empowering parents and teachers to understand individual child progress and providing individualized activities/exercises/interactions to help ensure development via in-person training sessions.</t>
  </si>
  <si>
    <t xml:space="preserve">0 Additional Early Learning Programs received training on Ages and Stages. No outcome to measure. </t>
  </si>
  <si>
    <t xml:space="preserve">Rural Capital partnered with Capital Area and PBS Kids to support early learning programs serving CCS families by providing PBS Kids resources to support quality learning. This was accomplished through workshops, training, coaching, technology support, and establishing Home-to-School Connections within partner programs. 10 participating early learning programs utilize PBS Kids within their daily curriculum and received an iPad and individual mentoring and training on how to utilize them in the classroom. Each classroom received a classroom set of books for cultivation in the class and at home. 38 teachers received 8 training hours. </t>
  </si>
  <si>
    <t xml:space="preserve">All 10 participating programs received an iPad and individual mentoring and training on how to utilize them in the classroom. Each classroom received a classroom set of books for cultivation in the class and at home. Each teacher received 7 TECPDS credits. </t>
  </si>
  <si>
    <t>Texas Rising Star Personnel: 14 Texas Rising Star Staff salaries, travel, benefits, etc. 
Staff provided continuous mentoring services in order to assist 221 early learning programs in obtaining or maintaining Texas Rising Star certification. Mentoring took place either virtually or in-person and in various formats: 1-on-1, Peer Learning Community, or Director's Conversation. 263 early learning programs received 1:1 mentoring services during Q4. 221 Early Learning Program representatives participated in Director Conversations. Staff supports 350 programs in the Board area.</t>
  </si>
  <si>
    <t>263 ELP's received 1:1 mentoring services during Q4. 221 Early Learning Program representatives participated in Director Conversations. Staff supports 331 programs in the Board area.</t>
  </si>
  <si>
    <t>Rural Capital has provided the Share Service Alliance opportunity to early learning programs in 4 of the 9 counties. There are 2 different service contractors covering 2 different areas. The service contractor has held 15 initial interest meetings in the last quarter. There are a total of 22 early learning programs that have joined the Shared Services Alliance. These early learning programs are receiving the opportunity to utilize professional training and development, business coaching and support, and compliance guidance.</t>
  </si>
  <si>
    <t xml:space="preserve"> A satisfaction survey is sent to the participants on a quarterly basis. Of the 8 programs that returned the survey, all 8 programs indicated a positive impact from the participation of the alliance. </t>
  </si>
  <si>
    <t xml:space="preserve">Rural Capital implemented a community event to families which provided information on the Texas Rising Star Program along with integrative table activities. This event served approximately 250 individuals. Community Nonprofits will assist in providing the activities for the families.
Parent Palooza 2024 was hosted at the Georgetown Recreation Center in partnership with 13 community partners who distributed all of their available resources, handouts and materials on subject matter including selecting safe child care, mental health, and parenting engagement. </t>
  </si>
  <si>
    <t xml:space="preserve">Parent Palooza 2024 was hosted at the Georgetown Recreation Center in partnership with 13 community partners.  The event hosted 250+ families, with all 13 partners distributing all of their available resources, handouts and materials on subject matter including selecting safe child care, mental health, and parenting engagement. </t>
  </si>
  <si>
    <t>Texas Rising Star Implementation Grant/Early Learning Resources: 205 early learning programs, ranging from Texas Rising Star Entry Level designated to Four-Star, received early learning resource kits from Lakeshore. Kits were carefully curated to assist programs in achieving or maintaining Texas Rising Star certification. Kits included: Real Items, non-stereotypical items, Infant and toddler indoors, infant and toddler outdoors, sensory kits, science kits, social-emotional kits and furniture kits.</t>
  </si>
  <si>
    <t xml:space="preserve"> TBD, Upon Assessment from CAE categories will be evaluated to see increased or maintained scores.</t>
  </si>
  <si>
    <t>Purchased 31 choke tester tubes for Child Care staff to use to ensure the safety of children related to small items in their classrooms.</t>
  </si>
  <si>
    <t>Purchasing these items for the centers will help to improve the safety and security of the center related to Category 4. The Board's has assisted 119 out of 100 provider goal.</t>
  </si>
  <si>
    <t>Purchased equipment and materials which included playground equipment, cribs, changing tables, infant/toddler books and other items for infant and toddler areas for 52 Child Care programs</t>
  </si>
  <si>
    <t>By purchasing items for the infant and toddler areas this will help to improve the Category 4 score for indoor/outdoor environment.  The Board has assisted 90 out of 30 early learning programs.</t>
  </si>
  <si>
    <t>Texas Association for the Education of Young Children 2024 Conference Registration fees were paid for 53 Child Care staff from 25 programs to attend the conference on October 9-11, 2024 in Frisco, TX</t>
  </si>
  <si>
    <t>Staff professional development training hours are a requirement of licensing as well as Texas Rising Star, Category 1. The Board's goal is to support 175 staff in attending conferences such as TXAEYC, BVAEYC and SPLASH throughout FY24; we have supported 93.7% of our target.</t>
  </si>
  <si>
    <t>1 scholarship was provided for Blinn College Child Development 2024 Summer Semester I tuition, fees and textbooks</t>
  </si>
  <si>
    <t>By providing staff professional development in the area of Child Development this will improve Category 1.  The Board's goal is to have 15 Early Learning Child Care staff enroll in Child Development Courses, we are at 66% of our target.</t>
  </si>
  <si>
    <t>Brazos Valley Early Learning Conference held on August 2-3, 2024 at the Texas A&amp;M Hotel and Conference Center was attended by 96 Child Care Staff and 34 Child Care Directors. The attending staff represented 31 programs.</t>
  </si>
  <si>
    <t>Staff professional development training hours are a requirement of licensing as well as Texas Rising Star, Category 1. The Board's goal is to support 175 staff and 30 directors to attend this local child care conference.  We have supported 54.85% of our staff target and exceeded our goal of directors attending by 4.</t>
  </si>
  <si>
    <t>Texas Rising Star Personnel: 1 Board staff scholarships was provided for Blinn College Child Development 2024 Summer Semester Intuition, fees and textbooks</t>
  </si>
  <si>
    <t>Board staff is continuing to work on completing her Associates Degree.  Board staff estimated completion of Associates Degree is Spring of 2027</t>
  </si>
  <si>
    <t>Texas Rising Star Personnel: 1 Board staff was provided a renewal fee for their Greater Houston Child Care Association Director Credential</t>
  </si>
  <si>
    <t>Board staff completed renewal process to keep director credential current</t>
  </si>
  <si>
    <t>Paid Registration for 2 Board staff  to attend Texas Association for the Education of Young Children on October 9-11, 2024 in Frisco, TX</t>
  </si>
  <si>
    <t>Board staff professional development training hours. The number of professional development hours to be determined after completion of the October Conference.</t>
  </si>
  <si>
    <t>Paid Registration for 2 Board staff  to attend Texas Workforce Annual Conference on December 4-6, 2024 at the Gaylord in Grapevine, TX</t>
  </si>
  <si>
    <t>Board staff professional development training hours. The number of professional development hours to be determined after completion of the December Conference.</t>
  </si>
  <si>
    <t>First Aid/CPR Training provided to 59 child care provider staff from various child care centers</t>
  </si>
  <si>
    <t>59 child care staff members received First Aid/CPR training as required by Child Care Regulation for this quarter (217 total for the year). This is 109% of the Board's goal to have 200 providers CPR/First Aid certified in FY24.</t>
  </si>
  <si>
    <t>Provide infants and toddlers classrooms with materials, equipment, and resources to assist 44 programs in meeting Texas Rising Star requirements including but not limited to, classroom furniture, developmentally appropriate learning materials, curriculum, outdoor equipment, gross motor equipment and resource books.</t>
  </si>
  <si>
    <t>Texas Rising Star centers/homes obtained a higher star level, retained their star level, or prepared to become Texas Rising Star. This is 93% of the Board's goal to supply approximately 80 child care centers/homes with equipment and materials in FY24. (some providers do not accept infants)</t>
  </si>
  <si>
    <t>Provide infant and toddler classrooms with multicultural items to assist 80 programs in meeting Texas Rising Star requirements.</t>
  </si>
  <si>
    <t>Texas Rising Star centers/homes obtained a higher star level, retained their star level, or prepared to become Texas Rising Star. This is 100% of the Board's goal to supply approximately 83 child care centers/homes with appropriate materials needed in an area that was lacking for a Texas Rising Star assessment.</t>
  </si>
  <si>
    <t>1 program received a $2,500 monetary incentive for achieving National Accreditation</t>
  </si>
  <si>
    <t>1 child care center received an incentive for achieving National Accreditation</t>
  </si>
  <si>
    <t>Provided funding for Board's annual Texas Rising Star Conference (speakers and event space)
Speakers presented on topics related to Texas Rising Star measures and observations made by mentors while in centers/homes
535 child care staff representing 62 child care centers &amp; 4 child care homes attended the Conference to obtain CCR required training hours on topics relevant to Texas Rising Star and their classroom. Training was a consecutive 8 hours</t>
  </si>
  <si>
    <t xml:space="preserve">535
</t>
  </si>
  <si>
    <t>535 child care staff attended the annual Texas Rising Star Conference to obtain CCR required training hours on topics relevant to Texas Rising Star and their classroom- Training was a consecutive 8 hours (62 child care centers &amp; 4 child care homes)</t>
  </si>
  <si>
    <t>40 Child Care provider staff attended the Frog Street Splash Conference. Board paid for hotel and registration fees.</t>
  </si>
  <si>
    <t>40 child care staff attended the Frog Street Splash Conference to obtain Child Care Regulation required training hours on topics relevant to Texas Rising Star and their classroom- (40 child care centers &amp; 2 child care homes)</t>
  </si>
  <si>
    <t>22 child care staff received an Educational Incentives ($1250) for obtaining their CDA</t>
  </si>
  <si>
    <t>22 Child Care staff received an incentive for obtaining their CDA and continuing employment at their current child care facility.  96% of the child care staff receiving their CDA continued employed</t>
  </si>
  <si>
    <t>7 child care staff received an Educational Incentives ($1,000) for obtaining their CDA</t>
  </si>
  <si>
    <t>7 Child Care staff received an incentive for obtaining their CDA, this is approximately 104% of the staff who have received a CDA thus far. (remaining $250.00 will be given upon continued employment verification)</t>
  </si>
  <si>
    <t>Texas Rising Star Personnel: Staff salaries and benefits for Texas Rising Star mentors who provide mentoring for centers/homes to become certified in Texas Rising Star and existing centers/homes who wish to maintain or increase their Texas Rising Star star level. (83 child care centers/homes at the beginning, 80 currently due to some closures)</t>
  </si>
  <si>
    <t>Actual YTD certified: 60%
Texas Rising Star Certified Centers-2023-2024: 100%
Goal has changed due to mandatory Texas Rising Star
(all others waiting on assessments)</t>
  </si>
  <si>
    <t>Provide materials, equipment, and resources to 80 child care programs to assist in meeting Texas Rising Star requirements including but not limited to classroom furniture, developmentally appropriate learning materials, curriculum, outdoor equipment, gross motor equipment and resource books</t>
  </si>
  <si>
    <t>Texas Rising Star centers/homes obtained a higher star level, retained their star level, or prepared to become Texas Rising Star. This is 100% of the Board's goal to supply approximately 80 child care centers/homes with equipment and materials in FY24.</t>
  </si>
  <si>
    <t>Educational materials or vendor gift cards were purchased for 62 child care centers and 4 homes in attendance at the annual Texas Rising Star Conference.</t>
  </si>
  <si>
    <t>62 child care centers/homes attended the annual Texas Rising Star Conference - each center/home in attendance received either educational materials or a gift card for attending</t>
  </si>
  <si>
    <t>Texas Rising Star Personnel: 4 Texas Rising Star staff attended the Frog Street Splash Conference. Board paid for hotel and registration fees</t>
  </si>
  <si>
    <t>4 Texas Rising Star staff attended the Frog Street Splash Conference to obtain Child Care Regulation required training hours on topics relevant to Texas Rising Star measures</t>
  </si>
  <si>
    <t xml:space="preserve">Southeast </t>
  </si>
  <si>
    <t>Texas Rising Star Orientation and Infant Toddler Guidelines Training was provided for 2 individual participants</t>
  </si>
  <si>
    <t>This activity served 4% of the Board's goal to support 50 participants in Texas Rising Star Orientation and Infant/Toddler Guideline strategies</t>
  </si>
  <si>
    <t>LENA Grow Certification training was provided to 14 participants</t>
  </si>
  <si>
    <t>This activity served 78% of the Board's goal to support 14 participants in receiving their LENA Grow certification.</t>
  </si>
  <si>
    <t xml:space="preserve">Classroom Management Strategies training was provided to 5 individual participants </t>
  </si>
  <si>
    <t>This activity served 10% of the Board's goal to support 50 participants in Classroom Management Strategies</t>
  </si>
  <si>
    <t>Positive Teacher Child Interactions training was provided to 46 individual participants</t>
  </si>
  <si>
    <t>This activity served 92% of the Board's goal to support 50 participants in implementing Positive Teacher Child Interactions</t>
  </si>
  <si>
    <t>Texas Early Childhood Professional Development System (TECPDS): Uploading Documents for Validation training was provided for 40 individual participants</t>
  </si>
  <si>
    <t>This activity served 40% of the Board's goal to support 100 participants in creating and utilizing Texas Early Childhood Professional Development System (TECPDS)</t>
  </si>
  <si>
    <t>Little Leaders Learning Lab Conference training was provided to 100 individual participants</t>
  </si>
  <si>
    <t>This activity served 83% of the Board's goal to support 120 participants in implementing STEAM strategies throughout the program</t>
  </si>
  <si>
    <t>Outdoor Enhancement Grant was provided to 23 certified programs. An equipment-based grant specifically designed to support our certified Texas Rising Star programs.</t>
  </si>
  <si>
    <t xml:space="preserve">Texas Rising Star category 4 increase in retention of Texas Rising Star certified programs. </t>
  </si>
  <si>
    <t>1 licensed home requested the Ages and Stages Questionnaire (ASQ) Screener and Materials Kits that were previously purchased in Q2.</t>
  </si>
  <si>
    <t>complete</t>
  </si>
  <si>
    <t>Measurable Outcome TBD in Y25.</t>
  </si>
  <si>
    <t>Training for 81 Infant &amp; Toddler teachers was offered by Rachel Parsonson on July 13th. The topic was "Creating Positive Social Emotional Connections for Infants and Toddlers". The cost of the training was $4,860.00</t>
  </si>
  <si>
    <t xml:space="preserve">Measurable Outcome will be an increase of scores in Texas Rising Star  Category 2/ Warm and Responsive. Mentors will monitor score as assessors do their debriefs.  </t>
  </si>
  <si>
    <t>A stipend was offered to 81 teachers that participated in the "Creating Positive Social Emotional Connections for Infants and Toddlers" training. $100 for full day and $50 for half day. We had a pay out of $8,000.00.</t>
  </si>
  <si>
    <t xml:space="preserve">Measurable Outcome was an increase in attendance. This was an increase of 72.34% from our last training in Q3.  </t>
  </si>
  <si>
    <t>Approved grant applications from 3 centers expanding infant and/or toddler slots and 2 adding enhancements to their classrooms, such as circle rugs, rockers, cribs,etc. The total paid out in Q4 was 20,800.00. Additional slots have not been created yet. Anticipated new slot openings for Q1 in FY2025.</t>
  </si>
  <si>
    <t xml:space="preserve">Measurable outcomes includes the increase of  .03%  enhancements to infants and toddler classrooms.  Two centers increased infant/toddler slots and one is still in the build out in Q4. </t>
  </si>
  <si>
    <t>A stipend was offered to 69 teachers that participated in the "Creating Positive Social Emotional Connections for 3's and Pre-K" training. $100 for full day and $50 for half day. We had 69 participants with a pay out of $8,000.00.</t>
  </si>
  <si>
    <t xml:space="preserve">Measurable Outcome was an increase in attendance. This was an increase of 46.81% from our last training in Q3.  </t>
  </si>
  <si>
    <t>Training for 69 preschool teachers was offered by Rachel Parsons on July 27th. The topic was "Creating Positive Social Emotional Connections for 3's and Pre-K". The cost of the training was $4,140.00</t>
  </si>
  <si>
    <t>Training was offered by Vickie Meartz for 15 directors that participate in the Peer Learning Community on August 9th to discuss needs assessment and planning for Y25. The training was 800.00.</t>
  </si>
  <si>
    <t>A stipend was offered to 15 directors that participated in the Peer Learning Community on August 9th. $100 for full day. We had  a pay out of $1,500.00.</t>
  </si>
  <si>
    <t xml:space="preserve">Training was offered by Vickie Meartz for 52 teachers on August 10th. The topic was Social Emotional Learning. </t>
  </si>
  <si>
    <t xml:space="preserve">Measurable Outcomes will be an increase in Texas Rising Star Category 2.  From the assessors, our area has scored lower in this category.  The mentors will monitor going forward the increase points in Category 2. The Board will look at the next Y25 Q1 to account for the growth. </t>
  </si>
  <si>
    <t>A stipend was offered to 52 teachers that participated in the Social Emotional Learning training on August 10th. $100 for full day and $50 for half day. We had a pay out of $5,0500.00.</t>
  </si>
  <si>
    <t xml:space="preserve">Measurable Outcome was an increase in attendance. This was an increase of 10.63% from our last training in Q3.  </t>
  </si>
  <si>
    <t>Peer Learning Community was held on August 22nd for 39 attendees. The mentors discussed the new Texas Rising Star Revisions and new Expectations.</t>
  </si>
  <si>
    <t xml:space="preserve">In-person training conducted by Frog Street trainers was offered on September 28th on Frog Street curriculum to 56 teachers to ensure that they are using the curriculum to its fullest extent.  The cost of the training was $3,999.00. </t>
  </si>
  <si>
    <t>Measurable outcomes for the use of Frog Street curriculum include an 10% increase in centers' Texas Rising Star scores in Category 3, P-PM-03 Mentors will monitor Centralized Assessor  assessments.</t>
  </si>
  <si>
    <t>A stipend was offered to 56 teachers that participated in the Frog Street Curriculum training. $100 for full day and $50 for half day. We had a pay out of $5,400.</t>
  </si>
  <si>
    <t xml:space="preserve">Measurable Outcome was an increase in attendance. This was an increase of 19 % from our last training in Q3.  </t>
  </si>
  <si>
    <t xml:space="preserve">Texas Rising Star Personnel: 2 Texas Rising Star mentors provided support to 60 centers to become Texas Rising Star certified. They are attending mentoring Peer Learning Communities online and submitting videos. We currently have 9 Texas Rising Star certified centers in the Golden Crescent. </t>
  </si>
  <si>
    <t xml:space="preserve">Measurable outcome include an increase of Texas Rising Star certified Centers. Although all centers are in Children's Learning Institute for assessment ready we currently have 4 -4star centers and 5 -3star centers. We are awaiting assessments for the others centers. </t>
  </si>
  <si>
    <t>Conducted child assessments at 18 Entry Level programs that participated in a fast track cohort or six month cohort that were identified as needing children's assessments</t>
  </si>
  <si>
    <t>Provided Infant curriculum for 25 Entry Level programs participating in a cohort</t>
  </si>
  <si>
    <t>Provided infant curriculum to 25 Entry Level programs participating in a fast track or six month cohort. This is 61% of the 60 Entry Level programs to receive curriculum in FY24</t>
  </si>
  <si>
    <t>Provided Toddler curriculum for 32 Entry Level programs participating in a cohort</t>
  </si>
  <si>
    <t>Provided toddler curriculum to 32 Entry Level programs participating in a fast track or six month cohort. This is 73% of the 60 Entry Level programs to receive curriculum in FY24</t>
  </si>
  <si>
    <t>Provided indoor kits to 39 Entry Level programs participating in cohort for infant classrooms</t>
  </si>
  <si>
    <t>Provided infant curriculum to 39 Entry Level programs participating in a fast track or six month cohort. This activity was for 70 infant classrooms. This is 100% of the 60 Entry Level programs to receive material in FY24</t>
  </si>
  <si>
    <t>Provided indoor kits to 41 Entry Level programs participating in cohort for toddler classrooms</t>
  </si>
  <si>
    <t>Provided toddler curriculum to 41 Entry Level programs participating in a fast track or six month cohort. This activity was for 85 toddler classrooms. This is 100% of the 60 Entry Level programs to receive curriculum in FY24</t>
  </si>
  <si>
    <t>Provided 2 programs with monetary grants to pay their NAEYC accreditation fees</t>
  </si>
  <si>
    <t xml:space="preserve">Provided a scholarship to child care program to renew their NAEYC accreditation fees, the program is a certified program and this assistance supports their certification and enhancing quality in their program. This is 3 out of the 5 programs to receive assistance in FY24. </t>
  </si>
  <si>
    <t>Provided monetary incentives to 505 child care programs to award approximately 5,575 child care staff wage supplement grants based on a matrix. Programs received incentives in the amount of $200-$4,800 based on the award matrix.</t>
  </si>
  <si>
    <t>The number of child care programs that awarded their staff an incentive. This is 505 programs out of the 340 programs and 5,575 staff out of the 2500 staff of the Board's goal to assist 340 programs and 2500 staff.</t>
  </si>
  <si>
    <t>Provided monetary incentives to 181 child care staff within 18 programs that recently received initial certification based on the star level received during the assessment. Each staff received the following wage supplement based on the star level achieved; Two-Star- $75, Three-Star- $150 and Four-Star- $300.</t>
  </si>
  <si>
    <t>Program staff received an incentive for achieving certification. This is 467 of the 2500 individuals to receive an incentive in FY24.</t>
  </si>
  <si>
    <t>Preschool specific training provided to 19 child care program staff on activities for preschoolers</t>
  </si>
  <si>
    <t>Professional development provided will increase the opportunities child care programs have to access training in their area and provide opportunities to meet child care regulations annual training requirements and Texas Rising Star certification training requirements This is 12 of the 550 centers to receive training in FY24.</t>
  </si>
  <si>
    <t xml:space="preserve">Training provided to 59 child care program staff on knowledge and reinforcement of health and safety regulations </t>
  </si>
  <si>
    <t>Professional development provided will increase the opportunities child care programs have to access training in their area and provide opportunities to meet child care regulations annual training requirements and Texas Rising Star certification training requirements This is 34 of the 550 centers to receive training in FY24.</t>
  </si>
  <si>
    <t>Training provided to 50 child care program staff on safety lessons throughout the year</t>
  </si>
  <si>
    <t>Professional development provided will increase the opportunities child care programs have to access training in their area and provide opportunities to meet child care regulations annual training requirements and Texas Rising Star certification training requirements. This is 9 of the 550 centers to receive training in FY24</t>
  </si>
  <si>
    <t>Training provided to 31 child care program staff on communication and conflict</t>
  </si>
  <si>
    <t>Professional development provided will increase the opportunities child care programs have to access training in their area and provide opportunities to meet child care regulations annual training requirements and Texas Rising Star certification training requirements. This is 21 of the 550 centers to receive training in FY24</t>
  </si>
  <si>
    <t>Training provided to 31 child care program staff on routines and relationships</t>
  </si>
  <si>
    <t>Professional development provided will increase the opportunities child care programs have to access training in their area and provide opportunities to meet child care regulations annual training requirements and Texas Rising Star certification training requirements. This is 20 of the 550 centers to receive training in FY24</t>
  </si>
  <si>
    <t>Training provided to 46 child care program staff on Individualized Education Program Basics</t>
  </si>
  <si>
    <t>Professional development provided will increase the opportunities child care programs have to access training in their area and provide opportunities to meet child care regulations annual training requirements and Texas Rising Star certification training requirements. This is 17 of the 550 centers to receive training in FY24</t>
  </si>
  <si>
    <t>Training provided to 45 child care program staff on understanding and supporting children with Autism Spectrum Disorder</t>
  </si>
  <si>
    <t>Training provided to 45 child care program staff on learning across all domains: outdoor learning</t>
  </si>
  <si>
    <t>Professional development provided will increase the opportunities child care programs have to access training in their area and provide opportunities to meet child care regulations annual training requirements and Texas Rising Star certification training requirements. This is 29 of the 550 centers to receive training in FY24</t>
  </si>
  <si>
    <t>Provided a conference for Directors with Leadership sessions; 175 directors attended from 84 child care programs</t>
  </si>
  <si>
    <t>Board hosted a conference for 175 Directors to receive professional development in the Leadership. This is 84 centers out of the 550 programs that the Board to receive training in FY24</t>
  </si>
  <si>
    <t>Provided scholarships to 4 child care program staff for CDA renewals</t>
  </si>
  <si>
    <t>The number of child care program staff attaining CDA. This is 93% of the Board's goal to assist 16 individuals with CDA renewals in FY24.</t>
  </si>
  <si>
    <t>Texas Rising Star Personnel: 15 mentors provided mentoring services to 595 early learning programs. This includes their salaries, benefits, and travel.</t>
  </si>
  <si>
    <t>mentoring supports for early learning programs 595 programs. 317 Entry Level and 278 Texas Rising Star</t>
  </si>
  <si>
    <t>Provided indoor kits to 45 Entry Level programs (supporting 81 classrooms) participating in cohort for preschool classrooms to support their journey to certification</t>
  </si>
  <si>
    <t xml:space="preserve">Provided indoor learning kits to 45 Entry Level programs participating in a fast track or six month cohort. This activity was for 81 preschool classrooms </t>
  </si>
  <si>
    <t>Provided indoor kits to 40 Entry Level programs (supporting 50 classrooms) participating in cohort for school age classrooms</t>
  </si>
  <si>
    <t xml:space="preserve">Provided indoor learning kits to 40 Entry Level programs participating in a fast track or six month cohort. This activity was for 50 school age classrooms This is 40 out of the 60 to receive out door kits. This is 100% of the Boards goal to assist 60 programs </t>
  </si>
  <si>
    <t>Provided Home curriculum for 3 Entry Level programs participating in a cohort</t>
  </si>
  <si>
    <t>Provided preschool curriculum to 3 Entry Level programs participating in a fast track or six month cohort. This is 15% of the 20 Entry Level programs to receive curriculum in FY24</t>
  </si>
  <si>
    <t>Provided Preschool curriculum for 35 Entry Level programs participating in a cohort</t>
  </si>
  <si>
    <t>Provided preschool curriculum to 35 Entry Level programs participating in a fast track or six month cohort. This is 58% of the 60 Entry Level programs to receive curriculum in FY24</t>
  </si>
  <si>
    <t>Provided outdoor kits to 53 Entry Level programs participating in cohort for early learning programs to support their journey to certification</t>
  </si>
  <si>
    <t xml:space="preserve">Provided outdoor learning kits to 53 Entry Level programs participating in a fast track or six month cohort. This is 53 out of the 60 to receive out door kits. This is 100% of the Boards goal to assist 60 programs </t>
  </si>
  <si>
    <t>Provided indoor and outdoor kits to 13 Entry Level programs participating in cohort for family home early learning programs</t>
  </si>
  <si>
    <t xml:space="preserve">Provided indoor and outdoor learning kits to 13 Entry Level programs participating in a fast track or six month cohort. This is 13 out of the 60 to receive out door kits. This is 100% of the Boards goal to assist 60 programs </t>
  </si>
  <si>
    <t>Provided indoor and outdoor kits to 34 Entry Level programs participating in cohort for school age only programs</t>
  </si>
  <si>
    <t xml:space="preserve">Provided indoor and outdoor learning kits to 34 Entry Level programs participating in a fast track or six month cohort. This is 34 out of the 60 to receive kits. This is 100% of the Boards goal to assist 60 programs </t>
  </si>
  <si>
    <t>Assisted in addressing the need to expand the infant and toddler area for 15 slots (6 infant, 9 toddler), by providing developmentally appropriate materials and equipment for 1 child care program  (Johnson's daycare &amp;Learning Center, CCR #1708558). Materials purchased are specific to infants and toddlers across four learning domains: Social/Emotional, Physical, Language/Literacy and Cognitive. This will assist in addressing the expansion or increased infant/toddler care throughout the community.</t>
  </si>
  <si>
    <t>Early Learning programs received materials and equipment that will enhance the classrooms in order to meet the expansion in the infant and toddler classroom. The Boards goal is to assist a total of 127 programs with equipment and materials.  A total of 1 program was assisted in Q4.</t>
  </si>
  <si>
    <t>Hosted the 6th Annual Child Care Conference held on 07/27/2024 for 275 participants.</t>
  </si>
  <si>
    <t>The Board's goal is to assist a total of 350 Participants with equipment and materials. 275 Early Childhood Practitioner will attain their required yearly training hours through the 6th Annual Child Care Conference witch was held on 07/27/2024. This meets 78% of the Boards goal to reach 350 participants with Professional Development in FY24.</t>
  </si>
  <si>
    <t xml:space="preserve">Curriculum Training was provided to enhance the quality care for the children that meet the needs of programs, identified throughout mentoring visits as well as monitoring assessment results to enhance the quality care. 258 early learning programs staff received Professional Development for Frog Street curriculum that will enhance the 5 Learning domains: Social/Emotional, Physical, Language and Literacy and cognitive. Instructional resources encourage discovery, exploration, experimentation, and problem solving. </t>
  </si>
  <si>
    <t>The Board's goal is to assist a total of 128 programs with equipment and materials to enhance a developmental appropriate classroom and to meet the Texas Rising Star Requirement. This meets 272% of the Boards goal to reach 47 programs with Professional Development in FY24.</t>
  </si>
  <si>
    <t>85 individuals were reimbursed for attending Food Handlers training. This training supports programs in meeting the basic health and safety requirements to meet the Child Care Regulation Licensing Standards.</t>
  </si>
  <si>
    <t xml:space="preserve">31 participants were reimbursed of training cost and will be in compliance with Child Care Regulation ongoing training requirements for the child care program staff. </t>
  </si>
  <si>
    <t>Texas Rising Star Personnel: Supplies in supporting Texas Rising Star mentors with staff development (Jacket Folders)</t>
  </si>
  <si>
    <t>Texas Rising Star Personnel: Binding Machine and supplies in supporting Texas Rising Star mentors with staff development 127 Early Learning Programs</t>
  </si>
  <si>
    <t>Provided curriculum that meet the needs of 20 early learning programs, identified throughout the mentoring visits, as well as monitoring assessment results to enhance the quality of care 
(ABC Discovery Learning Center, CCR#1507577, Academy of Young Scholars II LLC, CCR#1706601, Best Lil Schoolhouse 2, CCR# 878437, Best Lil Schoolhouse N Texas, CCR#865263, Carousel Learning Academy of Laredo LLC, CCR#1355009, Caterpillars to Butterflies Learning Center, CCR#1712259, Johnson's Daycare and Learning Center # 4, CCR#1760817, Kinderclub Learning Center LLC, CCR#1342446, Little Buddies Child Care Center, CCR#1627357, Little Feet &amp; Learning Day Care Center, CCR#871757, Little Hearts Child Development Center, CCR#1722162, Little Hunter’s Learning Center #2, CCR#1694501, Little People North, CCR#1390189, My Kids’ Academy, CCR#1718438, My Kids Learning Center, CCR#1569521, Da Vinci Kids Daycare and Learning Center, CCR#1763172, School of Wonder Inc., CCR#502090, Sproutlets Daycare and Leaning Center, CCR#1496700, Star Point Kids, CCR#1718478, Sunshine Academy LLC, CCR#1677149)</t>
  </si>
  <si>
    <t>Early learning programs received curriculum that will enhance across the 5 learning domains: Social/Emotional, Physical, Language and Literacy and Cognitive. Instructional resources encourage discovery, exploration, experimentation, and problem solving. The Board's goal is to assist a total of 128 programs with equipment and materials to enhance a developmental appropriate classroom and to meet the Texas Rising Star Requirement. A total of 20  programs were assisted in Q4.</t>
  </si>
  <si>
    <t>To enhance the quality of care for the children when they are outdoors, playing on the playground areas, equipment was provided to 1 child care program (Little Rainbow, CCR#831503). Equipment purchased was based on mentoring/needs assessment visit. Equipment was provided  so that all age groups can benefit from the shaded areas on the playgrounds. Early learning programs received materials and equipment that will create a more comfortable and pleasant environment, encouraging children to spend more times outdoors and to protect the children from the harmful effects of UV rays.</t>
  </si>
  <si>
    <t xml:space="preserve"> The Board's goal is to assist a total of 127 programs with equipment and materials. A total of 1 program was assisted in Q4</t>
  </si>
  <si>
    <t>To enhance the quality of care for all children in the classroom, educational materials/equipment were provided to 16 child care programs (Children's Fountain of Knowledge Learning Center, CCR#887470, Poka Dots Day Care, CCR#1503518, Little Star, CCR#1659054, Da Vinci Kids Daycare and Learning Center, CCR#1763172, Happy Beginnings Childcare/ Learning Center, CCR#1575887, Happy Days Day Care, CCR#1497315, Kingdom Kids Daycare LLC, CCR#1709686, Blooming Kids LLC, CCR#1549462, Once Upon a Time Learning Center, CCR#1679415, Little Hearts Child Development Center, CCR#1722162, Tiny Kids World, CCR#553157, Little People North, CCR#1390186, School of Wonder, CCR#502090, Best Lil Schoolhouse N Texas, CCR#865263, Naty's Learning Center &amp; Day Care, CCR#548781, Sunshine Academy, CCR#1571816). Materials purchased were based on mentoring visit/needs assessment. Educational materials/equipment will enhance the classroom in order to meet the children children's physical, cognitive, social/emotional and language and literacy domains.</t>
  </si>
  <si>
    <t>The Board's goal is to assist a total of 128 programs with equipment and materials to enhance a developmental appropriate classroom and to meet the Texas Rising Star Requirement. A total of 16 programs were assisted in Q4.</t>
  </si>
  <si>
    <t>Infant/Toddler Expansion Project.  WFSCB created 2 new infant classrooms and 1 new toddler classroom during the fourth quarter. Quality funding was used to purchase the materials, equipment and resources specific to infant and toddler development, including, but not limited to cribs, changing tables, chairs, high chairs, and curriculum for these classrooms. We created a combined total of 37 new slots (25 new infant slots and 12 new toddler slots) with 3 Programs</t>
  </si>
  <si>
    <t xml:space="preserve">WFSCB experienced adequate success in achieving this goal at 38% by creating 3 of our targeted goal of 8 new infant and toddler classrooms during BCY2024. WFSCB was 125% successful in creating the number of new infant slots for the combined classroom totals, but fell short at 30% in creating the number of new toddler slots in BCY2024.   WFSCB had a 61.7% success rate in creating 37 out of the 60 combined infant and toddler "new" slots.  The infant/toddler expansion project will remain as one of the Board's quality initiatives in BCY2025 because it increases capacity and allows WFSCB to serve more infant and toddler children in the Board's 11-county region.    </t>
  </si>
  <si>
    <t xml:space="preserve">Early Literacy Initiative for Infants.  WFSCB purchased/distributed 130 sets of "soft" cloth and "board" books in infant classrooms at 79 Texas Rising Star Entry Level designated child care centers and home providers during the fourth quarter. The titles of these books were "Pets", "Animals", "Numbers", "Shapes", "Vehicles", and "Baby's First Words". The books will be used by the infants during "tummy" time which will enable them to develop their sensory skills and "hand-eye" coordination. </t>
  </si>
  <si>
    <t xml:space="preserve">WFSCB achieved 48% of its goal to place sets of "soft" and "board" books in all (164 child care providers and home providers) of the infant classrooms/home providers.  We will survey these child care providers during the first quarter of BCY2025 to determine how the infants in these classrooms are progressing towards these developmental milestones.  While we feel that assisting infants in developing their sensory skills and "hand-eye" coordination are very important developmental milestones, WFSCB will not continue this initiative in BCY2025 due to less than 50% of the child care providers' responding to our survey for interest in this initiative. </t>
  </si>
  <si>
    <t xml:space="preserve">Early Literacy Initiative for Toddlers.  WFSCB purchased/distributed the CELEBRATE "Sing and Read" curriculum kits for 36 home providers during the fourth quarter. This curriculum will help toddler aged children with letter recognition and develop phonemic awareness skills, and introduce the concept of words (creating words with 2, 3, and 4 letters). This curriculum kit will establish the foundation that leads to children becoming "successful" readers. </t>
  </si>
  <si>
    <t xml:space="preserve">WFSCB achieved 72% of its goal of placing the CELEBRATE Sing and Read" curriculum kit in 50 of its home child care providers in BCY2024. We will survey these child care providers during the first quarter of BCY2025 to determine how the toddlers at these home child care providers are progressing with letter recognition and in their phonemic awareness skills.  The progress these children make with respect to these objectives will determine whether or not WFSCB will continue this initiative in BCY2025.  </t>
  </si>
  <si>
    <t>Staff Retention Bonuses (Wage Supplements). WFSCB understands and acknowledges that there is a shortage of child care workers in our 11-county Board area and assisted child center directors in retaining their staff by providing staff retention bonuses for all center staff (full-time, part-time, and support) who are currently working at the child care center and who have been employed at the child care center for a minimum of 6 consecutive months (as of January 2024). The rationale for providing the staff retention bonuses to the child care center employees is to "thank them" for having been employed at their current child care center for at least six months and encourage them to remain at their current places of employment for longer periods of time.  WFSCB gave 886 staff retention bonuses to child care employees at 131 licensed child care centers and homes during the fourth quarter.</t>
  </si>
  <si>
    <t xml:space="preserve">WFSCB gave staff retention bonuses to child care employees at 80% of its targeted goal of 164 licensed child care centers and homes during the fourth quarter of BCY2024.  We feel that the staff retention bonuses were successful and plan to offer them to the child care center again in BCY2025. </t>
  </si>
  <si>
    <t xml:space="preserve">The 10th Annual Directors Symposium was held on July 27, 2024. This event offers breakout sessions on a variety of early childhood education topics. 86 attendees (directors and assistant directors) received a certificate for 6 clock hours of professional development training. </t>
  </si>
  <si>
    <t xml:space="preserve">WFSCB was 100% successful in meeting this goal.  We exceeded our targeted goal of having 75 child care center directors and assistant directors attend this event.  This event continues to be a success.  WFSCB plans to host this event in BCY2025.  </t>
  </si>
  <si>
    <t xml:space="preserve">The 10th Annual "Back to School" Teachers Fair was held on August 17, 2024. This event offers breakout sessions on a variety of early childhood education topics.  335 attendees received a certificate for 6 clock hours of professional development training. </t>
  </si>
  <si>
    <t xml:space="preserve">WFSCB was 100% successful in meeting this goal.  We exceeded our targeted goal of having 325 child care center staff attend this event.  This event continues to be a success.  WFSCB plans to host this event in BCY2025.   </t>
  </si>
  <si>
    <t>Home Providers Symposium.  This event did not take place.</t>
  </si>
  <si>
    <t>WFSCB was not successful in meeting this goal.  We were not able to secure a venue for this event in a timely manner.  WFSCB feels that this type of event is beneficial for our home child care providers and plans to host this event in BCY2025.</t>
  </si>
  <si>
    <t>Texas Rising Star Personnel: Staff salaries and benefits for 9.0 FTEs for Texas Rising Star mentors.</t>
  </si>
  <si>
    <t>100% of the Board's Entry Level Designated (ELD) child care providers received mentoring services during the fourth quarter of BCY2024.  WFSCB has 64 Texas Rising Starcertified child care providers and 81 Entry Level Designated  child care providers who were granted an extension waiver and are classified as "assessment ready" as of 09-30-2024.</t>
  </si>
  <si>
    <t>Frogstreet Curriculum Kits. WFSCB placed Frogstreet age-appropriate curriculum kits in infant, toddler, three-year old, and Pre-Kindergarten classrooms at 33 Texas Rising Star Entry Level designated child care centers during the fourth quarter. WFSCB's expectation is/was that the child care staff in these classrooms would receive a minimum score of  "2" in the "warm responsive" category on the initial Texas Rising Star assessment. A score of "2" or higher would enable a child care provider to hopefully achieve a Texas Rising Star star level of "3" or "4" on the completed assessment. This would ensure that the child care staff are engaging with/providing quality responses and interactions to the children they are caring for.</t>
  </si>
  <si>
    <t>WFSCB achieved 55% of its goal of placing Frogstreet age-appropriate curriculum kits in the infant, toddler, three-year, and Pre-Kindergarten classrooms at its target of 60 Texas Rising Star Entry Level Designation child care centers during the BCY2024 contract year. (This outcome was revised to indicate that an extension waiver was requested and granted for our Texas Rising Star Entry Level Designation child care providers (who were required to be Texas Rising Star certified by 09-30-2024) due to circumstances that were outside of the providers control.)  WFSCB will continue to provide Frogstreet age-appropriate curriculum kits to our new Entry Level Designated child care providers during BCY2025.  We feel that this curriculum will assist these child care providers in attaining the higher (3 or 4 star status) on their initial Texas Rising Star assessment.</t>
  </si>
  <si>
    <t>Lakeshore Instructional Resources. WFSCB placed age-appropriate Lakeshore instructional resources in infant, toddler, three-year old, and Pre-Kindergarten classrooms at 33 Entry Level designated child care centers during the fourth quarter.  WFSCB's expectation is/was that the child care staff in these classrooms would receive a minimum score of  "2" in the "warm responsive" category on the initial Texas Rising Star assessment.  A score of "2" or higher would enable a child care provider to hopefully achieve a Texas Rising Star star level of "3" or "4" on the completed assessment. This would ensure that the child care staff are engaging with/providing quality responses and interactions to the children they are caring for.</t>
  </si>
  <si>
    <t>WFSCB achieved 55% of its goal of placing Lakeshore instructional resources in the infant, toddler, three-year old, and Pre-Kindergarten classrooms at its target of 60 Texas Rising Star Entry Level Designation child care centers during the BCY2024 contract year.  (This outcome was revised to indicate that an extension waiver was requested and granted for our Texas Rising Star Entry Level Designation child care providers (who were required to be Texas Rising Star certified by 09-30-2024) due to circumstances that were outside of the providers control.)  WFSCB will continue to provide Lakeshore instructional resources to our new Entry Level Designated child care providers during BCY2025.  We feel that these instructional resources will assist these child care providers in attaining the higher (3 or 4 star status) on their initial Texas Rising Star  assessment.</t>
  </si>
  <si>
    <t xml:space="preserve">08/10/2024 - 247 attendees participated in the Infant and Toddler Child Care Conference. Concurrent workshops were available in infant and toddler age groups. </t>
  </si>
  <si>
    <t xml:space="preserve">The Board exceed the goal by 5% of teachers that are continuing their education to attain a degree/certification in Early Childhood, Child Development, or related field. </t>
  </si>
  <si>
    <t>7 child care teachers received an educational incentive for the completion of the CDA program and receipt of the CDA Credential ($400). 
1 child care teacher received a 2nd incentive for remaining at the child care facility for one year from the inception of the CDA course ($600).
Total of 8 teachers received the incentive (7 at $400 and 1 at $600).</t>
  </si>
  <si>
    <t xml:space="preserve">The Board reached 6% of the 10% goal of teachers attaining their CDA certification. Out of 25 teachers, only 16 attained their CDA Certification. </t>
  </si>
  <si>
    <t xml:space="preserve">07/27/2024 - 100 child care professionals participated in 2 (3) hour sessions with presenter Laura Conley Minter. 1st session Character Development - I Can Build a Better World. In this training session teachers learned how Social Emotional Learning is a learned skill. Students learn how to be empathetic through modeling and lessons. 2nd Session was Establishing Routines and Boundaries that Work. In this training session teachers learned that establishing routines and consistency is the key. Teachers learned that having rules already in and allowing children to help developing and discussing these rules is a must. The presenter discussed about children learning responsibility, taking ownership and logical consequences. </t>
  </si>
  <si>
    <t>The Board exceed the goal by 22% of teachers that continued their education to attain a degree/certification in Early Childhood, Child Development, or related field.</t>
  </si>
  <si>
    <t xml:space="preserve">09/21/2024 - 109 child care professionals participated in 2 (3) hour sessions with presenter Chandler Rockward with Lakeshore. 1st session The Magic in Mathematics. In this training session teachers learned that with the Pre-K guidelines and school readiness, it becomes imperative that teachers understand how to introduce math throughout the day to build critical thinking skills and algebraic thinking. 2nd Session STEAM on through Literacy: Linking Literacy, Vocabulary, and the Project Approach. In this training session teachers learned that actively engaging, extending, and connecting children's learning to actions for Pre-K and School age children is vital to their school readiness and ongoing learning. In this session, teachers looked at literature and how it can lead itself to STEAM concepts. </t>
  </si>
  <si>
    <t xml:space="preserve">10/12/2024 - Virtual Session.  138 child care professionals participated in 2 (1.5) hour sessions with presenter Melissa Galavez with Texas Curriculum Writers. The sessions were conducted in Spanish. 1st session Communicate. In this session, child care providers learned the different ways children of different ages use to communicate. 2nd Session Let's Play and Learn. In this session, child care providers were informed about the different levels of developmental stages and the different factors that affect children's growth and health. </t>
  </si>
  <si>
    <t>11 child care teachers from Texas Rising Star programs were awarded an all-inclusive conference package that included roundtrip airfare, hotel and registration cost to attend the FrogStreet SPLASH 2024 Conference held in Grapevine, Texas on July 10-15, 2024. Teachers learned about the latest research and best practices in the early childhood field. They also participate in a wide range of networking opportunities.</t>
  </si>
  <si>
    <t xml:space="preserve">6 child care teachers from Texas Rising Star programs were awarded an all-inclusive conference package that included roundtrip airfare, hotel and registration cost to attend the NAEYC 2024 Annual Conference held in Anaheim, California on November 6-9, 2024. Teachers will learn about the latest research and best practices in the early childhood field. They also will be able to connect and collaborate in a wide range of networking opportunities. Part of the expenditures hit CCQ Funding from FY2024.  The remaining expenditures will hit CCQ Funding from FY2025. </t>
  </si>
  <si>
    <t xml:space="preserve">101 teachers and Directors received the FrogStreet Curriculum implementation training on the program components and how to implement the curriculum in the classroom for Infant/Toddler, Three Year Olds and Preschool. </t>
  </si>
  <si>
    <t xml:space="preserve">The Board exceeded the goal by 33% of the goal of 110 Texas Rising Star programs receiving a curriculum. We awarded a total of 133 curriculums and 101 teachers and directors completed the implementation training. </t>
  </si>
  <si>
    <t>Texas Rising Star Personnel: 13 Texas Rising Star mentor staff salaries and benefits.</t>
  </si>
  <si>
    <t>TECPDS SME Personnel: Texas Early Childhood Professional Development System (TECPDS) Subject Matter Expert (SME) provided specific TECPDS support to eight (8) child care programs such as providing on-site visits to assist programs to scan and enter certificates into TECPDS. In addition, the TECPDS SME also provided support by validating training, education and employment certificates/documents to 144 child care programs. 152 child care programs total.</t>
  </si>
  <si>
    <t>Validating certificates for 144 child care programs (approximately 106 directors and 205 teachers) and providing specific support to 8  child care programs (9 directors and 9 staff) helped child care programs with the Texas Rising Star Assessment Category 1 Director and Staff Qualification and Training measures.</t>
  </si>
  <si>
    <t xml:space="preserve">45 new and existing Texas Rising Star programs were provided FrogStreet Curriculum and the implementation training.  </t>
  </si>
  <si>
    <t xml:space="preserve">The Board exceeded the goal by 33% of the goal of 110 Texas Rising Star programs receiving a curriculum. We awarded a total of 133 curriculums. </t>
  </si>
  <si>
    <t>With the assistance of TWC's Pre-k partnership program, the San Benito CISD established a formal pre-k partnership with Four-Star programs</t>
  </si>
  <si>
    <t xml:space="preserve">Two Four-Star certified programs began the new school year as formal Pre-K partners with their local ISD. </t>
  </si>
  <si>
    <t>The Board's Texas Early Childhood Professional Development System (TECPDS) Subject Matter Expert (SME) conducted individual training sessions with programs that were scheduled for their initial assessment and assisted them in creating and updated the teachers' TECPDS account to comply with the new Texas Rising Star measure P-CQT-04. 67 individuals were trained.</t>
  </si>
  <si>
    <t>Programs report earning between 2 and 3 points during their assessments. Project is ongoing and outcome will be updated in a future report.</t>
  </si>
  <si>
    <t>The Board hosted its annual childcare conference September 20-21 at South Padre Island. The theme was "Creating a Path for Successful Learning" which summarized the Child Care Department's goal to nurture and guide the community's youngest members toward a bright and promising future. It also served as a way for the Board to assist with the maintained and improvement of overall scores for Category 1, S-DQT-04 and S-COTQ-03 and S-COTQ-07. Training included topics related to the director’s duties and responsibilities in program administration, management and supervision. Training also included age-appropriate topics for teachers such as: classroom environment, best practices, observation and assessment, child development, language development, risk management and sensory. A Spanish track include similar topics to meet the need of Spanish speaking learners. 174 administrators attended on Friday and 715 administrators and educators attended on Saturday (800 unduplicated educators attended both days)</t>
  </si>
  <si>
    <t>A total of 174 administrators attended on Friday and 715 administrators and educators attended on Saturday. Based on the survey feedback, teachers and administrator left with different approaches that have been incorporated in their classrooms. This is 89% pf the Board's goal to support 900 participants.</t>
  </si>
  <si>
    <t>Mentors hosted Peer Learning Community (PLCs) sessions for 90 child care staff that review two areas: the 2024 Texas Rising Star revisions and Category 2: Teacher-Child Interaction. These sessions discussed the revisions in Texas Rising Star, the new measures added in the FARF starting on October 1, 2024, and providing a better understanding of Category 2 through various role-playing exercises and activates.</t>
  </si>
  <si>
    <t>At least 31 of the 53 who attended the Peer Learning Community on revisions reported having a better understanding of the FARF, were able to identify 4 updates in the tool, and name at least 3 changes in the new screening forms.
34 teachers of the 37 teachers who attended the Peer Learning Communityon Category 2 have implemented the some of the activities in their daily routine and have made modifica tions in the classroom to help with measures P-LFS-01,02,08,09,10 and P-SCR-01,02.
Activity is ongoing and final outcome will be updated in a future report.</t>
  </si>
  <si>
    <t xml:space="preserve">Texas Rising Star Personnel: The Board funds 8 staff (6 mentors, 1 child care quality initiative coordinator, and 1 Texas Rising Star Program Support Specialist.. </t>
  </si>
  <si>
    <t>The board is fully staffed and has 6 full time mentors, 1 full time quality initiative coordinator, and 1 full time Program Support Specialist. The Program Support Specialist is also the Board's Texas Early Childhood Professional Development System (TECPDS) Subject Matter Expert. 1 Mentor serves as the Board's Infant and Toddler Primary Specialist. There are no current vacancies.</t>
  </si>
  <si>
    <t>Texas Rising Star Personnel: All mentors attended Frog Street Splash in Grapevine, July 11-13</t>
  </si>
  <si>
    <t>Increase improvement in Continuous Quality Improvement Plan development and diverse mentoring resources.</t>
  </si>
  <si>
    <t>Continued the Ages and Stages Questionnaire (ASQ) Assessment Pilot Project with three facilities/classes (1 center and 2 homes) - one home-based facility closed in July 2024 due to medical issues. Two participants remain. Participants underwent two training sessions and have conducted their initial assessments. The trainings were in conjuction with the kits given to the programs. Final assessment should be conducted by 10/31/24.</t>
  </si>
  <si>
    <t>From the Board Strategic Planning session, our Board understood the need for a review of school readiness and started with a small assessment project for BCY'24. 
This activity is considered successful with originally three participating facilities, now at two facilities though; project is pending completion at end of October 2024.</t>
  </si>
  <si>
    <t>Offered reimbursements to 7 Texas Rising Star centers for required CPR/First-Aid trainings for 23 staff.</t>
  </si>
  <si>
    <t>Twenty three CPR/First-Aid training certificates obtained by staff this quarter. The number of individuals trained exceeded the Board's target of 1-23 participants for the year.</t>
  </si>
  <si>
    <t>Conducted a general session titled Infant/Toddler Physical Health and Motor Development (Move It, Move It!) on 9/19/24.
34 attendees from 6 centers and 7 homes participated.</t>
  </si>
  <si>
    <t>Increased knowledge of 34 staff on various professional development topics related to child development., specifically infant and toddler physical health and motor development.
Participants in the professional development activity completed satisfaction evaluations at the conclusion of the event and reported that items learned could be taken back and used in the classroom.</t>
  </si>
  <si>
    <t>Supported a facility in our Board area that holds two national accreditations with a partial reimbursement of renewal fees for their Cognia and ACSI national accreditations.</t>
  </si>
  <si>
    <t>Assisted one facility with the cost of the national accreditation renewal fees for their Cognia and Association of Christian Schools International (ACSI) credentials. 100% of this Board's goal was completed as one facility did receive a reimbursement for this reason.</t>
  </si>
  <si>
    <t>Offered an incentive for educational attainment for Child Development Associate attainment - Occupational Skills Award (1 staff) and a Child Development Certificate (1 staff), from one facility. This same staff person attained both credentials and received incentives for both attainments.</t>
  </si>
  <si>
    <t>One staff member completed Child Development programming at various levels at a local community college and received an incentive on a tiered level, as a result. The Board has far exceeded the target of 2 participants receiving educational attainment incentives.</t>
  </si>
  <si>
    <t>Conducted a training session on Little Hearts, Big Feelings: Enhancing Social-Emotional Development in Early Learners on 8/6/24.
31 attendees from 10 centers and 4 homes participated.</t>
  </si>
  <si>
    <t>Increased knowledge of 31 staff on various professional development topics related to child development and the Texas Rising Star program.
Participants in the professional development activity completed satisfaction evaluations at the conclusion of the event and reported that items learned could be taken back and used in the classroom.</t>
  </si>
  <si>
    <t>Offered partial reimbursement to CCS and Texas Rising Star providers for local professional development activities, including:
     Splash Conference - 4 staff from 1 Texas Rising Star and 1 CCS facility
     Texas Licensed Child Care Association (TLCCA Conference)
           - 1 staff from 1 Texas Rising Star facility
     Region 10 Now4Forever Conference - 4 staff from 1 Texas Rising Star facility</t>
  </si>
  <si>
    <t xml:space="preserve">Increased  knowledge of nine staff by supporting their attendance through a partial reimbursement opportunity to various local professional development activities.
100% of the Board's goal to offer support for Conference reimbursement for various professional development activities occurred with 10 staff and 4 facility participants.
</t>
  </si>
  <si>
    <t>Provided Ages and Stages Questionaire (ASQ) Assessment training sessions for the two programs participating in the pilot. 2 staff were trained.</t>
  </si>
  <si>
    <t>Conducted a general training session titled Tool Time for Terrific Talkers on 7/23/24.
19 attendees from 5 centers and 2 homes participated.</t>
  </si>
  <si>
    <t>Increased knowledge of 19 staff on various professional development topics related to child development.
Participants in the professional development activity completed satisfaction evaluations at the conclusion of the event and reported that items learned could be taken back and used in the classroom.</t>
  </si>
  <si>
    <t>Conducted a 2nd training in a series of three on Financial Literacy virtually for owners and directors on 7/30/24, titled Mastering Business Financial Health: Strategies for Sustainable Success.
6 attendees from 2 centers and 2 homes participated.</t>
  </si>
  <si>
    <t>Conducted a 3rd training in a series of three on Financial Literacy virtually for owners and directors on 8/20/24, titled Child Care Marketing 101.
5 attendees from 2 centers and 2 homes participated.</t>
  </si>
  <si>
    <t>Increased knowledge of 5 owners and directors on various professional development topics related to financial literacy.
Participants in the professional development activity completed satisfaction evaluations at the conclusion of the event and reported that items learned could be taken back and used in the classroom.</t>
  </si>
  <si>
    <t>Conducted a Peer Learning Community (PLC) session for owners/directors titled Flame of Positivity: Igniting a Team of Solution Seekers on 7/9/24.
11 attendees from 6 centers participated.</t>
  </si>
  <si>
    <t>Increased knowledge of 11 owners and directors on various professional development topics related to child development, the Texas Rising Star program, or other administrative functions.
Participants in the professional development activity completed satisfaction evaluations at the conclusion of the event and reported that items learned could be taken back and used in the classroom.</t>
  </si>
  <si>
    <t>Conducted a Peer Learning Community (PLC) session for owners/directors titled Measure Up! on 8/24/24.
24 attendees from 14 centers and 3 homes participated.</t>
  </si>
  <si>
    <t>Increased knowledge of 24 owners and directors on the Texas Rising Star program and the measures within the assessments.
Participants in the professional development activity completed satisfaction evaluations at the conclusion of the event and reported that items learned could be taken back and used in the classroom.</t>
  </si>
  <si>
    <t>Reimbursed the cost of five staff Child Development Associate (CDA) Credential Application Fees to the Council on Professional Recognition for 5 Texas Rising Star centers.</t>
  </si>
  <si>
    <t>Increased  knowledge of five staff by supporting their application to obtain the CDA national credential.
100% of the Board's goal to offer support for the cost of the CDA national credential has been completed as over five facilities received this support.</t>
  </si>
  <si>
    <t>Sponsored 5 participants from four centers with Scholarships to support their pursuit of educational attainment in either one of the following programs: Child Development Associate - Occupational Skills Award, a Child Development Certificate, or a Child Development Administrators Certificate.</t>
  </si>
  <si>
    <t>Increased education and encouraged continued professional development  in child development courses to further assist with teacher knowledge and the intention to increase CCS capacity at quality facilities. Board has reached 100% of its goal of assisting 10 students. Goal of at least three completers has been accomplished.</t>
  </si>
  <si>
    <t>TECPDS SME Personnel: The Texas Early Childhood Professional Development System (TECPDS) Subject Matter Expert (SME) has been validating documents in TECPDS for childcare programs that were/are pending their initial assessment or recertification assessment for the Texas Rising Star program (5 centers reviewed, encompassing 20 staff).</t>
  </si>
  <si>
    <t>Reviewed staff documents loaded into TECPDS (to support the Texas Rising Star process) for education and professional development hours to ensure accuracy. Started process with those facilities pending an initial Texas Rising Star assessment (those now marked as Ready for Assessment). While this process will continue into next fiscal year, marked as Complete at this time for this fiscal year.</t>
  </si>
  <si>
    <t>Texas Rising Star Personnel: Contracted staff fees for mentors who work with current Texas Rising Star programs are being supported, along with Entry Level programs in the process of pursuing Texas Rising Star certification.
Amount noted here are all programs in our area that either are Texas Rising Star certified (25) or are pursuing certification (33). 
Zero facilities attained Texas Rising Star certification during this quarter.</t>
  </si>
  <si>
    <t>Followed Texas Rising Star Guidelines related to required activities for all Texas Rising Star Providers. While the mentoring process is ongoing as Entry Level-designated programs prepare for a Texas Rising Star assessment noting this as Completed for this fiscal year. 100% of this Board's goal was completed as those active current Texas Rising Star facilities are still participating in mentoring, along with more than an additional ten at are pursuing accreditation as noted on original annual expenditure plan.</t>
  </si>
  <si>
    <t>Ordered Texas Rising Star decals for windows/doors of Texas Rising Star certified facilities to note themselves as a Texas Rising Star (quality rated) facility to the general public.</t>
  </si>
  <si>
    <t>Giving these window/door decals has been an on-going process. Noted in this quarter as a re-order occurred only; however, no new Texas Rising Star facilities came in during this quarter, so no new decals were distributed during this timeframe.
Banners are also purchased for incoming Texas Rising Star facilities, if desired. Again, no new Texas Rising Star facilities came in this quarter.
The Board did not meet it's goal to bring in 20 new Texas Rising Star facilities in this fiscal year, as only 9 new facilities attained Texas Rising Star certification, at a 45% completion rate.</t>
  </si>
  <si>
    <t>Offered Child Care Quality Reimbursement Grants to all Licensed and Registered facilities in our service area and had 38 facilities (33 centers and 5 homes, including 17 Texas Rising Star certified programs) that were awarded grants, made qualifying purchases and received reimbursement for requested developmental resources and equipment.
1 facility was assisted with the cost of security cameras for their location.</t>
  </si>
  <si>
    <t>Assisted area centers and homes with adding to or supplementing their developmental resources and equipment needs with this reimbursement grant opportunity. 100% of this Board's goal was completed as over 20 facilities received a reimbursement grant award.</t>
  </si>
  <si>
    <t>Conducted 7 virtual trainings covering topics targeted to Infant and Toddler teachers. 310 people attended from 104 CCS programs. Topics included sessions from the Infant Toddler Specialist on SIDS/SBS/Brain Development</t>
  </si>
  <si>
    <t>To increase the total number of infant and toddler slots in Texas Rising Star certified programs in our area by 5% &amp; increase compliance with Child Care Regulation standards.</t>
  </si>
  <si>
    <t>The Infant Toddler Specialist conducted one in-person training for 5 staff from 2 child care programs.</t>
  </si>
  <si>
    <t>Reimbursed one NAEYC accredited program for their annual fees ($900); one who applied for candidacy ($950); and one who applied for self-study ($300) (not new programs). These 3 programs were already accounted for in a previous quarter, thus not counted in Q4.</t>
  </si>
  <si>
    <t>Outcomes will be measured by the continued or increased star level of Texas Rising Star programs; increase total number of accredited programs.</t>
  </si>
  <si>
    <t>Continued to provide consultation services to 5 programs who are seeking NAEYC accreditation and 2 programs who are seeking reaccreditation; not new programs. These programs were already accounted for in a previous quarter, thus not counted in Q4.</t>
  </si>
  <si>
    <t>Provided a wage supplement for director salaries at 4 local match partner programs ($5,000 each program)</t>
  </si>
  <si>
    <t>Co-sponsored with Central TX AEYC 5 in-person training sessions covering topics such as health &amp; safety; guidance; literacy; sensory play; and diversity. 45 attendees from 25 programs participated.</t>
  </si>
  <si>
    <t>Co-sponsored 2 in-person conferences with Central Texas AEYC. 91 attendees from 50 programs participated for one conference, 54 attended the second, for a total of 145 attendees</t>
  </si>
  <si>
    <t>A Texas Rising Star mentor conducted 2 virtual classroom management training sessions for 94 attendees from 22 entry level and Texas Rising Star certified programs.</t>
  </si>
  <si>
    <t>A two-part in-person, 15 hour Train the Trainer sessions were provided to Texas Rising Star mentors and administrators who needed this training for renewal hours or to submit applications for the Texas Trainer Registry. There were 23 attendees from 18 programs.</t>
  </si>
  <si>
    <t>Conducted 2 virtual Program Administrator meetings that gave participants opportunities to network, receive training, and receive updates from CCQ and CCS. 127 attendees from 108 programs participated.</t>
  </si>
  <si>
    <t>Conducted an in-person training session for 31 CCS program administrators from 14 programs on health, safety, &amp; crisis management. Attendees received an accompanying book.</t>
  </si>
  <si>
    <t>Decrease the number of deficiencies being cited by CCR in CCS programs and to help ensure the health and safety of children and families.</t>
  </si>
  <si>
    <t>Provided scholarships to Central Texas College for 2 employees from Texas Rising Star certified programs to take a child development class.</t>
  </si>
  <si>
    <t>Provided funding for one local match partner program for (2) substitute teachers.</t>
  </si>
  <si>
    <t>Texas Rising Star Personnel: Staff salaries and benefits for 1 coordinator; 1 support staff; 5 full time mentors; 2 mentors who are also the Infant Toddler Specialists</t>
  </si>
  <si>
    <t>Texas Rising Star Personnel: Paid for the renewal of NAEYC professional membership for 4 CCQ mentor staff ($69 each/$276)</t>
  </si>
  <si>
    <t>Purchased classroom materials for 39 attendees at the Family Child Care Conference and 106 attendees at the International Conference.</t>
  </si>
  <si>
    <t>Purchased Health and Safety books for 14 programs that attended the Health and Safety training (31 attendees from 14 CCS programs).</t>
  </si>
  <si>
    <t>Purchased equipment for 3 programs that received funding for design plans with Nature Explore (in Qtr. 3)</t>
  </si>
  <si>
    <t>Purchased unit blocks, shelves, and rugs for 9 Texas Rising Star certified and Entry Level programs who participated in the block training held in February and who completed follow-up assignments and surveys with their mentors.</t>
  </si>
  <si>
    <t>Provided funding for the purchase of classroom materials and equipment at 2 local match program partners. ($5,000 each program)</t>
  </si>
  <si>
    <t>CPR &amp; 1st Aid Training - the board reached 63.8% of the goal to serve the 180.</t>
  </si>
  <si>
    <t>Reimbursement for CDA renewal for 1 child care staff</t>
  </si>
  <si>
    <t>Reimbursement to Educator for renewing her CDA works at a 4 star program and needs it to meet the Texas Rising Star measures Changed to in Quarterly Data as scholarship.</t>
  </si>
  <si>
    <t xml:space="preserve"> New early learning program onboarding - provided FARF and onboarding trainings on CLI Engage for 20 individuals</t>
  </si>
  <si>
    <t>Provided CLI Engage &amp; Texas Early Childhood Professional Development System (TECPEDS) training on setting up accounts, and staff orientation for 15 new child care staff</t>
  </si>
  <si>
    <t>Caring for Children with Special Needs training was provided to 30 individuals</t>
  </si>
  <si>
    <t>Educators received ongoing training on inclusion for children with special needs</t>
  </si>
  <si>
    <t>Bringing Out the Creativity in Children was provided to 30 individuals</t>
  </si>
  <si>
    <t xml:space="preserve">Educators received ongoing training on bringing the indoor creativity outdoors. </t>
  </si>
  <si>
    <t xml:space="preserve">Texas Rising Star Personnel: 3 Staff includes Salaries, Travel, Benefits </t>
  </si>
  <si>
    <t xml:space="preserve">Classroom PreK Kit - classroom furniture was purchased for 12 programs to support them in enhancing their indoor environment. Programs lacked having additional shelves for at least 6 defined interest areas. Having the additional shelves has helped with classroom management. </t>
  </si>
  <si>
    <t>TBD and will update at a later date as more providers will be receiving classroom PreK kits if needed. The Board has completed 52 % of the goal to assist 27 programs with this activity.</t>
  </si>
  <si>
    <t>Mentors supported 116 teachers in 103 programs with completing the CLI Developmental Screenings Checklist in classrooms serving infants and toddlers.</t>
  </si>
  <si>
    <t>Teachers completed 382 of the 400 screenings this year. 116 teachers in 103 program completed infant and toddler developmental screenings this quarter.</t>
  </si>
  <si>
    <t>CCM Activity: In partnership with the Out2Learn Network, CASE for Kids worked with Youth Program Quality Intervention to evaluate quality in afterschool settings. 13 programs participated in the self-assessment activities.</t>
  </si>
  <si>
    <t>Survey results on the effectiveness of the project and impact on quality for these 13 programs showed a need for a deeper dive into Youth Methods workshops. Participants expressed the guidelines were straightforward and relevant to the programs already in session from previous years and the supplemental funds would be used to increase the quality of what was already in place for literacy, numeracy and social emotional learning.</t>
  </si>
  <si>
    <t>114 preschool teachers completed child assessments in their classrooms in 76 programs. This was Circle Progress Monitoring in classrooms serving preschoolers.  Support included implementation and next steps once screenings were complete (i.e. data driven instruction and communication with parents)</t>
  </si>
  <si>
    <t>Teachers completed 443 of the 500 Circle Progress Monitoring.  114 teachers in 76 programs completed progress monitoring this quarter.</t>
  </si>
  <si>
    <t>387 classrooms within 144 child care programs received infant and toddler specific materials to support learning.</t>
  </si>
  <si>
    <t>406 classrooms received learning materials this year. The goal of 200 classroom receiving materials was exceeded. An additional 387 infant and toddler classrooms received learning materials this quarter. A total of 144 programs received infant and toddler classroom materials.</t>
  </si>
  <si>
    <t>Provided face-to-face and live virtual training sessions to 383 teachers working with infants and toddlers.</t>
  </si>
  <si>
    <t xml:space="preserve">Annual goal was exceeded, 1096 individuals were trained. Of the 400 goal, an additional 383 individuals received training during Q4. 95% of  respondents reported skills gained from training sessions on post training surveys. </t>
  </si>
  <si>
    <t>Provided outreach to 656 families and provide consumer education materials and consultations about selecting high quality infant and toddler care.</t>
  </si>
  <si>
    <t>The goal of outreaching 500 families with infant and toddler consumer education was achieved. The additional 656 families reached this quarter totaled 966 families outreached  for the year.</t>
  </si>
  <si>
    <t>14 programs received reimbursement toward national accreditation fees</t>
  </si>
  <si>
    <t>29 programs that promote high-quality early learning experiences through national accreditation received reimbursement fees for FY24. 60% of goal to support 50 providers was met with the additional 14 programs added in Quarter 4.</t>
  </si>
  <si>
    <t>Provided wages incentives to 1,898 child care teachers working in 255 Texas Rising Star Three-Star and Four-Star programs.</t>
  </si>
  <si>
    <t>The goal to provide wage incentives to 1,800 teachers working in 255 Texas Rising Star Three-Star and Four-Star programs was met in quarter 4.</t>
  </si>
  <si>
    <t>Provided scholarships for CDA assessments/renewals and early childhood college courses to 136 practitioners in an effort to improve the number of teachers with CDA credentials and college course credits.</t>
  </si>
  <si>
    <t>353 practitioners received educational scholarships during the year. At the end of the year, 159 practitioners attained CDA credentials and renewals; and 57 practitioners completed college coursework; 136 scholarships were provided in quarter 4, but completions will not be available until FY25.</t>
  </si>
  <si>
    <t xml:space="preserve">Provided funding for early education conferences to 75 child care individuals. </t>
  </si>
  <si>
    <t xml:space="preserve">A total of 200 individuals received the option to receive professional development through attending conferences. The additional 75 conference scholarships added this quarter met the annual goal of 200. </t>
  </si>
  <si>
    <t>Provided educational stipends to 1,566 programs for achievement of milestones such as participation in Professional Learning Communities (PLC's), and CDA and college course completion.</t>
  </si>
  <si>
    <t>The goal of 850 was exceeded, as more practitioners enrolled in and attained incremental milestones for Child Development Associate (CDA) coursework. In quarter 4, an additional 1,566 individuals received milestone stipends.</t>
  </si>
  <si>
    <t>Provided face-to-face and live virtual training sessions to 1,148 individuals on Texas Rising Star specific content (categories).</t>
  </si>
  <si>
    <t>A total of 4,336 providers received training on Texas Rising Star topics for the year.  The goal was 2,500.  An additional 1,148 individuals received training this quarter. 90% of total respondents reported skills gained from training sessions on post training surveys.</t>
  </si>
  <si>
    <t xml:space="preserve">Provided face-to-face and live virtual training sessions to 214 participants who serve Children w/ Disabilities and/or challenging behaviors. </t>
  </si>
  <si>
    <t>944 individuals were trained for the year, above the goals of 200 individuals trained. A conference focused on challenging behaviors allowed an additional 214 individuals to received training this quarter.  85% of respondents report increased knowledge/skills gained to include children with disabilities and/or challenging behaviors in program activities.</t>
  </si>
  <si>
    <t xml:space="preserve">CCM Activity: Provided virtual (live) professional development, leadership seminars; and online webinars to 1046 professionals and community organizations providing support to elementary-aged children participating in afterschool and out of school time (OST) activities in the region. </t>
  </si>
  <si>
    <t xml:space="preserve">1046 individuals attended training this quarter with 90% of the participants who attended live sessions indicating that the trainings had meaningful application for their professional work. </t>
  </si>
  <si>
    <t>Provided monetary incentives to 8 programs for maintaining or increasing Texas Rising Star certification</t>
  </si>
  <si>
    <t>The annual goal to provide cash incentives to 550 was reached by providing an additional 8 incentives this quarter to Texas Rising Star programs. A total of 583 programs maintained their Texas Rising Star certification.</t>
  </si>
  <si>
    <t xml:space="preserve">75 classrooms within 36 programs who participate in TWC's children with disabilities program received classroom resources. </t>
  </si>
  <si>
    <t>The goal of providing classroom materials to 200 programs serving children with disabilities have been achieved. An additional 75 classrooms within 36 programs received classroom materials this quarter.</t>
  </si>
  <si>
    <t>Provided family engagement activities to 296 families in Texas Rising Star certified and Entry Level-designated programs</t>
  </si>
  <si>
    <t>1,733 families reached to support early learning was attained. The added 296 families reached in the 4th quarter resulted in us exceeding the goal of 1,050.</t>
  </si>
  <si>
    <t>Texas Rising Star Personnel: Salaries, travel and benefits for 49 mentor staff</t>
  </si>
  <si>
    <t>Mentors support provided to 1,855 Texas Rising Star and Entry Level-designated programs</t>
  </si>
  <si>
    <t>Provided classroom materials to 1084 Texas Rising Star certified and Entry Level programs.</t>
  </si>
  <si>
    <t>The annual goal to provide classroom materials to 1,000 programs was exceeded. A total of 1,762 programs received materials, with an additional 1,084 programs received classroom materials in quarter 4</t>
  </si>
  <si>
    <t>Provided consumer education resources and referrals to 4,128 families looking for child care options.</t>
  </si>
  <si>
    <t>The goal to outreach 31,000 families to Increased awareness of quality child care options provided by Texas Rising Star programs was met. With the added 4,128 families this quarter, the final number reached is 31,847 families.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</si>
</sst>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8" formatCode="&quot;$&quot;#,##0.00_);[Red]\(&quot;$&quot;#,##0.00\)"/>
    <numFmt numFmtId="44" formatCode="_(&quot;$&quot;* #,##0.00_);_(&quot;$&quot;* \(#,##0.00\);_(&quot;$&quot;* &quot;-&quot;??_);_(@_)"/>
    <numFmt numFmtId="164" formatCode="&quot;$&quot;#,##0"/>
    <numFmt numFmtId="165" formatCode="&quot;$&quot;#,##0.00"/>
  </numFmts>
  <fonts count="18" x14ac:knownFonts="1">
    <font>
      <sz val="11"/>
      <color theme="1"/>
      <name val="Calibri"/>
      <family val="2"/>
      <scheme val="minor"/>
    </font>
    <font>
      <sz val="11"/>
      <color theme="1"/>
      <name val="Calibri"/>
      <family val="2"/>
      <scheme val="minor"/>
    </font>
    <font>
      <b/>
      <sz val="11"/>
      <color theme="1"/>
      <name val="Calibri"/>
      <family val="2"/>
      <scheme val="minor"/>
    </font>
    <font>
      <b/>
      <sz val="14"/>
      <color theme="0"/>
      <name val="Calibri"/>
      <family val="2"/>
      <scheme val="minor"/>
    </font>
    <font>
      <b/>
      <sz val="12"/>
      <color theme="0"/>
      <name val="Calibri"/>
      <family val="2"/>
      <scheme val="minor"/>
    </font>
    <font>
      <b/>
      <sz val="12"/>
      <name val="Calibri"/>
      <family val="2"/>
      <scheme val="minor"/>
    </font>
    <font>
      <sz val="12"/>
      <color theme="1"/>
      <name val="Calibri"/>
      <family val="2"/>
      <scheme val="minor"/>
    </font>
    <font>
      <b/>
      <sz val="12"/>
      <color theme="1"/>
      <name val="Calibri"/>
      <family val="2"/>
      <scheme val="minor"/>
    </font>
    <font>
      <b/>
      <sz val="12"/>
      <color theme="4" tint="0.79998168889431442"/>
      <name val="Calibri"/>
      <family val="2"/>
      <scheme val="minor"/>
    </font>
    <font>
      <sz val="12"/>
      <name val="Calibri"/>
      <family val="2"/>
      <scheme val="minor"/>
    </font>
    <font>
      <i/>
      <sz val="12"/>
      <name val="Calibri"/>
      <family val="2"/>
      <scheme val="minor"/>
    </font>
    <font>
      <sz val="12"/>
      <color rgb="FF0070C0"/>
      <name val="Calibri"/>
      <family val="2"/>
      <scheme val="minor"/>
    </font>
    <font>
      <b/>
      <sz val="12"/>
      <color rgb="FFC00000"/>
      <name val="Calibri"/>
      <family val="2"/>
      <scheme val="minor"/>
    </font>
    <font>
      <b/>
      <sz val="12"/>
      <color rgb="FFFF0000"/>
      <name val="Calibri"/>
      <family val="2"/>
      <scheme val="minor"/>
    </font>
    <font>
      <b/>
      <strike/>
      <sz val="12"/>
      <color rgb="FFC00000"/>
      <name val="Calibri"/>
      <family val="2"/>
      <scheme val="minor"/>
    </font>
    <font>
      <sz val="8"/>
      <name val="Calibri"/>
      <family val="2"/>
      <scheme val="minor"/>
    </font>
    <font>
      <sz val="11"/>
      <color rgb="FF3F3F76"/>
      <name val="Calibri"/>
      <family val="2"/>
      <scheme val="minor"/>
    </font>
    <font>
      <sz val="12"/>
      <color theme="8" tint="0.79998168889431442"/>
      <name val="Calibri"/>
      <family val="2"/>
      <scheme val="minor"/>
    </font>
  </fonts>
  <fills count="22">
    <fill>
      <patternFill patternType="none"/>
    </fill>
    <fill>
      <patternFill patternType="gray125"/>
    </fill>
    <fill>
      <patternFill patternType="solid">
        <fgColor theme="4" tint="0.79998168889431442"/>
        <bgColor indexed="65"/>
      </patternFill>
    </fill>
    <fill>
      <patternFill patternType="solid">
        <fgColor theme="4" tint="0.59999389629810485"/>
        <bgColor indexed="65"/>
      </patternFill>
    </fill>
    <fill>
      <patternFill patternType="solid">
        <fgColor theme="4" tint="-0.499984740745262"/>
        <bgColor indexed="64"/>
      </patternFill>
    </fill>
    <fill>
      <patternFill patternType="solid">
        <fgColor theme="4" tint="0.79998168889431442"/>
        <bgColor indexed="64"/>
      </patternFill>
    </fill>
    <fill>
      <patternFill patternType="solid">
        <fgColor rgb="FF8BC5FF"/>
        <bgColor indexed="64"/>
      </patternFill>
    </fill>
    <fill>
      <patternFill patternType="solid">
        <fgColor rgb="FFF8CAAE"/>
        <bgColor indexed="64"/>
      </patternFill>
    </fill>
    <fill>
      <patternFill patternType="solid">
        <fgColor rgb="FFEEFFBD"/>
        <bgColor indexed="64"/>
      </patternFill>
    </fill>
    <fill>
      <patternFill patternType="solid">
        <fgColor rgb="FFEEDDFF"/>
        <bgColor indexed="64"/>
      </patternFill>
    </fill>
    <fill>
      <patternFill patternType="solid">
        <fgColor rgb="FFFFFF99"/>
        <bgColor indexed="64"/>
      </patternFill>
    </fill>
    <fill>
      <patternFill patternType="solid">
        <fgColor rgb="FFCCFFFF"/>
        <bgColor indexed="64"/>
      </patternFill>
    </fill>
    <fill>
      <patternFill patternType="solid">
        <fgColor rgb="FFFFCCFF"/>
        <bgColor indexed="64"/>
      </patternFill>
    </fill>
    <fill>
      <patternFill patternType="solid">
        <fgColor theme="9"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CC99"/>
      </patternFill>
    </fill>
    <fill>
      <patternFill patternType="solid">
        <fgColor theme="9" tint="0.79998168889431442"/>
        <bgColor theme="6" tint="0.79998168889431442"/>
      </patternFill>
    </fill>
  </fills>
  <borders count="32">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style="thin">
        <color theme="6" tint="0.39997558519241921"/>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theme="6" tint="0.39997558519241921"/>
      </bottom>
      <diagonal/>
    </border>
  </borders>
  <cellStyleXfs count="7">
    <xf numFmtId="0" fontId="0" fillId="0" borderId="0"/>
    <xf numFmtId="44" fontId="1" fillId="0" borderId="0" applyFont="0" applyFill="0" applyBorder="0" applyAlignment="0" applyProtection="0"/>
    <xf numFmtId="9" fontId="1" fillId="0" borderId="0" applyFont="0" applyFill="0" applyBorder="0" applyAlignment="0" applyProtection="0"/>
    <xf numFmtId="0" fontId="1" fillId="2" borderId="0" applyNumberFormat="0" applyBorder="0" applyAlignment="0" applyProtection="0"/>
    <xf numFmtId="0" fontId="1" fillId="3" borderId="0" applyNumberFormat="0" applyBorder="0" applyAlignment="0" applyProtection="0"/>
    <xf numFmtId="0" fontId="3" fillId="4" borderId="0">
      <alignment horizontal="left" vertical="center"/>
      <protection locked="0"/>
    </xf>
    <xf numFmtId="0" fontId="16" fillId="20" borderId="30" applyNumberFormat="0" applyAlignment="0" applyProtection="0"/>
  </cellStyleXfs>
  <cellXfs count="250">
    <xf numFmtId="0" fontId="0" fillId="0" borderId="0" xfId="0"/>
    <xf numFmtId="0" fontId="2" fillId="0" borderId="0" xfId="0" applyFont="1"/>
    <xf numFmtId="0" fontId="2" fillId="0" borderId="0" xfId="0" applyFont="1" applyAlignment="1">
      <alignment horizontal="center" vertical="top" wrapText="1"/>
    </xf>
    <xf numFmtId="0" fontId="5" fillId="5" borderId="3" xfId="5" applyFont="1" applyFill="1" applyBorder="1">
      <alignment horizontal="left" vertical="center"/>
      <protection locked="0"/>
    </xf>
    <xf numFmtId="0" fontId="6" fillId="14" borderId="0" xfId="0" applyFont="1" applyFill="1"/>
    <xf numFmtId="0" fontId="7" fillId="0" borderId="0" xfId="0" applyFont="1" applyFill="1" applyAlignment="1">
      <alignment horizontal="center" vertical="center" wrapText="1"/>
    </xf>
    <xf numFmtId="0" fontId="9" fillId="0" borderId="4" xfId="4" applyFont="1" applyFill="1" applyBorder="1"/>
    <xf numFmtId="9" fontId="6" fillId="0" borderId="4" xfId="2" applyFont="1" applyFill="1" applyBorder="1"/>
    <xf numFmtId="9" fontId="6" fillId="0" borderId="5" xfId="2" applyFont="1" applyFill="1" applyBorder="1"/>
    <xf numFmtId="0" fontId="6" fillId="0" borderId="0" xfId="0" applyFont="1"/>
    <xf numFmtId="0" fontId="9" fillId="0" borderId="5" xfId="4" applyFont="1" applyFill="1" applyBorder="1"/>
    <xf numFmtId="0" fontId="7" fillId="0" borderId="0" xfId="0" applyFont="1"/>
    <xf numFmtId="9" fontId="6" fillId="0" borderId="0" xfId="0" applyNumberFormat="1" applyFont="1"/>
    <xf numFmtId="0" fontId="0" fillId="0" borderId="0" xfId="0" applyAlignment="1">
      <alignment horizontal="center"/>
    </xf>
    <xf numFmtId="0" fontId="9" fillId="13" borderId="5" xfId="0" applyFont="1" applyFill="1" applyBorder="1" applyAlignment="1">
      <alignment horizontal="center" vertical="center"/>
    </xf>
    <xf numFmtId="0" fontId="9" fillId="13" borderId="5" xfId="0" applyFont="1" applyFill="1" applyBorder="1" applyAlignment="1">
      <alignment vertical="center"/>
    </xf>
    <xf numFmtId="0" fontId="6" fillId="13" borderId="5" xfId="0" applyFont="1" applyFill="1" applyBorder="1" applyAlignment="1" applyProtection="1">
      <alignment horizontal="left" vertical="center" wrapText="1"/>
      <protection locked="0"/>
    </xf>
    <xf numFmtId="0" fontId="6" fillId="13" borderId="5" xfId="0" applyFont="1" applyFill="1" applyBorder="1" applyAlignment="1" applyProtection="1">
      <alignment horizontal="center" vertical="center" wrapText="1"/>
      <protection locked="0"/>
    </xf>
    <xf numFmtId="0" fontId="6" fillId="13" borderId="5" xfId="0" applyFont="1" applyFill="1" applyBorder="1" applyAlignment="1" applyProtection="1">
      <alignment horizontal="center" vertical="center"/>
      <protection locked="0"/>
    </xf>
    <xf numFmtId="0" fontId="9" fillId="13" borderId="5" xfId="0" applyFont="1" applyFill="1" applyBorder="1" applyAlignment="1">
      <alignment vertical="center" wrapText="1"/>
    </xf>
    <xf numFmtId="0" fontId="9" fillId="13" borderId="5" xfId="0" applyFont="1" applyFill="1" applyBorder="1" applyAlignment="1">
      <alignment horizontal="center" vertical="center" wrapText="1"/>
    </xf>
    <xf numFmtId="0" fontId="9" fillId="13" borderId="5" xfId="0" applyFont="1" applyFill="1" applyBorder="1" applyAlignment="1" applyProtection="1">
      <alignment vertical="center" wrapText="1"/>
      <protection locked="0"/>
    </xf>
    <xf numFmtId="0" fontId="9" fillId="13" borderId="5" xfId="0" applyFont="1" applyFill="1" applyBorder="1" applyAlignment="1" applyProtection="1">
      <alignment horizontal="left" vertical="center" wrapText="1"/>
      <protection locked="0"/>
    </xf>
    <xf numFmtId="0" fontId="9" fillId="13" borderId="5" xfId="0" applyFont="1" applyFill="1" applyBorder="1" applyAlignment="1" applyProtection="1">
      <alignment horizontal="center" vertical="center"/>
      <protection locked="0"/>
    </xf>
    <xf numFmtId="0" fontId="9" fillId="13" borderId="5" xfId="0" applyFont="1" applyFill="1" applyBorder="1" applyAlignment="1" applyProtection="1">
      <alignment horizontal="center" vertical="center" wrapText="1"/>
      <protection locked="0"/>
    </xf>
    <xf numFmtId="0" fontId="6" fillId="13" borderId="5" xfId="0" applyFont="1" applyFill="1" applyBorder="1" applyAlignment="1">
      <alignment vertical="center" wrapText="1"/>
    </xf>
    <xf numFmtId="0" fontId="6" fillId="13" borderId="5" xfId="0" applyFont="1" applyFill="1" applyBorder="1" applyAlignment="1">
      <alignment horizontal="center" vertical="center" wrapText="1"/>
    </xf>
    <xf numFmtId="0" fontId="0" fillId="0" borderId="0" xfId="0" applyAlignment="1">
      <alignment horizontal="left"/>
    </xf>
    <xf numFmtId="44" fontId="6" fillId="0" borderId="5" xfId="1" applyFont="1" applyFill="1" applyBorder="1"/>
    <xf numFmtId="0" fontId="5" fillId="16" borderId="5" xfId="0" applyFont="1" applyFill="1" applyBorder="1" applyAlignment="1">
      <alignment horizontal="center" vertical="center" wrapText="1"/>
    </xf>
    <xf numFmtId="0" fontId="5" fillId="16" borderId="5" xfId="0" applyFont="1" applyFill="1" applyBorder="1" applyAlignment="1">
      <alignment horizontal="center" vertical="center"/>
    </xf>
    <xf numFmtId="0" fontId="5" fillId="16" borderId="7" xfId="0" applyFont="1" applyFill="1" applyBorder="1" applyAlignment="1">
      <alignment horizontal="center" vertical="center" wrapText="1"/>
    </xf>
    <xf numFmtId="0" fontId="9" fillId="15" borderId="5" xfId="0" applyFont="1" applyFill="1" applyBorder="1" applyAlignment="1">
      <alignment horizontal="center" vertical="center"/>
    </xf>
    <xf numFmtId="0" fontId="9" fillId="15" borderId="5" xfId="0" applyFont="1" applyFill="1" applyBorder="1" applyAlignment="1">
      <alignment vertical="center"/>
    </xf>
    <xf numFmtId="0" fontId="9" fillId="15" borderId="5" xfId="0" applyFont="1" applyFill="1" applyBorder="1" applyAlignment="1" applyProtection="1">
      <alignment horizontal="left" vertical="center"/>
      <protection locked="0"/>
    </xf>
    <xf numFmtId="0" fontId="9" fillId="15" borderId="5" xfId="0" applyFont="1" applyFill="1" applyBorder="1" applyAlignment="1" applyProtection="1">
      <alignment vertical="center" wrapText="1"/>
      <protection locked="0"/>
    </xf>
    <xf numFmtId="0" fontId="9" fillId="15" borderId="5" xfId="0" applyFont="1" applyFill="1" applyBorder="1" applyAlignment="1" applyProtection="1">
      <alignment horizontal="center" vertical="center" wrapText="1"/>
      <protection locked="0"/>
    </xf>
    <xf numFmtId="0" fontId="9" fillId="15" borderId="5" xfId="0" applyFont="1" applyFill="1" applyBorder="1" applyAlignment="1" applyProtection="1">
      <alignment horizontal="left" vertical="center" wrapText="1"/>
      <protection locked="0"/>
    </xf>
    <xf numFmtId="0" fontId="9" fillId="15" borderId="5" xfId="0" applyFont="1" applyFill="1" applyBorder="1" applyAlignment="1">
      <alignment vertical="center" wrapText="1"/>
    </xf>
    <xf numFmtId="0" fontId="6" fillId="15" borderId="5" xfId="0" applyFont="1" applyFill="1" applyBorder="1" applyAlignment="1" applyProtection="1">
      <alignment horizontal="left" vertical="center"/>
      <protection locked="0"/>
    </xf>
    <xf numFmtId="0" fontId="6" fillId="15" borderId="5" xfId="0" applyFont="1" applyFill="1" applyBorder="1" applyAlignment="1" applyProtection="1">
      <alignment horizontal="center" vertical="center" wrapText="1"/>
      <protection locked="0"/>
    </xf>
    <xf numFmtId="0" fontId="6" fillId="15" borderId="5" xfId="0" applyFont="1" applyFill="1" applyBorder="1" applyAlignment="1" applyProtection="1">
      <alignment horizontal="left" vertical="center" wrapText="1"/>
      <protection locked="0"/>
    </xf>
    <xf numFmtId="0" fontId="9" fillId="15" borderId="5" xfId="0" applyFont="1" applyFill="1" applyBorder="1" applyAlignment="1">
      <alignment horizontal="center" vertical="center" wrapText="1"/>
    </xf>
    <xf numFmtId="0" fontId="6" fillId="15" borderId="5" xfId="0" applyFont="1" applyFill="1" applyBorder="1" applyAlignment="1">
      <alignment vertical="center" wrapText="1"/>
    </xf>
    <xf numFmtId="0" fontId="6" fillId="15" borderId="5" xfId="0" applyFont="1" applyFill="1" applyBorder="1" applyAlignment="1">
      <alignment horizontal="center" vertical="center" wrapText="1"/>
    </xf>
    <xf numFmtId="0" fontId="9" fillId="17" borderId="5" xfId="0" applyFont="1" applyFill="1" applyBorder="1" applyAlignment="1">
      <alignment horizontal="center" vertical="center"/>
    </xf>
    <xf numFmtId="0" fontId="9" fillId="17" borderId="5" xfId="0" applyFont="1" applyFill="1" applyBorder="1" applyAlignment="1" applyProtection="1">
      <alignment vertical="center" wrapText="1"/>
      <protection locked="0"/>
    </xf>
    <xf numFmtId="0" fontId="9" fillId="17" borderId="5" xfId="0" applyFont="1" applyFill="1" applyBorder="1" applyAlignment="1" applyProtection="1">
      <alignment horizontal="center" vertical="center" wrapText="1"/>
      <protection locked="0"/>
    </xf>
    <xf numFmtId="0" fontId="9" fillId="17" borderId="5" xfId="0" applyFont="1" applyFill="1" applyBorder="1" applyAlignment="1" applyProtection="1">
      <alignment horizontal="left" vertical="center" wrapText="1"/>
      <protection locked="0"/>
    </xf>
    <xf numFmtId="0" fontId="5" fillId="17" borderId="5" xfId="0" applyFont="1" applyFill="1" applyBorder="1" applyAlignment="1" applyProtection="1">
      <alignment horizontal="center" vertical="center" wrapText="1"/>
      <protection locked="0"/>
    </xf>
    <xf numFmtId="0" fontId="9" fillId="17" borderId="5" xfId="0" applyFont="1" applyFill="1" applyBorder="1" applyAlignment="1">
      <alignment vertical="center" wrapText="1"/>
    </xf>
    <xf numFmtId="0" fontId="6" fillId="17" borderId="5" xfId="0" applyFont="1" applyFill="1" applyBorder="1" applyAlignment="1" applyProtection="1">
      <alignment horizontal="center" vertical="center" wrapText="1"/>
      <protection locked="0"/>
    </xf>
    <xf numFmtId="0" fontId="6" fillId="17" borderId="5" xfId="0" applyFont="1" applyFill="1" applyBorder="1" applyAlignment="1" applyProtection="1">
      <alignment horizontal="left" vertical="center" wrapText="1"/>
      <protection locked="0"/>
    </xf>
    <xf numFmtId="0" fontId="11" fillId="17" borderId="5" xfId="0" applyFont="1" applyFill="1" applyBorder="1" applyAlignment="1" applyProtection="1">
      <alignment horizontal="left" vertical="center"/>
      <protection locked="0"/>
    </xf>
    <xf numFmtId="0" fontId="9" fillId="17" borderId="5" xfId="0" applyFont="1" applyFill="1" applyBorder="1" applyAlignment="1">
      <alignment horizontal="center" vertical="center" wrapText="1"/>
    </xf>
    <xf numFmtId="0" fontId="9" fillId="0" borderId="0" xfId="0" applyFont="1" applyBorder="1" applyAlignment="1">
      <alignment horizontal="center" vertical="center"/>
    </xf>
    <xf numFmtId="0" fontId="9" fillId="0" borderId="0" xfId="0" applyFont="1" applyBorder="1" applyAlignment="1">
      <alignment vertical="center"/>
    </xf>
    <xf numFmtId="0" fontId="9" fillId="0" borderId="0" xfId="0" applyFont="1" applyBorder="1" applyAlignment="1">
      <alignment vertical="center" wrapText="1"/>
    </xf>
    <xf numFmtId="0" fontId="6" fillId="0" borderId="0" xfId="0" applyFont="1" applyBorder="1" applyAlignment="1">
      <alignment horizontal="center" vertical="center"/>
    </xf>
    <xf numFmtId="0" fontId="6" fillId="0" borderId="0" xfId="0" applyFont="1" applyBorder="1" applyAlignment="1">
      <alignment vertical="center"/>
    </xf>
    <xf numFmtId="0" fontId="6" fillId="0" borderId="0" xfId="0" applyFont="1" applyBorder="1" applyAlignment="1">
      <alignment horizontal="center" vertical="center" wrapText="1"/>
    </xf>
    <xf numFmtId="0" fontId="12" fillId="13" borderId="5" xfId="0" applyFont="1" applyFill="1" applyBorder="1" applyAlignment="1">
      <alignment vertical="center" wrapText="1"/>
    </xf>
    <xf numFmtId="0" fontId="9" fillId="0" borderId="0" xfId="0" applyFont="1" applyBorder="1" applyAlignment="1">
      <alignment horizontal="center" vertical="center" wrapText="1"/>
    </xf>
    <xf numFmtId="0" fontId="9" fillId="18" borderId="5" xfId="0" applyFont="1" applyFill="1" applyBorder="1" applyAlignment="1">
      <alignment horizontal="center" vertical="center"/>
    </xf>
    <xf numFmtId="0" fontId="9" fillId="18" borderId="5" xfId="0" applyFont="1" applyFill="1" applyBorder="1" applyAlignment="1">
      <alignment vertical="center" wrapText="1"/>
    </xf>
    <xf numFmtId="0" fontId="9" fillId="18" borderId="5" xfId="0" applyFont="1" applyFill="1" applyBorder="1" applyAlignment="1">
      <alignment horizontal="center" vertical="center" wrapText="1"/>
    </xf>
    <xf numFmtId="0" fontId="9" fillId="18" borderId="5" xfId="0" applyFont="1" applyFill="1" applyBorder="1" applyAlignment="1" applyProtection="1">
      <alignment vertical="center" wrapText="1"/>
      <protection locked="0"/>
    </xf>
    <xf numFmtId="0" fontId="9" fillId="18" borderId="5" xfId="0" applyFont="1" applyFill="1" applyBorder="1" applyAlignment="1" applyProtection="1">
      <alignment horizontal="center" vertical="center" wrapText="1"/>
      <protection locked="0"/>
    </xf>
    <xf numFmtId="0" fontId="9" fillId="0" borderId="0" xfId="0" applyFont="1" applyFill="1" applyBorder="1" applyAlignment="1">
      <alignment horizontal="center" vertical="center"/>
    </xf>
    <xf numFmtId="0" fontId="9" fillId="0" borderId="0" xfId="0" applyFont="1" applyAlignment="1">
      <alignment vertical="center"/>
    </xf>
    <xf numFmtId="44" fontId="6" fillId="0" borderId="4" xfId="1" applyFont="1" applyFill="1" applyBorder="1"/>
    <xf numFmtId="0" fontId="5" fillId="13" borderId="21" xfId="4" applyFont="1" applyFill="1" applyBorder="1" applyAlignment="1">
      <alignment horizontal="center"/>
    </xf>
    <xf numFmtId="0" fontId="5" fillId="13" borderId="7" xfId="4" applyFont="1" applyFill="1" applyBorder="1"/>
    <xf numFmtId="44" fontId="7" fillId="13" borderId="7" xfId="1" applyFont="1" applyFill="1" applyBorder="1"/>
    <xf numFmtId="0" fontId="4" fillId="0" borderId="12" xfId="5" applyFont="1" applyFill="1" applyBorder="1" applyAlignment="1">
      <alignment horizontal="center" vertical="center" wrapText="1"/>
      <protection locked="0"/>
    </xf>
    <xf numFmtId="0" fontId="4" fillId="0" borderId="13" xfId="5" applyFont="1" applyFill="1" applyBorder="1" applyAlignment="1">
      <alignment horizontal="center" vertical="center" wrapText="1"/>
      <protection locked="0"/>
    </xf>
    <xf numFmtId="0" fontId="4" fillId="0" borderId="14" xfId="5" applyFont="1" applyFill="1" applyBorder="1" applyAlignment="1">
      <alignment horizontal="center" vertical="center" wrapText="1"/>
      <protection locked="0"/>
    </xf>
    <xf numFmtId="0" fontId="9" fillId="0" borderId="15" xfId="4" applyFont="1" applyFill="1" applyBorder="1" applyAlignment="1">
      <alignment horizontal="center"/>
    </xf>
    <xf numFmtId="9" fontId="6" fillId="0" borderId="16" xfId="2" applyFont="1" applyFill="1" applyBorder="1" applyAlignment="1">
      <alignment horizontal="center"/>
    </xf>
    <xf numFmtId="0" fontId="9" fillId="0" borderId="17" xfId="4" applyFont="1" applyFill="1" applyBorder="1" applyAlignment="1">
      <alignment horizontal="center"/>
    </xf>
    <xf numFmtId="9" fontId="6" fillId="0" borderId="18" xfId="2" applyFont="1" applyFill="1" applyBorder="1" applyAlignment="1">
      <alignment horizontal="center"/>
    </xf>
    <xf numFmtId="0" fontId="9" fillId="0" borderId="19" xfId="4" applyFont="1" applyFill="1" applyBorder="1" applyAlignment="1">
      <alignment horizontal="center"/>
    </xf>
    <xf numFmtId="0" fontId="9" fillId="0" borderId="6" xfId="4" applyFont="1" applyFill="1" applyBorder="1"/>
    <xf numFmtId="44" fontId="6" fillId="0" borderId="6" xfId="1" applyFont="1" applyFill="1" applyBorder="1"/>
    <xf numFmtId="9" fontId="6" fillId="0" borderId="20" xfId="2" applyFont="1" applyFill="1" applyBorder="1" applyAlignment="1">
      <alignment horizontal="center"/>
    </xf>
    <xf numFmtId="164" fontId="6" fillId="0" borderId="4" xfId="0" applyNumberFormat="1" applyFont="1" applyFill="1" applyBorder="1"/>
    <xf numFmtId="164" fontId="6" fillId="0" borderId="5" xfId="0" applyNumberFormat="1" applyFont="1" applyFill="1" applyBorder="1"/>
    <xf numFmtId="164" fontId="9" fillId="0" borderId="5" xfId="0" applyNumberFormat="1" applyFont="1" applyFill="1" applyBorder="1"/>
    <xf numFmtId="0" fontId="5" fillId="5" borderId="3" xfId="5" applyFont="1" applyFill="1" applyBorder="1" applyAlignment="1">
      <alignment horizontal="center" vertical="center"/>
      <protection locked="0"/>
    </xf>
    <xf numFmtId="0" fontId="7" fillId="0" borderId="23" xfId="3" applyFont="1" applyFill="1" applyBorder="1" applyAlignment="1">
      <alignment horizontal="center" vertical="center" wrapText="1"/>
    </xf>
    <xf numFmtId="9" fontId="7" fillId="0" borderId="23" xfId="3" applyNumberFormat="1" applyFont="1" applyFill="1" applyBorder="1" applyAlignment="1">
      <alignment horizontal="center" vertical="top" wrapText="1"/>
    </xf>
    <xf numFmtId="0" fontId="7" fillId="0" borderId="23" xfId="0" applyFont="1" applyFill="1" applyBorder="1" applyAlignment="1">
      <alignment horizontal="center" vertical="top" wrapText="1"/>
    </xf>
    <xf numFmtId="0" fontId="7" fillId="0" borderId="24" xfId="3" applyFont="1" applyFill="1" applyBorder="1" applyAlignment="1">
      <alignment horizontal="center" vertical="top" wrapText="1"/>
    </xf>
    <xf numFmtId="0" fontId="7" fillId="0" borderId="25" xfId="3" applyFont="1" applyFill="1" applyBorder="1" applyAlignment="1">
      <alignment horizontal="center" vertical="top" wrapText="1"/>
    </xf>
    <xf numFmtId="0" fontId="7" fillId="0" borderId="23" xfId="3" applyFont="1" applyFill="1" applyBorder="1" applyAlignment="1">
      <alignment horizontal="center" vertical="top" wrapText="1"/>
    </xf>
    <xf numFmtId="0" fontId="7" fillId="0" borderId="26" xfId="0" applyFont="1" applyFill="1" applyBorder="1" applyAlignment="1">
      <alignment horizontal="center" vertical="top" wrapText="1"/>
    </xf>
    <xf numFmtId="0" fontId="4" fillId="0" borderId="22" xfId="4" applyFont="1" applyFill="1" applyBorder="1" applyAlignment="1">
      <alignment horizontal="center" vertical="top" wrapText="1"/>
    </xf>
    <xf numFmtId="0" fontId="4" fillId="0" borderId="23" xfId="4" applyFont="1" applyFill="1" applyBorder="1" applyAlignment="1">
      <alignment horizontal="center" vertical="top" wrapText="1"/>
    </xf>
    <xf numFmtId="0" fontId="9" fillId="0" borderId="3" xfId="4" applyFont="1" applyFill="1" applyBorder="1"/>
    <xf numFmtId="164" fontId="6" fillId="0" borderId="3" xfId="0" applyNumberFormat="1" applyFont="1" applyFill="1" applyBorder="1"/>
    <xf numFmtId="9" fontId="6" fillId="0" borderId="7" xfId="2" applyFont="1" applyFill="1" applyBorder="1"/>
    <xf numFmtId="9" fontId="6" fillId="0" borderId="3" xfId="2" applyFont="1" applyFill="1" applyBorder="1"/>
    <xf numFmtId="0" fontId="5" fillId="5" borderId="11" xfId="5" applyFont="1" applyFill="1" applyBorder="1" applyAlignment="1">
      <alignment horizontal="center" vertical="center"/>
      <protection locked="0"/>
    </xf>
    <xf numFmtId="0" fontId="9" fillId="13" borderId="23" xfId="4" applyFont="1" applyFill="1" applyBorder="1"/>
    <xf numFmtId="164" fontId="7" fillId="13" borderId="23" xfId="0" applyNumberFormat="1" applyFont="1" applyFill="1" applyBorder="1"/>
    <xf numFmtId="9" fontId="6" fillId="13" borderId="23" xfId="2" applyFont="1" applyFill="1" applyBorder="1"/>
    <xf numFmtId="0" fontId="9" fillId="13" borderId="1" xfId="0" applyFont="1" applyFill="1" applyBorder="1" applyAlignment="1">
      <alignment horizontal="center" vertical="center"/>
    </xf>
    <xf numFmtId="0" fontId="9" fillId="15" borderId="2" xfId="0" applyFont="1" applyFill="1" applyBorder="1" applyAlignment="1">
      <alignment vertical="center" wrapText="1"/>
    </xf>
    <xf numFmtId="0" fontId="9" fillId="13" borderId="2" xfId="0" applyFont="1" applyFill="1" applyBorder="1" applyAlignment="1">
      <alignment vertical="center" wrapText="1"/>
    </xf>
    <xf numFmtId="0" fontId="9" fillId="18" borderId="5" xfId="0" applyFont="1" applyFill="1" applyBorder="1" applyAlignment="1" applyProtection="1">
      <alignment horizontal="left" vertical="center" wrapText="1"/>
      <protection locked="0"/>
    </xf>
    <xf numFmtId="0" fontId="6" fillId="0" borderId="0" xfId="0" applyFont="1" applyAlignment="1">
      <alignment vertical="center"/>
    </xf>
    <xf numFmtId="0" fontId="6" fillId="0" borderId="1" xfId="0" applyFont="1" applyBorder="1" applyAlignment="1">
      <alignment vertical="center"/>
    </xf>
    <xf numFmtId="0" fontId="10" fillId="18" borderId="5" xfId="0" applyFont="1" applyFill="1" applyBorder="1" applyAlignment="1">
      <alignment vertical="center" wrapText="1"/>
    </xf>
    <xf numFmtId="0" fontId="6" fillId="15" borderId="1" xfId="0" applyFont="1" applyFill="1" applyBorder="1" applyAlignment="1">
      <alignment vertical="center"/>
    </xf>
    <xf numFmtId="0" fontId="6" fillId="15" borderId="5" xfId="0" applyFont="1" applyFill="1" applyBorder="1" applyAlignment="1">
      <alignment vertical="center"/>
    </xf>
    <xf numFmtId="0" fontId="6" fillId="0" borderId="5" xfId="0" applyFont="1" applyBorder="1" applyAlignment="1">
      <alignment vertical="center"/>
    </xf>
    <xf numFmtId="0" fontId="9" fillId="18" borderId="5" xfId="0" applyFont="1" applyFill="1" applyBorder="1" applyAlignment="1" applyProtection="1">
      <alignment horizontal="center" vertical="center"/>
      <protection locked="0"/>
    </xf>
    <xf numFmtId="0" fontId="10" fillId="18" borderId="5" xfId="0" applyFont="1" applyFill="1" applyBorder="1" applyAlignment="1">
      <alignment horizontal="center" vertical="center" wrapText="1"/>
    </xf>
    <xf numFmtId="0" fontId="9" fillId="18" borderId="1" xfId="0" applyFont="1" applyFill="1" applyBorder="1" applyAlignment="1">
      <alignment horizontal="center" vertical="center"/>
    </xf>
    <xf numFmtId="0" fontId="9" fillId="17" borderId="3" xfId="0" applyFont="1" applyFill="1" applyBorder="1" applyAlignment="1">
      <alignment horizontal="center" vertical="center"/>
    </xf>
    <xf numFmtId="0" fontId="9" fillId="17" borderId="3" xfId="0" applyFont="1" applyFill="1" applyBorder="1" applyAlignment="1">
      <alignment vertical="center" wrapText="1"/>
    </xf>
    <xf numFmtId="0" fontId="9" fillId="17" borderId="3" xfId="0" applyFont="1" applyFill="1" applyBorder="1" applyAlignment="1">
      <alignment horizontal="center" vertical="center" wrapText="1"/>
    </xf>
    <xf numFmtId="0" fontId="9" fillId="18" borderId="2" xfId="0" applyFont="1" applyFill="1" applyBorder="1" applyAlignment="1">
      <alignment vertical="center" wrapText="1"/>
    </xf>
    <xf numFmtId="0" fontId="9" fillId="17" borderId="2" xfId="0" applyFont="1" applyFill="1" applyBorder="1" applyAlignment="1">
      <alignment vertical="center" wrapText="1"/>
    </xf>
    <xf numFmtId="0" fontId="9" fillId="17" borderId="8" xfId="0" applyFont="1" applyFill="1" applyBorder="1" applyAlignment="1">
      <alignment vertical="center" wrapText="1"/>
    </xf>
    <xf numFmtId="0" fontId="9" fillId="17" borderId="0" xfId="0" applyFont="1" applyFill="1" applyBorder="1" applyAlignment="1">
      <alignment vertical="center" wrapText="1"/>
    </xf>
    <xf numFmtId="0" fontId="9" fillId="0" borderId="0" xfId="0" applyFont="1" applyAlignment="1">
      <alignment horizontal="center" vertical="center"/>
    </xf>
    <xf numFmtId="0" fontId="6" fillId="0" borderId="0" xfId="0" applyFont="1" applyAlignment="1">
      <alignment horizontal="center" vertical="center"/>
    </xf>
    <xf numFmtId="0" fontId="6" fillId="0" borderId="0" xfId="0" applyFont="1" applyBorder="1" applyAlignment="1">
      <alignment vertical="center" wrapText="1"/>
    </xf>
    <xf numFmtId="0" fontId="9" fillId="13" borderId="0" xfId="0" applyFont="1" applyFill="1" applyBorder="1" applyAlignment="1">
      <alignment horizontal="center" vertical="center"/>
    </xf>
    <xf numFmtId="0" fontId="9" fillId="17" borderId="1" xfId="0" applyFont="1" applyFill="1" applyBorder="1" applyAlignment="1">
      <alignment horizontal="center" vertical="center"/>
    </xf>
    <xf numFmtId="0" fontId="9" fillId="18" borderId="3" xfId="0" applyFont="1" applyFill="1" applyBorder="1" applyAlignment="1">
      <alignment horizontal="center" vertical="center"/>
    </xf>
    <xf numFmtId="0" fontId="9" fillId="15" borderId="1" xfId="0" applyFont="1" applyFill="1" applyBorder="1" applyAlignment="1">
      <alignment horizontal="center" vertical="center"/>
    </xf>
    <xf numFmtId="0" fontId="9" fillId="15" borderId="3" xfId="0" applyFont="1" applyFill="1" applyBorder="1" applyAlignment="1">
      <alignment horizontal="center" vertical="center"/>
    </xf>
    <xf numFmtId="0" fontId="9" fillId="18" borderId="3" xfId="0" applyFont="1" applyFill="1" applyBorder="1" applyAlignment="1">
      <alignment vertical="center" wrapText="1"/>
    </xf>
    <xf numFmtId="0" fontId="9" fillId="15" borderId="3" xfId="0" applyFont="1" applyFill="1" applyBorder="1" applyAlignment="1">
      <alignment vertical="center" wrapText="1"/>
    </xf>
    <xf numFmtId="0" fontId="11" fillId="17" borderId="5" xfId="0" applyFont="1" applyFill="1" applyBorder="1" applyAlignment="1" applyProtection="1">
      <alignment horizontal="left" vertical="center" wrapText="1"/>
      <protection locked="0"/>
    </xf>
    <xf numFmtId="0" fontId="9" fillId="18" borderId="3" xfId="0" applyFont="1" applyFill="1" applyBorder="1" applyAlignment="1">
      <alignment horizontal="center" vertical="center" wrapText="1"/>
    </xf>
    <xf numFmtId="0" fontId="9" fillId="15" borderId="3" xfId="0" applyFont="1" applyFill="1" applyBorder="1" applyAlignment="1">
      <alignment horizontal="center" vertical="center" wrapText="1"/>
    </xf>
    <xf numFmtId="0" fontId="9" fillId="18" borderId="8" xfId="0" applyFont="1" applyFill="1" applyBorder="1" applyAlignment="1">
      <alignment vertical="center" wrapText="1"/>
    </xf>
    <xf numFmtId="0" fontId="9" fillId="15" borderId="8" xfId="0" applyFont="1" applyFill="1" applyBorder="1" applyAlignment="1">
      <alignment vertical="center" wrapText="1"/>
    </xf>
    <xf numFmtId="0" fontId="9" fillId="17" borderId="0" xfId="0" applyFont="1" applyFill="1" applyAlignment="1">
      <alignment vertical="center"/>
    </xf>
    <xf numFmtId="0" fontId="6" fillId="17" borderId="0" xfId="0" applyFont="1" applyFill="1" applyAlignment="1">
      <alignment vertical="center"/>
    </xf>
    <xf numFmtId="0" fontId="6" fillId="17" borderId="1" xfId="0" applyFont="1" applyFill="1" applyBorder="1" applyAlignment="1">
      <alignment vertical="center"/>
    </xf>
    <xf numFmtId="0" fontId="12" fillId="15" borderId="5" xfId="0" applyFont="1" applyFill="1" applyBorder="1" applyAlignment="1">
      <alignment vertical="center" wrapText="1"/>
    </xf>
    <xf numFmtId="0" fontId="13" fillId="13" borderId="5" xfId="0" applyFont="1" applyFill="1" applyBorder="1" applyAlignment="1">
      <alignment vertical="center" wrapText="1"/>
    </xf>
    <xf numFmtId="0" fontId="13" fillId="15" borderId="5" xfId="0" applyFont="1" applyFill="1" applyBorder="1" applyAlignment="1">
      <alignment vertical="center" wrapText="1"/>
    </xf>
    <xf numFmtId="0" fontId="9" fillId="17" borderId="0" xfId="0" applyFont="1" applyFill="1" applyBorder="1" applyAlignment="1">
      <alignment horizontal="center" vertical="center"/>
    </xf>
    <xf numFmtId="0" fontId="9" fillId="17" borderId="0" xfId="0" applyFont="1" applyFill="1" applyBorder="1" applyAlignment="1">
      <alignment horizontal="center" vertical="center" wrapText="1"/>
    </xf>
    <xf numFmtId="0" fontId="14" fillId="18" borderId="5" xfId="0" applyFont="1" applyFill="1" applyBorder="1" applyAlignment="1">
      <alignment horizontal="center" vertical="center"/>
    </xf>
    <xf numFmtId="0" fontId="14" fillId="18" borderId="5" xfId="0" applyFont="1" applyFill="1" applyBorder="1" applyAlignment="1">
      <alignment vertical="center" wrapText="1"/>
    </xf>
    <xf numFmtId="0" fontId="14" fillId="18" borderId="5" xfId="0" applyFont="1" applyFill="1" applyBorder="1" applyAlignment="1">
      <alignment horizontal="center" vertical="center" wrapText="1"/>
    </xf>
    <xf numFmtId="0" fontId="14" fillId="18" borderId="2" xfId="0" applyFont="1" applyFill="1" applyBorder="1" applyAlignment="1">
      <alignment vertical="center" wrapText="1"/>
    </xf>
    <xf numFmtId="0" fontId="9" fillId="0" borderId="5" xfId="0" applyFont="1" applyFill="1" applyBorder="1" applyAlignment="1">
      <alignment horizontal="center" vertical="center"/>
    </xf>
    <xf numFmtId="0" fontId="9" fillId="13" borderId="5" xfId="0" applyFont="1" applyFill="1" applyBorder="1" applyAlignment="1" applyProtection="1">
      <alignment horizontal="left" vertical="center"/>
      <protection locked="0"/>
    </xf>
    <xf numFmtId="0" fontId="9" fillId="0" borderId="27" xfId="4" applyFont="1" applyFill="1" applyBorder="1" applyAlignment="1">
      <alignment horizontal="center"/>
    </xf>
    <xf numFmtId="0" fontId="9" fillId="13" borderId="22" xfId="4" applyFont="1" applyFill="1" applyBorder="1" applyAlignment="1">
      <alignment horizontal="center"/>
    </xf>
    <xf numFmtId="0" fontId="6" fillId="0" borderId="0" xfId="0" applyFont="1" applyAlignment="1">
      <alignment horizontal="center"/>
    </xf>
    <xf numFmtId="165" fontId="7" fillId="13" borderId="26" xfId="0" applyNumberFormat="1" applyFont="1" applyFill="1" applyBorder="1"/>
    <xf numFmtId="9" fontId="6" fillId="0" borderId="4" xfId="2" applyFont="1" applyFill="1" applyBorder="1" applyAlignment="1">
      <alignment wrapText="1"/>
    </xf>
    <xf numFmtId="0" fontId="6" fillId="0" borderId="0" xfId="0" applyFont="1" applyFill="1"/>
    <xf numFmtId="0" fontId="5" fillId="0" borderId="0" xfId="5" applyFont="1" applyFill="1" applyBorder="1" applyAlignment="1">
      <alignment horizontal="center" vertical="center"/>
      <protection locked="0"/>
    </xf>
    <xf numFmtId="0" fontId="5" fillId="0" borderId="0" xfId="5" applyFont="1" applyFill="1" applyBorder="1" applyAlignment="1">
      <alignment horizontal="center" vertical="center" wrapText="1"/>
      <protection locked="0"/>
    </xf>
    <xf numFmtId="44" fontId="7" fillId="0" borderId="0" xfId="1" applyFont="1" applyFill="1" applyBorder="1"/>
    <xf numFmtId="9" fontId="7" fillId="0" borderId="0" xfId="2" applyFont="1" applyFill="1" applyBorder="1" applyAlignment="1">
      <alignment horizontal="center"/>
    </xf>
    <xf numFmtId="8" fontId="6" fillId="0" borderId="4" xfId="1" applyNumberFormat="1" applyFont="1" applyFill="1" applyBorder="1"/>
    <xf numFmtId="8" fontId="6" fillId="0" borderId="5" xfId="1" applyNumberFormat="1" applyFont="1" applyFill="1" applyBorder="1"/>
    <xf numFmtId="8" fontId="6" fillId="0" borderId="6" xfId="1" applyNumberFormat="1" applyFont="1" applyFill="1" applyBorder="1"/>
    <xf numFmtId="9" fontId="6" fillId="0" borderId="4" xfId="2" applyFont="1" applyBorder="1" applyAlignment="1">
      <alignment wrapText="1"/>
    </xf>
    <xf numFmtId="9" fontId="6" fillId="13" borderId="23" xfId="2" applyFont="1" applyFill="1" applyBorder="1" applyAlignment="1">
      <alignment wrapText="1"/>
    </xf>
    <xf numFmtId="0" fontId="5" fillId="0" borderId="0" xfId="5" applyFont="1" applyFill="1" applyAlignment="1">
      <alignment horizontal="center" vertical="center" wrapText="1"/>
      <protection locked="0"/>
    </xf>
    <xf numFmtId="164" fontId="6" fillId="13" borderId="23" xfId="2" applyNumberFormat="1" applyFont="1" applyFill="1" applyBorder="1"/>
    <xf numFmtId="0" fontId="9" fillId="0" borderId="0" xfId="4" applyFont="1" applyFill="1" applyBorder="1" applyAlignment="1">
      <alignment horizontal="left"/>
    </xf>
    <xf numFmtId="0" fontId="9" fillId="0" borderId="0" xfId="4" applyFont="1" applyFill="1" applyBorder="1"/>
    <xf numFmtId="0" fontId="2" fillId="0" borderId="0" xfId="0" applyFont="1" applyFill="1" applyBorder="1"/>
    <xf numFmtId="0" fontId="6" fillId="0" borderId="0" xfId="0" applyFont="1" applyFill="1" applyAlignment="1">
      <alignment horizontal="left"/>
    </xf>
    <xf numFmtId="0" fontId="6" fillId="0" borderId="0" xfId="0" applyFont="1" applyAlignment="1">
      <alignment horizontal="left"/>
    </xf>
    <xf numFmtId="0" fontId="6" fillId="19" borderId="0" xfId="0" applyFont="1" applyFill="1"/>
    <xf numFmtId="0" fontId="9" fillId="0" borderId="0" xfId="0" applyFont="1" applyFill="1"/>
    <xf numFmtId="0" fontId="5" fillId="16" borderId="4" xfId="0" applyFont="1" applyFill="1" applyBorder="1" applyAlignment="1">
      <alignment horizontal="center" vertical="center" wrapText="1"/>
    </xf>
    <xf numFmtId="0" fontId="5" fillId="16" borderId="10" xfId="0" applyFont="1" applyFill="1" applyBorder="1" applyAlignment="1">
      <alignment horizontal="center" vertical="center"/>
    </xf>
    <xf numFmtId="0" fontId="5" fillId="16" borderId="11" xfId="0" applyFont="1" applyFill="1" applyBorder="1" applyAlignment="1">
      <alignment horizontal="center" vertical="center" wrapText="1"/>
    </xf>
    <xf numFmtId="0" fontId="9" fillId="13" borderId="10" xfId="0" applyFont="1" applyFill="1" applyBorder="1" applyAlignment="1">
      <alignment horizontal="center" vertical="center"/>
    </xf>
    <xf numFmtId="0" fontId="9" fillId="13" borderId="5" xfId="0" applyFont="1" applyFill="1" applyBorder="1" applyAlignment="1">
      <alignment horizontal="left" vertical="center" wrapText="1"/>
    </xf>
    <xf numFmtId="0" fontId="9" fillId="13" borderId="2" xfId="0" applyFont="1" applyFill="1" applyBorder="1" applyAlignment="1">
      <alignment horizontal="left" vertical="center" wrapText="1"/>
    </xf>
    <xf numFmtId="0" fontId="9" fillId="15" borderId="2" xfId="0" applyFont="1" applyFill="1" applyBorder="1" applyAlignment="1">
      <alignment horizontal="left" vertical="center" wrapText="1"/>
    </xf>
    <xf numFmtId="0" fontId="9" fillId="15" borderId="5" xfId="0" applyFont="1" applyFill="1" applyBorder="1" applyAlignment="1">
      <alignment horizontal="left" vertical="center" wrapText="1"/>
    </xf>
    <xf numFmtId="0" fontId="9" fillId="13" borderId="5" xfId="0" applyFont="1" applyFill="1" applyBorder="1" applyAlignment="1">
      <alignment horizontal="left" vertical="center"/>
    </xf>
    <xf numFmtId="9" fontId="7" fillId="13" borderId="0" xfId="2" applyFont="1" applyFill="1" applyBorder="1" applyAlignment="1">
      <alignment horizontal="center"/>
    </xf>
    <xf numFmtId="0" fontId="9" fillId="5" borderId="29"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5" xfId="0" applyFont="1" applyFill="1" applyBorder="1" applyAlignment="1">
      <alignment vertical="center"/>
    </xf>
    <xf numFmtId="0" fontId="9" fillId="5" borderId="5" xfId="0" applyFont="1" applyFill="1" applyBorder="1" applyAlignment="1">
      <alignment vertical="center" wrapText="1"/>
    </xf>
    <xf numFmtId="0" fontId="9" fillId="5" borderId="2" xfId="0" applyFont="1" applyFill="1" applyBorder="1" applyAlignment="1">
      <alignment vertical="center" wrapText="1"/>
    </xf>
    <xf numFmtId="0" fontId="9" fillId="15" borderId="5" xfId="0" applyFont="1" applyFill="1" applyBorder="1" applyAlignment="1">
      <alignment horizontal="left" vertical="center"/>
    </xf>
    <xf numFmtId="0" fontId="9" fillId="5" borderId="5" xfId="0" applyFont="1" applyFill="1" applyBorder="1" applyAlignment="1">
      <alignment horizontal="left" vertical="center"/>
    </xf>
    <xf numFmtId="0" fontId="9" fillId="5" borderId="5" xfId="0" applyFont="1" applyFill="1" applyBorder="1" applyAlignment="1">
      <alignment horizontal="left" vertical="center" wrapText="1"/>
    </xf>
    <xf numFmtId="0" fontId="9" fillId="5" borderId="2" xfId="0" applyFont="1" applyFill="1" applyBorder="1" applyAlignment="1">
      <alignment horizontal="left" vertical="center" wrapText="1"/>
    </xf>
    <xf numFmtId="0" fontId="9" fillId="5" borderId="5" xfId="0" applyFont="1" applyFill="1" applyBorder="1" applyAlignment="1">
      <alignment horizontal="center" vertical="center" wrapText="1"/>
    </xf>
    <xf numFmtId="0" fontId="9" fillId="15" borderId="1" xfId="0" applyFont="1" applyFill="1" applyBorder="1" applyAlignment="1">
      <alignment vertical="center"/>
    </xf>
    <xf numFmtId="0" fontId="9" fillId="21" borderId="5" xfId="0" applyFont="1" applyFill="1" applyBorder="1" applyAlignment="1">
      <alignment horizontal="center" vertical="center"/>
    </xf>
    <xf numFmtId="0" fontId="9" fillId="5" borderId="1" xfId="0" applyFont="1" applyFill="1" applyBorder="1" applyAlignment="1">
      <alignment vertical="center"/>
    </xf>
    <xf numFmtId="0" fontId="9" fillId="13" borderId="29" xfId="0" applyFont="1" applyFill="1" applyBorder="1" applyAlignment="1">
      <alignment horizontal="center" vertical="center"/>
    </xf>
    <xf numFmtId="0" fontId="9" fillId="13" borderId="5" xfId="6" applyFont="1" applyFill="1" applyBorder="1" applyAlignment="1">
      <alignment horizontal="left" vertical="center" wrapText="1"/>
    </xf>
    <xf numFmtId="0" fontId="9" fillId="15" borderId="1" xfId="0" applyFont="1" applyFill="1" applyBorder="1" applyAlignment="1">
      <alignment horizontal="left" vertical="center"/>
    </xf>
    <xf numFmtId="0" fontId="9" fillId="15" borderId="29" xfId="0" applyFont="1" applyFill="1" applyBorder="1" applyAlignment="1">
      <alignment horizontal="center" vertical="center"/>
    </xf>
    <xf numFmtId="0" fontId="17" fillId="0" borderId="0" xfId="0" applyFont="1"/>
    <xf numFmtId="0" fontId="9" fillId="5" borderId="1" xfId="0" applyFont="1" applyFill="1" applyBorder="1" applyAlignment="1">
      <alignment horizontal="left" vertical="center"/>
    </xf>
    <xf numFmtId="44" fontId="6" fillId="0" borderId="0" xfId="1" applyFont="1" applyFill="1" applyBorder="1"/>
    <xf numFmtId="0" fontId="5" fillId="16" borderId="4" xfId="0" applyFont="1" applyFill="1" applyBorder="1" applyAlignment="1">
      <alignment horizontal="left" vertical="center"/>
    </xf>
    <xf numFmtId="0" fontId="9" fillId="5" borderId="1" xfId="0" applyFont="1" applyFill="1" applyBorder="1" applyAlignment="1">
      <alignment horizontal="center" vertical="center"/>
    </xf>
    <xf numFmtId="0" fontId="9" fillId="5" borderId="9" xfId="0" applyFont="1" applyFill="1" applyBorder="1" applyAlignment="1">
      <alignment horizontal="center" vertical="center"/>
    </xf>
    <xf numFmtId="0" fontId="9" fillId="5" borderId="3" xfId="0" applyFont="1" applyFill="1" applyBorder="1" applyAlignment="1">
      <alignment horizontal="left" vertical="center"/>
    </xf>
    <xf numFmtId="0" fontId="9" fillId="5" borderId="1" xfId="0" applyFont="1" applyFill="1" applyBorder="1" applyAlignment="1">
      <alignment vertical="center" wrapText="1"/>
    </xf>
    <xf numFmtId="0" fontId="9" fillId="5" borderId="31" xfId="0" applyFont="1" applyFill="1" applyBorder="1" applyAlignment="1">
      <alignment vertical="center" wrapText="1"/>
    </xf>
    <xf numFmtId="44" fontId="6" fillId="0" borderId="4" xfId="1" applyFont="1" applyBorder="1"/>
    <xf numFmtId="44" fontId="6" fillId="0" borderId="5" xfId="1" applyFont="1" applyBorder="1"/>
    <xf numFmtId="164" fontId="6" fillId="0" borderId="16" xfId="1" applyNumberFormat="1" applyFont="1" applyFill="1" applyBorder="1"/>
    <xf numFmtId="164" fontId="6" fillId="0" borderId="28" xfId="1" applyNumberFormat="1" applyFont="1" applyFill="1" applyBorder="1"/>
    <xf numFmtId="0" fontId="5" fillId="7" borderId="8" xfId="5" applyFont="1" applyFill="1" applyBorder="1" applyAlignment="1">
      <alignment horizontal="center" vertical="center" wrapText="1"/>
      <protection locked="0"/>
    </xf>
    <xf numFmtId="0" fontId="5" fillId="7" borderId="9" xfId="5" applyFont="1" applyFill="1" applyBorder="1" applyAlignment="1">
      <alignment horizontal="center" vertical="center" wrapText="1"/>
      <protection locked="0"/>
    </xf>
    <xf numFmtId="0" fontId="5" fillId="6" borderId="8" xfId="5" applyFont="1" applyFill="1" applyBorder="1" applyAlignment="1">
      <alignment horizontal="center" vertical="center"/>
      <protection locked="0"/>
    </xf>
    <xf numFmtId="0" fontId="5" fillId="6" borderId="9" xfId="5" applyFont="1" applyFill="1" applyBorder="1" applyAlignment="1">
      <alignment horizontal="center" vertical="center"/>
      <protection locked="0"/>
    </xf>
    <xf numFmtId="0" fontId="5" fillId="12" borderId="11" xfId="5" applyFont="1" applyFill="1" applyBorder="1" applyAlignment="1">
      <alignment horizontal="center" vertical="center"/>
      <protection locked="0"/>
    </xf>
    <xf numFmtId="0" fontId="5" fillId="12" borderId="10" xfId="5" applyFont="1" applyFill="1" applyBorder="1" applyAlignment="1">
      <alignment horizontal="center" vertical="center"/>
      <protection locked="0"/>
    </xf>
    <xf numFmtId="0" fontId="5" fillId="11" borderId="11" xfId="5" applyFont="1" applyFill="1" applyBorder="1" applyAlignment="1">
      <alignment horizontal="center" vertical="center" wrapText="1"/>
      <protection locked="0"/>
    </xf>
    <xf numFmtId="0" fontId="5" fillId="11" borderId="10" xfId="5" applyFont="1" applyFill="1" applyBorder="1" applyAlignment="1">
      <alignment horizontal="center" vertical="center" wrapText="1"/>
      <protection locked="0"/>
    </xf>
    <xf numFmtId="0" fontId="5" fillId="10" borderId="11" xfId="5" applyFont="1" applyFill="1" applyBorder="1" applyAlignment="1">
      <alignment horizontal="center" vertical="center" wrapText="1"/>
      <protection locked="0"/>
    </xf>
    <xf numFmtId="0" fontId="5" fillId="10" borderId="10" xfId="5" applyFont="1" applyFill="1" applyBorder="1" applyAlignment="1">
      <alignment horizontal="center" vertical="center" wrapText="1"/>
      <protection locked="0"/>
    </xf>
    <xf numFmtId="0" fontId="5" fillId="9" borderId="11" xfId="5" applyFont="1" applyFill="1" applyBorder="1" applyAlignment="1">
      <alignment horizontal="center" vertical="center"/>
      <protection locked="0"/>
    </xf>
    <xf numFmtId="0" fontId="5" fillId="9" borderId="10" xfId="5" applyFont="1" applyFill="1" applyBorder="1" applyAlignment="1">
      <alignment horizontal="center" vertical="center"/>
      <protection locked="0"/>
    </xf>
    <xf numFmtId="0" fontId="5" fillId="8" borderId="11" xfId="5" applyFont="1" applyFill="1" applyBorder="1" applyAlignment="1">
      <alignment horizontal="center" vertical="center" wrapText="1"/>
      <protection locked="0"/>
    </xf>
    <xf numFmtId="0" fontId="5" fillId="8" borderId="10" xfId="5" applyFont="1" applyFill="1" applyBorder="1" applyAlignment="1">
      <alignment horizontal="center" vertical="center" wrapText="1"/>
      <protection locked="0"/>
    </xf>
    <xf numFmtId="0" fontId="5" fillId="7" borderId="11" xfId="5" applyFont="1" applyFill="1" applyBorder="1" applyAlignment="1">
      <alignment horizontal="center" vertical="center" wrapText="1"/>
      <protection locked="0"/>
    </xf>
    <xf numFmtId="0" fontId="5" fillId="7" borderId="10" xfId="5" applyFont="1" applyFill="1" applyBorder="1" applyAlignment="1">
      <alignment horizontal="center" vertical="center" wrapText="1"/>
      <protection locked="0"/>
    </xf>
    <xf numFmtId="0" fontId="5" fillId="6" borderId="11" xfId="5" applyFont="1" applyFill="1" applyBorder="1" applyAlignment="1">
      <alignment horizontal="center" vertical="center"/>
      <protection locked="0"/>
    </xf>
    <xf numFmtId="0" fontId="5" fillId="6" borderId="10" xfId="5" applyFont="1" applyFill="1" applyBorder="1" applyAlignment="1">
      <alignment horizontal="center" vertical="center"/>
      <protection locked="0"/>
    </xf>
    <xf numFmtId="0" fontId="5" fillId="12" borderId="8" xfId="5" applyFont="1" applyFill="1" applyBorder="1" applyAlignment="1">
      <alignment horizontal="center" vertical="center"/>
      <protection locked="0"/>
    </xf>
    <xf numFmtId="0" fontId="5" fillId="12" borderId="9" xfId="5" applyFont="1" applyFill="1" applyBorder="1" applyAlignment="1">
      <alignment horizontal="center" vertical="center"/>
      <protection locked="0"/>
    </xf>
    <xf numFmtId="0" fontId="5" fillId="11" borderId="8" xfId="5" applyFont="1" applyFill="1" applyBorder="1" applyAlignment="1">
      <alignment horizontal="center" vertical="center" wrapText="1"/>
      <protection locked="0"/>
    </xf>
    <xf numFmtId="0" fontId="5" fillId="11" borderId="9" xfId="5" applyFont="1" applyFill="1" applyBorder="1" applyAlignment="1">
      <alignment horizontal="center" vertical="center" wrapText="1"/>
      <protection locked="0"/>
    </xf>
    <xf numFmtId="0" fontId="5" fillId="10" borderId="8" xfId="5" applyFont="1" applyFill="1" applyBorder="1" applyAlignment="1">
      <alignment horizontal="center" vertical="center" wrapText="1"/>
      <protection locked="0"/>
    </xf>
    <xf numFmtId="0" fontId="5" fillId="10" borderId="9" xfId="5" applyFont="1" applyFill="1" applyBorder="1" applyAlignment="1">
      <alignment horizontal="center" vertical="center" wrapText="1"/>
      <protection locked="0"/>
    </xf>
    <xf numFmtId="0" fontId="5" fillId="9" borderId="8" xfId="5" applyFont="1" applyFill="1" applyBorder="1" applyAlignment="1">
      <alignment horizontal="center" vertical="center"/>
      <protection locked="0"/>
    </xf>
    <xf numFmtId="0" fontId="5" fillId="9" borderId="9" xfId="5" applyFont="1" applyFill="1" applyBorder="1" applyAlignment="1">
      <alignment horizontal="center" vertical="center"/>
      <protection locked="0"/>
    </xf>
    <xf numFmtId="0" fontId="5" fillId="8" borderId="8" xfId="5" applyFont="1" applyFill="1" applyBorder="1" applyAlignment="1">
      <alignment horizontal="center" vertical="center" wrapText="1"/>
      <protection locked="0"/>
    </xf>
    <xf numFmtId="0" fontId="5" fillId="8" borderId="9" xfId="5" applyFont="1" applyFill="1" applyBorder="1" applyAlignment="1">
      <alignment horizontal="center" vertical="center" wrapText="1"/>
      <protection locked="0"/>
    </xf>
    <xf numFmtId="0" fontId="9" fillId="17" borderId="5" xfId="0" applyFont="1" applyFill="1" applyBorder="1" applyAlignment="1">
      <alignment horizontal="left" vertical="center"/>
    </xf>
    <xf numFmtId="0" fontId="9" fillId="17" borderId="5" xfId="0" applyFont="1" applyFill="1" applyBorder="1" applyAlignment="1">
      <alignment vertical="center"/>
    </xf>
    <xf numFmtId="0" fontId="9" fillId="17" borderId="5" xfId="0" applyFont="1" applyFill="1" applyBorder="1" applyAlignment="1">
      <alignment horizontal="left" vertical="center" wrapText="1"/>
    </xf>
  </cellXfs>
  <cellStyles count="7">
    <cellStyle name="20% - Accent1" xfId="3" builtinId="30"/>
    <cellStyle name="40% - Accent1" xfId="4" builtinId="31"/>
    <cellStyle name="Currency" xfId="1" builtinId="4"/>
    <cellStyle name="Input" xfId="6" builtinId="20"/>
    <cellStyle name="Normal" xfId="0" builtinId="0"/>
    <cellStyle name="Percent" xfId="2" builtinId="5"/>
    <cellStyle name="Quality Category Heading" xfId="5" xr:uid="{668A9789-1FA0-46BB-8670-F11C6E5A61EE}"/>
  </cellStyles>
  <dxfs count="59">
    <dxf>
      <font>
        <b val="0"/>
        <i val="0"/>
        <strike val="0"/>
        <condense val="0"/>
        <extend val="0"/>
        <outline val="0"/>
        <shadow val="0"/>
        <u val="none"/>
        <vertAlign val="baseline"/>
        <sz val="12"/>
        <color auto="1"/>
        <name val="Calibri"/>
        <family val="2"/>
        <scheme val="minor"/>
      </font>
      <fill>
        <patternFill patternType="solid">
          <fgColor indexed="64"/>
          <bgColor theme="5"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5"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5"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5"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top style="thin">
          <color indexed="64"/>
        </top>
        <bottom style="thin">
          <color indexed="64"/>
        </bottom>
      </border>
    </dxf>
    <dxf>
      <font>
        <strike val="0"/>
        <outline val="0"/>
        <shadow val="0"/>
        <u val="none"/>
        <vertAlign val="baseline"/>
        <sz val="12"/>
        <name val="Calibri"/>
        <family val="2"/>
        <scheme val="minor"/>
      </font>
    </dxf>
    <dxf>
      <border outline="0">
        <bottom style="thin">
          <color indexed="64"/>
        </bottom>
      </border>
    </dxf>
    <dxf>
      <font>
        <b/>
        <i val="0"/>
        <strike val="0"/>
        <condense val="0"/>
        <extend val="0"/>
        <outline val="0"/>
        <shadow val="0"/>
        <u val="none"/>
        <vertAlign val="baseline"/>
        <sz val="12"/>
        <color auto="1"/>
        <name val="Calibri"/>
        <family val="2"/>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auto="1"/>
        <name val="Calibri"/>
        <family val="2"/>
        <scheme val="minor"/>
      </font>
      <alignment vertical="center" textRotation="0" indent="0" justifyLastLine="0" shrinkToFit="0" readingOrder="0"/>
    </dxf>
    <dxf>
      <font>
        <strike val="0"/>
        <outline val="0"/>
        <shadow val="0"/>
        <u val="none"/>
        <vertAlign val="baseline"/>
        <sz val="12"/>
        <color auto="1"/>
        <name val="Calibri"/>
        <family val="2"/>
        <scheme val="minor"/>
      </font>
      <alignment vertical="center" textRotation="0" wrapText="1" indent="0" justifyLastLine="0" shrinkToFit="0" readingOrder="0"/>
    </dxf>
    <dxf>
      <font>
        <strike val="0"/>
        <outline val="0"/>
        <shadow val="0"/>
        <u val="none"/>
        <vertAlign val="baseline"/>
        <sz val="12"/>
        <color auto="1"/>
        <name val="Calibri"/>
        <family val="2"/>
        <scheme val="minor"/>
      </font>
      <alignment horizontal="center" vertical="center" textRotation="0" wrapText="1" indent="0" justifyLastLine="0" shrinkToFit="0" readingOrder="0"/>
    </dxf>
    <dxf>
      <font>
        <strike val="0"/>
        <outline val="0"/>
        <shadow val="0"/>
        <u val="none"/>
        <vertAlign val="baseline"/>
        <sz val="12"/>
        <color auto="1"/>
        <name val="Calibri"/>
        <family val="2"/>
        <scheme val="minor"/>
      </font>
      <alignment horizontal="center" vertical="center" textRotation="0" indent="0" justifyLastLine="0" shrinkToFit="0" readingOrder="0"/>
    </dxf>
    <dxf>
      <font>
        <strike val="0"/>
        <outline val="0"/>
        <shadow val="0"/>
        <u val="none"/>
        <vertAlign val="baseline"/>
        <sz val="12"/>
        <color auto="1"/>
        <name val="Calibri"/>
        <family val="2"/>
        <scheme val="minor"/>
      </font>
      <alignment horizontal="general" vertical="center" textRotation="0" wrapText="1" indent="0" justifyLastLine="0" shrinkToFit="0" readingOrder="0"/>
    </dxf>
    <dxf>
      <font>
        <strike val="0"/>
        <outline val="0"/>
        <shadow val="0"/>
        <u val="none"/>
        <vertAlign val="baseline"/>
        <sz val="12"/>
        <color auto="1"/>
        <name val="Calibri"/>
        <family val="2"/>
        <scheme val="minor"/>
      </font>
      <alignment vertical="center" textRotation="0" wrapText="1" indent="0" justifyLastLine="0" shrinkToFit="0" readingOrder="0"/>
    </dxf>
    <dxf>
      <font>
        <strike val="0"/>
        <outline val="0"/>
        <shadow val="0"/>
        <u val="none"/>
        <vertAlign val="baseline"/>
        <sz val="12"/>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2"/>
        <color auto="1"/>
        <name val="Calibri"/>
        <family val="2"/>
        <scheme val="minor"/>
      </font>
      <alignment horizontal="center" vertical="center" textRotation="0" wrapText="0" indent="0" justifyLastLine="0" shrinkToFit="0" readingOrder="0"/>
    </dxf>
    <dxf>
      <font>
        <strike val="0"/>
        <outline val="0"/>
        <shadow val="0"/>
        <u val="none"/>
        <vertAlign val="baseline"/>
        <sz val="12"/>
        <color auto="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2"/>
        <color auto="1"/>
        <name val="Calibri"/>
        <family val="2"/>
        <scheme val="minor"/>
      </font>
      <alignment vertical="center" textRotation="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name val="Calibri"/>
        <family val="2"/>
        <scheme val="minor"/>
      </font>
      <alignment horizontal="center" textRotation="0"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2"/>
        <name val="Calibri"/>
        <family val="2"/>
        <scheme val="minor"/>
      </font>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4" tint="0.79998168889431442"/>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4" tint="0.79998168889431442"/>
        </patternFill>
      </fill>
      <alignment horizontal="center" textRotation="0" indent="0" justifyLastLine="0" shrinkToFit="0" readingOrder="0"/>
      <border diagonalUp="0" diagonalDown="0">
        <left/>
        <right style="thin">
          <color indexed="64"/>
        </right>
        <top style="thin">
          <color indexed="64"/>
        </top>
        <bottom style="thin">
          <color indexed="64"/>
        </bottom>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alignment horizontal="center" textRotation="0" wrapText="1" indent="0" justifyLastLine="0" shrinkToFit="0" readingOrder="0"/>
    </dxf>
    <dxf>
      <font>
        <strike val="0"/>
        <outline val="0"/>
        <shadow val="0"/>
        <u val="none"/>
        <vertAlign val="baseline"/>
        <sz val="12"/>
        <name val="Calibri"/>
        <family val="2"/>
        <scheme val="minor"/>
      </font>
      <numFmt numFmtId="164" formatCode="&quot;$&quot;#,##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quot;$&quo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medium">
          <color rgb="FF000000"/>
        </left>
        <right style="medium">
          <color rgb="FF000000"/>
        </right>
        <bottom style="medium">
          <color rgb="FF000000"/>
        </bottom>
      </border>
    </dxf>
    <dxf>
      <font>
        <strike val="0"/>
        <outline val="0"/>
        <shadow val="0"/>
        <u val="none"/>
        <vertAlign val="baseline"/>
        <sz val="12"/>
        <name val="Calibri"/>
        <family val="2"/>
        <scheme val="minor"/>
      </font>
    </dxf>
    <dxf>
      <border>
        <bottom style="medium">
          <color rgb="FF000000"/>
        </bottom>
      </border>
    </dxf>
    <dxf>
      <font>
        <b/>
        <i val="0"/>
        <strike val="0"/>
        <condense val="0"/>
        <extend val="0"/>
        <outline val="0"/>
        <shadow val="0"/>
        <u val="none"/>
        <vertAlign val="baseline"/>
        <sz val="12"/>
        <color theme="1"/>
        <name val="Calibri"/>
        <family val="2"/>
        <scheme val="minor"/>
      </font>
      <fill>
        <patternFill patternType="solid">
          <fgColor indexed="64"/>
          <bgColor theme="4" tint="0.79998168889431442"/>
        </patternFill>
      </fill>
      <alignment horizontal="center" vertical="center" textRotation="0" wrapText="1" indent="0" justifyLastLine="0" shrinkToFit="0" readingOrder="0"/>
    </dxf>
    <dxf>
      <fill>
        <patternFill>
          <bgColor theme="4" tint="0.79998168889431442"/>
        </patternFill>
      </fill>
    </dxf>
    <dxf>
      <fill>
        <patternFill>
          <bgColor theme="0"/>
        </patternFill>
      </fill>
    </dxf>
    <dxf>
      <font>
        <color theme="0"/>
      </font>
      <fill>
        <patternFill>
          <bgColor theme="4" tint="-0.499984740745262"/>
        </patternFill>
      </fill>
    </dxf>
  </dxfs>
  <tableStyles count="1" defaultTableStyle="TableStyleMedium2" defaultPivotStyle="PivotStyleLight16">
    <tableStyle name="Table Style 2" pivot="0" count="3" xr9:uid="{84400101-BBCE-4752-8ECC-4984F54575F8}">
      <tableStyleElement type="firstColumn" dxfId="58"/>
      <tableStyleElement type="firstRowStripe" dxfId="57"/>
      <tableStyleElement type="secondRowStripe" dxfId="56"/>
    </tableStyle>
  </tableStyles>
  <colors>
    <mruColors>
      <color rgb="FFDDDD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53421D-D8E2-42AD-A0C8-14077AE86D6D}" name="Table2089" displayName="Table2089" ref="A2:Q30" totalsRowShown="0" headerRowDxfId="55" dataDxfId="53" headerRowBorderDxfId="54" tableBorderDxfId="52" headerRowCellStyle="20% - Accent1">
  <autoFilter ref="A2:Q30" xr:uid="{7DC0A715-D245-4392-8F5F-46A05D943E3C}"/>
  <sortState xmlns:xlrd2="http://schemas.microsoft.com/office/spreadsheetml/2017/richdata2" ref="A3:Q30">
    <sortCondition ref="A2:A30"/>
  </sortState>
  <tableColumns count="17">
    <tableColumn id="1" xr3:uid="{01E41358-7783-4D28-B7F8-AB19515CDC7F}" name="#" dataDxfId="51" dataCellStyle="40% - Accent1"/>
    <tableColumn id="2" xr3:uid="{909A1A52-A5A4-4F9E-BBCD-58C1D280EFB8}" name="Board" dataDxfId="50" dataCellStyle="40% - Accent1"/>
    <tableColumn id="3" xr3:uid="{6E48A659-2C45-459C-ACD2-24E037DF3C8B}" name="Expenditures 1" dataDxfId="49"/>
    <tableColumn id="4" xr3:uid="{0737F8F0-9789-4D8B-B199-44CA65F4E268}" name="%" dataDxfId="48" dataCellStyle="Percent"/>
    <tableColumn id="5" xr3:uid="{7943D1B5-FC18-46A9-BA1F-1DD76AAF66AC}" name="Expenditures 2" dataDxfId="47"/>
    <tableColumn id="6" xr3:uid="{C6A9362F-7A1E-4941-884E-AF9103DE608D}" name="%_x000a_2" dataDxfId="46" dataCellStyle="Percent"/>
    <tableColumn id="7" xr3:uid="{8174ED18-B83A-45E7-ABD9-746BC14230D4}" name="Expenditures 3" dataDxfId="45"/>
    <tableColumn id="8" xr3:uid="{FB1228F2-1D3D-45C4-BCD0-191FE2AEBD8C}" name="%_x000a_3" dataDxfId="44" dataCellStyle="Percent"/>
    <tableColumn id="9" xr3:uid="{45D125A2-8898-4AE0-A327-3985D0BCD3F4}" name="Expenditures_x000a_4" dataDxfId="43"/>
    <tableColumn id="10" xr3:uid="{6BD3254A-5DCC-4B69-B012-6D23C38F28AB}" name="%_x000a_4" dataDxfId="42" dataCellStyle="Percent"/>
    <tableColumn id="11" xr3:uid="{D024E041-B358-4CBF-AC82-56C982C46DAF}" name="Expenditures_x000a_5" dataDxfId="41"/>
    <tableColumn id="12" xr3:uid="{1EFF6284-2129-435F-8D02-3117B0E423DC}" name="%_x000a_5" dataDxfId="40" dataCellStyle="Percent"/>
    <tableColumn id="13" xr3:uid="{E1233942-9367-40B2-B13B-F923662B8C31}" name="Expenditures_x000a_6" dataDxfId="39"/>
    <tableColumn id="14" xr3:uid="{AE283011-C4B2-4F6A-935A-716C9A9538EA}" name="%_x000a_6" dataDxfId="38"/>
    <tableColumn id="15" xr3:uid="{2F9204FD-25E8-4206-9C00-B90A5439D20E}" name="Expenditures_x000a_7" dataDxfId="37"/>
    <tableColumn id="16" xr3:uid="{DDBDF8D4-3264-410A-B872-67A037928D10}" name="%_x000a_7" dataDxfId="36" dataCellStyle="Percent"/>
    <tableColumn id="17" xr3:uid="{AF0AD92C-C8D9-45BB-9A6B-DCC860BDF390}" name="YTD_x000a_" dataDxfId="35">
      <calculatedColumnFormula>Table2089[[#This Row],[Expenditures 1]]+Table2089[[#This Row],[Expenditures 2]]+Table2089[[#This Row],[Expenditures 3]]+Table2089[[#This Row],[Expenditures
4]]+Table2089[[#This Row],[Expenditures
5]]+Table2089[[#This Row],[Expenditures
6]]+Table2089[[#This Row],[Expenditures
7]]</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C1C4C7-096A-4022-95CB-43D01DDB37BD}" name="Table202290" displayName="Table202290" ref="A1:I29" totalsRowShown="0" headerRowDxfId="34" dataDxfId="33" tableBorderDxfId="32" headerRowCellStyle="Quality Category Heading">
  <autoFilter ref="A1:I29" xr:uid="{7DC0A715-D245-4392-8F5F-46A05D943E3C}"/>
  <sortState xmlns:xlrd2="http://schemas.microsoft.com/office/spreadsheetml/2017/richdata2" ref="A2:I29">
    <sortCondition ref="A1:A29"/>
  </sortState>
  <tableColumns count="9">
    <tableColumn id="1" xr3:uid="{343DFD58-F35B-43F0-A650-4F5071D2E9AE}" name="#" dataDxfId="31" dataCellStyle="40% - Accent1"/>
    <tableColumn id="2" xr3:uid="{1AE28D3E-A516-4580-B07D-7971ECA66C84}" name="Board" dataDxfId="30" dataCellStyle="40% - Accent1"/>
    <tableColumn id="3" xr3:uid="{25606EE7-5DCA-499B-B398-F63EAF08D744}" name="Q1" dataDxfId="29" dataCellStyle="Currency"/>
    <tableColumn id="5" xr3:uid="{C2E7E37C-770E-40B2-91E7-531C880058CA}" name="Q2" dataDxfId="28" dataCellStyle="Currency"/>
    <tableColumn id="7" xr3:uid="{4BA29D51-D2CC-410C-A584-EE53B17972F0}" name="Q3" dataDxfId="27" dataCellStyle="Currency"/>
    <tableColumn id="9" xr3:uid="{4B8BD2A2-F047-461E-8748-D9208D33A5AA}" name="Q4" dataDxfId="26" dataCellStyle="Currency"/>
    <tableColumn id="11" xr3:uid="{860123B8-152E-4DF4-8F07-4F0AAEA79384}" name="YTD Expended" dataDxfId="25" dataCellStyle="Currency"/>
    <tableColumn id="19" xr3:uid="{0B904BEF-C77A-4C85-811B-F93702B7F98C}" name="Total Planned" dataDxfId="24" dataCellStyle="Currency"/>
    <tableColumn id="12" xr3:uid="{B544A27F-29FF-4228-949F-EE60D2AD683F}" name="YTD % Expended of Planned" dataDxfId="23" dataCellStyle="Percent">
      <calculatedColumnFormula>Table202290[[#This Row],[YTD Expended]]/Table202290[[#This Row],[Total Planned]]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C5F749-9E94-4211-9B6F-65753781FE4D}" name="Table491" displayName="Table491" ref="A1:I976" totalsRowShown="0" headerRowDxfId="22" dataDxfId="21">
  <autoFilter ref="A1:I976" xr:uid="{C5319488-CD05-48BF-BFBE-99560D01CDC4}"/>
  <sortState xmlns:xlrd2="http://schemas.microsoft.com/office/spreadsheetml/2017/richdata2" ref="A2:I971">
    <sortCondition ref="A1:A971"/>
  </sortState>
  <tableColumns count="9">
    <tableColumn id="8" xr3:uid="{BF46739D-4A15-433F-9D2E-999423D7DB75}" name="Board Number" dataDxfId="20"/>
    <tableColumn id="2" xr3:uid="{4C8A7BFC-036C-43B9-9072-17A167BF53EA}" name="Board" dataDxfId="19"/>
    <tableColumn id="1" xr3:uid="{80D7F50E-9377-43D6-A606-3CF7F6E83380}" name="Quarter" dataDxfId="18"/>
    <tableColumn id="3" xr3:uid="{38621A98-C230-452E-B2E3-E5F9EF53EBFC}" name="Activity Category" dataDxfId="17"/>
    <tableColumn id="4" xr3:uid="{29B765D6-BC30-455F-89CA-F167E401724A}" name="Activity Description:" dataDxfId="16"/>
    <tableColumn id="5" xr3:uid="{38E7D38B-4D0E-4F05-932B-9705D471EF05}" name="Project Status " dataDxfId="15"/>
    <tableColumn id="6" xr3:uid="{803576A7-17DB-4888-A666-9904F8216A5D}" name="Number of Participants _x000a_(if applicable)" dataDxfId="14"/>
    <tableColumn id="7" xr3:uid="{01BED4B1-FEAA-458E-BE13-65A67211795B}" name="Measurable Outcome(s)" dataDxfId="13"/>
    <tableColumn id="9" xr3:uid="{162EC8E0-1C26-49CA-9420-29BA63A1C299}" name="Column1" dataDxfId="12"/>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9A2CF4E-6525-463D-854E-0F0397DF862E}" name="Table5" displayName="Table5" ref="A1:H1327" totalsRowShown="0" headerRowDxfId="11" dataDxfId="9" headerRowBorderDxfId="10" tableBorderDxfId="8">
  <autoFilter ref="A1:H1327" xr:uid="{F9A2CF4E-6525-463D-854E-0F0397DF862E}"/>
  <sortState xmlns:xlrd2="http://schemas.microsoft.com/office/spreadsheetml/2017/richdata2" ref="A2:H1327">
    <sortCondition ref="B1:B1327"/>
  </sortState>
  <tableColumns count="8">
    <tableColumn id="8" xr3:uid="{32820FBA-8427-4109-B9BA-31391BD3505A}" name="Board Number" dataDxfId="7"/>
    <tableColumn id="1" xr3:uid="{28C9397C-2B1A-4F7E-B654-C892AABA2BEE}" name="Quarter" dataDxfId="6"/>
    <tableColumn id="2" xr3:uid="{077486B5-824F-4E16-9C03-37B0529CAD6B}" name="Board" dataDxfId="5"/>
    <tableColumn id="3" xr3:uid="{3A4A8623-B39A-406C-A250-AC903E2B8C64}" name="Activity Category" dataDxfId="4"/>
    <tableColumn id="4" xr3:uid="{299552B4-B2E9-4EE3-8744-866C228E1BA5}" name="Activity Description:" dataDxfId="3"/>
    <tableColumn id="5" xr3:uid="{FD493B84-BB57-4C26-87AF-65ED5F6672F2}" name="Project Status " dataDxfId="2"/>
    <tableColumn id="6" xr3:uid="{745A672D-5F77-4D8C-AA59-4CF7E0D4C28F}" name="Number and Type of Participants _x000a_(if applicable)" dataDxfId="1"/>
    <tableColumn id="7" xr3:uid="{4016C997-78CF-415F-8632-017702D7D1F5}" name="Measurable Outcome(s)" dataDxfId="0"/>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C1BA6-62D5-45EF-8214-6752F88A939D}">
  <sheetPr>
    <tabColor theme="4" tint="-0.499984740745262"/>
  </sheetPr>
  <dimension ref="A1:Q35"/>
  <sheetViews>
    <sheetView showGridLines="0" showWhiteSpace="0" topLeftCell="A2" zoomScale="90" zoomScaleNormal="90" zoomScalePageLayoutView="115" workbookViewId="0">
      <selection activeCell="A34" sqref="A34"/>
    </sheetView>
  </sheetViews>
  <sheetFormatPr defaultColWidth="0" defaultRowHeight="15.75" zeroHeight="1" x14ac:dyDescent="0.25"/>
  <cols>
    <col min="1" max="1" width="4.5703125" style="157" customWidth="1"/>
    <col min="2" max="2" width="14.7109375" style="9" customWidth="1"/>
    <col min="3" max="3" width="20.140625" style="9" bestFit="1" customWidth="1"/>
    <col min="4" max="4" width="8.28515625" style="9" bestFit="1" customWidth="1"/>
    <col min="5" max="5" width="24" style="9" customWidth="1"/>
    <col min="6" max="6" width="11" style="9" customWidth="1"/>
    <col min="7" max="7" width="20.140625" style="9" bestFit="1" customWidth="1"/>
    <col min="8" max="8" width="7.28515625" style="9" bestFit="1" customWidth="1"/>
    <col min="9" max="9" width="17.42578125" style="9" bestFit="1" customWidth="1"/>
    <col min="10" max="10" width="7.28515625" style="9" bestFit="1" customWidth="1"/>
    <col min="11" max="11" width="17.42578125" style="9" bestFit="1" customWidth="1"/>
    <col min="12" max="12" width="7.28515625" style="9" bestFit="1" customWidth="1"/>
    <col min="13" max="13" width="17.42578125" style="9" bestFit="1" customWidth="1"/>
    <col min="14" max="14" width="7.28515625" style="9" bestFit="1" customWidth="1"/>
    <col min="15" max="15" width="17.42578125" style="9" bestFit="1" customWidth="1"/>
    <col min="16" max="16" width="7.28515625" style="9" bestFit="1" customWidth="1"/>
    <col min="17" max="17" width="15.7109375" style="9" bestFit="1" customWidth="1"/>
    <col min="18" max="16384" width="8.5703125" style="9" hidden="1"/>
  </cols>
  <sheetData>
    <row r="1" spans="1:17" s="4" customFormat="1" ht="36.4" customHeight="1" thickBot="1" x14ac:dyDescent="0.3">
      <c r="A1" s="88"/>
      <c r="B1" s="3"/>
      <c r="C1" s="237" t="s">
        <v>0</v>
      </c>
      <c r="D1" s="238"/>
      <c r="E1" s="239" t="s">
        <v>1</v>
      </c>
      <c r="F1" s="240"/>
      <c r="G1" s="241" t="s">
        <v>2</v>
      </c>
      <c r="H1" s="242"/>
      <c r="I1" s="243" t="s">
        <v>3</v>
      </c>
      <c r="J1" s="244"/>
      <c r="K1" s="245" t="s">
        <v>4</v>
      </c>
      <c r="L1" s="246"/>
      <c r="M1" s="219" t="s">
        <v>5</v>
      </c>
      <c r="N1" s="220"/>
      <c r="O1" s="221" t="s">
        <v>6</v>
      </c>
      <c r="P1" s="222"/>
      <c r="Q1" s="88" t="s">
        <v>7</v>
      </c>
    </row>
    <row r="2" spans="1:17" s="5" customFormat="1" ht="16.5" customHeight="1" thickBot="1" x14ac:dyDescent="0.3">
      <c r="A2" s="96" t="s">
        <v>8</v>
      </c>
      <c r="B2" s="97" t="s">
        <v>9</v>
      </c>
      <c r="C2" s="89" t="s">
        <v>10</v>
      </c>
      <c r="D2" s="90" t="s">
        <v>11</v>
      </c>
      <c r="E2" s="91" t="s">
        <v>12</v>
      </c>
      <c r="F2" s="91" t="s">
        <v>13</v>
      </c>
      <c r="G2" s="92" t="s">
        <v>14</v>
      </c>
      <c r="H2" s="93" t="s">
        <v>15</v>
      </c>
      <c r="I2" s="91" t="s">
        <v>16</v>
      </c>
      <c r="J2" s="91" t="s">
        <v>17</v>
      </c>
      <c r="K2" s="94" t="s">
        <v>18</v>
      </c>
      <c r="L2" s="94" t="s">
        <v>19</v>
      </c>
      <c r="M2" s="91" t="s">
        <v>20</v>
      </c>
      <c r="N2" s="91" t="s">
        <v>21</v>
      </c>
      <c r="O2" s="94" t="s">
        <v>22</v>
      </c>
      <c r="P2" s="93" t="s">
        <v>23</v>
      </c>
      <c r="Q2" s="95" t="s">
        <v>24</v>
      </c>
    </row>
    <row r="3" spans="1:17" x14ac:dyDescent="0.25">
      <c r="A3" s="77">
        <v>1</v>
      </c>
      <c r="B3" s="6" t="s">
        <v>25</v>
      </c>
      <c r="C3" s="85">
        <v>110773</v>
      </c>
      <c r="D3" s="168">
        <v>0.17846908184053495</v>
      </c>
      <c r="E3" s="85">
        <v>467979</v>
      </c>
      <c r="F3" s="7">
        <v>0.75416237059469982</v>
      </c>
      <c r="G3" s="85">
        <v>142167</v>
      </c>
      <c r="H3" s="7">
        <v>1.7540357116759598E-3</v>
      </c>
      <c r="I3" s="85">
        <v>0</v>
      </c>
      <c r="J3" s="7">
        <v>0</v>
      </c>
      <c r="K3" s="85">
        <v>0</v>
      </c>
      <c r="L3" s="159">
        <v>5.0135146697548927E-2</v>
      </c>
      <c r="M3" s="85">
        <v>0</v>
      </c>
      <c r="N3" s="8">
        <v>0</v>
      </c>
      <c r="O3" s="85">
        <v>8825</v>
      </c>
      <c r="P3" s="7">
        <v>1.5479365155540346E-2</v>
      </c>
      <c r="Q3" s="217">
        <f>Table2089[[#This Row],[Expenditures 1]]+Table2089[[#This Row],[Expenditures 2]]+Table2089[[#This Row],[Expenditures 3]]+Table2089[[#This Row],[Expenditures
4]]+Table2089[[#This Row],[Expenditures
5]]+Table2089[[#This Row],[Expenditures
6]]+Table2089[[#This Row],[Expenditures
7]]</f>
        <v>729744</v>
      </c>
    </row>
    <row r="4" spans="1:17" x14ac:dyDescent="0.25">
      <c r="A4" s="79">
        <v>2</v>
      </c>
      <c r="B4" s="10" t="s">
        <v>26</v>
      </c>
      <c r="C4" s="86">
        <v>116458</v>
      </c>
      <c r="D4" s="7">
        <v>0.168372748395934</v>
      </c>
      <c r="E4" s="86">
        <v>65277</v>
      </c>
      <c r="F4" s="7">
        <v>5.8711545613388649E-2</v>
      </c>
      <c r="G4" s="86">
        <v>501847</v>
      </c>
      <c r="H4" s="7">
        <v>0.73651341506202406</v>
      </c>
      <c r="I4" s="86">
        <v>0</v>
      </c>
      <c r="J4" s="7">
        <v>0</v>
      </c>
      <c r="K4" s="86">
        <v>0</v>
      </c>
      <c r="L4" s="7">
        <v>0</v>
      </c>
      <c r="M4" s="86">
        <v>0</v>
      </c>
      <c r="N4" s="8">
        <v>0</v>
      </c>
      <c r="O4" s="86">
        <v>61570</v>
      </c>
      <c r="P4" s="7">
        <v>3.6402290928653235E-2</v>
      </c>
      <c r="Q4" s="217">
        <f>Table2089[[#This Row],[Expenditures 1]]+Table2089[[#This Row],[Expenditures 2]]+Table2089[[#This Row],[Expenditures 3]]+Table2089[[#This Row],[Expenditures
4]]+Table2089[[#This Row],[Expenditures
5]]+Table2089[[#This Row],[Expenditures
6]]+Table2089[[#This Row],[Expenditures
7]]</f>
        <v>745152</v>
      </c>
    </row>
    <row r="5" spans="1:17" x14ac:dyDescent="0.25">
      <c r="A5" s="79">
        <v>3</v>
      </c>
      <c r="B5" s="10" t="s">
        <v>27</v>
      </c>
      <c r="C5" s="85">
        <v>66027</v>
      </c>
      <c r="D5" s="7">
        <v>0.25776906800565708</v>
      </c>
      <c r="E5" s="86">
        <v>95716</v>
      </c>
      <c r="F5" s="7">
        <v>0.23506183329130717</v>
      </c>
      <c r="G5" s="86">
        <v>128758</v>
      </c>
      <c r="H5" s="7">
        <v>0.50716909870303573</v>
      </c>
      <c r="I5" s="86">
        <v>0</v>
      </c>
      <c r="J5" s="7">
        <v>0</v>
      </c>
      <c r="K5" s="86">
        <v>0</v>
      </c>
      <c r="L5" s="7">
        <v>0</v>
      </c>
      <c r="M5" s="86">
        <v>0</v>
      </c>
      <c r="N5" s="8">
        <v>0</v>
      </c>
      <c r="O5" s="86">
        <v>0</v>
      </c>
      <c r="P5" s="7">
        <v>0</v>
      </c>
      <c r="Q5" s="217">
        <f>Table2089[[#This Row],[Expenditures 1]]+Table2089[[#This Row],[Expenditures 2]]+Table2089[[#This Row],[Expenditures 3]]+Table2089[[#This Row],[Expenditures
4]]+Table2089[[#This Row],[Expenditures
5]]+Table2089[[#This Row],[Expenditures
6]]+Table2089[[#This Row],[Expenditures
7]]</f>
        <v>290501</v>
      </c>
    </row>
    <row r="6" spans="1:17" x14ac:dyDescent="0.25">
      <c r="A6" s="79">
        <v>4</v>
      </c>
      <c r="B6" s="10" t="s">
        <v>28</v>
      </c>
      <c r="C6" s="86">
        <v>575663</v>
      </c>
      <c r="D6" s="7">
        <v>0.20222305085047573</v>
      </c>
      <c r="E6" s="86">
        <v>342161</v>
      </c>
      <c r="F6" s="7">
        <v>7.7821658964558851E-2</v>
      </c>
      <c r="G6" s="86">
        <v>1211640</v>
      </c>
      <c r="H6" s="7">
        <v>0.37600794504578228</v>
      </c>
      <c r="I6" s="86">
        <v>0</v>
      </c>
      <c r="J6" s="7">
        <v>0</v>
      </c>
      <c r="K6" s="86">
        <v>30437</v>
      </c>
      <c r="L6" s="7">
        <v>1.112479726042059E-2</v>
      </c>
      <c r="M6" s="86">
        <v>0</v>
      </c>
      <c r="N6" s="8">
        <v>0</v>
      </c>
      <c r="O6" s="86">
        <v>930600</v>
      </c>
      <c r="P6" s="7">
        <v>0.33282254787876253</v>
      </c>
      <c r="Q6" s="217">
        <f>Table2089[[#This Row],[Expenditures 1]]+Table2089[[#This Row],[Expenditures 2]]+Table2089[[#This Row],[Expenditures 3]]+Table2089[[#This Row],[Expenditures
4]]+Table2089[[#This Row],[Expenditures
5]]+Table2089[[#This Row],[Expenditures
6]]+Table2089[[#This Row],[Expenditures
7]]</f>
        <v>3090501</v>
      </c>
    </row>
    <row r="7" spans="1:17" s="160" customFormat="1" x14ac:dyDescent="0.25">
      <c r="A7" s="79">
        <v>5</v>
      </c>
      <c r="B7" s="10" t="s">
        <v>29</v>
      </c>
      <c r="C7" s="86">
        <v>327606</v>
      </c>
      <c r="D7" s="7">
        <v>5.4050226708685464E-2</v>
      </c>
      <c r="E7" s="86">
        <v>186924</v>
      </c>
      <c r="F7" s="7">
        <v>6.6161946283663162E-2</v>
      </c>
      <c r="G7" s="86">
        <v>687090</v>
      </c>
      <c r="H7" s="7">
        <v>0.19708413230402611</v>
      </c>
      <c r="I7" s="86">
        <v>0</v>
      </c>
      <c r="J7" s="7">
        <v>0</v>
      </c>
      <c r="K7" s="86">
        <v>96052</v>
      </c>
      <c r="L7" s="7">
        <v>3.6952172131752191E-2</v>
      </c>
      <c r="M7" s="86">
        <v>0</v>
      </c>
      <c r="N7" s="8">
        <v>0</v>
      </c>
      <c r="O7" s="86">
        <v>1845861</v>
      </c>
      <c r="P7" s="7">
        <v>0.64575152257187296</v>
      </c>
      <c r="Q7" s="217">
        <f>Table2089[[#This Row],[Expenditures 1]]+Table2089[[#This Row],[Expenditures 2]]+Table2089[[#This Row],[Expenditures 3]]+Table2089[[#This Row],[Expenditures
4]]+Table2089[[#This Row],[Expenditures
5]]+Table2089[[#This Row],[Expenditures
6]]+Table2089[[#This Row],[Expenditures
7]]</f>
        <v>3143533</v>
      </c>
    </row>
    <row r="8" spans="1:17" s="177" customFormat="1" x14ac:dyDescent="0.25">
      <c r="A8" s="79">
        <v>6</v>
      </c>
      <c r="B8" s="10" t="s">
        <v>30</v>
      </c>
      <c r="C8" s="86">
        <v>285793</v>
      </c>
      <c r="D8" s="7">
        <v>3.1802313202944078E-4</v>
      </c>
      <c r="E8" s="86">
        <v>1061533</v>
      </c>
      <c r="F8" s="7">
        <v>0.12981497961300434</v>
      </c>
      <c r="G8" s="86">
        <v>1428447</v>
      </c>
      <c r="H8" s="7">
        <v>0.36817186630964799</v>
      </c>
      <c r="I8" s="86">
        <v>39960</v>
      </c>
      <c r="J8" s="7">
        <v>8.6097495942267562E-3</v>
      </c>
      <c r="K8" s="86">
        <v>0</v>
      </c>
      <c r="L8" s="7">
        <v>0</v>
      </c>
      <c r="M8" s="86">
        <v>0</v>
      </c>
      <c r="N8" s="8">
        <v>0</v>
      </c>
      <c r="O8" s="86">
        <v>2119414</v>
      </c>
      <c r="P8" s="7">
        <v>0.49308538135109137</v>
      </c>
      <c r="Q8" s="217">
        <f>Table2089[[#This Row],[Expenditures 1]]+Table2089[[#This Row],[Expenditures 2]]+Table2089[[#This Row],[Expenditures 3]]+Table2089[[#This Row],[Expenditures
4]]+Table2089[[#This Row],[Expenditures
5]]+Table2089[[#This Row],[Expenditures
6]]+Table2089[[#This Row],[Expenditures
7]]</f>
        <v>4935147</v>
      </c>
    </row>
    <row r="9" spans="1:17" s="177" customFormat="1" x14ac:dyDescent="0.25">
      <c r="A9" s="79">
        <v>7</v>
      </c>
      <c r="B9" s="10" t="s">
        <v>31</v>
      </c>
      <c r="C9" s="86">
        <v>111770</v>
      </c>
      <c r="D9" s="7">
        <v>0.18857697485412403</v>
      </c>
      <c r="E9" s="86">
        <v>157551</v>
      </c>
      <c r="F9" s="7">
        <v>0.42819881856928677</v>
      </c>
      <c r="G9" s="86">
        <v>131822</v>
      </c>
      <c r="H9" s="7">
        <v>0.1692076799046188</v>
      </c>
      <c r="I9" s="86">
        <v>9657</v>
      </c>
      <c r="J9" s="7">
        <v>1.8370900849820754E-2</v>
      </c>
      <c r="K9" s="86">
        <v>14743.34</v>
      </c>
      <c r="L9" s="7">
        <v>5.0968364493220106E-2</v>
      </c>
      <c r="M9" s="86">
        <v>0</v>
      </c>
      <c r="N9" s="8">
        <v>0</v>
      </c>
      <c r="O9" s="86">
        <v>51150</v>
      </c>
      <c r="P9" s="7">
        <v>0.14467726132892963</v>
      </c>
      <c r="Q9" s="217">
        <f>Table2089[[#This Row],[Expenditures 1]]+Table2089[[#This Row],[Expenditures 2]]+Table2089[[#This Row],[Expenditures 3]]+Table2089[[#This Row],[Expenditures
4]]+Table2089[[#This Row],[Expenditures
5]]+Table2089[[#This Row],[Expenditures
6]]+Table2089[[#This Row],[Expenditures
7]]</f>
        <v>476693.34</v>
      </c>
    </row>
    <row r="10" spans="1:17" s="177" customFormat="1" x14ac:dyDescent="0.25">
      <c r="A10" s="79">
        <v>8</v>
      </c>
      <c r="B10" s="10" t="s">
        <v>32</v>
      </c>
      <c r="C10" s="86">
        <v>449446</v>
      </c>
      <c r="D10" s="7">
        <v>0.33004541853809399</v>
      </c>
      <c r="E10" s="86">
        <v>128907</v>
      </c>
      <c r="F10" s="7">
        <v>7.4897411384432913E-2</v>
      </c>
      <c r="G10" s="86">
        <v>782272</v>
      </c>
      <c r="H10" s="7">
        <v>0.55383003742059245</v>
      </c>
      <c r="I10" s="86">
        <v>53916</v>
      </c>
      <c r="J10" s="7">
        <v>4.1008677592300924E-2</v>
      </c>
      <c r="K10" s="86">
        <v>281.06</v>
      </c>
      <c r="L10" s="7">
        <v>2.1845506457979721E-4</v>
      </c>
      <c r="M10" s="86">
        <v>0</v>
      </c>
      <c r="N10" s="8">
        <v>0</v>
      </c>
      <c r="O10" s="86">
        <v>0</v>
      </c>
      <c r="P10" s="7">
        <v>0</v>
      </c>
      <c r="Q10" s="217">
        <f>Table2089[[#This Row],[Expenditures 1]]+Table2089[[#This Row],[Expenditures 2]]+Table2089[[#This Row],[Expenditures 3]]+Table2089[[#This Row],[Expenditures
4]]+Table2089[[#This Row],[Expenditures
5]]+Table2089[[#This Row],[Expenditures
6]]+Table2089[[#This Row],[Expenditures
7]]</f>
        <v>1414822.06</v>
      </c>
    </row>
    <row r="11" spans="1:17" s="177" customFormat="1" x14ac:dyDescent="0.25">
      <c r="A11" s="79">
        <v>9</v>
      </c>
      <c r="B11" s="10" t="s">
        <v>33</v>
      </c>
      <c r="C11" s="86">
        <v>44348</v>
      </c>
      <c r="D11" s="7">
        <v>8.3622756096012246E-2</v>
      </c>
      <c r="E11" s="86">
        <v>39446</v>
      </c>
      <c r="F11" s="7">
        <v>0.10757388601441563</v>
      </c>
      <c r="G11" s="86">
        <v>124841</v>
      </c>
      <c r="H11" s="7">
        <v>0.16842085426514361</v>
      </c>
      <c r="I11" s="86">
        <v>0</v>
      </c>
      <c r="J11" s="7">
        <v>0</v>
      </c>
      <c r="K11" s="86">
        <v>0</v>
      </c>
      <c r="L11" s="7">
        <v>0</v>
      </c>
      <c r="M11" s="86">
        <v>0</v>
      </c>
      <c r="N11" s="8">
        <v>0</v>
      </c>
      <c r="O11" s="86">
        <v>247400</v>
      </c>
      <c r="P11" s="7">
        <v>0.64038250362442861</v>
      </c>
      <c r="Q11" s="217">
        <f>Table2089[[#This Row],[Expenditures 1]]+Table2089[[#This Row],[Expenditures 2]]+Table2089[[#This Row],[Expenditures 3]]+Table2089[[#This Row],[Expenditures
4]]+Table2089[[#This Row],[Expenditures
5]]+Table2089[[#This Row],[Expenditures
6]]+Table2089[[#This Row],[Expenditures
7]]</f>
        <v>456035</v>
      </c>
    </row>
    <row r="12" spans="1:17" s="160" customFormat="1" x14ac:dyDescent="0.25">
      <c r="A12" s="79">
        <v>10</v>
      </c>
      <c r="B12" s="10" t="s">
        <v>34</v>
      </c>
      <c r="C12" s="86">
        <v>341335</v>
      </c>
      <c r="D12" s="7">
        <v>0.35134984668527824</v>
      </c>
      <c r="E12" s="86">
        <v>620869</v>
      </c>
      <c r="F12" s="7">
        <v>0.14040673103501813</v>
      </c>
      <c r="G12" s="86">
        <v>552087</v>
      </c>
      <c r="H12" s="7">
        <v>0.24236483837772801</v>
      </c>
      <c r="I12" s="86">
        <v>38237</v>
      </c>
      <c r="J12" s="7">
        <v>0</v>
      </c>
      <c r="K12" s="86">
        <v>0</v>
      </c>
      <c r="L12" s="7">
        <v>0</v>
      </c>
      <c r="M12" s="86">
        <v>0</v>
      </c>
      <c r="N12" s="8">
        <v>0</v>
      </c>
      <c r="O12" s="86">
        <v>357270</v>
      </c>
      <c r="P12" s="7">
        <v>0.26587858390197561</v>
      </c>
      <c r="Q12" s="217">
        <f>Table2089[[#This Row],[Expenditures 1]]+Table2089[[#This Row],[Expenditures 2]]+Table2089[[#This Row],[Expenditures 3]]+Table2089[[#This Row],[Expenditures
4]]+Table2089[[#This Row],[Expenditures
5]]+Table2089[[#This Row],[Expenditures
6]]+Table2089[[#This Row],[Expenditures
7]]</f>
        <v>1909798</v>
      </c>
    </row>
    <row r="13" spans="1:17" s="160" customFormat="1" x14ac:dyDescent="0.25">
      <c r="A13" s="79">
        <v>11</v>
      </c>
      <c r="B13" s="10" t="s">
        <v>35</v>
      </c>
      <c r="C13" s="86">
        <v>36389</v>
      </c>
      <c r="D13" s="7">
        <v>2.6370775821983168E-2</v>
      </c>
      <c r="E13" s="86">
        <v>141598</v>
      </c>
      <c r="F13" s="7">
        <v>0.1406721695275438</v>
      </c>
      <c r="G13" s="86">
        <v>555648</v>
      </c>
      <c r="H13" s="7">
        <v>0.76885374040773524</v>
      </c>
      <c r="I13" s="86">
        <v>20697</v>
      </c>
      <c r="J13" s="7">
        <v>2.6353759799091384E-2</v>
      </c>
      <c r="K13" s="86">
        <v>0</v>
      </c>
      <c r="L13" s="7">
        <v>0</v>
      </c>
      <c r="M13" s="86">
        <v>0</v>
      </c>
      <c r="N13" s="8">
        <v>0</v>
      </c>
      <c r="O13" s="86">
        <v>36819</v>
      </c>
      <c r="P13" s="7">
        <v>3.7749554443646277E-2</v>
      </c>
      <c r="Q13" s="217">
        <f>Table2089[[#This Row],[Expenditures 1]]+Table2089[[#This Row],[Expenditures 2]]+Table2089[[#This Row],[Expenditures 3]]+Table2089[[#This Row],[Expenditures
4]]+Table2089[[#This Row],[Expenditures
5]]+Table2089[[#This Row],[Expenditures
6]]+Table2089[[#This Row],[Expenditures
7]]</f>
        <v>791151</v>
      </c>
    </row>
    <row r="14" spans="1:17" s="160" customFormat="1" x14ac:dyDescent="0.25">
      <c r="A14" s="79">
        <v>12</v>
      </c>
      <c r="B14" s="10" t="s">
        <v>36</v>
      </c>
      <c r="C14" s="86">
        <v>8149</v>
      </c>
      <c r="D14" s="7">
        <v>3.7299172203965031E-2</v>
      </c>
      <c r="E14" s="86">
        <v>1950</v>
      </c>
      <c r="F14" s="7">
        <v>1.1177679767041105E-2</v>
      </c>
      <c r="G14" s="86">
        <v>28825</v>
      </c>
      <c r="H14" s="7">
        <v>0.16358992910542283</v>
      </c>
      <c r="I14" s="86">
        <v>0</v>
      </c>
      <c r="J14" s="7">
        <v>0</v>
      </c>
      <c r="K14" s="86">
        <v>0</v>
      </c>
      <c r="L14" s="7">
        <v>0</v>
      </c>
      <c r="M14" s="86">
        <v>0</v>
      </c>
      <c r="N14" s="8">
        <v>0</v>
      </c>
      <c r="O14" s="86">
        <v>137458</v>
      </c>
      <c r="P14" s="7">
        <v>0.78793321892357115</v>
      </c>
      <c r="Q14" s="217">
        <f>Table2089[[#This Row],[Expenditures 1]]+Table2089[[#This Row],[Expenditures 2]]+Table2089[[#This Row],[Expenditures 3]]+Table2089[[#This Row],[Expenditures
4]]+Table2089[[#This Row],[Expenditures
5]]+Table2089[[#This Row],[Expenditures
6]]+Table2089[[#This Row],[Expenditures
7]]</f>
        <v>176382</v>
      </c>
    </row>
    <row r="15" spans="1:17" s="160" customFormat="1" x14ac:dyDescent="0.25">
      <c r="A15" s="79">
        <v>13</v>
      </c>
      <c r="B15" s="10" t="s">
        <v>37</v>
      </c>
      <c r="C15" s="86">
        <v>0</v>
      </c>
      <c r="D15" s="7">
        <v>0</v>
      </c>
      <c r="E15" s="86">
        <v>26302</v>
      </c>
      <c r="F15" s="7">
        <v>7.4367636610144602E-2</v>
      </c>
      <c r="G15" s="86">
        <v>586391</v>
      </c>
      <c r="H15" s="7">
        <v>0.91828595211731079</v>
      </c>
      <c r="I15" s="86">
        <v>0</v>
      </c>
      <c r="J15" s="7">
        <v>0</v>
      </c>
      <c r="K15" s="86">
        <v>0</v>
      </c>
      <c r="L15" s="7">
        <v>0</v>
      </c>
      <c r="M15" s="86">
        <v>0</v>
      </c>
      <c r="N15" s="8">
        <v>0</v>
      </c>
      <c r="O15" s="86">
        <v>3050</v>
      </c>
      <c r="P15" s="7">
        <v>7.3464112725447122E-3</v>
      </c>
      <c r="Q15" s="217">
        <f>Table2089[[#This Row],[Expenditures 1]]+Table2089[[#This Row],[Expenditures 2]]+Table2089[[#This Row],[Expenditures 3]]+Table2089[[#This Row],[Expenditures
4]]+Table2089[[#This Row],[Expenditures
5]]+Table2089[[#This Row],[Expenditures
6]]+Table2089[[#This Row],[Expenditures
7]]</f>
        <v>615743</v>
      </c>
    </row>
    <row r="16" spans="1:17" s="160" customFormat="1" x14ac:dyDescent="0.25">
      <c r="A16" s="79">
        <v>14</v>
      </c>
      <c r="B16" s="10" t="s">
        <v>38</v>
      </c>
      <c r="C16" s="86">
        <v>346364</v>
      </c>
      <c r="D16" s="7">
        <v>4.4396924821190091E-3</v>
      </c>
      <c r="E16" s="86">
        <v>287224</v>
      </c>
      <c r="F16" s="7">
        <v>0.2821531021757539</v>
      </c>
      <c r="G16" s="86">
        <v>670399</v>
      </c>
      <c r="H16" s="7">
        <v>0.5226543723666105</v>
      </c>
      <c r="I16" s="86">
        <v>24000</v>
      </c>
      <c r="J16" s="7">
        <v>2.1682219098720742E-2</v>
      </c>
      <c r="K16" s="86">
        <v>44991</v>
      </c>
      <c r="L16" s="7">
        <v>4.5565699679273514E-2</v>
      </c>
      <c r="M16" s="86">
        <v>16500</v>
      </c>
      <c r="N16" s="8">
        <v>1.1228292033266099E-2</v>
      </c>
      <c r="O16" s="86">
        <v>135960</v>
      </c>
      <c r="P16" s="7">
        <v>0.11227662216425612</v>
      </c>
      <c r="Q16" s="217">
        <f>Table2089[[#This Row],[Expenditures 1]]+Table2089[[#This Row],[Expenditures 2]]+Table2089[[#This Row],[Expenditures 3]]+Table2089[[#This Row],[Expenditures
4]]+Table2089[[#This Row],[Expenditures
5]]+Table2089[[#This Row],[Expenditures
6]]+Table2089[[#This Row],[Expenditures
7]]</f>
        <v>1525438</v>
      </c>
    </row>
    <row r="17" spans="1:17" s="160" customFormat="1" x14ac:dyDescent="0.25">
      <c r="A17" s="79">
        <v>15</v>
      </c>
      <c r="B17" s="10" t="s">
        <v>39</v>
      </c>
      <c r="C17" s="86">
        <v>0</v>
      </c>
      <c r="D17" s="7">
        <v>0</v>
      </c>
      <c r="E17" s="86">
        <v>228923</v>
      </c>
      <c r="F17" s="7">
        <v>0.21671308029642819</v>
      </c>
      <c r="G17" s="86">
        <v>763970</v>
      </c>
      <c r="H17" s="7">
        <v>-3.8164714119099087E-2</v>
      </c>
      <c r="I17" s="86">
        <v>6300</v>
      </c>
      <c r="J17" s="7">
        <v>0</v>
      </c>
      <c r="K17" s="86">
        <v>23433</v>
      </c>
      <c r="L17" s="7">
        <v>0.21505646766966441</v>
      </c>
      <c r="M17" s="86">
        <v>0</v>
      </c>
      <c r="N17" s="8">
        <v>0</v>
      </c>
      <c r="O17" s="86">
        <v>152834</v>
      </c>
      <c r="P17" s="7">
        <v>0.60639516615300659</v>
      </c>
      <c r="Q17" s="217">
        <f>Table2089[[#This Row],[Expenditures 1]]+Table2089[[#This Row],[Expenditures 2]]+Table2089[[#This Row],[Expenditures 3]]+Table2089[[#This Row],[Expenditures
4]]+Table2089[[#This Row],[Expenditures
5]]+Table2089[[#This Row],[Expenditures
6]]+Table2089[[#This Row],[Expenditures
7]]</f>
        <v>1175460</v>
      </c>
    </row>
    <row r="18" spans="1:17" s="160" customFormat="1" x14ac:dyDescent="0.25">
      <c r="A18" s="79">
        <v>16</v>
      </c>
      <c r="B18" s="10" t="s">
        <v>40</v>
      </c>
      <c r="C18" s="86">
        <v>150390</v>
      </c>
      <c r="D18" s="7">
        <v>0.15435739388047312</v>
      </c>
      <c r="E18" s="86">
        <v>104811.43000000002</v>
      </c>
      <c r="F18" s="7">
        <v>0.38173674116653539</v>
      </c>
      <c r="G18" s="86">
        <v>125537.16999999998</v>
      </c>
      <c r="H18" s="7">
        <v>0.45722255837048814</v>
      </c>
      <c r="I18" s="86">
        <v>52962</v>
      </c>
      <c r="J18" s="7">
        <v>6.6833065825033797E-3</v>
      </c>
      <c r="K18" s="86">
        <v>0</v>
      </c>
      <c r="L18" s="7">
        <v>0</v>
      </c>
      <c r="M18" s="86">
        <v>0</v>
      </c>
      <c r="N18" s="8">
        <v>0</v>
      </c>
      <c r="O18" s="86">
        <v>0</v>
      </c>
      <c r="P18" s="7">
        <v>0</v>
      </c>
      <c r="Q18" s="217">
        <f>Table2089[[#This Row],[Expenditures 1]]+Table2089[[#This Row],[Expenditures 2]]+Table2089[[#This Row],[Expenditures 3]]+Table2089[[#This Row],[Expenditures
4]]+Table2089[[#This Row],[Expenditures
5]]+Table2089[[#This Row],[Expenditures
6]]+Table2089[[#This Row],[Expenditures
7]]</f>
        <v>433700.6</v>
      </c>
    </row>
    <row r="19" spans="1:17" s="160" customFormat="1" x14ac:dyDescent="0.25">
      <c r="A19" s="79">
        <v>17</v>
      </c>
      <c r="B19" s="10" t="s">
        <v>41</v>
      </c>
      <c r="C19" s="86">
        <v>74357</v>
      </c>
      <c r="D19" s="7">
        <v>9.5197541782024525E-2</v>
      </c>
      <c r="E19" s="86">
        <v>248722</v>
      </c>
      <c r="F19" s="7">
        <v>0.40874921105200235</v>
      </c>
      <c r="G19" s="86">
        <v>326196</v>
      </c>
      <c r="H19" s="7">
        <v>0.40832702012187955</v>
      </c>
      <c r="I19" s="86">
        <v>43169</v>
      </c>
      <c r="J19" s="7">
        <v>7.852930015188371E-2</v>
      </c>
      <c r="K19" s="86">
        <v>0</v>
      </c>
      <c r="L19" s="7">
        <v>0</v>
      </c>
      <c r="M19" s="86">
        <v>5441</v>
      </c>
      <c r="N19" s="8">
        <v>5.4199624289684254E-3</v>
      </c>
      <c r="O19" s="86">
        <v>2460</v>
      </c>
      <c r="P19" s="7">
        <v>3.7769644632414854E-3</v>
      </c>
      <c r="Q19" s="217">
        <f>Table2089[[#This Row],[Expenditures 1]]+Table2089[[#This Row],[Expenditures 2]]+Table2089[[#This Row],[Expenditures 3]]+Table2089[[#This Row],[Expenditures
4]]+Table2089[[#This Row],[Expenditures
5]]+Table2089[[#This Row],[Expenditures
6]]+Table2089[[#This Row],[Expenditures
7]]</f>
        <v>700345</v>
      </c>
    </row>
    <row r="20" spans="1:17" s="160" customFormat="1" x14ac:dyDescent="0.25">
      <c r="A20" s="79">
        <v>18</v>
      </c>
      <c r="B20" s="10" t="s">
        <v>42</v>
      </c>
      <c r="C20" s="86">
        <v>30000</v>
      </c>
      <c r="D20" s="7">
        <v>4.8296711622224153E-2</v>
      </c>
      <c r="E20" s="86">
        <v>136273</v>
      </c>
      <c r="F20" s="7">
        <v>5.4843294086168164E-2</v>
      </c>
      <c r="G20" s="86">
        <v>352367</v>
      </c>
      <c r="H20" s="7">
        <v>0.29736157382034845</v>
      </c>
      <c r="I20" s="86">
        <v>0</v>
      </c>
      <c r="J20" s="7">
        <v>0</v>
      </c>
      <c r="K20" s="86">
        <v>0</v>
      </c>
      <c r="L20" s="7">
        <v>1.7162522608534282E-3</v>
      </c>
      <c r="M20" s="86">
        <v>0</v>
      </c>
      <c r="N20" s="8">
        <v>0</v>
      </c>
      <c r="O20" s="86">
        <v>0</v>
      </c>
      <c r="P20" s="7">
        <v>0.59778216821040586</v>
      </c>
      <c r="Q20" s="217">
        <f>Table2089[[#This Row],[Expenditures 1]]+Table2089[[#This Row],[Expenditures 2]]+Table2089[[#This Row],[Expenditures 3]]+Table2089[[#This Row],[Expenditures
4]]+Table2089[[#This Row],[Expenditures
5]]+Table2089[[#This Row],[Expenditures
6]]+Table2089[[#This Row],[Expenditures
7]]</f>
        <v>518640</v>
      </c>
    </row>
    <row r="21" spans="1:17" s="160" customFormat="1" x14ac:dyDescent="0.25">
      <c r="A21" s="79">
        <v>19</v>
      </c>
      <c r="B21" s="10" t="s">
        <v>43</v>
      </c>
      <c r="C21" s="86">
        <v>8600</v>
      </c>
      <c r="D21" s="7">
        <v>4.2677403370211267E-2</v>
      </c>
      <c r="E21" s="86">
        <v>23639</v>
      </c>
      <c r="F21" s="7">
        <v>0.11483325317741028</v>
      </c>
      <c r="G21" s="86">
        <v>121240</v>
      </c>
      <c r="H21" s="7">
        <v>0.7508192897517898</v>
      </c>
      <c r="I21" s="86">
        <v>1147.04</v>
      </c>
      <c r="J21" s="7">
        <v>8.9004888657758414E-3</v>
      </c>
      <c r="K21" s="86">
        <v>10666</v>
      </c>
      <c r="L21" s="7">
        <v>8.2769564834812834E-2</v>
      </c>
      <c r="M21" s="86">
        <v>0</v>
      </c>
      <c r="N21" s="8">
        <v>0</v>
      </c>
      <c r="O21" s="86">
        <v>0</v>
      </c>
      <c r="P21" s="7">
        <v>0</v>
      </c>
      <c r="Q21" s="217">
        <f>Table2089[[#This Row],[Expenditures 1]]+Table2089[[#This Row],[Expenditures 2]]+Table2089[[#This Row],[Expenditures 3]]+Table2089[[#This Row],[Expenditures
4]]+Table2089[[#This Row],[Expenditures
5]]+Table2089[[#This Row],[Expenditures
6]]+Table2089[[#This Row],[Expenditures
7]]</f>
        <v>165292.04</v>
      </c>
    </row>
    <row r="22" spans="1:17" s="160" customFormat="1" x14ac:dyDescent="0.25">
      <c r="A22" s="79">
        <v>20</v>
      </c>
      <c r="B22" s="10" t="s">
        <v>44</v>
      </c>
      <c r="C22" s="86">
        <v>403705</v>
      </c>
      <c r="D22" s="7">
        <v>5.4599090075157397E-2</v>
      </c>
      <c r="E22" s="86">
        <v>136015</v>
      </c>
      <c r="F22" s="7">
        <v>4.4227207432186923E-2</v>
      </c>
      <c r="G22" s="86">
        <v>1226542</v>
      </c>
      <c r="H22" s="7">
        <v>0.27160016588406655</v>
      </c>
      <c r="I22" s="86">
        <v>0</v>
      </c>
      <c r="J22" s="7">
        <v>0</v>
      </c>
      <c r="K22" s="86">
        <v>36692</v>
      </c>
      <c r="L22" s="7">
        <v>9.4184401755201125E-3</v>
      </c>
      <c r="M22" s="86">
        <v>0</v>
      </c>
      <c r="N22" s="8">
        <v>0</v>
      </c>
      <c r="O22" s="86">
        <v>2396819</v>
      </c>
      <c r="P22" s="7">
        <v>0.62015509643306899</v>
      </c>
      <c r="Q22" s="217">
        <f>Table2089[[#This Row],[Expenditures 1]]+Table2089[[#This Row],[Expenditures 2]]+Table2089[[#This Row],[Expenditures 3]]+Table2089[[#This Row],[Expenditures
4]]+Table2089[[#This Row],[Expenditures
5]]+Table2089[[#This Row],[Expenditures
6]]+Table2089[[#This Row],[Expenditures
7]]</f>
        <v>4199773</v>
      </c>
    </row>
    <row r="23" spans="1:17" s="160" customFormat="1" x14ac:dyDescent="0.25">
      <c r="A23" s="79">
        <v>21</v>
      </c>
      <c r="B23" s="10" t="s">
        <v>45</v>
      </c>
      <c r="C23" s="86">
        <v>12717.27</v>
      </c>
      <c r="D23" s="7">
        <v>5.1022203756136621E-2</v>
      </c>
      <c r="E23" s="86">
        <v>55404</v>
      </c>
      <c r="F23" s="8">
        <v>0.19582352991208976</v>
      </c>
      <c r="G23" s="86">
        <v>566775</v>
      </c>
      <c r="H23" s="7">
        <v>0.72834982522748681</v>
      </c>
      <c r="I23" s="86">
        <v>6182</v>
      </c>
      <c r="J23" s="7">
        <v>2.4804441104286899E-2</v>
      </c>
      <c r="K23" s="86">
        <v>0</v>
      </c>
      <c r="L23" s="7">
        <v>0</v>
      </c>
      <c r="M23" s="86">
        <v>0</v>
      </c>
      <c r="N23" s="8">
        <v>0</v>
      </c>
      <c r="O23" s="86">
        <v>0</v>
      </c>
      <c r="P23" s="7">
        <v>0</v>
      </c>
      <c r="Q23" s="217">
        <f>Table2089[[#This Row],[Expenditures 1]]+Table2089[[#This Row],[Expenditures 2]]+Table2089[[#This Row],[Expenditures 3]]+Table2089[[#This Row],[Expenditures
4]]+Table2089[[#This Row],[Expenditures
5]]+Table2089[[#This Row],[Expenditures
6]]+Table2089[[#This Row],[Expenditures
7]]</f>
        <v>641078.27</v>
      </c>
    </row>
    <row r="24" spans="1:17" s="160" customFormat="1" x14ac:dyDescent="0.25">
      <c r="A24" s="79">
        <v>22</v>
      </c>
      <c r="B24" s="10" t="s">
        <v>46</v>
      </c>
      <c r="C24" s="86">
        <v>0</v>
      </c>
      <c r="D24" s="7">
        <v>0</v>
      </c>
      <c r="E24" s="86">
        <v>191699</v>
      </c>
      <c r="F24" s="7">
        <v>0.99216097732113551</v>
      </c>
      <c r="G24" s="86">
        <v>0</v>
      </c>
      <c r="H24" s="7">
        <v>0</v>
      </c>
      <c r="I24" s="86">
        <v>0</v>
      </c>
      <c r="J24" s="7">
        <v>0</v>
      </c>
      <c r="K24" s="86">
        <v>0</v>
      </c>
      <c r="L24" s="7">
        <v>0</v>
      </c>
      <c r="M24" s="86">
        <v>0</v>
      </c>
      <c r="N24" s="8">
        <v>0</v>
      </c>
      <c r="O24" s="86">
        <v>467496</v>
      </c>
      <c r="P24" s="7">
        <v>7.8390226788644431E-3</v>
      </c>
      <c r="Q24" s="217">
        <f>Table2089[[#This Row],[Expenditures 1]]+Table2089[[#This Row],[Expenditures 2]]+Table2089[[#This Row],[Expenditures 3]]+Table2089[[#This Row],[Expenditures
4]]+Table2089[[#This Row],[Expenditures
5]]+Table2089[[#This Row],[Expenditures
6]]+Table2089[[#This Row],[Expenditures
7]]</f>
        <v>659195</v>
      </c>
    </row>
    <row r="25" spans="1:17" s="160" customFormat="1" x14ac:dyDescent="0.25">
      <c r="A25" s="79">
        <v>23</v>
      </c>
      <c r="B25" s="10" t="s">
        <v>47</v>
      </c>
      <c r="C25" s="86">
        <v>152590</v>
      </c>
      <c r="D25" s="7">
        <v>5.7894455342389205E-2</v>
      </c>
      <c r="E25" s="86">
        <v>118242</v>
      </c>
      <c r="F25" s="7">
        <v>4.4913142435457409E-2</v>
      </c>
      <c r="G25" s="86">
        <v>2576441</v>
      </c>
      <c r="H25" s="7">
        <v>0.89719240222215346</v>
      </c>
      <c r="I25" s="86">
        <v>0</v>
      </c>
      <c r="J25" s="7">
        <v>0</v>
      </c>
      <c r="K25" s="86">
        <v>0</v>
      </c>
      <c r="L25" s="7">
        <v>0</v>
      </c>
      <c r="M25" s="86">
        <v>0</v>
      </c>
      <c r="N25" s="8">
        <v>0</v>
      </c>
      <c r="O25" s="86">
        <v>0</v>
      </c>
      <c r="P25" s="7">
        <v>0</v>
      </c>
      <c r="Q25" s="217">
        <f>Table2089[[#This Row],[Expenditures 1]]+Table2089[[#This Row],[Expenditures 2]]+Table2089[[#This Row],[Expenditures 3]]+Table2089[[#This Row],[Expenditures
4]]+Table2089[[#This Row],[Expenditures
5]]+Table2089[[#This Row],[Expenditures
6]]+Table2089[[#This Row],[Expenditures
7]]</f>
        <v>2847273</v>
      </c>
    </row>
    <row r="26" spans="1:17" s="160" customFormat="1" x14ac:dyDescent="0.25">
      <c r="A26" s="79">
        <v>24</v>
      </c>
      <c r="B26" s="10" t="s">
        <v>48</v>
      </c>
      <c r="C26" s="86">
        <v>322969</v>
      </c>
      <c r="D26" s="7">
        <v>0.28755551890880876</v>
      </c>
      <c r="E26" s="86">
        <v>147296</v>
      </c>
      <c r="F26" s="7">
        <v>9.4525885072578947E-2</v>
      </c>
      <c r="G26" s="86">
        <v>721755</v>
      </c>
      <c r="H26" s="7">
        <v>0.61791859601861232</v>
      </c>
      <c r="I26" s="86">
        <v>0</v>
      </c>
      <c r="J26" s="7">
        <v>0</v>
      </c>
      <c r="K26" s="86">
        <v>0</v>
      </c>
      <c r="L26" s="7">
        <v>0</v>
      </c>
      <c r="M26" s="86">
        <v>0</v>
      </c>
      <c r="N26" s="8">
        <v>0</v>
      </c>
      <c r="O26" s="86">
        <v>0</v>
      </c>
      <c r="P26" s="7">
        <v>0</v>
      </c>
      <c r="Q26" s="217">
        <f>Table2089[[#This Row],[Expenditures 1]]+Table2089[[#This Row],[Expenditures 2]]+Table2089[[#This Row],[Expenditures 3]]+Table2089[[#This Row],[Expenditures
4]]+Table2089[[#This Row],[Expenditures
5]]+Table2089[[#This Row],[Expenditures
6]]+Table2089[[#This Row],[Expenditures
7]]</f>
        <v>1192020</v>
      </c>
    </row>
    <row r="27" spans="1:17" s="160" customFormat="1" x14ac:dyDescent="0.25">
      <c r="A27" s="79">
        <v>25</v>
      </c>
      <c r="B27" s="10" t="s">
        <v>49</v>
      </c>
      <c r="C27" s="86">
        <v>49000</v>
      </c>
      <c r="D27" s="7">
        <v>0.32800997685856143</v>
      </c>
      <c r="E27" s="86">
        <v>70351</v>
      </c>
      <c r="F27" s="7">
        <v>0.31449409146926377</v>
      </c>
      <c r="G27" s="86">
        <v>60427</v>
      </c>
      <c r="H27" s="7">
        <v>0.11331446048718181</v>
      </c>
      <c r="I27" s="86">
        <v>4015</v>
      </c>
      <c r="J27" s="7">
        <v>2.2257819858259524E-2</v>
      </c>
      <c r="K27" s="86">
        <v>11438</v>
      </c>
      <c r="L27" s="7">
        <v>2.1278341902872901E-2</v>
      </c>
      <c r="M27" s="86">
        <v>2232</v>
      </c>
      <c r="N27" s="8">
        <v>0</v>
      </c>
      <c r="O27" s="86">
        <v>105414</v>
      </c>
      <c r="P27" s="7">
        <v>0.2006453094238605</v>
      </c>
      <c r="Q27" s="217">
        <f>Table2089[[#This Row],[Expenditures 1]]+Table2089[[#This Row],[Expenditures 2]]+Table2089[[#This Row],[Expenditures 3]]+Table2089[[#This Row],[Expenditures
4]]+Table2089[[#This Row],[Expenditures
5]]+Table2089[[#This Row],[Expenditures
6]]+Table2089[[#This Row],[Expenditures
7]]</f>
        <v>302877</v>
      </c>
    </row>
    <row r="28" spans="1:17" s="160" customFormat="1" x14ac:dyDescent="0.25">
      <c r="A28" s="79">
        <v>26</v>
      </c>
      <c r="B28" s="10" t="s">
        <v>50</v>
      </c>
      <c r="C28" s="86">
        <v>9962</v>
      </c>
      <c r="D28" s="7">
        <v>1.2813693910764186E-2</v>
      </c>
      <c r="E28" s="86">
        <v>316174</v>
      </c>
      <c r="F28" s="7">
        <v>0.36637958349224659</v>
      </c>
      <c r="G28" s="86">
        <v>439873</v>
      </c>
      <c r="H28" s="7">
        <v>0.55764231057142677</v>
      </c>
      <c r="I28" s="86">
        <v>0</v>
      </c>
      <c r="J28" s="7">
        <v>0</v>
      </c>
      <c r="K28" s="86">
        <v>117817</v>
      </c>
      <c r="L28" s="7">
        <v>0</v>
      </c>
      <c r="M28" s="86">
        <v>53744</v>
      </c>
      <c r="N28" s="8">
        <v>6.200684796889374E-2</v>
      </c>
      <c r="O28" s="86">
        <v>950</v>
      </c>
      <c r="P28" s="7">
        <v>1.1575640566688316E-3</v>
      </c>
      <c r="Q28" s="217">
        <f>Table2089[[#This Row],[Expenditures 1]]+Table2089[[#This Row],[Expenditures 2]]+Table2089[[#This Row],[Expenditures 3]]+Table2089[[#This Row],[Expenditures
4]]+Table2089[[#This Row],[Expenditures
5]]+Table2089[[#This Row],[Expenditures
6]]+Table2089[[#This Row],[Expenditures
7]]</f>
        <v>938520</v>
      </c>
    </row>
    <row r="29" spans="1:17" s="178" customFormat="1" x14ac:dyDescent="0.25">
      <c r="A29" s="79">
        <v>27</v>
      </c>
      <c r="B29" s="10" t="s">
        <v>51</v>
      </c>
      <c r="C29" s="87">
        <v>0</v>
      </c>
      <c r="D29" s="7">
        <v>0</v>
      </c>
      <c r="E29" s="87">
        <v>115315</v>
      </c>
      <c r="F29" s="7">
        <v>0.66523182454573959</v>
      </c>
      <c r="G29" s="87">
        <v>5439</v>
      </c>
      <c r="H29" s="7">
        <v>3.2809137088779076E-2</v>
      </c>
      <c r="I29" s="87">
        <v>6750</v>
      </c>
      <c r="J29" s="7">
        <v>2.0355008230660662E-2</v>
      </c>
      <c r="K29" s="87">
        <v>0</v>
      </c>
      <c r="L29" s="7">
        <v>0</v>
      </c>
      <c r="M29" s="87">
        <v>0</v>
      </c>
      <c r="N29" s="8">
        <v>0</v>
      </c>
      <c r="O29" s="87">
        <v>281474</v>
      </c>
      <c r="P29" s="7">
        <v>0.28160403013482072</v>
      </c>
      <c r="Q29" s="217">
        <f>Table2089[[#This Row],[Expenditures 1]]+Table2089[[#This Row],[Expenditures 2]]+Table2089[[#This Row],[Expenditures 3]]+Table2089[[#This Row],[Expenditures
4]]+Table2089[[#This Row],[Expenditures
5]]+Table2089[[#This Row],[Expenditures
6]]+Table2089[[#This Row],[Expenditures
7]]</f>
        <v>408978</v>
      </c>
    </row>
    <row r="30" spans="1:17" ht="16.5" thickBot="1" x14ac:dyDescent="0.3">
      <c r="A30" s="155">
        <v>28</v>
      </c>
      <c r="B30" s="98" t="s">
        <v>52</v>
      </c>
      <c r="C30" s="99">
        <v>71650</v>
      </c>
      <c r="D30" s="100">
        <v>1.31061445904594E-2</v>
      </c>
      <c r="E30" s="99">
        <v>239701</v>
      </c>
      <c r="F30" s="100">
        <v>6.3309293408071982E-2</v>
      </c>
      <c r="G30" s="99">
        <v>2698711</v>
      </c>
      <c r="H30" s="100">
        <v>0.66294683222428696</v>
      </c>
      <c r="I30" s="99">
        <v>0</v>
      </c>
      <c r="J30" s="100">
        <v>0</v>
      </c>
      <c r="K30" s="99">
        <v>0</v>
      </c>
      <c r="L30" s="100">
        <v>0</v>
      </c>
      <c r="M30" s="99">
        <v>0</v>
      </c>
      <c r="N30" s="101">
        <v>0.26063772977718175</v>
      </c>
      <c r="O30" s="99">
        <v>6540769</v>
      </c>
      <c r="P30" s="100">
        <v>0</v>
      </c>
      <c r="Q30" s="218">
        <f>Table2089[[#This Row],[Expenditures 1]]+Table2089[[#This Row],[Expenditures 2]]+Table2089[[#This Row],[Expenditures 3]]+Table2089[[#This Row],[Expenditures
4]]+Table2089[[#This Row],[Expenditures
5]]+Table2089[[#This Row],[Expenditures
6]]+Table2089[[#This Row],[Expenditures
7]]</f>
        <v>9550831</v>
      </c>
    </row>
    <row r="31" spans="1:17" s="11" customFormat="1" ht="16.5" thickBot="1" x14ac:dyDescent="0.3">
      <c r="A31" s="156"/>
      <c r="B31" s="103" t="s">
        <v>53</v>
      </c>
      <c r="C31" s="104">
        <f>SUM(C3:C30)</f>
        <v>4106061.27</v>
      </c>
      <c r="D31" s="171"/>
      <c r="E31" s="104">
        <f>SUM(E3:E30)</f>
        <v>5756002.4299999997</v>
      </c>
      <c r="F31" s="169"/>
      <c r="G31" s="104">
        <f>SUM(G3:G30)</f>
        <v>17517507.170000002</v>
      </c>
      <c r="H31" s="105"/>
      <c r="I31" s="104">
        <f>SUM(I3:I30)</f>
        <v>306992.03999999998</v>
      </c>
      <c r="J31" s="105"/>
      <c r="K31" s="104">
        <f>SUM(K3:K30)</f>
        <v>386550.4</v>
      </c>
      <c r="L31" s="105"/>
      <c r="M31" s="104">
        <f>SUM(M3:M30)</f>
        <v>77917</v>
      </c>
      <c r="N31" s="105"/>
      <c r="O31" s="104">
        <f>SUM(O3:O30)</f>
        <v>15883593</v>
      </c>
      <c r="P31" s="105"/>
      <c r="Q31" s="158">
        <f>SUM(C31:E31:G31:I31:K31:M31:O31)</f>
        <v>44034623.310000002</v>
      </c>
    </row>
    <row r="32" spans="1:17" x14ac:dyDescent="0.25">
      <c r="C32" s="223" t="s">
        <v>0</v>
      </c>
      <c r="D32" s="224"/>
      <c r="E32" s="225" t="s">
        <v>1</v>
      </c>
      <c r="F32" s="226"/>
      <c r="G32" s="227" t="s">
        <v>2</v>
      </c>
      <c r="H32" s="228"/>
      <c r="I32" s="229" t="s">
        <v>3</v>
      </c>
      <c r="J32" s="230"/>
      <c r="K32" s="231" t="s">
        <v>4</v>
      </c>
      <c r="L32" s="232"/>
      <c r="M32" s="233" t="s">
        <v>5</v>
      </c>
      <c r="N32" s="234"/>
      <c r="O32" s="235" t="s">
        <v>6</v>
      </c>
      <c r="P32" s="236"/>
      <c r="Q32" s="102" t="s">
        <v>7</v>
      </c>
    </row>
    <row r="33" spans="1:17" s="160" customFormat="1" x14ac:dyDescent="0.25">
      <c r="A33" s="175" t="s">
        <v>3336</v>
      </c>
      <c r="C33" s="161"/>
      <c r="D33" s="161"/>
      <c r="E33" s="170"/>
      <c r="F33" s="162"/>
      <c r="G33" s="162"/>
      <c r="H33" s="162"/>
      <c r="I33" s="161"/>
      <c r="J33" s="161"/>
      <c r="K33" s="162"/>
      <c r="L33" s="162"/>
      <c r="M33" s="162"/>
      <c r="N33" s="162"/>
      <c r="O33" s="161"/>
      <c r="P33" s="161"/>
      <c r="Q33" s="161"/>
    </row>
    <row r="34" spans="1:17" x14ac:dyDescent="0.25">
      <c r="A34" s="176" t="s">
        <v>54</v>
      </c>
      <c r="D34" s="12"/>
    </row>
    <row r="35" spans="1:17" x14ac:dyDescent="0.25"/>
  </sheetData>
  <mergeCells count="14">
    <mergeCell ref="M1:N1"/>
    <mergeCell ref="O1:P1"/>
    <mergeCell ref="C32:D32"/>
    <mergeCell ref="E32:F32"/>
    <mergeCell ref="G32:H32"/>
    <mergeCell ref="I32:J32"/>
    <mergeCell ref="K32:L32"/>
    <mergeCell ref="M32:N32"/>
    <mergeCell ref="O32:P32"/>
    <mergeCell ref="C1:D1"/>
    <mergeCell ref="E1:F1"/>
    <mergeCell ref="G1:H1"/>
    <mergeCell ref="I1:J1"/>
    <mergeCell ref="K1:L1"/>
  </mergeCells>
  <pageMargins left="0.25" right="0.25" top="0.75" bottom="0.75" header="0.3" footer="0.3"/>
  <pageSetup paperSize="5"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98CCE-96D8-4E0D-B49D-E16EAB446BBA}">
  <sheetPr>
    <tabColor theme="3" tint="-0.499984740745262"/>
  </sheetPr>
  <dimension ref="A1:I40"/>
  <sheetViews>
    <sheetView showGridLines="0" showWhiteSpace="0" topLeftCell="A18" zoomScaleNormal="100" zoomScaleSheetLayoutView="100" workbookViewId="0">
      <selection activeCell="C39" sqref="C39"/>
    </sheetView>
  </sheetViews>
  <sheetFormatPr defaultColWidth="0" defaultRowHeight="15" zeroHeight="1" x14ac:dyDescent="0.25"/>
  <cols>
    <col min="1" max="1" width="4.5703125" style="13" customWidth="1"/>
    <col min="2" max="2" width="16.7109375" customWidth="1"/>
    <col min="3" max="4" width="16.28515625" bestFit="1" customWidth="1"/>
    <col min="5" max="5" width="16.5703125" customWidth="1"/>
    <col min="6" max="6" width="16.28515625" bestFit="1" customWidth="1"/>
    <col min="7" max="7" width="17.7109375" customWidth="1"/>
    <col min="8" max="8" width="17.28515625" customWidth="1"/>
    <col min="9" max="9" width="29" style="13" customWidth="1"/>
    <col min="10" max="16384" width="8.85546875" hidden="1"/>
  </cols>
  <sheetData>
    <row r="1" spans="1:9" s="2" customFormat="1" ht="42" customHeight="1" x14ac:dyDescent="0.25">
      <c r="A1" s="74" t="s">
        <v>8</v>
      </c>
      <c r="B1" s="75" t="s">
        <v>9</v>
      </c>
      <c r="C1" s="75" t="s">
        <v>55</v>
      </c>
      <c r="D1" s="75" t="s">
        <v>56</v>
      </c>
      <c r="E1" s="75" t="s">
        <v>57</v>
      </c>
      <c r="F1" s="75" t="s">
        <v>58</v>
      </c>
      <c r="G1" s="75" t="s">
        <v>59</v>
      </c>
      <c r="H1" s="75" t="s">
        <v>60</v>
      </c>
      <c r="I1" s="76" t="s">
        <v>61</v>
      </c>
    </row>
    <row r="2" spans="1:9" ht="15.75" x14ac:dyDescent="0.25">
      <c r="A2" s="77">
        <v>1</v>
      </c>
      <c r="B2" s="6" t="s">
        <v>25</v>
      </c>
      <c r="C2" s="165">
        <v>249320</v>
      </c>
      <c r="D2" s="70">
        <v>565110</v>
      </c>
      <c r="E2" s="215">
        <v>938009</v>
      </c>
      <c r="F2" s="70">
        <v>1152022</v>
      </c>
      <c r="G2" s="70">
        <v>1152022</v>
      </c>
      <c r="H2" s="70">
        <v>1217770</v>
      </c>
      <c r="I2" s="78">
        <f>Table202290[[#This Row],[YTD Expended]]/Table202290[[#This Row],[Total Planned]]</f>
        <v>0.94600950918482141</v>
      </c>
    </row>
    <row r="3" spans="1:9" ht="15.75" x14ac:dyDescent="0.25">
      <c r="A3" s="79">
        <v>2</v>
      </c>
      <c r="B3" s="10" t="s">
        <v>26</v>
      </c>
      <c r="C3" s="166">
        <v>105305</v>
      </c>
      <c r="D3" s="28">
        <v>290538</v>
      </c>
      <c r="E3" s="216">
        <v>896661</v>
      </c>
      <c r="F3" s="28">
        <v>1217338</v>
      </c>
      <c r="G3" s="28">
        <v>1217338</v>
      </c>
      <c r="H3" s="28">
        <v>1281043</v>
      </c>
      <c r="I3" s="80">
        <f>Table202290[[#This Row],[YTD Expended]]/Table202290[[#This Row],[Total Planned]]</f>
        <v>0.95027099012289207</v>
      </c>
    </row>
    <row r="4" spans="1:9" ht="15.75" x14ac:dyDescent="0.25">
      <c r="A4" s="79">
        <v>3</v>
      </c>
      <c r="B4" s="10" t="s">
        <v>27</v>
      </c>
      <c r="C4" s="166">
        <v>87820</v>
      </c>
      <c r="D4" s="28">
        <v>275548</v>
      </c>
      <c r="E4" s="216">
        <v>544649</v>
      </c>
      <c r="F4" s="28">
        <v>652853</v>
      </c>
      <c r="G4" s="28">
        <v>652853</v>
      </c>
      <c r="H4" s="28">
        <v>699443</v>
      </c>
      <c r="I4" s="80">
        <f>Table202290[[#This Row],[YTD Expended]]/Table202290[[#This Row],[Total Planned]]</f>
        <v>0.93338985449850809</v>
      </c>
    </row>
    <row r="5" spans="1:9" ht="15.75" x14ac:dyDescent="0.25">
      <c r="A5" s="79">
        <v>4</v>
      </c>
      <c r="B5" s="10" t="s">
        <v>28</v>
      </c>
      <c r="C5" s="166">
        <v>753812</v>
      </c>
      <c r="D5" s="28">
        <v>2268879</v>
      </c>
      <c r="E5" s="216">
        <v>4511222</v>
      </c>
      <c r="F5" s="28">
        <v>5276782</v>
      </c>
      <c r="G5" s="28">
        <v>5276782</v>
      </c>
      <c r="H5" s="28">
        <v>5318997</v>
      </c>
      <c r="I5" s="80">
        <f>Table202290[[#This Row],[YTD Expended]]/Table202290[[#This Row],[Total Planned]]</f>
        <v>0.99206335329762363</v>
      </c>
    </row>
    <row r="6" spans="1:9" ht="15.75" x14ac:dyDescent="0.25">
      <c r="A6" s="79">
        <v>5</v>
      </c>
      <c r="B6" s="10" t="s">
        <v>29</v>
      </c>
      <c r="C6" s="166">
        <v>1164171</v>
      </c>
      <c r="D6" s="28">
        <v>2471805</v>
      </c>
      <c r="E6" s="216">
        <v>4414804</v>
      </c>
      <c r="F6" s="28">
        <v>4958979</v>
      </c>
      <c r="G6" s="28">
        <v>4958979</v>
      </c>
      <c r="H6" s="28">
        <v>4958979</v>
      </c>
      <c r="I6" s="80">
        <f>Table202290[[#This Row],[YTD Expended]]/Table202290[[#This Row],[Total Planned]]</f>
        <v>1</v>
      </c>
    </row>
    <row r="7" spans="1:9" ht="15.75" x14ac:dyDescent="0.25">
      <c r="A7" s="79">
        <v>6</v>
      </c>
      <c r="B7" s="10" t="s">
        <v>30</v>
      </c>
      <c r="C7" s="166">
        <v>912698</v>
      </c>
      <c r="D7" s="28">
        <v>1895937</v>
      </c>
      <c r="E7" s="216">
        <v>3994435</v>
      </c>
      <c r="F7" s="28">
        <v>6796489</v>
      </c>
      <c r="G7" s="28">
        <v>6796489</v>
      </c>
      <c r="H7" s="28">
        <v>6983091</v>
      </c>
      <c r="I7" s="80">
        <f>Table202290[[#This Row],[YTD Expended]]/Table202290[[#This Row],[Total Planned]]</f>
        <v>0.97327802258340901</v>
      </c>
    </row>
    <row r="8" spans="1:9" ht="15.75" x14ac:dyDescent="0.25">
      <c r="A8" s="79">
        <v>7</v>
      </c>
      <c r="B8" s="10" t="s">
        <v>31</v>
      </c>
      <c r="C8" s="166">
        <v>141104</v>
      </c>
      <c r="D8" s="28">
        <v>429027</v>
      </c>
      <c r="E8" s="216">
        <v>575233</v>
      </c>
      <c r="F8" s="28">
        <v>839281</v>
      </c>
      <c r="G8" s="28">
        <v>839281</v>
      </c>
      <c r="H8" s="28">
        <v>839281</v>
      </c>
      <c r="I8" s="80">
        <f>Table202290[[#This Row],[YTD Expended]]/Table202290[[#This Row],[Total Planned]]</f>
        <v>1</v>
      </c>
    </row>
    <row r="9" spans="1:9" ht="15.75" x14ac:dyDescent="0.25">
      <c r="A9" s="79">
        <v>8</v>
      </c>
      <c r="B9" s="10" t="s">
        <v>32</v>
      </c>
      <c r="C9" s="166">
        <v>446465</v>
      </c>
      <c r="D9" s="28">
        <v>1187180</v>
      </c>
      <c r="E9" s="216">
        <v>1740346</v>
      </c>
      <c r="F9" s="28">
        <v>2076027</v>
      </c>
      <c r="G9" s="28">
        <v>2076027</v>
      </c>
      <c r="H9" s="28">
        <v>2242295</v>
      </c>
      <c r="I9" s="80">
        <f>Table202290[[#This Row],[YTD Expended]]/Table202290[[#This Row],[Total Planned]]</f>
        <v>0.92584918576726083</v>
      </c>
    </row>
    <row r="10" spans="1:9" ht="15.75" x14ac:dyDescent="0.25">
      <c r="A10" s="79">
        <v>9</v>
      </c>
      <c r="B10" s="10" t="s">
        <v>33</v>
      </c>
      <c r="C10" s="166">
        <v>104962</v>
      </c>
      <c r="D10" s="28">
        <v>212380</v>
      </c>
      <c r="E10" s="216">
        <v>579317</v>
      </c>
      <c r="F10" s="28">
        <v>758280</v>
      </c>
      <c r="G10" s="28">
        <v>758280</v>
      </c>
      <c r="H10" s="28">
        <v>916598</v>
      </c>
      <c r="I10" s="80">
        <f>Table202290[[#This Row],[YTD Expended]]/Table202290[[#This Row],[Total Planned]]</f>
        <v>0.82727651598628837</v>
      </c>
    </row>
    <row r="11" spans="1:9" ht="15.75" x14ac:dyDescent="0.25">
      <c r="A11" s="79">
        <v>10</v>
      </c>
      <c r="B11" s="10" t="s">
        <v>34</v>
      </c>
      <c r="C11" s="166">
        <v>174101</v>
      </c>
      <c r="D11" s="28">
        <v>380857</v>
      </c>
      <c r="E11" s="216">
        <v>824434</v>
      </c>
      <c r="F11" s="28">
        <v>2271936</v>
      </c>
      <c r="G11" s="28">
        <v>2271936</v>
      </c>
      <c r="H11" s="28">
        <v>2836213</v>
      </c>
      <c r="I11" s="80">
        <f>Table202290[[#This Row],[YTD Expended]]/Table202290[[#This Row],[Total Planned]]</f>
        <v>0.8010456196343505</v>
      </c>
    </row>
    <row r="12" spans="1:9" ht="15.75" x14ac:dyDescent="0.25">
      <c r="A12" s="79">
        <v>11</v>
      </c>
      <c r="B12" s="10" t="s">
        <v>35</v>
      </c>
      <c r="C12" s="166">
        <v>107321</v>
      </c>
      <c r="D12" s="28">
        <v>363219</v>
      </c>
      <c r="E12" s="216">
        <v>779242</v>
      </c>
      <c r="F12" s="28">
        <v>1037805</v>
      </c>
      <c r="G12" s="28">
        <v>1037805</v>
      </c>
      <c r="H12" s="28">
        <v>1266549</v>
      </c>
      <c r="I12" s="80">
        <f>Table202290[[#This Row],[YTD Expended]]/Table202290[[#This Row],[Total Planned]]</f>
        <v>0.81939585440436968</v>
      </c>
    </row>
    <row r="13" spans="1:9" ht="15.75" x14ac:dyDescent="0.25">
      <c r="A13" s="79">
        <v>12</v>
      </c>
      <c r="B13" s="10" t="s">
        <v>36</v>
      </c>
      <c r="C13" s="166">
        <v>37717</v>
      </c>
      <c r="D13" s="28">
        <v>209043</v>
      </c>
      <c r="E13" s="216">
        <v>299769</v>
      </c>
      <c r="F13" s="28">
        <v>370221</v>
      </c>
      <c r="G13" s="28">
        <v>370221</v>
      </c>
      <c r="H13" s="28">
        <v>524749</v>
      </c>
      <c r="I13" s="80">
        <f>Table202290[[#This Row],[YTD Expended]]/Table202290[[#This Row],[Total Planned]]</f>
        <v>0.70552016297315479</v>
      </c>
    </row>
    <row r="14" spans="1:9" ht="15.75" x14ac:dyDescent="0.25">
      <c r="A14" s="79">
        <v>13</v>
      </c>
      <c r="B14" s="10" t="s">
        <v>37</v>
      </c>
      <c r="C14" s="166">
        <v>208909</v>
      </c>
      <c r="D14" s="28">
        <v>521981</v>
      </c>
      <c r="E14" s="216">
        <v>735093</v>
      </c>
      <c r="F14" s="28">
        <v>1081126</v>
      </c>
      <c r="G14" s="28">
        <v>1081126</v>
      </c>
      <c r="H14" s="28">
        <v>1135949</v>
      </c>
      <c r="I14" s="80">
        <f>Table202290[[#This Row],[YTD Expended]]/Table202290[[#This Row],[Total Planned]]</f>
        <v>0.95173815021625086</v>
      </c>
    </row>
    <row r="15" spans="1:9" ht="15.75" x14ac:dyDescent="0.25">
      <c r="A15" s="79">
        <v>14</v>
      </c>
      <c r="B15" s="10" t="s">
        <v>38</v>
      </c>
      <c r="C15" s="166">
        <v>455540</v>
      </c>
      <c r="D15" s="28">
        <v>1046486</v>
      </c>
      <c r="E15" s="216">
        <v>1946069</v>
      </c>
      <c r="F15" s="28">
        <v>2641288</v>
      </c>
      <c r="G15" s="28">
        <v>2641288</v>
      </c>
      <c r="H15" s="28">
        <v>2641288</v>
      </c>
      <c r="I15" s="80">
        <f>Table202290[[#This Row],[YTD Expended]]/Table202290[[#This Row],[Total Planned]]</f>
        <v>1</v>
      </c>
    </row>
    <row r="16" spans="1:9" ht="15.75" x14ac:dyDescent="0.25">
      <c r="A16" s="79">
        <v>15</v>
      </c>
      <c r="B16" s="10" t="s">
        <v>39</v>
      </c>
      <c r="C16" s="166">
        <v>451079</v>
      </c>
      <c r="D16" s="28">
        <v>874120</v>
      </c>
      <c r="E16" s="216">
        <v>1532187</v>
      </c>
      <c r="F16" s="28">
        <v>2411419</v>
      </c>
      <c r="G16" s="28">
        <v>2411419</v>
      </c>
      <c r="H16" s="28">
        <v>2411419</v>
      </c>
      <c r="I16" s="80">
        <f>Table202290[[#This Row],[YTD Expended]]/Table202290[[#This Row],[Total Planned]]</f>
        <v>1</v>
      </c>
    </row>
    <row r="17" spans="1:9" ht="15.75" x14ac:dyDescent="0.25">
      <c r="A17" s="79">
        <v>16</v>
      </c>
      <c r="B17" s="10" t="s">
        <v>40</v>
      </c>
      <c r="C17" s="166">
        <v>78807</v>
      </c>
      <c r="D17" s="28">
        <v>210451</v>
      </c>
      <c r="E17" s="216">
        <v>411250</v>
      </c>
      <c r="F17" s="28">
        <v>805336</v>
      </c>
      <c r="G17" s="28">
        <v>805336</v>
      </c>
      <c r="H17" s="28">
        <v>995526</v>
      </c>
      <c r="I17" s="80">
        <f>Table202290[[#This Row],[YTD Expended]]/Table202290[[#This Row],[Total Planned]]</f>
        <v>0.80895526585945521</v>
      </c>
    </row>
    <row r="18" spans="1:9" ht="15.75" x14ac:dyDescent="0.25">
      <c r="A18" s="79">
        <v>17</v>
      </c>
      <c r="B18" s="10" t="s">
        <v>41</v>
      </c>
      <c r="C18" s="166">
        <v>249903</v>
      </c>
      <c r="D18" s="28">
        <v>448313</v>
      </c>
      <c r="E18" s="216">
        <v>766502</v>
      </c>
      <c r="F18" s="28">
        <v>1015623</v>
      </c>
      <c r="G18" s="28">
        <v>1015623</v>
      </c>
      <c r="H18" s="28">
        <v>1121955</v>
      </c>
      <c r="I18" s="80">
        <f>Table202290[[#This Row],[YTD Expended]]/Table202290[[#This Row],[Total Planned]]</f>
        <v>0.90522614543364044</v>
      </c>
    </row>
    <row r="19" spans="1:9" ht="15.75" x14ac:dyDescent="0.25">
      <c r="A19" s="79">
        <v>18</v>
      </c>
      <c r="B19" s="10" t="s">
        <v>42</v>
      </c>
      <c r="C19" s="28">
        <v>44688</v>
      </c>
      <c r="D19" s="28">
        <v>249812</v>
      </c>
      <c r="E19" s="216">
        <v>603791</v>
      </c>
      <c r="F19" s="28">
        <v>958483</v>
      </c>
      <c r="G19" s="28">
        <v>958483</v>
      </c>
      <c r="H19" s="28">
        <v>1137178</v>
      </c>
      <c r="I19" s="80">
        <f>Table202290[[#This Row],[YTD Expended]]/Table202290[[#This Row],[Total Planned]]</f>
        <v>0.84286101208429987</v>
      </c>
    </row>
    <row r="20" spans="1:9" ht="15.75" x14ac:dyDescent="0.25">
      <c r="A20" s="79">
        <v>19</v>
      </c>
      <c r="B20" s="10" t="s">
        <v>43</v>
      </c>
      <c r="C20" s="166">
        <v>83198</v>
      </c>
      <c r="D20" s="28">
        <v>155719</v>
      </c>
      <c r="E20" s="216">
        <v>326636</v>
      </c>
      <c r="F20" s="28">
        <v>560053</v>
      </c>
      <c r="G20" s="28">
        <v>560053</v>
      </c>
      <c r="H20" s="28">
        <v>629778</v>
      </c>
      <c r="I20" s="80">
        <f>Table202290[[#This Row],[YTD Expended]]/Table202290[[#This Row],[Total Planned]]</f>
        <v>0.88928638345575739</v>
      </c>
    </row>
    <row r="21" spans="1:9" ht="15.75" x14ac:dyDescent="0.25">
      <c r="A21" s="79">
        <v>20</v>
      </c>
      <c r="B21" s="10" t="s">
        <v>44</v>
      </c>
      <c r="C21" s="166">
        <v>526437</v>
      </c>
      <c r="D21" s="28">
        <v>1846155</v>
      </c>
      <c r="E21" s="216">
        <v>3499708</v>
      </c>
      <c r="F21" s="28">
        <v>5794247</v>
      </c>
      <c r="G21" s="28">
        <v>5794247</v>
      </c>
      <c r="H21" s="28">
        <v>6185963</v>
      </c>
      <c r="I21" s="80">
        <f>Table202290[[#This Row],[YTD Expended]]/Table202290[[#This Row],[Total Planned]]</f>
        <v>0.93667663385636157</v>
      </c>
    </row>
    <row r="22" spans="1:9" ht="15.75" x14ac:dyDescent="0.25">
      <c r="A22" s="79">
        <v>21</v>
      </c>
      <c r="B22" s="10" t="s">
        <v>45</v>
      </c>
      <c r="C22" s="166">
        <v>139158</v>
      </c>
      <c r="D22" s="28">
        <v>347462</v>
      </c>
      <c r="E22" s="216">
        <v>522013</v>
      </c>
      <c r="F22" s="28">
        <v>1015310</v>
      </c>
      <c r="G22" s="28">
        <v>1015310</v>
      </c>
      <c r="H22" s="28">
        <v>1238118</v>
      </c>
      <c r="I22" s="80">
        <f>Table202290[[#This Row],[YTD Expended]]/Table202290[[#This Row],[Total Planned]]</f>
        <v>0.82004300074790937</v>
      </c>
    </row>
    <row r="23" spans="1:9" ht="15.75" x14ac:dyDescent="0.25">
      <c r="A23" s="79">
        <v>22</v>
      </c>
      <c r="B23" s="10" t="s">
        <v>46</v>
      </c>
      <c r="C23" s="166">
        <v>82238</v>
      </c>
      <c r="D23" s="28">
        <v>226639</v>
      </c>
      <c r="E23" s="216">
        <v>520727</v>
      </c>
      <c r="F23" s="28">
        <v>1565517</v>
      </c>
      <c r="G23" s="28">
        <v>1565517</v>
      </c>
      <c r="H23" s="28">
        <v>1701896</v>
      </c>
      <c r="I23" s="80">
        <f>Table202290[[#This Row],[YTD Expended]]/Table202290[[#This Row],[Total Planned]]</f>
        <v>0.91986643132130286</v>
      </c>
    </row>
    <row r="24" spans="1:9" ht="15.75" x14ac:dyDescent="0.25">
      <c r="A24" s="79">
        <v>23</v>
      </c>
      <c r="B24" s="10" t="s">
        <v>47</v>
      </c>
      <c r="C24" s="166">
        <v>409865</v>
      </c>
      <c r="D24" s="28">
        <v>1834766</v>
      </c>
      <c r="E24" s="216">
        <v>3154906</v>
      </c>
      <c r="F24" s="28">
        <v>3904331</v>
      </c>
      <c r="G24" s="28">
        <v>3904331</v>
      </c>
      <c r="H24" s="28">
        <v>4144106</v>
      </c>
      <c r="I24" s="80">
        <f>Table202290[[#This Row],[YTD Expended]]/Table202290[[#This Row],[Total Planned]]</f>
        <v>0.9421407174430384</v>
      </c>
    </row>
    <row r="25" spans="1:9" ht="15.75" x14ac:dyDescent="0.25">
      <c r="A25" s="79">
        <v>24</v>
      </c>
      <c r="B25" s="10" t="s">
        <v>48</v>
      </c>
      <c r="C25" s="166">
        <v>307495</v>
      </c>
      <c r="D25" s="28">
        <v>1120545</v>
      </c>
      <c r="E25" s="216">
        <v>1518873</v>
      </c>
      <c r="F25" s="28">
        <v>1712434</v>
      </c>
      <c r="G25" s="28">
        <v>1712434</v>
      </c>
      <c r="H25" s="28">
        <v>1761364</v>
      </c>
      <c r="I25" s="80">
        <f>Table202290[[#This Row],[YTD Expended]]/Table202290[[#This Row],[Total Planned]]</f>
        <v>0.97222039283191886</v>
      </c>
    </row>
    <row r="26" spans="1:9" ht="15.75" x14ac:dyDescent="0.25">
      <c r="A26" s="79">
        <v>25</v>
      </c>
      <c r="B26" s="10" t="s">
        <v>49</v>
      </c>
      <c r="C26" s="166">
        <v>93643</v>
      </c>
      <c r="D26" s="28">
        <v>227849</v>
      </c>
      <c r="E26" s="216">
        <v>373704</v>
      </c>
      <c r="F26" s="28">
        <v>586941</v>
      </c>
      <c r="G26" s="28">
        <v>586941</v>
      </c>
      <c r="H26" s="28">
        <v>643524</v>
      </c>
      <c r="I26" s="80">
        <f>Table202290[[#This Row],[YTD Expended]]/Table202290[[#This Row],[Total Planned]]</f>
        <v>0.91207320939079195</v>
      </c>
    </row>
    <row r="27" spans="1:9" ht="15.75" x14ac:dyDescent="0.25">
      <c r="A27" s="79">
        <v>26</v>
      </c>
      <c r="B27" s="10" t="s">
        <v>50</v>
      </c>
      <c r="C27" s="166">
        <v>641160</v>
      </c>
      <c r="D27" s="28">
        <v>1121781</v>
      </c>
      <c r="E27" s="216">
        <v>1522827</v>
      </c>
      <c r="F27" s="28">
        <v>1683855</v>
      </c>
      <c r="G27" s="28">
        <v>1683855</v>
      </c>
      <c r="H27" s="28">
        <v>1688722</v>
      </c>
      <c r="I27" s="80">
        <f>Table202290[[#This Row],[YTD Expended]]/Table202290[[#This Row],[Total Planned]]</f>
        <v>0.9971179388910667</v>
      </c>
    </row>
    <row r="28" spans="1:9" ht="15.75" x14ac:dyDescent="0.25">
      <c r="A28" s="79">
        <v>27</v>
      </c>
      <c r="B28" s="10" t="s">
        <v>51</v>
      </c>
      <c r="C28" s="166">
        <v>91936</v>
      </c>
      <c r="D28" s="28">
        <v>154720</v>
      </c>
      <c r="E28" s="216">
        <v>306939</v>
      </c>
      <c r="F28" s="28">
        <v>611763</v>
      </c>
      <c r="G28" s="28">
        <v>611763</v>
      </c>
      <c r="H28" s="28">
        <v>686296</v>
      </c>
      <c r="I28" s="80">
        <f>Table202290[[#This Row],[YTD Expended]]/Table202290[[#This Row],[Total Planned]]</f>
        <v>0.89139817221723572</v>
      </c>
    </row>
    <row r="29" spans="1:9" ht="16.5" thickBot="1" x14ac:dyDescent="0.3">
      <c r="A29" s="81">
        <v>28</v>
      </c>
      <c r="B29" s="82" t="s">
        <v>52</v>
      </c>
      <c r="C29" s="167">
        <v>2139361</v>
      </c>
      <c r="D29" s="83">
        <v>4262172</v>
      </c>
      <c r="E29" s="216">
        <v>7881305</v>
      </c>
      <c r="F29" s="83">
        <v>15094438</v>
      </c>
      <c r="G29" s="83">
        <v>15094438</v>
      </c>
      <c r="H29" s="83">
        <v>17438625</v>
      </c>
      <c r="I29" s="84">
        <f>Table202290[[#This Row],[YTD Expended]]/Table202290[[#This Row],[Total Planned]]</f>
        <v>0.86557500949759514</v>
      </c>
    </row>
    <row r="30" spans="1:9" s="1" customFormat="1" ht="15.75" x14ac:dyDescent="0.25">
      <c r="A30" s="71"/>
      <c r="B30" s="72" t="s">
        <v>53</v>
      </c>
      <c r="C30" s="73">
        <f>SUBTOTAL(109,C2:C29)</f>
        <v>10288213</v>
      </c>
      <c r="D30" s="73">
        <f>SUBTOTAL(109,D2:D29)</f>
        <v>25198494</v>
      </c>
      <c r="E30" s="73">
        <f>SUBTOTAL(109,E2:E29)</f>
        <v>45720651</v>
      </c>
      <c r="F30" s="73">
        <f>SUBTOTAL(109,F2:F29)</f>
        <v>68850177</v>
      </c>
      <c r="G30" s="73">
        <f>SUBTOTAL(109,G2:G29)</f>
        <v>68850177</v>
      </c>
      <c r="H30" s="73">
        <f>SUM(H2:H29)</f>
        <v>74646715</v>
      </c>
      <c r="I30" s="188">
        <f>G30/H30</f>
        <v>0.92234704501062104</v>
      </c>
    </row>
    <row r="31" spans="1:9" s="174" customFormat="1" ht="15.75" x14ac:dyDescent="0.25">
      <c r="A31" s="172" t="s">
        <v>3336</v>
      </c>
      <c r="B31" s="173"/>
      <c r="C31" s="208"/>
      <c r="D31" s="163"/>
      <c r="E31" s="163"/>
      <c r="F31" s="163"/>
      <c r="G31" s="163"/>
      <c r="H31" s="163"/>
      <c r="I31" s="164"/>
    </row>
    <row r="32" spans="1:9" x14ac:dyDescent="0.25">
      <c r="A32" s="27" t="s">
        <v>62</v>
      </c>
    </row>
    <row r="39" x14ac:dyDescent="0.25"/>
    <row r="40" x14ac:dyDescent="0.25"/>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A658C-9E8F-43CD-9C96-3A9496885691}">
  <sheetPr>
    <tabColor theme="1" tint="4.9989318521683403E-2"/>
  </sheetPr>
  <dimension ref="A1:ER1044"/>
  <sheetViews>
    <sheetView topLeftCell="A17" zoomScale="60" zoomScaleNormal="60" workbookViewId="0">
      <selection activeCell="A145" sqref="A145:H147"/>
    </sheetView>
  </sheetViews>
  <sheetFormatPr defaultColWidth="0" defaultRowHeight="15.75" zeroHeight="1" x14ac:dyDescent="0.25"/>
  <cols>
    <col min="1" max="1" width="9.7109375" style="58" customWidth="1"/>
    <col min="2" max="2" width="18.28515625" style="127" bestFit="1" customWidth="1"/>
    <col min="3" max="3" width="12.42578125" style="58" bestFit="1" customWidth="1"/>
    <col min="4" max="4" width="55.42578125" style="128" customWidth="1"/>
    <col min="5" max="5" width="95.7109375" style="59" customWidth="1"/>
    <col min="6" max="6" width="18.28515625" style="58" bestFit="1" customWidth="1"/>
    <col min="7" max="7" width="15.140625" style="58" customWidth="1"/>
    <col min="8" max="8" width="88.7109375" style="60" customWidth="1"/>
    <col min="9" max="146" width="0" style="110" hidden="1" customWidth="1"/>
    <col min="147" max="147" width="0" style="111" hidden="1" customWidth="1"/>
    <col min="148" max="148" width="0" style="115" hidden="1" customWidth="1"/>
    <col min="149" max="16384" width="8.7109375" style="115" hidden="1"/>
  </cols>
  <sheetData>
    <row r="1" spans="1:146" s="110" customFormat="1" ht="110.25" x14ac:dyDescent="0.25">
      <c r="A1" s="29" t="s">
        <v>63</v>
      </c>
      <c r="B1" s="30" t="s">
        <v>9</v>
      </c>
      <c r="C1" s="30" t="s">
        <v>64</v>
      </c>
      <c r="D1" s="29" t="s">
        <v>65</v>
      </c>
      <c r="E1" s="29" t="s">
        <v>66</v>
      </c>
      <c r="F1" s="29" t="s">
        <v>67</v>
      </c>
      <c r="G1" s="29" t="s">
        <v>631</v>
      </c>
      <c r="H1" s="29" t="s">
        <v>68</v>
      </c>
      <c r="I1" s="31" t="s">
        <v>394</v>
      </c>
      <c r="EP1" s="111"/>
    </row>
    <row r="2" spans="1:146" s="110" customFormat="1" ht="110.25" x14ac:dyDescent="0.25">
      <c r="A2" s="14">
        <v>1</v>
      </c>
      <c r="B2" s="14">
        <v>1</v>
      </c>
      <c r="C2" s="14" t="s">
        <v>25</v>
      </c>
      <c r="D2" s="16" t="s">
        <v>1</v>
      </c>
      <c r="E2" s="16" t="s">
        <v>1616</v>
      </c>
      <c r="F2" s="17" t="s">
        <v>69</v>
      </c>
      <c r="G2" s="17">
        <v>7</v>
      </c>
      <c r="H2" s="16" t="s">
        <v>70</v>
      </c>
      <c r="I2" s="69"/>
      <c r="EP2" s="111"/>
    </row>
    <row r="3" spans="1:146" s="110" customFormat="1" ht="47.25" x14ac:dyDescent="0.25">
      <c r="A3" s="32">
        <v>1</v>
      </c>
      <c r="B3" s="32">
        <v>2</v>
      </c>
      <c r="C3" s="32" t="s">
        <v>25</v>
      </c>
      <c r="D3" s="37" t="s">
        <v>1</v>
      </c>
      <c r="E3" s="35" t="s">
        <v>1617</v>
      </c>
      <c r="F3" s="36" t="s">
        <v>81</v>
      </c>
      <c r="G3" s="36">
        <v>131</v>
      </c>
      <c r="H3" s="37" t="s">
        <v>1618</v>
      </c>
      <c r="I3" s="69"/>
      <c r="EP3" s="111"/>
    </row>
    <row r="4" spans="1:146" s="110" customFormat="1" ht="63" x14ac:dyDescent="0.25">
      <c r="A4" s="32">
        <v>1</v>
      </c>
      <c r="B4" s="32">
        <v>2</v>
      </c>
      <c r="C4" s="32" t="s">
        <v>25</v>
      </c>
      <c r="D4" s="37" t="s">
        <v>83</v>
      </c>
      <c r="E4" s="35" t="s">
        <v>1619</v>
      </c>
      <c r="F4" s="36" t="s">
        <v>69</v>
      </c>
      <c r="G4" s="36">
        <v>4</v>
      </c>
      <c r="H4" s="37" t="s">
        <v>1620</v>
      </c>
      <c r="I4" s="69"/>
      <c r="EP4" s="111"/>
    </row>
    <row r="5" spans="1:146" s="110" customFormat="1" ht="110.25" x14ac:dyDescent="0.25">
      <c r="A5" s="32">
        <v>1</v>
      </c>
      <c r="B5" s="32">
        <v>2</v>
      </c>
      <c r="C5" s="32" t="s">
        <v>25</v>
      </c>
      <c r="D5" s="37" t="s">
        <v>1</v>
      </c>
      <c r="E5" s="35" t="s">
        <v>1621</v>
      </c>
      <c r="F5" s="36" t="s">
        <v>69</v>
      </c>
      <c r="G5" s="36">
        <v>20</v>
      </c>
      <c r="H5" s="37" t="s">
        <v>70</v>
      </c>
      <c r="I5" s="69"/>
      <c r="EP5" s="111"/>
    </row>
    <row r="6" spans="1:146" s="110" customFormat="1" ht="47.25" x14ac:dyDescent="0.25">
      <c r="A6" s="63">
        <v>1</v>
      </c>
      <c r="B6" s="63">
        <v>3</v>
      </c>
      <c r="C6" s="63" t="s">
        <v>25</v>
      </c>
      <c r="D6" s="109" t="s">
        <v>1</v>
      </c>
      <c r="E6" s="66" t="s">
        <v>1622</v>
      </c>
      <c r="F6" s="67" t="s">
        <v>81</v>
      </c>
      <c r="G6" s="116">
        <v>93</v>
      </c>
      <c r="H6" s="109" t="s">
        <v>1618</v>
      </c>
      <c r="I6" s="69"/>
      <c r="EP6" s="111"/>
    </row>
    <row r="7" spans="1:146" s="110" customFormat="1" ht="31.5" x14ac:dyDescent="0.25">
      <c r="A7" s="63">
        <v>1</v>
      </c>
      <c r="B7" s="63">
        <v>3</v>
      </c>
      <c r="C7" s="63" t="s">
        <v>25</v>
      </c>
      <c r="D7" s="109" t="s">
        <v>0</v>
      </c>
      <c r="E7" s="66" t="s">
        <v>1623</v>
      </c>
      <c r="F7" s="67" t="s">
        <v>81</v>
      </c>
      <c r="G7" s="116">
        <v>16</v>
      </c>
      <c r="H7" s="109" t="s">
        <v>697</v>
      </c>
      <c r="I7" s="69"/>
      <c r="EP7" s="111"/>
    </row>
    <row r="8" spans="1:146" s="110" customFormat="1" ht="63" x14ac:dyDescent="0.25">
      <c r="A8" s="63">
        <v>1</v>
      </c>
      <c r="B8" s="63">
        <v>3</v>
      </c>
      <c r="C8" s="63" t="s">
        <v>25</v>
      </c>
      <c r="D8" s="109" t="s">
        <v>83</v>
      </c>
      <c r="E8" s="66" t="s">
        <v>1624</v>
      </c>
      <c r="F8" s="67" t="s">
        <v>69</v>
      </c>
      <c r="G8" s="116">
        <v>27</v>
      </c>
      <c r="H8" s="109" t="s">
        <v>1620</v>
      </c>
      <c r="I8" s="69"/>
      <c r="EP8" s="111"/>
    </row>
    <row r="9" spans="1:146" s="110" customFormat="1" ht="110.25" x14ac:dyDescent="0.25">
      <c r="A9" s="63">
        <v>1</v>
      </c>
      <c r="B9" s="63">
        <v>3</v>
      </c>
      <c r="C9" s="63" t="s">
        <v>25</v>
      </c>
      <c r="D9" s="109" t="s">
        <v>1</v>
      </c>
      <c r="E9" s="66" t="s">
        <v>1625</v>
      </c>
      <c r="F9" s="67" t="s">
        <v>69</v>
      </c>
      <c r="G9" s="116">
        <v>5</v>
      </c>
      <c r="H9" s="109" t="s">
        <v>70</v>
      </c>
      <c r="I9" s="69"/>
      <c r="EP9" s="111"/>
    </row>
    <row r="10" spans="1:146" s="110" customFormat="1" ht="47.25" x14ac:dyDescent="0.25">
      <c r="A10" s="45">
        <v>1</v>
      </c>
      <c r="B10" s="45">
        <v>4</v>
      </c>
      <c r="C10" s="45" t="s">
        <v>25</v>
      </c>
      <c r="D10" s="48" t="s">
        <v>1</v>
      </c>
      <c r="E10" s="46" t="s">
        <v>1626</v>
      </c>
      <c r="F10" s="47" t="s">
        <v>81</v>
      </c>
      <c r="G10" s="49">
        <v>73</v>
      </c>
      <c r="H10" s="48" t="s">
        <v>1618</v>
      </c>
      <c r="I10" s="69"/>
      <c r="EP10" s="111"/>
    </row>
    <row r="11" spans="1:146" s="110" customFormat="1" ht="63" x14ac:dyDescent="0.25">
      <c r="A11" s="45">
        <v>1</v>
      </c>
      <c r="B11" s="45">
        <v>4</v>
      </c>
      <c r="C11" s="45" t="s">
        <v>25</v>
      </c>
      <c r="D11" s="48" t="s">
        <v>83</v>
      </c>
      <c r="E11" s="46" t="s">
        <v>1627</v>
      </c>
      <c r="F11" s="47" t="s">
        <v>69</v>
      </c>
      <c r="G11" s="49">
        <v>16</v>
      </c>
      <c r="H11" s="48" t="s">
        <v>1620</v>
      </c>
      <c r="I11" s="69"/>
      <c r="EP11" s="111"/>
    </row>
    <row r="12" spans="1:146" s="110" customFormat="1" ht="94.5" x14ac:dyDescent="0.25">
      <c r="A12" s="45">
        <v>1</v>
      </c>
      <c r="B12" s="45">
        <v>4</v>
      </c>
      <c r="C12" s="45" t="s">
        <v>25</v>
      </c>
      <c r="D12" s="48" t="s">
        <v>1</v>
      </c>
      <c r="E12" s="46" t="s">
        <v>1628</v>
      </c>
      <c r="F12" s="47" t="s">
        <v>69</v>
      </c>
      <c r="G12" s="49">
        <v>20</v>
      </c>
      <c r="H12" s="48" t="s">
        <v>70</v>
      </c>
      <c r="I12" s="69"/>
      <c r="EP12" s="111"/>
    </row>
    <row r="13" spans="1:146" s="110" customFormat="1" ht="63" x14ac:dyDescent="0.25">
      <c r="A13" s="14">
        <v>2</v>
      </c>
      <c r="B13" s="14">
        <v>1</v>
      </c>
      <c r="C13" s="14" t="s">
        <v>26</v>
      </c>
      <c r="D13" s="19" t="s">
        <v>1</v>
      </c>
      <c r="E13" s="19" t="s">
        <v>86</v>
      </c>
      <c r="F13" s="14" t="s">
        <v>69</v>
      </c>
      <c r="G13" s="20">
        <v>18</v>
      </c>
      <c r="H13" s="19" t="s">
        <v>87</v>
      </c>
      <c r="I13" s="69"/>
      <c r="EP13" s="111"/>
    </row>
    <row r="14" spans="1:146" s="110" customFormat="1" ht="31.5" x14ac:dyDescent="0.25">
      <c r="A14" s="14">
        <v>2</v>
      </c>
      <c r="B14" s="14">
        <v>1</v>
      </c>
      <c r="C14" s="14" t="s">
        <v>26</v>
      </c>
      <c r="D14" s="19" t="s">
        <v>1</v>
      </c>
      <c r="E14" s="19" t="s">
        <v>71</v>
      </c>
      <c r="F14" s="14" t="s">
        <v>69</v>
      </c>
      <c r="G14" s="20">
        <v>60</v>
      </c>
      <c r="H14" s="19" t="s">
        <v>72</v>
      </c>
      <c r="I14" s="69"/>
      <c r="EP14" s="111"/>
    </row>
    <row r="15" spans="1:146" s="110" customFormat="1" ht="31.5" x14ac:dyDescent="0.25">
      <c r="A15" s="14">
        <v>2</v>
      </c>
      <c r="B15" s="14">
        <v>1</v>
      </c>
      <c r="C15" s="14" t="s">
        <v>26</v>
      </c>
      <c r="D15" s="19" t="s">
        <v>1</v>
      </c>
      <c r="E15" s="19" t="s">
        <v>73</v>
      </c>
      <c r="F15" s="14" t="s">
        <v>69</v>
      </c>
      <c r="G15" s="20">
        <v>7</v>
      </c>
      <c r="H15" s="19" t="s">
        <v>74</v>
      </c>
      <c r="I15" s="69"/>
      <c r="EP15" s="111"/>
    </row>
    <row r="16" spans="1:146" s="110" customFormat="1" ht="31.5" x14ac:dyDescent="0.25">
      <c r="A16" s="14">
        <v>2</v>
      </c>
      <c r="B16" s="14">
        <v>1</v>
      </c>
      <c r="C16" s="14" t="s">
        <v>26</v>
      </c>
      <c r="D16" s="19" t="s">
        <v>1</v>
      </c>
      <c r="E16" s="19" t="s">
        <v>75</v>
      </c>
      <c r="F16" s="14" t="s">
        <v>69</v>
      </c>
      <c r="G16" s="20">
        <v>33</v>
      </c>
      <c r="H16" s="19" t="s">
        <v>76</v>
      </c>
      <c r="I16" s="69"/>
      <c r="EP16" s="111"/>
    </row>
    <row r="17" spans="1:146" s="110" customFormat="1" ht="31.5" x14ac:dyDescent="0.25">
      <c r="A17" s="14">
        <v>2</v>
      </c>
      <c r="B17" s="14">
        <v>1</v>
      </c>
      <c r="C17" s="14" t="s">
        <v>26</v>
      </c>
      <c r="D17" s="19" t="s">
        <v>1</v>
      </c>
      <c r="E17" s="19" t="s">
        <v>77</v>
      </c>
      <c r="F17" s="14" t="s">
        <v>69</v>
      </c>
      <c r="G17" s="20">
        <v>8</v>
      </c>
      <c r="H17" s="19" t="s">
        <v>76</v>
      </c>
      <c r="I17" s="69"/>
      <c r="EP17" s="111"/>
    </row>
    <row r="18" spans="1:146" s="110" customFormat="1" ht="31.5" x14ac:dyDescent="0.25">
      <c r="A18" s="14">
        <v>2</v>
      </c>
      <c r="B18" s="14">
        <v>1</v>
      </c>
      <c r="C18" s="14" t="s">
        <v>26</v>
      </c>
      <c r="D18" s="19" t="s">
        <v>1</v>
      </c>
      <c r="E18" s="19" t="s">
        <v>78</v>
      </c>
      <c r="F18" s="14" t="s">
        <v>69</v>
      </c>
      <c r="G18" s="20">
        <v>20</v>
      </c>
      <c r="H18" s="19" t="s">
        <v>76</v>
      </c>
      <c r="I18" s="69"/>
      <c r="EP18" s="111"/>
    </row>
    <row r="19" spans="1:146" s="110" customFormat="1" ht="31.5" x14ac:dyDescent="0.25">
      <c r="A19" s="14">
        <v>2</v>
      </c>
      <c r="B19" s="14">
        <v>1</v>
      </c>
      <c r="C19" s="14" t="s">
        <v>26</v>
      </c>
      <c r="D19" s="19" t="s">
        <v>1</v>
      </c>
      <c r="E19" s="19" t="s">
        <v>79</v>
      </c>
      <c r="F19" s="14" t="s">
        <v>69</v>
      </c>
      <c r="G19" s="20">
        <v>20</v>
      </c>
      <c r="H19" s="19" t="s">
        <v>76</v>
      </c>
      <c r="I19" s="69"/>
      <c r="EP19" s="111"/>
    </row>
    <row r="20" spans="1:146" s="110" customFormat="1" ht="31.5" x14ac:dyDescent="0.25">
      <c r="A20" s="14">
        <v>2</v>
      </c>
      <c r="B20" s="14">
        <v>1</v>
      </c>
      <c r="C20" s="14" t="s">
        <v>26</v>
      </c>
      <c r="D20" s="19" t="s">
        <v>83</v>
      </c>
      <c r="E20" s="19" t="s">
        <v>90</v>
      </c>
      <c r="F20" s="14" t="s">
        <v>69</v>
      </c>
      <c r="G20" s="20">
        <v>5</v>
      </c>
      <c r="H20" s="19" t="s">
        <v>91</v>
      </c>
      <c r="I20" s="69"/>
      <c r="EP20" s="111"/>
    </row>
    <row r="21" spans="1:146" s="110" customFormat="1" ht="47.25" x14ac:dyDescent="0.25">
      <c r="A21" s="14">
        <v>2</v>
      </c>
      <c r="B21" s="14">
        <v>1</v>
      </c>
      <c r="C21" s="14" t="s">
        <v>26</v>
      </c>
      <c r="D21" s="19" t="s">
        <v>83</v>
      </c>
      <c r="E21" s="19" t="s">
        <v>84</v>
      </c>
      <c r="F21" s="14" t="s">
        <v>81</v>
      </c>
      <c r="G21" s="20">
        <v>134</v>
      </c>
      <c r="H21" s="19" t="s">
        <v>85</v>
      </c>
      <c r="I21" s="69"/>
      <c r="EP21" s="111"/>
    </row>
    <row r="22" spans="1:146" s="110" customFormat="1" ht="47.25" x14ac:dyDescent="0.25">
      <c r="A22" s="14">
        <v>2</v>
      </c>
      <c r="B22" s="14">
        <v>1</v>
      </c>
      <c r="C22" s="14" t="s">
        <v>26</v>
      </c>
      <c r="D22" s="19" t="s">
        <v>0</v>
      </c>
      <c r="E22" s="19" t="s">
        <v>80</v>
      </c>
      <c r="F22" s="14" t="s">
        <v>81</v>
      </c>
      <c r="G22" s="20">
        <v>94</v>
      </c>
      <c r="H22" s="19" t="s">
        <v>82</v>
      </c>
      <c r="I22" s="69"/>
      <c r="EP22" s="111"/>
    </row>
    <row r="23" spans="1:146" s="110" customFormat="1" ht="31.5" x14ac:dyDescent="0.25">
      <c r="A23" s="14">
        <v>2</v>
      </c>
      <c r="B23" s="14">
        <v>1</v>
      </c>
      <c r="C23" s="14" t="s">
        <v>26</v>
      </c>
      <c r="D23" s="19" t="s">
        <v>1</v>
      </c>
      <c r="E23" s="19" t="s">
        <v>88</v>
      </c>
      <c r="F23" s="14" t="s">
        <v>69</v>
      </c>
      <c r="G23" s="20">
        <v>13</v>
      </c>
      <c r="H23" s="19" t="s">
        <v>89</v>
      </c>
      <c r="I23" s="69"/>
      <c r="EP23" s="111"/>
    </row>
    <row r="24" spans="1:146" s="110" customFormat="1" ht="47.25" x14ac:dyDescent="0.25">
      <c r="A24" s="32">
        <v>2</v>
      </c>
      <c r="B24" s="32">
        <v>2</v>
      </c>
      <c r="C24" s="32" t="s">
        <v>26</v>
      </c>
      <c r="D24" s="37" t="s">
        <v>1</v>
      </c>
      <c r="E24" s="35" t="s">
        <v>1629</v>
      </c>
      <c r="F24" s="36" t="s">
        <v>81</v>
      </c>
      <c r="G24" s="36">
        <v>11</v>
      </c>
      <c r="H24" s="37" t="s">
        <v>76</v>
      </c>
      <c r="I24" s="69"/>
      <c r="EP24" s="111"/>
    </row>
    <row r="25" spans="1:146" s="110" customFormat="1" ht="31.5" x14ac:dyDescent="0.25">
      <c r="A25" s="32">
        <v>2</v>
      </c>
      <c r="B25" s="32">
        <v>2</v>
      </c>
      <c r="C25" s="32" t="s">
        <v>26</v>
      </c>
      <c r="D25" s="37" t="s">
        <v>1</v>
      </c>
      <c r="E25" s="35" t="s">
        <v>1630</v>
      </c>
      <c r="F25" s="36" t="s">
        <v>81</v>
      </c>
      <c r="G25" s="36">
        <v>82</v>
      </c>
      <c r="H25" s="37" t="s">
        <v>76</v>
      </c>
      <c r="I25" s="69"/>
      <c r="EP25" s="111"/>
    </row>
    <row r="26" spans="1:146" s="110" customFormat="1" ht="47.25" x14ac:dyDescent="0.25">
      <c r="A26" s="32">
        <v>2</v>
      </c>
      <c r="B26" s="32">
        <v>2</v>
      </c>
      <c r="C26" s="32" t="s">
        <v>26</v>
      </c>
      <c r="D26" s="38" t="s">
        <v>0</v>
      </c>
      <c r="E26" s="38" t="s">
        <v>395</v>
      </c>
      <c r="F26" s="32" t="s">
        <v>81</v>
      </c>
      <c r="G26" s="42">
        <v>25</v>
      </c>
      <c r="H26" s="38" t="s">
        <v>396</v>
      </c>
      <c r="I26" s="69"/>
      <c r="EP26" s="111"/>
    </row>
    <row r="27" spans="1:146" s="110" customFormat="1" ht="31.5" x14ac:dyDescent="0.25">
      <c r="A27" s="32">
        <v>2</v>
      </c>
      <c r="B27" s="32">
        <v>2</v>
      </c>
      <c r="C27" s="32" t="s">
        <v>26</v>
      </c>
      <c r="D27" s="37" t="s">
        <v>83</v>
      </c>
      <c r="E27" s="35" t="s">
        <v>1631</v>
      </c>
      <c r="F27" s="36" t="s">
        <v>69</v>
      </c>
      <c r="G27" s="36">
        <v>4</v>
      </c>
      <c r="H27" s="37" t="s">
        <v>91</v>
      </c>
      <c r="I27" s="69"/>
      <c r="EP27" s="111"/>
    </row>
    <row r="28" spans="1:146" s="110" customFormat="1" ht="31.5" x14ac:dyDescent="0.25">
      <c r="A28" s="32">
        <v>2</v>
      </c>
      <c r="B28" s="32">
        <v>2</v>
      </c>
      <c r="C28" s="32" t="s">
        <v>26</v>
      </c>
      <c r="D28" s="37" t="s">
        <v>83</v>
      </c>
      <c r="E28" s="35" t="s">
        <v>1632</v>
      </c>
      <c r="F28" s="36" t="s">
        <v>81</v>
      </c>
      <c r="G28" s="36">
        <v>3</v>
      </c>
      <c r="H28" s="37" t="s">
        <v>1633</v>
      </c>
      <c r="I28" s="69"/>
      <c r="EP28" s="111"/>
    </row>
    <row r="29" spans="1:146" s="110" customFormat="1" ht="47.25" x14ac:dyDescent="0.25">
      <c r="A29" s="32">
        <v>2</v>
      </c>
      <c r="B29" s="32">
        <v>2</v>
      </c>
      <c r="C29" s="32" t="s">
        <v>26</v>
      </c>
      <c r="D29" s="37" t="s">
        <v>83</v>
      </c>
      <c r="E29" s="35" t="s">
        <v>398</v>
      </c>
      <c r="F29" s="36" t="s">
        <v>69</v>
      </c>
      <c r="G29" s="36">
        <v>29</v>
      </c>
      <c r="H29" s="37" t="s">
        <v>1634</v>
      </c>
      <c r="I29" s="69"/>
      <c r="EP29" s="111"/>
    </row>
    <row r="30" spans="1:146" s="110" customFormat="1" ht="31.5" x14ac:dyDescent="0.25">
      <c r="A30" s="32">
        <v>2</v>
      </c>
      <c r="B30" s="32">
        <v>2</v>
      </c>
      <c r="C30" s="32" t="s">
        <v>26</v>
      </c>
      <c r="D30" s="37" t="s">
        <v>0</v>
      </c>
      <c r="E30" s="35" t="s">
        <v>1635</v>
      </c>
      <c r="F30" s="36" t="s">
        <v>81</v>
      </c>
      <c r="G30" s="36">
        <v>4</v>
      </c>
      <c r="H30" s="37" t="s">
        <v>1636</v>
      </c>
      <c r="I30" s="69"/>
      <c r="EP30" s="111"/>
    </row>
    <row r="31" spans="1:146" s="110" customFormat="1" ht="31.5" x14ac:dyDescent="0.25">
      <c r="A31" s="32">
        <v>2</v>
      </c>
      <c r="B31" s="32">
        <v>2</v>
      </c>
      <c r="C31" s="32" t="s">
        <v>26</v>
      </c>
      <c r="D31" s="37" t="s">
        <v>0</v>
      </c>
      <c r="E31" s="35" t="s">
        <v>1637</v>
      </c>
      <c r="F31" s="36" t="s">
        <v>81</v>
      </c>
      <c r="G31" s="36">
        <v>5</v>
      </c>
      <c r="H31" s="37" t="s">
        <v>1638</v>
      </c>
      <c r="I31" s="69"/>
      <c r="EP31" s="111"/>
    </row>
    <row r="32" spans="1:146" s="110" customFormat="1" ht="31.5" x14ac:dyDescent="0.25">
      <c r="A32" s="32">
        <v>2</v>
      </c>
      <c r="B32" s="32">
        <v>2</v>
      </c>
      <c r="C32" s="32" t="s">
        <v>26</v>
      </c>
      <c r="D32" s="37" t="s">
        <v>83</v>
      </c>
      <c r="E32" s="35" t="s">
        <v>1639</v>
      </c>
      <c r="F32" s="36" t="s">
        <v>81</v>
      </c>
      <c r="G32" s="36">
        <v>3</v>
      </c>
      <c r="H32" s="37" t="s">
        <v>1640</v>
      </c>
      <c r="I32" s="69"/>
      <c r="EP32" s="111"/>
    </row>
    <row r="33" spans="1:146" s="110" customFormat="1" ht="47.25" x14ac:dyDescent="0.25">
      <c r="A33" s="32">
        <v>2</v>
      </c>
      <c r="B33" s="32">
        <v>2</v>
      </c>
      <c r="C33" s="32" t="s">
        <v>26</v>
      </c>
      <c r="D33" s="38" t="s">
        <v>1</v>
      </c>
      <c r="E33" s="38" t="s">
        <v>1641</v>
      </c>
      <c r="F33" s="32" t="s">
        <v>81</v>
      </c>
      <c r="G33" s="42">
        <v>6</v>
      </c>
      <c r="H33" s="38" t="s">
        <v>1642</v>
      </c>
      <c r="I33" s="69"/>
      <c r="EP33" s="111"/>
    </row>
    <row r="34" spans="1:146" s="110" customFormat="1" ht="31.5" x14ac:dyDescent="0.25">
      <c r="A34" s="32">
        <v>2</v>
      </c>
      <c r="B34" s="32">
        <v>2</v>
      </c>
      <c r="C34" s="32" t="s">
        <v>26</v>
      </c>
      <c r="D34" s="38" t="s">
        <v>83</v>
      </c>
      <c r="E34" s="38" t="s">
        <v>1643</v>
      </c>
      <c r="F34" s="32" t="s">
        <v>81</v>
      </c>
      <c r="G34" s="42">
        <v>11</v>
      </c>
      <c r="H34" s="38" t="s">
        <v>1644</v>
      </c>
      <c r="I34" s="69"/>
      <c r="EP34" s="111"/>
    </row>
    <row r="35" spans="1:146" s="110" customFormat="1" ht="31.5" x14ac:dyDescent="0.25">
      <c r="A35" s="32">
        <v>2</v>
      </c>
      <c r="B35" s="32">
        <v>2</v>
      </c>
      <c r="C35" s="32" t="s">
        <v>26</v>
      </c>
      <c r="D35" s="38" t="s">
        <v>1</v>
      </c>
      <c r="E35" s="38" t="s">
        <v>397</v>
      </c>
      <c r="F35" s="32" t="s">
        <v>69</v>
      </c>
      <c r="G35" s="42">
        <v>15</v>
      </c>
      <c r="H35" s="38" t="s">
        <v>89</v>
      </c>
      <c r="I35" s="69"/>
      <c r="EP35" s="111"/>
    </row>
    <row r="36" spans="1:146" s="110" customFormat="1" ht="31.5" x14ac:dyDescent="0.25">
      <c r="A36" s="63">
        <v>2</v>
      </c>
      <c r="B36" s="63">
        <v>3</v>
      </c>
      <c r="C36" s="63" t="s">
        <v>26</v>
      </c>
      <c r="D36" s="109" t="s">
        <v>1</v>
      </c>
      <c r="E36" s="66" t="s">
        <v>1001</v>
      </c>
      <c r="F36" s="67" t="s">
        <v>81</v>
      </c>
      <c r="G36" s="67">
        <v>54</v>
      </c>
      <c r="H36" s="109" t="s">
        <v>1002</v>
      </c>
      <c r="I36" s="69"/>
      <c r="EP36" s="111"/>
    </row>
    <row r="37" spans="1:146" s="110" customFormat="1" ht="31.5" x14ac:dyDescent="0.25">
      <c r="A37" s="63">
        <v>2</v>
      </c>
      <c r="B37" s="63">
        <v>3</v>
      </c>
      <c r="C37" s="63" t="s">
        <v>26</v>
      </c>
      <c r="D37" s="109" t="s">
        <v>1</v>
      </c>
      <c r="E37" s="66" t="s">
        <v>1645</v>
      </c>
      <c r="F37" s="67" t="s">
        <v>81</v>
      </c>
      <c r="G37" s="67">
        <v>20</v>
      </c>
      <c r="H37" s="109" t="s">
        <v>76</v>
      </c>
      <c r="I37" s="69"/>
      <c r="EP37" s="111"/>
    </row>
    <row r="38" spans="1:146" s="110" customFormat="1" ht="47.25" x14ac:dyDescent="0.25">
      <c r="A38" s="63">
        <v>2</v>
      </c>
      <c r="B38" s="63">
        <v>3</v>
      </c>
      <c r="C38" s="63" t="s">
        <v>26</v>
      </c>
      <c r="D38" s="109" t="s">
        <v>0</v>
      </c>
      <c r="E38" s="66" t="s">
        <v>1004</v>
      </c>
      <c r="F38" s="67" t="s">
        <v>81</v>
      </c>
      <c r="G38" s="67">
        <v>28</v>
      </c>
      <c r="H38" s="109" t="s">
        <v>396</v>
      </c>
      <c r="I38" s="69"/>
      <c r="EP38" s="111"/>
    </row>
    <row r="39" spans="1:146" s="110" customFormat="1" ht="31.5" x14ac:dyDescent="0.25">
      <c r="A39" s="63">
        <v>2</v>
      </c>
      <c r="B39" s="63">
        <v>3</v>
      </c>
      <c r="C39" s="63" t="s">
        <v>26</v>
      </c>
      <c r="D39" s="109" t="s">
        <v>83</v>
      </c>
      <c r="E39" s="66" t="s">
        <v>1631</v>
      </c>
      <c r="F39" s="67" t="s">
        <v>69</v>
      </c>
      <c r="G39" s="67">
        <v>4</v>
      </c>
      <c r="H39" s="109" t="s">
        <v>91</v>
      </c>
      <c r="I39" s="69"/>
      <c r="EP39" s="111"/>
    </row>
    <row r="40" spans="1:146" s="110" customFormat="1" ht="31.5" x14ac:dyDescent="0.25">
      <c r="A40" s="63">
        <v>2</v>
      </c>
      <c r="B40" s="63">
        <v>3</v>
      </c>
      <c r="C40" s="63" t="s">
        <v>26</v>
      </c>
      <c r="D40" s="109" t="s">
        <v>83</v>
      </c>
      <c r="E40" s="66" t="s">
        <v>1646</v>
      </c>
      <c r="F40" s="67" t="s">
        <v>81</v>
      </c>
      <c r="G40" s="67">
        <v>12</v>
      </c>
      <c r="H40" s="109" t="s">
        <v>1647</v>
      </c>
      <c r="I40" s="69"/>
      <c r="EP40" s="111"/>
    </row>
    <row r="41" spans="1:146" s="110" customFormat="1" ht="31.5" x14ac:dyDescent="0.25">
      <c r="A41" s="63">
        <v>2</v>
      </c>
      <c r="B41" s="63">
        <v>3</v>
      </c>
      <c r="C41" s="63" t="s">
        <v>26</v>
      </c>
      <c r="D41" s="109" t="s">
        <v>83</v>
      </c>
      <c r="E41" s="66" t="s">
        <v>1648</v>
      </c>
      <c r="F41" s="67" t="s">
        <v>81</v>
      </c>
      <c r="G41" s="67">
        <v>32</v>
      </c>
      <c r="H41" s="109" t="s">
        <v>1649</v>
      </c>
      <c r="I41" s="69"/>
      <c r="EP41" s="111"/>
    </row>
    <row r="42" spans="1:146" s="110" customFormat="1" ht="31.5" x14ac:dyDescent="0.25">
      <c r="A42" s="63">
        <v>2</v>
      </c>
      <c r="B42" s="63">
        <v>3</v>
      </c>
      <c r="C42" s="63" t="s">
        <v>26</v>
      </c>
      <c r="D42" s="109" t="s">
        <v>0</v>
      </c>
      <c r="E42" s="66" t="s">
        <v>1650</v>
      </c>
      <c r="F42" s="67" t="s">
        <v>81</v>
      </c>
      <c r="G42" s="67">
        <v>16</v>
      </c>
      <c r="H42" s="109" t="s">
        <v>1649</v>
      </c>
      <c r="I42" s="69"/>
      <c r="EP42" s="111"/>
    </row>
    <row r="43" spans="1:146" s="110" customFormat="1" ht="47.25" x14ac:dyDescent="0.25">
      <c r="A43" s="63">
        <v>2</v>
      </c>
      <c r="B43" s="63">
        <v>3</v>
      </c>
      <c r="C43" s="63" t="s">
        <v>26</v>
      </c>
      <c r="D43" s="109" t="s">
        <v>1</v>
      </c>
      <c r="E43" s="66" t="s">
        <v>1651</v>
      </c>
      <c r="F43" s="67" t="s">
        <v>81</v>
      </c>
      <c r="G43" s="67">
        <v>4</v>
      </c>
      <c r="H43" s="109" t="s">
        <v>1642</v>
      </c>
      <c r="I43" s="69"/>
      <c r="EP43" s="111"/>
    </row>
    <row r="44" spans="1:146" s="110" customFormat="1" ht="31.5" x14ac:dyDescent="0.25">
      <c r="A44" s="63">
        <v>2</v>
      </c>
      <c r="B44" s="63">
        <v>3</v>
      </c>
      <c r="C44" s="63" t="s">
        <v>26</v>
      </c>
      <c r="D44" s="109" t="s">
        <v>1</v>
      </c>
      <c r="E44" s="66" t="s">
        <v>1003</v>
      </c>
      <c r="F44" s="67" t="s">
        <v>69</v>
      </c>
      <c r="G44" s="67">
        <v>11</v>
      </c>
      <c r="H44" s="109" t="s">
        <v>89</v>
      </c>
      <c r="I44" s="69"/>
      <c r="EP44" s="111"/>
    </row>
    <row r="45" spans="1:146" s="110" customFormat="1" ht="47.25" x14ac:dyDescent="0.25">
      <c r="A45" s="63">
        <v>2</v>
      </c>
      <c r="B45" s="63">
        <v>3</v>
      </c>
      <c r="C45" s="63" t="s">
        <v>26</v>
      </c>
      <c r="D45" s="109" t="s">
        <v>83</v>
      </c>
      <c r="E45" s="66" t="s">
        <v>398</v>
      </c>
      <c r="F45" s="67" t="s">
        <v>69</v>
      </c>
      <c r="G45" s="67">
        <v>54</v>
      </c>
      <c r="H45" s="109" t="s">
        <v>1634</v>
      </c>
      <c r="I45" s="69"/>
      <c r="EP45" s="111"/>
    </row>
    <row r="46" spans="1:146" s="142" customFormat="1" ht="31.5" x14ac:dyDescent="0.25">
      <c r="A46" s="45">
        <v>2</v>
      </c>
      <c r="B46" s="45">
        <v>4</v>
      </c>
      <c r="C46" s="45" t="s">
        <v>26</v>
      </c>
      <c r="D46" s="48" t="s">
        <v>1</v>
      </c>
      <c r="E46" s="46" t="s">
        <v>1652</v>
      </c>
      <c r="F46" s="47" t="s">
        <v>81</v>
      </c>
      <c r="G46" s="47">
        <v>14</v>
      </c>
      <c r="H46" s="48" t="s">
        <v>76</v>
      </c>
      <c r="I46" s="141"/>
      <c r="EP46" s="143"/>
    </row>
    <row r="47" spans="1:146" s="142" customFormat="1" ht="31.5" x14ac:dyDescent="0.25">
      <c r="A47" s="45">
        <v>2</v>
      </c>
      <c r="B47" s="45">
        <v>4</v>
      </c>
      <c r="C47" s="45" t="s">
        <v>26</v>
      </c>
      <c r="D47" s="48" t="s">
        <v>1</v>
      </c>
      <c r="E47" s="46" t="s">
        <v>1076</v>
      </c>
      <c r="F47" s="47" t="s">
        <v>81</v>
      </c>
      <c r="G47" s="47">
        <v>26</v>
      </c>
      <c r="H47" s="48" t="s">
        <v>1077</v>
      </c>
      <c r="I47" s="141"/>
      <c r="EP47" s="143"/>
    </row>
    <row r="48" spans="1:146" s="142" customFormat="1" ht="47.25" x14ac:dyDescent="0.25">
      <c r="A48" s="45">
        <v>2</v>
      </c>
      <c r="B48" s="45">
        <v>4</v>
      </c>
      <c r="C48" s="45" t="s">
        <v>26</v>
      </c>
      <c r="D48" s="48" t="s">
        <v>1</v>
      </c>
      <c r="E48" s="46" t="s">
        <v>1653</v>
      </c>
      <c r="F48" s="47" t="s">
        <v>81</v>
      </c>
      <c r="G48" s="47">
        <v>22</v>
      </c>
      <c r="H48" s="48" t="s">
        <v>1654</v>
      </c>
      <c r="I48" s="141"/>
      <c r="EP48" s="143"/>
    </row>
    <row r="49" spans="1:146" s="142" customFormat="1" ht="31.5" x14ac:dyDescent="0.25">
      <c r="A49" s="45">
        <v>2</v>
      </c>
      <c r="B49" s="45">
        <v>4</v>
      </c>
      <c r="C49" s="45" t="s">
        <v>26</v>
      </c>
      <c r="D49" s="48" t="s">
        <v>83</v>
      </c>
      <c r="E49" s="46" t="s">
        <v>1631</v>
      </c>
      <c r="F49" s="47" t="s">
        <v>69</v>
      </c>
      <c r="G49" s="47">
        <v>4</v>
      </c>
      <c r="H49" s="48" t="s">
        <v>91</v>
      </c>
      <c r="I49" s="141"/>
      <c r="EP49" s="143"/>
    </row>
    <row r="50" spans="1:146" s="110" customFormat="1" ht="31.5" x14ac:dyDescent="0.25">
      <c r="A50" s="45">
        <v>2</v>
      </c>
      <c r="B50" s="45">
        <v>4</v>
      </c>
      <c r="C50" s="45" t="s">
        <v>26</v>
      </c>
      <c r="D50" s="48" t="s">
        <v>83</v>
      </c>
      <c r="E50" s="46" t="s">
        <v>1655</v>
      </c>
      <c r="F50" s="47" t="s">
        <v>81</v>
      </c>
      <c r="G50" s="47">
        <v>27</v>
      </c>
      <c r="H50" s="48" t="s">
        <v>1649</v>
      </c>
      <c r="I50" s="69"/>
      <c r="EP50" s="111"/>
    </row>
    <row r="51" spans="1:146" s="110" customFormat="1" ht="47.25" x14ac:dyDescent="0.25">
      <c r="A51" s="45">
        <v>2</v>
      </c>
      <c r="B51" s="45">
        <v>4</v>
      </c>
      <c r="C51" s="45" t="s">
        <v>26</v>
      </c>
      <c r="D51" s="48" t="s">
        <v>83</v>
      </c>
      <c r="E51" s="46" t="s">
        <v>1656</v>
      </c>
      <c r="F51" s="47" t="s">
        <v>81</v>
      </c>
      <c r="G51" s="47">
        <v>7</v>
      </c>
      <c r="H51" s="48" t="s">
        <v>1657</v>
      </c>
      <c r="I51" s="69"/>
      <c r="EP51" s="111"/>
    </row>
    <row r="52" spans="1:146" s="110" customFormat="1" ht="31.5" x14ac:dyDescent="0.25">
      <c r="A52" s="45">
        <v>2</v>
      </c>
      <c r="B52" s="45">
        <v>4</v>
      </c>
      <c r="C52" s="45" t="s">
        <v>26</v>
      </c>
      <c r="D52" s="48" t="s">
        <v>83</v>
      </c>
      <c r="E52" s="46" t="s">
        <v>1658</v>
      </c>
      <c r="F52" s="47" t="s">
        <v>81</v>
      </c>
      <c r="G52" s="47">
        <v>13</v>
      </c>
      <c r="H52" s="48" t="s">
        <v>1659</v>
      </c>
      <c r="I52" s="69"/>
      <c r="EP52" s="111"/>
    </row>
    <row r="53" spans="1:146" s="110" customFormat="1" ht="31.5" x14ac:dyDescent="0.25">
      <c r="A53" s="45">
        <v>2</v>
      </c>
      <c r="B53" s="45">
        <v>4</v>
      </c>
      <c r="C53" s="45" t="s">
        <v>26</v>
      </c>
      <c r="D53" s="48" t="s">
        <v>0</v>
      </c>
      <c r="E53" s="46" t="s">
        <v>1660</v>
      </c>
      <c r="F53" s="47" t="s">
        <v>81</v>
      </c>
      <c r="G53" s="47">
        <v>13</v>
      </c>
      <c r="H53" s="48" t="s">
        <v>1649</v>
      </c>
      <c r="I53" s="69"/>
      <c r="EP53" s="111"/>
    </row>
    <row r="54" spans="1:146" s="110" customFormat="1" ht="47.25" x14ac:dyDescent="0.25">
      <c r="A54" s="45">
        <v>2</v>
      </c>
      <c r="B54" s="45">
        <v>4</v>
      </c>
      <c r="C54" s="45" t="s">
        <v>26</v>
      </c>
      <c r="D54" s="50" t="s">
        <v>0</v>
      </c>
      <c r="E54" s="50" t="s">
        <v>1661</v>
      </c>
      <c r="F54" s="45" t="s">
        <v>81</v>
      </c>
      <c r="G54" s="54">
        <v>7</v>
      </c>
      <c r="H54" s="50" t="s">
        <v>1662</v>
      </c>
      <c r="I54" s="69"/>
      <c r="EP54" s="111"/>
    </row>
    <row r="55" spans="1:146" s="110" customFormat="1" ht="47.25" x14ac:dyDescent="0.25">
      <c r="A55" s="45">
        <v>2</v>
      </c>
      <c r="B55" s="45">
        <v>4</v>
      </c>
      <c r="C55" s="45" t="s">
        <v>26</v>
      </c>
      <c r="D55" s="50" t="s">
        <v>1</v>
      </c>
      <c r="E55" s="50" t="s">
        <v>1663</v>
      </c>
      <c r="F55" s="45" t="s">
        <v>81</v>
      </c>
      <c r="G55" s="54">
        <v>10</v>
      </c>
      <c r="H55" s="50" t="s">
        <v>1664</v>
      </c>
      <c r="I55" s="69"/>
      <c r="EP55" s="111"/>
    </row>
    <row r="56" spans="1:146" s="110" customFormat="1" ht="31.5" x14ac:dyDescent="0.25">
      <c r="A56" s="45">
        <v>2</v>
      </c>
      <c r="B56" s="45">
        <v>4</v>
      </c>
      <c r="C56" s="45" t="s">
        <v>26</v>
      </c>
      <c r="D56" s="50" t="s">
        <v>1</v>
      </c>
      <c r="E56" s="50" t="s">
        <v>1665</v>
      </c>
      <c r="F56" s="45" t="s">
        <v>69</v>
      </c>
      <c r="G56" s="54">
        <v>20</v>
      </c>
      <c r="H56" s="50" t="s">
        <v>89</v>
      </c>
      <c r="I56" s="69"/>
      <c r="EP56" s="111"/>
    </row>
    <row r="57" spans="1:146" s="110" customFormat="1" ht="47.25" x14ac:dyDescent="0.25">
      <c r="A57" s="45">
        <v>2</v>
      </c>
      <c r="B57" s="45">
        <v>4</v>
      </c>
      <c r="C57" s="45" t="s">
        <v>26</v>
      </c>
      <c r="D57" s="50" t="s">
        <v>83</v>
      </c>
      <c r="E57" s="50" t="s">
        <v>398</v>
      </c>
      <c r="F57" s="45" t="s">
        <v>69</v>
      </c>
      <c r="G57" s="54">
        <v>52</v>
      </c>
      <c r="H57" s="50" t="s">
        <v>1634</v>
      </c>
      <c r="I57" s="69"/>
      <c r="EP57" s="111"/>
    </row>
    <row r="58" spans="1:146" s="110" customFormat="1" x14ac:dyDescent="0.25">
      <c r="A58" s="14">
        <v>3</v>
      </c>
      <c r="B58" s="14">
        <v>1</v>
      </c>
      <c r="C58" s="14" t="s">
        <v>27</v>
      </c>
      <c r="D58" s="61" t="s">
        <v>83</v>
      </c>
      <c r="E58" s="19" t="s">
        <v>1666</v>
      </c>
      <c r="F58" s="14" t="s">
        <v>69</v>
      </c>
      <c r="G58" s="20">
        <v>1</v>
      </c>
      <c r="H58" s="19" t="s">
        <v>399</v>
      </c>
      <c r="I58" s="69"/>
      <c r="EP58" s="111"/>
    </row>
    <row r="59" spans="1:146" s="110" customFormat="1" ht="31.5" x14ac:dyDescent="0.25">
      <c r="A59" s="14">
        <v>3</v>
      </c>
      <c r="B59" s="14">
        <v>1</v>
      </c>
      <c r="C59" s="14" t="s">
        <v>27</v>
      </c>
      <c r="D59" s="19" t="s">
        <v>83</v>
      </c>
      <c r="E59" s="19" t="s">
        <v>92</v>
      </c>
      <c r="F59" s="14" t="s">
        <v>69</v>
      </c>
      <c r="G59" s="20" t="s">
        <v>93</v>
      </c>
      <c r="H59" s="19" t="s">
        <v>94</v>
      </c>
      <c r="I59" s="69"/>
      <c r="EP59" s="111"/>
    </row>
    <row r="60" spans="1:146" s="110" customFormat="1" ht="141.75" x14ac:dyDescent="0.25">
      <c r="A60" s="32">
        <v>3</v>
      </c>
      <c r="B60" s="32">
        <v>2</v>
      </c>
      <c r="C60" s="32" t="s">
        <v>27</v>
      </c>
      <c r="D60" s="38" t="s">
        <v>1</v>
      </c>
      <c r="E60" s="38" t="s">
        <v>1667</v>
      </c>
      <c r="F60" s="32" t="s">
        <v>69</v>
      </c>
      <c r="G60" s="42">
        <v>159</v>
      </c>
      <c r="H60" s="38" t="s">
        <v>106</v>
      </c>
      <c r="I60" s="69"/>
      <c r="EP60" s="111"/>
    </row>
    <row r="61" spans="1:146" s="110" customFormat="1" ht="63" x14ac:dyDescent="0.25">
      <c r="A61" s="32">
        <v>3</v>
      </c>
      <c r="B61" s="32">
        <v>2</v>
      </c>
      <c r="C61" s="32" t="s">
        <v>27</v>
      </c>
      <c r="D61" s="38" t="s">
        <v>1</v>
      </c>
      <c r="E61" s="38" t="s">
        <v>1668</v>
      </c>
      <c r="F61" s="32" t="s">
        <v>69</v>
      </c>
      <c r="G61" s="42">
        <v>96</v>
      </c>
      <c r="H61" s="38" t="s">
        <v>402</v>
      </c>
      <c r="I61" s="69"/>
      <c r="EP61" s="111"/>
    </row>
    <row r="62" spans="1:146" s="110" customFormat="1" ht="63" x14ac:dyDescent="0.25">
      <c r="A62" s="32">
        <v>3</v>
      </c>
      <c r="B62" s="32">
        <v>2</v>
      </c>
      <c r="C62" s="32" t="s">
        <v>27</v>
      </c>
      <c r="D62" s="38" t="s">
        <v>1</v>
      </c>
      <c r="E62" s="38" t="s">
        <v>1669</v>
      </c>
      <c r="F62" s="32" t="s">
        <v>69</v>
      </c>
      <c r="G62" s="42">
        <v>17</v>
      </c>
      <c r="H62" s="38" t="s">
        <v>402</v>
      </c>
      <c r="I62" s="69"/>
      <c r="EP62" s="111"/>
    </row>
    <row r="63" spans="1:146" s="110" customFormat="1" x14ac:dyDescent="0.25">
      <c r="A63" s="32">
        <v>3</v>
      </c>
      <c r="B63" s="32">
        <v>2</v>
      </c>
      <c r="C63" s="32" t="s">
        <v>27</v>
      </c>
      <c r="D63" s="38" t="s">
        <v>83</v>
      </c>
      <c r="E63" s="38" t="s">
        <v>1670</v>
      </c>
      <c r="F63" s="32" t="s">
        <v>69</v>
      </c>
      <c r="G63" s="42">
        <v>2</v>
      </c>
      <c r="H63" s="38" t="s">
        <v>399</v>
      </c>
      <c r="I63" s="69"/>
      <c r="EP63" s="111"/>
    </row>
    <row r="64" spans="1:146" s="110" customFormat="1" ht="31.5" x14ac:dyDescent="0.25">
      <c r="A64" s="32">
        <v>3</v>
      </c>
      <c r="B64" s="32">
        <v>2</v>
      </c>
      <c r="C64" s="32" t="s">
        <v>27</v>
      </c>
      <c r="D64" s="38" t="s">
        <v>83</v>
      </c>
      <c r="E64" s="38" t="s">
        <v>1671</v>
      </c>
      <c r="F64" s="32" t="s">
        <v>69</v>
      </c>
      <c r="G64" s="42" t="s">
        <v>93</v>
      </c>
      <c r="H64" s="38" t="s">
        <v>400</v>
      </c>
      <c r="I64" s="69"/>
      <c r="EP64" s="111"/>
    </row>
    <row r="65" spans="1:146" s="110" customFormat="1" ht="94.5" x14ac:dyDescent="0.25">
      <c r="A65" s="32">
        <v>3</v>
      </c>
      <c r="B65" s="32">
        <v>2</v>
      </c>
      <c r="C65" s="32" t="s">
        <v>27</v>
      </c>
      <c r="D65" s="38" t="s">
        <v>83</v>
      </c>
      <c r="E65" s="38" t="s">
        <v>1672</v>
      </c>
      <c r="F65" s="32" t="s">
        <v>69</v>
      </c>
      <c r="G65" s="42">
        <v>2</v>
      </c>
      <c r="H65" s="38" t="s">
        <v>1673</v>
      </c>
      <c r="I65" s="69"/>
      <c r="EP65" s="111"/>
    </row>
    <row r="66" spans="1:146" s="110" customFormat="1" ht="78.75" x14ac:dyDescent="0.25">
      <c r="A66" s="32">
        <v>3</v>
      </c>
      <c r="B66" s="32">
        <v>2</v>
      </c>
      <c r="C66" s="32" t="s">
        <v>27</v>
      </c>
      <c r="D66" s="38" t="s">
        <v>83</v>
      </c>
      <c r="E66" s="38" t="s">
        <v>1674</v>
      </c>
      <c r="F66" s="32" t="s">
        <v>81</v>
      </c>
      <c r="G66" s="42">
        <v>36</v>
      </c>
      <c r="H66" s="38" t="s">
        <v>401</v>
      </c>
      <c r="I66" s="69"/>
      <c r="EP66" s="111"/>
    </row>
    <row r="67" spans="1:146" s="110" customFormat="1" ht="94.5" x14ac:dyDescent="0.25">
      <c r="A67" s="63">
        <v>3</v>
      </c>
      <c r="B67" s="63">
        <v>3</v>
      </c>
      <c r="C67" s="63" t="s">
        <v>27</v>
      </c>
      <c r="D67" s="64" t="s">
        <v>83</v>
      </c>
      <c r="E67" s="64" t="s">
        <v>1675</v>
      </c>
      <c r="F67" s="63" t="s">
        <v>69</v>
      </c>
      <c r="G67" s="63" t="s">
        <v>93</v>
      </c>
      <c r="H67" s="64" t="s">
        <v>106</v>
      </c>
      <c r="I67" s="69"/>
      <c r="EP67" s="111"/>
    </row>
    <row r="68" spans="1:146" s="110" customFormat="1" ht="63" x14ac:dyDescent="0.25">
      <c r="A68" s="63">
        <v>3</v>
      </c>
      <c r="B68" s="63">
        <v>3</v>
      </c>
      <c r="C68" s="63" t="s">
        <v>27</v>
      </c>
      <c r="D68" s="64" t="s">
        <v>1</v>
      </c>
      <c r="E68" s="64" t="s">
        <v>1676</v>
      </c>
      <c r="F68" s="63" t="s">
        <v>69</v>
      </c>
      <c r="G68" s="63">
        <v>27</v>
      </c>
      <c r="H68" s="64" t="s">
        <v>402</v>
      </c>
      <c r="I68" s="69"/>
      <c r="EP68" s="111"/>
    </row>
    <row r="69" spans="1:146" s="110" customFormat="1" ht="126" x14ac:dyDescent="0.25">
      <c r="A69" s="63">
        <v>3</v>
      </c>
      <c r="B69" s="63">
        <v>3</v>
      </c>
      <c r="C69" s="63" t="s">
        <v>27</v>
      </c>
      <c r="D69" s="64" t="s">
        <v>1</v>
      </c>
      <c r="E69" s="64" t="s">
        <v>1677</v>
      </c>
      <c r="F69" s="63" t="s">
        <v>69</v>
      </c>
      <c r="G69" s="63">
        <v>159</v>
      </c>
      <c r="H69" s="64" t="s">
        <v>106</v>
      </c>
      <c r="I69" s="69"/>
      <c r="EP69" s="111"/>
    </row>
    <row r="70" spans="1:146" s="110" customFormat="1" ht="63" x14ac:dyDescent="0.25">
      <c r="A70" s="63">
        <v>3</v>
      </c>
      <c r="B70" s="63">
        <v>3</v>
      </c>
      <c r="C70" s="63" t="s">
        <v>27</v>
      </c>
      <c r="D70" s="64" t="s">
        <v>1</v>
      </c>
      <c r="E70" s="64" t="s">
        <v>1678</v>
      </c>
      <c r="F70" s="63" t="s">
        <v>69</v>
      </c>
      <c r="G70" s="63">
        <v>53</v>
      </c>
      <c r="H70" s="64" t="s">
        <v>402</v>
      </c>
      <c r="I70" s="69"/>
      <c r="EP70" s="111"/>
    </row>
    <row r="71" spans="1:146" s="110" customFormat="1" ht="31.5" x14ac:dyDescent="0.25">
      <c r="A71" s="63">
        <v>3</v>
      </c>
      <c r="B71" s="63">
        <v>3</v>
      </c>
      <c r="C71" s="63" t="s">
        <v>27</v>
      </c>
      <c r="D71" s="64" t="s">
        <v>83</v>
      </c>
      <c r="E71" s="64" t="s">
        <v>1679</v>
      </c>
      <c r="F71" s="63" t="s">
        <v>69</v>
      </c>
      <c r="G71" s="63" t="s">
        <v>93</v>
      </c>
      <c r="H71" s="64" t="s">
        <v>400</v>
      </c>
      <c r="I71" s="69"/>
      <c r="EP71" s="111"/>
    </row>
    <row r="72" spans="1:146" s="110" customFormat="1" ht="31.5" x14ac:dyDescent="0.25">
      <c r="A72" s="63">
        <v>3</v>
      </c>
      <c r="B72" s="63">
        <v>3</v>
      </c>
      <c r="C72" s="63" t="s">
        <v>27</v>
      </c>
      <c r="D72" s="64" t="s">
        <v>83</v>
      </c>
      <c r="E72" s="64" t="s">
        <v>1680</v>
      </c>
      <c r="F72" s="63" t="s">
        <v>69</v>
      </c>
      <c r="G72" s="63">
        <v>4</v>
      </c>
      <c r="H72" s="64" t="s">
        <v>699</v>
      </c>
      <c r="I72" s="69"/>
      <c r="EP72" s="111"/>
    </row>
    <row r="73" spans="1:146" s="110" customFormat="1" x14ac:dyDescent="0.25">
      <c r="A73" s="63">
        <v>3</v>
      </c>
      <c r="B73" s="63">
        <v>3</v>
      </c>
      <c r="C73" s="63" t="s">
        <v>27</v>
      </c>
      <c r="D73" s="64" t="s">
        <v>83</v>
      </c>
      <c r="E73" s="64" t="s">
        <v>1681</v>
      </c>
      <c r="F73" s="63" t="s">
        <v>69</v>
      </c>
      <c r="G73" s="63">
        <v>3</v>
      </c>
      <c r="H73" s="64" t="s">
        <v>399</v>
      </c>
      <c r="I73" s="69"/>
      <c r="EP73" s="111"/>
    </row>
    <row r="74" spans="1:146" s="110" customFormat="1" ht="94.5" x14ac:dyDescent="0.25">
      <c r="A74" s="63">
        <v>3</v>
      </c>
      <c r="B74" s="63">
        <v>3</v>
      </c>
      <c r="C74" s="63" t="s">
        <v>27</v>
      </c>
      <c r="D74" s="64" t="s">
        <v>0</v>
      </c>
      <c r="E74" s="64" t="s">
        <v>1682</v>
      </c>
      <c r="F74" s="63" t="s">
        <v>69</v>
      </c>
      <c r="G74" s="63">
        <v>11</v>
      </c>
      <c r="H74" s="64" t="s">
        <v>700</v>
      </c>
      <c r="I74" s="69"/>
      <c r="EP74" s="111"/>
    </row>
    <row r="75" spans="1:146" s="110" customFormat="1" ht="31.5" x14ac:dyDescent="0.25">
      <c r="A75" s="63">
        <v>3</v>
      </c>
      <c r="B75" s="63">
        <v>3</v>
      </c>
      <c r="C75" s="63" t="s">
        <v>27</v>
      </c>
      <c r="D75" s="64" t="s">
        <v>0</v>
      </c>
      <c r="E75" s="64" t="s">
        <v>1683</v>
      </c>
      <c r="F75" s="63" t="s">
        <v>69</v>
      </c>
      <c r="G75" s="63">
        <v>8</v>
      </c>
      <c r="H75" s="64" t="s">
        <v>1684</v>
      </c>
      <c r="I75" s="69"/>
      <c r="EP75" s="111"/>
    </row>
    <row r="76" spans="1:146" s="110" customFormat="1" ht="110.25" x14ac:dyDescent="0.25">
      <c r="A76" s="63">
        <v>3</v>
      </c>
      <c r="B76" s="63">
        <v>3</v>
      </c>
      <c r="C76" s="63" t="s">
        <v>27</v>
      </c>
      <c r="D76" s="64" t="s">
        <v>83</v>
      </c>
      <c r="E76" s="64" t="s">
        <v>1685</v>
      </c>
      <c r="F76" s="63" t="s">
        <v>69</v>
      </c>
      <c r="G76" s="63">
        <v>2</v>
      </c>
      <c r="H76" s="64" t="s">
        <v>698</v>
      </c>
      <c r="I76" s="69"/>
      <c r="EP76" s="111"/>
    </row>
    <row r="77" spans="1:146" s="110" customFormat="1" ht="94.5" x14ac:dyDescent="0.25">
      <c r="A77" s="63">
        <v>3</v>
      </c>
      <c r="B77" s="63">
        <v>3</v>
      </c>
      <c r="C77" s="63" t="s">
        <v>27</v>
      </c>
      <c r="D77" s="64" t="s">
        <v>1</v>
      </c>
      <c r="E77" s="64" t="s">
        <v>1686</v>
      </c>
      <c r="F77" s="63" t="s">
        <v>69</v>
      </c>
      <c r="G77" s="63">
        <v>7</v>
      </c>
      <c r="H77" s="64" t="s">
        <v>701</v>
      </c>
      <c r="I77" s="69"/>
      <c r="EP77" s="111"/>
    </row>
    <row r="78" spans="1:146" s="110" customFormat="1" ht="27.6" customHeight="1" x14ac:dyDescent="0.25">
      <c r="A78" s="45">
        <v>3</v>
      </c>
      <c r="B78" s="45">
        <v>4</v>
      </c>
      <c r="C78" s="45" t="s">
        <v>27</v>
      </c>
      <c r="D78" s="50" t="s">
        <v>1</v>
      </c>
      <c r="E78" s="50" t="s">
        <v>1687</v>
      </c>
      <c r="F78" s="45" t="s">
        <v>69</v>
      </c>
      <c r="G78" s="54">
        <v>159</v>
      </c>
      <c r="H78" s="50" t="s">
        <v>106</v>
      </c>
      <c r="I78" s="69"/>
      <c r="EP78" s="111"/>
    </row>
    <row r="79" spans="1:146" s="110" customFormat="1" ht="27.6" customHeight="1" x14ac:dyDescent="0.25">
      <c r="A79" s="45">
        <v>3</v>
      </c>
      <c r="B79" s="45">
        <v>4</v>
      </c>
      <c r="C79" s="45" t="s">
        <v>27</v>
      </c>
      <c r="D79" s="50" t="s">
        <v>1</v>
      </c>
      <c r="E79" s="50" t="s">
        <v>1080</v>
      </c>
      <c r="F79" s="45" t="s">
        <v>69</v>
      </c>
      <c r="G79" s="54">
        <v>45</v>
      </c>
      <c r="H79" s="50" t="s">
        <v>402</v>
      </c>
      <c r="I79" s="69"/>
      <c r="EP79" s="111"/>
    </row>
    <row r="80" spans="1:146" s="110" customFormat="1" ht="27.6" customHeight="1" x14ac:dyDescent="0.25">
      <c r="A80" s="45">
        <v>3</v>
      </c>
      <c r="B80" s="45">
        <v>4</v>
      </c>
      <c r="C80" s="45" t="s">
        <v>27</v>
      </c>
      <c r="D80" s="50" t="s">
        <v>137</v>
      </c>
      <c r="E80" s="50" t="s">
        <v>1688</v>
      </c>
      <c r="F80" s="45" t="s">
        <v>69</v>
      </c>
      <c r="G80" s="54">
        <v>36</v>
      </c>
      <c r="H80" s="50" t="s">
        <v>106</v>
      </c>
      <c r="I80" s="69"/>
      <c r="EP80" s="111"/>
    </row>
    <row r="81" spans="1:146" s="110" customFormat="1" ht="27.6" customHeight="1" x14ac:dyDescent="0.25">
      <c r="A81" s="45">
        <v>3</v>
      </c>
      <c r="B81" s="45">
        <v>4</v>
      </c>
      <c r="C81" s="45" t="s">
        <v>27</v>
      </c>
      <c r="D81" s="50" t="s">
        <v>83</v>
      </c>
      <c r="E81" s="50" t="s">
        <v>1689</v>
      </c>
      <c r="F81" s="45" t="s">
        <v>69</v>
      </c>
      <c r="G81" s="54" t="s">
        <v>93</v>
      </c>
      <c r="H81" s="50" t="s">
        <v>273</v>
      </c>
      <c r="I81" s="69"/>
      <c r="EP81" s="111"/>
    </row>
    <row r="82" spans="1:146" s="110" customFormat="1" ht="27.6" customHeight="1" x14ac:dyDescent="0.25">
      <c r="A82" s="45">
        <v>3</v>
      </c>
      <c r="B82" s="45">
        <v>4</v>
      </c>
      <c r="C82" s="45" t="s">
        <v>27</v>
      </c>
      <c r="D82" s="50" t="s">
        <v>83</v>
      </c>
      <c r="E82" s="50" t="s">
        <v>1690</v>
      </c>
      <c r="F82" s="45" t="s">
        <v>69</v>
      </c>
      <c r="G82" s="54">
        <v>4</v>
      </c>
      <c r="H82" s="50"/>
      <c r="I82" s="69"/>
      <c r="EP82" s="111"/>
    </row>
    <row r="83" spans="1:146" s="110" customFormat="1" ht="27.6" customHeight="1" x14ac:dyDescent="0.25">
      <c r="A83" s="45">
        <v>3</v>
      </c>
      <c r="B83" s="45">
        <v>4</v>
      </c>
      <c r="C83" s="45" t="s">
        <v>27</v>
      </c>
      <c r="D83" s="50" t="s">
        <v>83</v>
      </c>
      <c r="E83" s="50" t="s">
        <v>1691</v>
      </c>
      <c r="F83" s="45" t="s">
        <v>69</v>
      </c>
      <c r="G83" s="54">
        <v>4</v>
      </c>
      <c r="H83" s="50" t="s">
        <v>399</v>
      </c>
      <c r="I83" s="69"/>
      <c r="EP83" s="111"/>
    </row>
    <row r="84" spans="1:146" s="110" customFormat="1" ht="27.6" customHeight="1" x14ac:dyDescent="0.25">
      <c r="A84" s="45">
        <v>3</v>
      </c>
      <c r="B84" s="45">
        <v>4</v>
      </c>
      <c r="C84" s="45" t="s">
        <v>27</v>
      </c>
      <c r="D84" s="50" t="s">
        <v>83</v>
      </c>
      <c r="E84" s="50" t="s">
        <v>1692</v>
      </c>
      <c r="F84" s="45" t="s">
        <v>69</v>
      </c>
      <c r="G84" s="54">
        <v>6</v>
      </c>
      <c r="H84" s="50" t="s">
        <v>1079</v>
      </c>
      <c r="I84" s="69"/>
      <c r="EP84" s="111"/>
    </row>
    <row r="85" spans="1:146" s="110" customFormat="1" ht="27.6" customHeight="1" x14ac:dyDescent="0.25">
      <c r="A85" s="45">
        <v>3</v>
      </c>
      <c r="B85" s="45">
        <v>4</v>
      </c>
      <c r="C85" s="45" t="s">
        <v>27</v>
      </c>
      <c r="D85" s="50" t="s">
        <v>83</v>
      </c>
      <c r="E85" s="50" t="s">
        <v>1693</v>
      </c>
      <c r="F85" s="45" t="s">
        <v>69</v>
      </c>
      <c r="G85" s="54" t="s">
        <v>93</v>
      </c>
      <c r="H85" s="50" t="s">
        <v>106</v>
      </c>
      <c r="I85" s="69"/>
      <c r="EP85" s="111"/>
    </row>
    <row r="86" spans="1:146" s="110" customFormat="1" ht="27.6" customHeight="1" x14ac:dyDescent="0.25">
      <c r="A86" s="45">
        <v>3</v>
      </c>
      <c r="B86" s="45">
        <v>4</v>
      </c>
      <c r="C86" s="45" t="s">
        <v>27</v>
      </c>
      <c r="D86" s="50" t="s">
        <v>0</v>
      </c>
      <c r="E86" s="50" t="s">
        <v>1694</v>
      </c>
      <c r="F86" s="45" t="s">
        <v>69</v>
      </c>
      <c r="G86" s="54">
        <v>10</v>
      </c>
      <c r="H86" s="50" t="s">
        <v>700</v>
      </c>
      <c r="I86" s="69"/>
      <c r="EP86" s="111"/>
    </row>
    <row r="87" spans="1:146" s="110" customFormat="1" ht="27.6" customHeight="1" x14ac:dyDescent="0.25">
      <c r="A87" s="45">
        <v>3</v>
      </c>
      <c r="B87" s="45">
        <v>4</v>
      </c>
      <c r="C87" s="45" t="s">
        <v>27</v>
      </c>
      <c r="D87" s="50" t="s">
        <v>1</v>
      </c>
      <c r="E87" s="50" t="s">
        <v>1695</v>
      </c>
      <c r="F87" s="45" t="s">
        <v>69</v>
      </c>
      <c r="G87" s="54">
        <v>4</v>
      </c>
      <c r="H87" s="50" t="s">
        <v>701</v>
      </c>
      <c r="I87" s="69"/>
      <c r="EP87" s="111"/>
    </row>
    <row r="88" spans="1:146" s="110" customFormat="1" ht="78.75" x14ac:dyDescent="0.25">
      <c r="A88" s="14">
        <v>4</v>
      </c>
      <c r="B88" s="14">
        <v>1</v>
      </c>
      <c r="C88" s="14" t="s">
        <v>95</v>
      </c>
      <c r="D88" s="19" t="s">
        <v>1</v>
      </c>
      <c r="E88" s="19" t="s">
        <v>109</v>
      </c>
      <c r="F88" s="14" t="s">
        <v>69</v>
      </c>
      <c r="G88" s="20">
        <v>315</v>
      </c>
      <c r="H88" s="19" t="s">
        <v>110</v>
      </c>
      <c r="I88" s="69"/>
      <c r="EP88" s="111"/>
    </row>
    <row r="89" spans="1:146" s="110" customFormat="1" ht="94.5" x14ac:dyDescent="0.25">
      <c r="A89" s="14">
        <v>4</v>
      </c>
      <c r="B89" s="14">
        <v>1</v>
      </c>
      <c r="C89" s="14" t="s">
        <v>95</v>
      </c>
      <c r="D89" s="19" t="s">
        <v>4</v>
      </c>
      <c r="E89" s="19" t="s">
        <v>98</v>
      </c>
      <c r="F89" s="14" t="s">
        <v>81</v>
      </c>
      <c r="G89" s="20">
        <v>1</v>
      </c>
      <c r="H89" s="19" t="s">
        <v>99</v>
      </c>
      <c r="I89" s="69"/>
      <c r="EP89" s="111"/>
    </row>
    <row r="90" spans="1:146" s="110" customFormat="1" ht="157.5" x14ac:dyDescent="0.25">
      <c r="A90" s="14">
        <v>4</v>
      </c>
      <c r="B90" s="14">
        <v>1</v>
      </c>
      <c r="C90" s="14" t="s">
        <v>95</v>
      </c>
      <c r="D90" s="19" t="s">
        <v>83</v>
      </c>
      <c r="E90" s="19" t="s">
        <v>101</v>
      </c>
      <c r="F90" s="14" t="s">
        <v>81</v>
      </c>
      <c r="G90" s="20">
        <v>7</v>
      </c>
      <c r="H90" s="19" t="s">
        <v>102</v>
      </c>
      <c r="I90" s="69"/>
      <c r="EP90" s="111"/>
    </row>
    <row r="91" spans="1:146" s="110" customFormat="1" ht="63" x14ac:dyDescent="0.25">
      <c r="A91" s="14">
        <v>4</v>
      </c>
      <c r="B91" s="14">
        <v>1</v>
      </c>
      <c r="C91" s="14" t="s">
        <v>95</v>
      </c>
      <c r="D91" s="19" t="s">
        <v>83</v>
      </c>
      <c r="E91" s="19" t="s">
        <v>105</v>
      </c>
      <c r="F91" s="14" t="s">
        <v>69</v>
      </c>
      <c r="G91" s="20">
        <v>10</v>
      </c>
      <c r="H91" s="19" t="s">
        <v>106</v>
      </c>
      <c r="I91" s="69"/>
      <c r="EP91" s="111"/>
    </row>
    <row r="92" spans="1:146" s="110" customFormat="1" ht="63" x14ac:dyDescent="0.25">
      <c r="A92" s="14">
        <v>4</v>
      </c>
      <c r="B92" s="14">
        <v>1</v>
      </c>
      <c r="C92" s="14" t="s">
        <v>95</v>
      </c>
      <c r="D92" s="19" t="s">
        <v>83</v>
      </c>
      <c r="E92" s="19" t="s">
        <v>96</v>
      </c>
      <c r="F92" s="14" t="s">
        <v>69</v>
      </c>
      <c r="G92" s="20">
        <v>5</v>
      </c>
      <c r="H92" s="19" t="s">
        <v>97</v>
      </c>
      <c r="I92" s="69"/>
      <c r="EP92" s="111"/>
    </row>
    <row r="93" spans="1:146" s="110" customFormat="1" ht="94.5" x14ac:dyDescent="0.25">
      <c r="A93" s="14">
        <v>4</v>
      </c>
      <c r="B93" s="14">
        <v>1</v>
      </c>
      <c r="C93" s="14" t="s">
        <v>95</v>
      </c>
      <c r="D93" s="19" t="s">
        <v>83</v>
      </c>
      <c r="E93" s="19" t="s">
        <v>103</v>
      </c>
      <c r="F93" s="14" t="s">
        <v>69</v>
      </c>
      <c r="G93" s="20">
        <v>15</v>
      </c>
      <c r="H93" s="19" t="s">
        <v>104</v>
      </c>
      <c r="I93" s="69"/>
      <c r="EP93" s="111"/>
    </row>
    <row r="94" spans="1:146" s="110" customFormat="1" ht="78.75" x14ac:dyDescent="0.25">
      <c r="A94" s="14">
        <v>4</v>
      </c>
      <c r="B94" s="14">
        <v>1</v>
      </c>
      <c r="C94" s="14" t="s">
        <v>95</v>
      </c>
      <c r="D94" s="19" t="s">
        <v>83</v>
      </c>
      <c r="E94" s="19" t="s">
        <v>569</v>
      </c>
      <c r="F94" s="14" t="s">
        <v>69</v>
      </c>
      <c r="G94" s="20">
        <v>10</v>
      </c>
      <c r="H94" s="19" t="s">
        <v>100</v>
      </c>
      <c r="I94" s="69"/>
      <c r="EP94" s="111"/>
    </row>
    <row r="95" spans="1:146" s="110" customFormat="1" ht="63" x14ac:dyDescent="0.25">
      <c r="A95" s="14">
        <v>4</v>
      </c>
      <c r="B95" s="14">
        <v>1</v>
      </c>
      <c r="C95" s="14" t="s">
        <v>95</v>
      </c>
      <c r="D95" s="19" t="s">
        <v>83</v>
      </c>
      <c r="E95" s="19" t="s">
        <v>111</v>
      </c>
      <c r="F95" s="14" t="s">
        <v>69</v>
      </c>
      <c r="G95" s="20">
        <v>2</v>
      </c>
      <c r="H95" s="19" t="s">
        <v>112</v>
      </c>
      <c r="I95" s="69"/>
      <c r="EP95" s="111"/>
    </row>
    <row r="96" spans="1:146" s="110" customFormat="1" ht="63" x14ac:dyDescent="0.25">
      <c r="A96" s="14">
        <v>4</v>
      </c>
      <c r="B96" s="14">
        <v>1</v>
      </c>
      <c r="C96" s="14" t="s">
        <v>95</v>
      </c>
      <c r="D96" s="19" t="s">
        <v>1</v>
      </c>
      <c r="E96" s="19" t="s">
        <v>107</v>
      </c>
      <c r="F96" s="14" t="s">
        <v>81</v>
      </c>
      <c r="G96" s="20">
        <v>24</v>
      </c>
      <c r="H96" s="19" t="s">
        <v>108</v>
      </c>
      <c r="I96" s="69"/>
      <c r="EP96" s="111"/>
    </row>
    <row r="97" spans="1:146" s="110" customFormat="1" ht="63" x14ac:dyDescent="0.25">
      <c r="A97" s="32">
        <v>4</v>
      </c>
      <c r="B97" s="32">
        <v>2</v>
      </c>
      <c r="C97" s="32" t="s">
        <v>95</v>
      </c>
      <c r="D97" s="38" t="s">
        <v>83</v>
      </c>
      <c r="E97" s="38" t="s">
        <v>575</v>
      </c>
      <c r="F97" s="32" t="s">
        <v>81</v>
      </c>
      <c r="G97" s="42">
        <v>1</v>
      </c>
      <c r="H97" s="38" t="s">
        <v>112</v>
      </c>
      <c r="I97" s="69"/>
      <c r="EP97" s="111"/>
    </row>
    <row r="98" spans="1:146" s="110" customFormat="1" ht="78.75" x14ac:dyDescent="0.25">
      <c r="A98" s="32">
        <v>4</v>
      </c>
      <c r="B98" s="32">
        <v>2</v>
      </c>
      <c r="C98" s="32" t="s">
        <v>95</v>
      </c>
      <c r="D98" s="38" t="s">
        <v>1</v>
      </c>
      <c r="E98" s="38" t="s">
        <v>109</v>
      </c>
      <c r="F98" s="32" t="s">
        <v>69</v>
      </c>
      <c r="G98" s="42">
        <v>266</v>
      </c>
      <c r="H98" s="38" t="s">
        <v>1696</v>
      </c>
      <c r="I98" s="69"/>
      <c r="EP98" s="111"/>
    </row>
    <row r="99" spans="1:146" s="110" customFormat="1" ht="141.75" x14ac:dyDescent="0.25">
      <c r="A99" s="32">
        <v>4</v>
      </c>
      <c r="B99" s="32">
        <v>2</v>
      </c>
      <c r="C99" s="32" t="s">
        <v>95</v>
      </c>
      <c r="D99" s="38" t="s">
        <v>4</v>
      </c>
      <c r="E99" s="38" t="s">
        <v>1697</v>
      </c>
      <c r="F99" s="32" t="s">
        <v>69</v>
      </c>
      <c r="G99" s="42">
        <v>8</v>
      </c>
      <c r="H99" s="38" t="s">
        <v>418</v>
      </c>
      <c r="I99" s="69"/>
      <c r="EP99" s="111"/>
    </row>
    <row r="100" spans="1:146" s="110" customFormat="1" ht="157.5" x14ac:dyDescent="0.25">
      <c r="A100" s="32">
        <v>4</v>
      </c>
      <c r="B100" s="32">
        <v>2</v>
      </c>
      <c r="C100" s="32" t="s">
        <v>95</v>
      </c>
      <c r="D100" s="38" t="s">
        <v>159</v>
      </c>
      <c r="E100" s="38" t="s">
        <v>419</v>
      </c>
      <c r="F100" s="32" t="s">
        <v>69</v>
      </c>
      <c r="G100" s="42">
        <v>369</v>
      </c>
      <c r="H100" s="38" t="s">
        <v>420</v>
      </c>
      <c r="I100" s="69"/>
      <c r="EP100" s="111"/>
    </row>
    <row r="101" spans="1:146" s="110" customFormat="1" ht="110.25" x14ac:dyDescent="0.25">
      <c r="A101" s="32">
        <v>4</v>
      </c>
      <c r="B101" s="32">
        <v>2</v>
      </c>
      <c r="C101" s="32" t="s">
        <v>95</v>
      </c>
      <c r="D101" s="38" t="s">
        <v>4</v>
      </c>
      <c r="E101" s="38" t="s">
        <v>691</v>
      </c>
      <c r="F101" s="32" t="s">
        <v>69</v>
      </c>
      <c r="G101" s="42">
        <v>1</v>
      </c>
      <c r="H101" s="38" t="s">
        <v>417</v>
      </c>
      <c r="I101" s="69"/>
      <c r="EP101" s="111"/>
    </row>
    <row r="102" spans="1:146" s="110" customFormat="1" ht="110.25" x14ac:dyDescent="0.25">
      <c r="A102" s="32">
        <v>4</v>
      </c>
      <c r="B102" s="32">
        <v>2</v>
      </c>
      <c r="C102" s="32" t="s">
        <v>95</v>
      </c>
      <c r="D102" s="38" t="s">
        <v>83</v>
      </c>
      <c r="E102" s="38" t="s">
        <v>403</v>
      </c>
      <c r="F102" s="32" t="s">
        <v>81</v>
      </c>
      <c r="G102" s="42">
        <v>14</v>
      </c>
      <c r="H102" s="38" t="s">
        <v>404</v>
      </c>
      <c r="I102" s="69"/>
      <c r="EP102" s="111"/>
    </row>
    <row r="103" spans="1:146" s="110" customFormat="1" ht="63" x14ac:dyDescent="0.25">
      <c r="A103" s="32">
        <v>4</v>
      </c>
      <c r="B103" s="32">
        <v>2</v>
      </c>
      <c r="C103" s="32" t="s">
        <v>95</v>
      </c>
      <c r="D103" s="38" t="s">
        <v>83</v>
      </c>
      <c r="E103" s="38" t="s">
        <v>405</v>
      </c>
      <c r="F103" s="32" t="s">
        <v>81</v>
      </c>
      <c r="G103" s="42">
        <v>1</v>
      </c>
      <c r="H103" s="38" t="s">
        <v>406</v>
      </c>
      <c r="I103" s="69"/>
      <c r="EP103" s="111"/>
    </row>
    <row r="104" spans="1:146" s="110" customFormat="1" ht="63" x14ac:dyDescent="0.25">
      <c r="A104" s="32">
        <v>4</v>
      </c>
      <c r="B104" s="32">
        <v>2</v>
      </c>
      <c r="C104" s="32" t="s">
        <v>95</v>
      </c>
      <c r="D104" s="38" t="s">
        <v>83</v>
      </c>
      <c r="E104" s="38" t="s">
        <v>573</v>
      </c>
      <c r="F104" s="32" t="s">
        <v>69</v>
      </c>
      <c r="G104" s="42">
        <v>1</v>
      </c>
      <c r="H104" s="38" t="s">
        <v>407</v>
      </c>
      <c r="I104" s="69"/>
      <c r="EP104" s="111"/>
    </row>
    <row r="105" spans="1:146" s="110" customFormat="1" ht="63" x14ac:dyDescent="0.25">
      <c r="A105" s="32">
        <v>4</v>
      </c>
      <c r="B105" s="32">
        <v>2</v>
      </c>
      <c r="C105" s="32" t="s">
        <v>95</v>
      </c>
      <c r="D105" s="38" t="s">
        <v>83</v>
      </c>
      <c r="E105" s="38" t="s">
        <v>574</v>
      </c>
      <c r="F105" s="32" t="s">
        <v>69</v>
      </c>
      <c r="G105" s="42">
        <v>13</v>
      </c>
      <c r="H105" s="38" t="s">
        <v>106</v>
      </c>
      <c r="I105" s="69"/>
      <c r="EP105" s="111"/>
    </row>
    <row r="106" spans="1:146" s="110" customFormat="1" ht="78.75" x14ac:dyDescent="0.25">
      <c r="A106" s="32">
        <v>4</v>
      </c>
      <c r="B106" s="32">
        <v>2</v>
      </c>
      <c r="C106" s="32" t="s">
        <v>95</v>
      </c>
      <c r="D106" s="38" t="s">
        <v>83</v>
      </c>
      <c r="E106" s="38" t="s">
        <v>1698</v>
      </c>
      <c r="F106" s="32" t="s">
        <v>69</v>
      </c>
      <c r="G106" s="42">
        <v>17</v>
      </c>
      <c r="H106" s="38" t="s">
        <v>414</v>
      </c>
      <c r="I106" s="69"/>
      <c r="EP106" s="111"/>
    </row>
    <row r="107" spans="1:146" s="110" customFormat="1" ht="78.75" x14ac:dyDescent="0.25">
      <c r="A107" s="32">
        <v>4</v>
      </c>
      <c r="B107" s="32">
        <v>2</v>
      </c>
      <c r="C107" s="32" t="s">
        <v>95</v>
      </c>
      <c r="D107" s="38" t="s">
        <v>83</v>
      </c>
      <c r="E107" s="38" t="s">
        <v>1699</v>
      </c>
      <c r="F107" s="32" t="s">
        <v>69</v>
      </c>
      <c r="G107" s="42">
        <v>10</v>
      </c>
      <c r="H107" s="38" t="s">
        <v>100</v>
      </c>
      <c r="I107" s="69"/>
      <c r="EP107" s="111"/>
    </row>
    <row r="108" spans="1:146" s="110" customFormat="1" ht="220.5" x14ac:dyDescent="0.25">
      <c r="A108" s="32">
        <v>4</v>
      </c>
      <c r="B108" s="32">
        <v>2</v>
      </c>
      <c r="C108" s="32" t="s">
        <v>95</v>
      </c>
      <c r="D108" s="38" t="s">
        <v>83</v>
      </c>
      <c r="E108" s="38" t="s">
        <v>1700</v>
      </c>
      <c r="F108" s="32" t="s">
        <v>69</v>
      </c>
      <c r="G108" s="42">
        <v>6</v>
      </c>
      <c r="H108" s="38" t="s">
        <v>415</v>
      </c>
      <c r="I108" s="69"/>
      <c r="EP108" s="111"/>
    </row>
    <row r="109" spans="1:146" s="110" customFormat="1" ht="141.75" x14ac:dyDescent="0.25">
      <c r="A109" s="32">
        <v>4</v>
      </c>
      <c r="B109" s="32">
        <v>2</v>
      </c>
      <c r="C109" s="32" t="s">
        <v>95</v>
      </c>
      <c r="D109" s="38" t="s">
        <v>83</v>
      </c>
      <c r="E109" s="38" t="s">
        <v>1701</v>
      </c>
      <c r="F109" s="32" t="s">
        <v>69</v>
      </c>
      <c r="G109" s="42">
        <v>50</v>
      </c>
      <c r="H109" s="38" t="s">
        <v>416</v>
      </c>
      <c r="I109" s="69"/>
      <c r="EP109" s="111"/>
    </row>
    <row r="110" spans="1:146" s="110" customFormat="1" ht="126" x14ac:dyDescent="0.25">
      <c r="A110" s="32">
        <v>4</v>
      </c>
      <c r="B110" s="32">
        <v>2</v>
      </c>
      <c r="C110" s="32" t="s">
        <v>95</v>
      </c>
      <c r="D110" s="38" t="s">
        <v>1</v>
      </c>
      <c r="E110" s="38" t="s">
        <v>1702</v>
      </c>
      <c r="F110" s="32" t="s">
        <v>69</v>
      </c>
      <c r="G110" s="42">
        <v>64</v>
      </c>
      <c r="H110" s="38" t="s">
        <v>408</v>
      </c>
      <c r="I110" s="69"/>
      <c r="EP110" s="111"/>
    </row>
    <row r="111" spans="1:146" s="110" customFormat="1" ht="78.75" x14ac:dyDescent="0.25">
      <c r="A111" s="32">
        <v>4</v>
      </c>
      <c r="B111" s="32">
        <v>2</v>
      </c>
      <c r="C111" s="32" t="s">
        <v>95</v>
      </c>
      <c r="D111" s="38" t="s">
        <v>1</v>
      </c>
      <c r="E111" s="38" t="s">
        <v>411</v>
      </c>
      <c r="F111" s="32" t="s">
        <v>81</v>
      </c>
      <c r="G111" s="42" t="s">
        <v>412</v>
      </c>
      <c r="H111" s="38" t="s">
        <v>413</v>
      </c>
      <c r="I111" s="69"/>
      <c r="EP111" s="111"/>
    </row>
    <row r="112" spans="1:146" s="110" customFormat="1" ht="78.75" x14ac:dyDescent="0.25">
      <c r="A112" s="32">
        <v>4</v>
      </c>
      <c r="B112" s="32">
        <v>2</v>
      </c>
      <c r="C112" s="32" t="s">
        <v>95</v>
      </c>
      <c r="D112" s="38" t="s">
        <v>1</v>
      </c>
      <c r="E112" s="38" t="s">
        <v>409</v>
      </c>
      <c r="F112" s="32" t="s">
        <v>69</v>
      </c>
      <c r="G112" s="42">
        <v>22</v>
      </c>
      <c r="H112" s="38" t="s">
        <v>410</v>
      </c>
      <c r="I112" s="69"/>
      <c r="EP112" s="111"/>
    </row>
    <row r="113" spans="1:146" s="110" customFormat="1" ht="157.5" x14ac:dyDescent="0.25">
      <c r="A113" s="63">
        <v>4</v>
      </c>
      <c r="B113" s="63">
        <v>3</v>
      </c>
      <c r="C113" s="63" t="s">
        <v>95</v>
      </c>
      <c r="D113" s="64" t="s">
        <v>1</v>
      </c>
      <c r="E113" s="64" t="s">
        <v>702</v>
      </c>
      <c r="F113" s="63" t="s">
        <v>69</v>
      </c>
      <c r="G113" s="63">
        <v>0</v>
      </c>
      <c r="H113" s="64" t="s">
        <v>703</v>
      </c>
      <c r="I113" s="69"/>
      <c r="EP113" s="111"/>
    </row>
    <row r="114" spans="1:146" s="110" customFormat="1" ht="78.75" x14ac:dyDescent="0.25">
      <c r="A114" s="63">
        <v>4</v>
      </c>
      <c r="B114" s="63">
        <v>3</v>
      </c>
      <c r="C114" s="63" t="s">
        <v>95</v>
      </c>
      <c r="D114" s="64" t="s">
        <v>1</v>
      </c>
      <c r="E114" s="64" t="s">
        <v>109</v>
      </c>
      <c r="F114" s="63" t="s">
        <v>69</v>
      </c>
      <c r="G114" s="63">
        <v>350</v>
      </c>
      <c r="H114" s="64" t="s">
        <v>1703</v>
      </c>
      <c r="I114" s="69"/>
      <c r="EP114" s="111"/>
    </row>
    <row r="115" spans="1:146" s="110" customFormat="1" ht="110.25" x14ac:dyDescent="0.25">
      <c r="A115" s="63">
        <v>4</v>
      </c>
      <c r="B115" s="63">
        <v>3</v>
      </c>
      <c r="C115" s="63" t="s">
        <v>95</v>
      </c>
      <c r="D115" s="64" t="s">
        <v>4</v>
      </c>
      <c r="E115" s="64" t="s">
        <v>1704</v>
      </c>
      <c r="F115" s="63" t="s">
        <v>81</v>
      </c>
      <c r="G115" s="65">
        <v>8</v>
      </c>
      <c r="H115" s="64" t="s">
        <v>721</v>
      </c>
      <c r="I115" s="69"/>
      <c r="EP115" s="111"/>
    </row>
    <row r="116" spans="1:146" s="110" customFormat="1" ht="78.75" x14ac:dyDescent="0.25">
      <c r="A116" s="63">
        <v>4</v>
      </c>
      <c r="B116" s="63">
        <v>3</v>
      </c>
      <c r="C116" s="63" t="s">
        <v>95</v>
      </c>
      <c r="D116" s="64" t="s">
        <v>83</v>
      </c>
      <c r="E116" s="64" t="s">
        <v>1698</v>
      </c>
      <c r="F116" s="63" t="s">
        <v>69</v>
      </c>
      <c r="G116" s="65">
        <v>17</v>
      </c>
      <c r="H116" s="64" t="s">
        <v>720</v>
      </c>
      <c r="I116" s="69"/>
      <c r="EP116" s="111"/>
    </row>
    <row r="117" spans="1:146" s="110" customFormat="1" ht="204.75" x14ac:dyDescent="0.25">
      <c r="A117" s="63">
        <v>4</v>
      </c>
      <c r="B117" s="63">
        <v>3</v>
      </c>
      <c r="C117" s="63" t="s">
        <v>95</v>
      </c>
      <c r="D117" s="64" t="s">
        <v>83</v>
      </c>
      <c r="E117" s="64" t="s">
        <v>1705</v>
      </c>
      <c r="F117" s="63" t="s">
        <v>69</v>
      </c>
      <c r="G117" s="63">
        <v>5</v>
      </c>
      <c r="H117" s="64" t="s">
        <v>718</v>
      </c>
      <c r="I117" s="69"/>
      <c r="EP117" s="111"/>
    </row>
    <row r="118" spans="1:146" s="110" customFormat="1" ht="78.75" x14ac:dyDescent="0.25">
      <c r="A118" s="63">
        <v>4</v>
      </c>
      <c r="B118" s="63">
        <v>3</v>
      </c>
      <c r="C118" s="63" t="s">
        <v>95</v>
      </c>
      <c r="D118" s="64" t="s">
        <v>83</v>
      </c>
      <c r="E118" s="64" t="s">
        <v>1706</v>
      </c>
      <c r="F118" s="63" t="s">
        <v>69</v>
      </c>
      <c r="G118" s="63">
        <v>9</v>
      </c>
      <c r="H118" s="64" t="s">
        <v>100</v>
      </c>
      <c r="I118" s="69"/>
      <c r="EP118" s="111"/>
    </row>
    <row r="119" spans="1:146" s="110" customFormat="1" ht="47.25" x14ac:dyDescent="0.25">
      <c r="A119" s="63">
        <v>4</v>
      </c>
      <c r="B119" s="63">
        <v>3</v>
      </c>
      <c r="C119" s="63" t="s">
        <v>95</v>
      </c>
      <c r="D119" s="64" t="s">
        <v>83</v>
      </c>
      <c r="E119" s="64" t="s">
        <v>704</v>
      </c>
      <c r="F119" s="63" t="s">
        <v>81</v>
      </c>
      <c r="G119" s="63">
        <v>4</v>
      </c>
      <c r="H119" s="64" t="s">
        <v>705</v>
      </c>
      <c r="I119" s="69"/>
      <c r="EP119" s="111"/>
    </row>
    <row r="120" spans="1:146" s="110" customFormat="1" ht="78.75" x14ac:dyDescent="0.25">
      <c r="A120" s="63">
        <v>4</v>
      </c>
      <c r="B120" s="63">
        <v>3</v>
      </c>
      <c r="C120" s="63" t="s">
        <v>95</v>
      </c>
      <c r="D120" s="64" t="s">
        <v>83</v>
      </c>
      <c r="E120" s="64" t="s">
        <v>709</v>
      </c>
      <c r="F120" s="63" t="s">
        <v>69</v>
      </c>
      <c r="G120" s="63">
        <v>4</v>
      </c>
      <c r="H120" s="64" t="s">
        <v>710</v>
      </c>
      <c r="I120" s="69"/>
      <c r="EP120" s="111"/>
    </row>
    <row r="121" spans="1:146" s="110" customFormat="1" ht="189" x14ac:dyDescent="0.25">
      <c r="A121" s="63">
        <v>4</v>
      </c>
      <c r="B121" s="63">
        <v>3</v>
      </c>
      <c r="C121" s="63" t="s">
        <v>95</v>
      </c>
      <c r="D121" s="64" t="s">
        <v>83</v>
      </c>
      <c r="E121" s="64" t="s">
        <v>711</v>
      </c>
      <c r="F121" s="63" t="s">
        <v>81</v>
      </c>
      <c r="G121" s="63">
        <v>16</v>
      </c>
      <c r="H121" s="64" t="s">
        <v>712</v>
      </c>
      <c r="I121" s="69"/>
      <c r="EP121" s="111"/>
    </row>
    <row r="122" spans="1:146" s="110" customFormat="1" ht="47.25" x14ac:dyDescent="0.25">
      <c r="A122" s="63">
        <v>4</v>
      </c>
      <c r="B122" s="63">
        <v>3</v>
      </c>
      <c r="C122" s="63" t="s">
        <v>95</v>
      </c>
      <c r="D122" s="64" t="s">
        <v>83</v>
      </c>
      <c r="E122" s="64" t="s">
        <v>713</v>
      </c>
      <c r="F122" s="63" t="s">
        <v>69</v>
      </c>
      <c r="G122" s="63">
        <v>14</v>
      </c>
      <c r="H122" s="64" t="s">
        <v>714</v>
      </c>
      <c r="I122" s="69"/>
      <c r="EP122" s="111"/>
    </row>
    <row r="123" spans="1:146" s="110" customFormat="1" ht="63" x14ac:dyDescent="0.25">
      <c r="A123" s="63">
        <v>4</v>
      </c>
      <c r="B123" s="63">
        <v>3</v>
      </c>
      <c r="C123" s="63" t="s">
        <v>95</v>
      </c>
      <c r="D123" s="64" t="s">
        <v>83</v>
      </c>
      <c r="E123" s="64" t="s">
        <v>707</v>
      </c>
      <c r="F123" s="63" t="s">
        <v>81</v>
      </c>
      <c r="G123" s="65">
        <v>1</v>
      </c>
      <c r="H123" s="64" t="s">
        <v>708</v>
      </c>
      <c r="I123" s="69"/>
      <c r="EP123" s="111"/>
    </row>
    <row r="124" spans="1:146" s="110" customFormat="1" ht="157.5" x14ac:dyDescent="0.25">
      <c r="A124" s="63">
        <v>4</v>
      </c>
      <c r="B124" s="63">
        <v>3</v>
      </c>
      <c r="C124" s="63" t="s">
        <v>95</v>
      </c>
      <c r="D124" s="64" t="s">
        <v>83</v>
      </c>
      <c r="E124" s="64" t="s">
        <v>716</v>
      </c>
      <c r="F124" s="63" t="s">
        <v>69</v>
      </c>
      <c r="G124" s="65">
        <v>100</v>
      </c>
      <c r="H124" s="64" t="s">
        <v>717</v>
      </c>
      <c r="I124" s="69"/>
      <c r="EP124" s="111"/>
    </row>
    <row r="125" spans="1:146" s="110" customFormat="1" ht="157.5" x14ac:dyDescent="0.25">
      <c r="A125" s="63">
        <v>4</v>
      </c>
      <c r="B125" s="63">
        <v>3</v>
      </c>
      <c r="C125" s="63" t="s">
        <v>95</v>
      </c>
      <c r="D125" s="64" t="s">
        <v>83</v>
      </c>
      <c r="E125" s="64" t="s">
        <v>1707</v>
      </c>
      <c r="F125" s="63" t="s">
        <v>69</v>
      </c>
      <c r="G125" s="65">
        <v>59</v>
      </c>
      <c r="H125" s="64" t="s">
        <v>719</v>
      </c>
      <c r="I125" s="69"/>
      <c r="EP125" s="111"/>
    </row>
    <row r="126" spans="1:146" s="110" customFormat="1" ht="110.25" x14ac:dyDescent="0.25">
      <c r="A126" s="63">
        <v>4</v>
      </c>
      <c r="B126" s="63">
        <v>3</v>
      </c>
      <c r="C126" s="63" t="s">
        <v>95</v>
      </c>
      <c r="D126" s="64" t="s">
        <v>83</v>
      </c>
      <c r="E126" s="64" t="s">
        <v>1708</v>
      </c>
      <c r="F126" s="63" t="s">
        <v>69</v>
      </c>
      <c r="G126" s="63">
        <v>100</v>
      </c>
      <c r="H126" s="64" t="s">
        <v>715</v>
      </c>
      <c r="I126" s="69"/>
      <c r="EP126" s="111"/>
    </row>
    <row r="127" spans="1:146" s="110" customFormat="1" ht="78.75" x14ac:dyDescent="0.25">
      <c r="A127" s="63">
        <v>4</v>
      </c>
      <c r="B127" s="63">
        <v>3</v>
      </c>
      <c r="C127" s="63" t="s">
        <v>95</v>
      </c>
      <c r="D127" s="64" t="s">
        <v>1</v>
      </c>
      <c r="E127" s="64" t="s">
        <v>1709</v>
      </c>
      <c r="F127" s="63" t="s">
        <v>69</v>
      </c>
      <c r="G127" s="63">
        <v>3</v>
      </c>
      <c r="H127" s="64" t="s">
        <v>706</v>
      </c>
      <c r="I127" s="69"/>
      <c r="EP127" s="111"/>
    </row>
    <row r="128" spans="1:146" s="110" customFormat="1" ht="157.5" x14ac:dyDescent="0.25">
      <c r="A128" s="45">
        <v>4</v>
      </c>
      <c r="B128" s="45">
        <v>4</v>
      </c>
      <c r="C128" s="45" t="s">
        <v>95</v>
      </c>
      <c r="D128" s="50" t="s">
        <v>1</v>
      </c>
      <c r="E128" s="50" t="s">
        <v>1710</v>
      </c>
      <c r="F128" s="45" t="s">
        <v>81</v>
      </c>
      <c r="G128" s="54">
        <v>216</v>
      </c>
      <c r="H128" s="50" t="s">
        <v>1711</v>
      </c>
      <c r="I128" s="69"/>
      <c r="EP128" s="111"/>
    </row>
    <row r="129" spans="1:146" s="110" customFormat="1" ht="236.25" x14ac:dyDescent="0.25">
      <c r="A129" s="45">
        <v>4</v>
      </c>
      <c r="B129" s="45">
        <v>4</v>
      </c>
      <c r="C129" s="45" t="s">
        <v>95</v>
      </c>
      <c r="D129" s="50" t="s">
        <v>1</v>
      </c>
      <c r="E129" s="50" t="s">
        <v>1712</v>
      </c>
      <c r="F129" s="45" t="s">
        <v>81</v>
      </c>
      <c r="G129" s="54">
        <v>576</v>
      </c>
      <c r="H129" s="50" t="s">
        <v>1713</v>
      </c>
      <c r="I129" s="69"/>
      <c r="EP129" s="111"/>
    </row>
    <row r="130" spans="1:146" s="110" customFormat="1" ht="173.25" x14ac:dyDescent="0.25">
      <c r="A130" s="45">
        <v>4</v>
      </c>
      <c r="B130" s="45">
        <v>4</v>
      </c>
      <c r="C130" s="45" t="s">
        <v>95</v>
      </c>
      <c r="D130" s="50" t="s">
        <v>1</v>
      </c>
      <c r="E130" s="50" t="s">
        <v>1714</v>
      </c>
      <c r="F130" s="45" t="s">
        <v>69</v>
      </c>
      <c r="G130" s="54">
        <v>486</v>
      </c>
      <c r="H130" s="50" t="s">
        <v>1713</v>
      </c>
      <c r="I130" s="69"/>
      <c r="EP130" s="111"/>
    </row>
    <row r="131" spans="1:146" s="110" customFormat="1" ht="78.75" x14ac:dyDescent="0.25">
      <c r="A131" s="45">
        <v>4</v>
      </c>
      <c r="B131" s="45">
        <v>4</v>
      </c>
      <c r="C131" s="45" t="s">
        <v>95</v>
      </c>
      <c r="D131" s="50" t="s">
        <v>1</v>
      </c>
      <c r="E131" s="50" t="s">
        <v>1715</v>
      </c>
      <c r="F131" s="45" t="s">
        <v>81</v>
      </c>
      <c r="G131" s="54">
        <v>19</v>
      </c>
      <c r="H131" s="50" t="s">
        <v>1083</v>
      </c>
      <c r="I131" s="69"/>
      <c r="EP131" s="111"/>
    </row>
    <row r="132" spans="1:146" s="110" customFormat="1" ht="63" x14ac:dyDescent="0.25">
      <c r="A132" s="45">
        <v>4</v>
      </c>
      <c r="B132" s="45">
        <v>4</v>
      </c>
      <c r="C132" s="45" t="s">
        <v>95</v>
      </c>
      <c r="D132" s="50" t="s">
        <v>83</v>
      </c>
      <c r="E132" s="50" t="s">
        <v>1716</v>
      </c>
      <c r="F132" s="45" t="s">
        <v>81</v>
      </c>
      <c r="G132" s="54">
        <v>2</v>
      </c>
      <c r="H132" s="50" t="s">
        <v>1084</v>
      </c>
      <c r="I132" s="69"/>
      <c r="EP132" s="111"/>
    </row>
    <row r="133" spans="1:146" s="110" customFormat="1" ht="63" x14ac:dyDescent="0.25">
      <c r="A133" s="45">
        <v>4</v>
      </c>
      <c r="B133" s="45">
        <v>4</v>
      </c>
      <c r="C133" s="45" t="s">
        <v>95</v>
      </c>
      <c r="D133" s="50" t="s">
        <v>83</v>
      </c>
      <c r="E133" s="50" t="s">
        <v>1085</v>
      </c>
      <c r="F133" s="45" t="s">
        <v>81</v>
      </c>
      <c r="G133" s="54">
        <v>8</v>
      </c>
      <c r="H133" s="50" t="s">
        <v>1086</v>
      </c>
      <c r="I133" s="69"/>
      <c r="EP133" s="111"/>
    </row>
    <row r="134" spans="1:146" s="110" customFormat="1" ht="27.6" customHeight="1" x14ac:dyDescent="0.25">
      <c r="A134" s="45">
        <v>4</v>
      </c>
      <c r="B134" s="45">
        <v>4</v>
      </c>
      <c r="C134" s="45" t="s">
        <v>95</v>
      </c>
      <c r="D134" s="50" t="s">
        <v>83</v>
      </c>
      <c r="E134" s="50" t="s">
        <v>1087</v>
      </c>
      <c r="F134" s="45" t="s">
        <v>69</v>
      </c>
      <c r="G134" s="54">
        <v>12</v>
      </c>
      <c r="H134" s="50" t="s">
        <v>1088</v>
      </c>
      <c r="I134" s="69"/>
      <c r="EP134" s="111"/>
    </row>
    <row r="135" spans="1:146" s="110" customFormat="1" ht="78.75" x14ac:dyDescent="0.25">
      <c r="A135" s="45">
        <v>4</v>
      </c>
      <c r="B135" s="45">
        <v>4</v>
      </c>
      <c r="C135" s="45" t="s">
        <v>95</v>
      </c>
      <c r="D135" s="50" t="s">
        <v>83</v>
      </c>
      <c r="E135" s="50" t="s">
        <v>1717</v>
      </c>
      <c r="F135" s="45" t="s">
        <v>69</v>
      </c>
      <c r="G135" s="54">
        <v>17</v>
      </c>
      <c r="H135" s="50" t="s">
        <v>1485</v>
      </c>
      <c r="I135" s="69"/>
      <c r="EP135" s="111"/>
    </row>
    <row r="136" spans="1:146" s="110" customFormat="1" ht="220.5" x14ac:dyDescent="0.25">
      <c r="A136" s="45">
        <v>4</v>
      </c>
      <c r="B136" s="45">
        <v>4</v>
      </c>
      <c r="C136" s="45" t="s">
        <v>95</v>
      </c>
      <c r="D136" s="50" t="s">
        <v>83</v>
      </c>
      <c r="E136" s="50" t="s">
        <v>1486</v>
      </c>
      <c r="F136" s="45" t="s">
        <v>69</v>
      </c>
      <c r="G136" s="54">
        <v>4</v>
      </c>
      <c r="H136" s="50" t="s">
        <v>1089</v>
      </c>
      <c r="I136" s="69"/>
      <c r="EP136" s="111"/>
    </row>
    <row r="137" spans="1:146" s="110" customFormat="1" ht="110.25" x14ac:dyDescent="0.25">
      <c r="A137" s="45">
        <v>4</v>
      </c>
      <c r="B137" s="45">
        <v>4</v>
      </c>
      <c r="C137" s="45" t="s">
        <v>95</v>
      </c>
      <c r="D137" s="50" t="s">
        <v>159</v>
      </c>
      <c r="E137" s="50" t="s">
        <v>1718</v>
      </c>
      <c r="F137" s="45" t="s">
        <v>81</v>
      </c>
      <c r="G137" s="54">
        <v>848</v>
      </c>
      <c r="H137" s="50" t="s">
        <v>1091</v>
      </c>
      <c r="I137" s="69"/>
      <c r="EP137" s="111"/>
    </row>
    <row r="138" spans="1:146" s="110" customFormat="1" ht="157.5" x14ac:dyDescent="0.25">
      <c r="A138" s="45">
        <v>4</v>
      </c>
      <c r="B138" s="45">
        <v>4</v>
      </c>
      <c r="C138" s="45" t="s">
        <v>95</v>
      </c>
      <c r="D138" s="50" t="s">
        <v>83</v>
      </c>
      <c r="E138" s="50" t="s">
        <v>1487</v>
      </c>
      <c r="F138" s="45" t="s">
        <v>81</v>
      </c>
      <c r="G138" s="54">
        <v>100</v>
      </c>
      <c r="H138" s="50" t="s">
        <v>717</v>
      </c>
      <c r="I138" s="69"/>
      <c r="EP138" s="111"/>
    </row>
    <row r="139" spans="1:146" s="110" customFormat="1" ht="141.75" x14ac:dyDescent="0.25">
      <c r="A139" s="45">
        <v>4</v>
      </c>
      <c r="B139" s="45">
        <v>4</v>
      </c>
      <c r="C139" s="45" t="s">
        <v>95</v>
      </c>
      <c r="D139" s="50" t="s">
        <v>83</v>
      </c>
      <c r="E139" s="50" t="s">
        <v>1719</v>
      </c>
      <c r="F139" s="45" t="s">
        <v>69</v>
      </c>
      <c r="G139" s="54">
        <v>82</v>
      </c>
      <c r="H139" s="50" t="s">
        <v>1720</v>
      </c>
      <c r="I139" s="69"/>
      <c r="EP139" s="111"/>
    </row>
    <row r="140" spans="1:146" s="110" customFormat="1" ht="173.25" x14ac:dyDescent="0.25">
      <c r="A140" s="45">
        <v>4</v>
      </c>
      <c r="B140" s="45">
        <v>4</v>
      </c>
      <c r="C140" s="45" t="s">
        <v>95</v>
      </c>
      <c r="D140" s="50" t="s">
        <v>83</v>
      </c>
      <c r="E140" s="50" t="s">
        <v>1721</v>
      </c>
      <c r="F140" s="45" t="s">
        <v>81</v>
      </c>
      <c r="G140" s="54">
        <v>6</v>
      </c>
      <c r="H140" s="50" t="s">
        <v>1090</v>
      </c>
      <c r="I140" s="69"/>
      <c r="EP140" s="111"/>
    </row>
    <row r="141" spans="1:146" s="110" customFormat="1" ht="110.25" x14ac:dyDescent="0.25">
      <c r="A141" s="45">
        <v>4</v>
      </c>
      <c r="B141" s="45">
        <v>4</v>
      </c>
      <c r="C141" s="45" t="s">
        <v>95</v>
      </c>
      <c r="D141" s="50" t="s">
        <v>1</v>
      </c>
      <c r="E141" s="50" t="s">
        <v>1722</v>
      </c>
      <c r="F141" s="45" t="s">
        <v>81</v>
      </c>
      <c r="G141" s="54">
        <v>38</v>
      </c>
      <c r="H141" s="50" t="s">
        <v>1723</v>
      </c>
      <c r="I141" s="69"/>
      <c r="EP141" s="111"/>
    </row>
    <row r="142" spans="1:146" s="114" customFormat="1" ht="126" x14ac:dyDescent="0.25">
      <c r="A142" s="45">
        <v>4</v>
      </c>
      <c r="B142" s="45">
        <v>4</v>
      </c>
      <c r="C142" s="45" t="s">
        <v>95</v>
      </c>
      <c r="D142" s="50" t="s">
        <v>1</v>
      </c>
      <c r="E142" s="50" t="s">
        <v>1081</v>
      </c>
      <c r="F142" s="45" t="s">
        <v>69</v>
      </c>
      <c r="G142" s="54">
        <v>13</v>
      </c>
      <c r="H142" s="50" t="s">
        <v>1082</v>
      </c>
      <c r="I142" s="69"/>
      <c r="J142" s="110"/>
      <c r="K142" s="110"/>
      <c r="L142" s="110"/>
      <c r="M142" s="110"/>
      <c r="N142" s="110"/>
      <c r="O142" s="110"/>
      <c r="P142" s="110"/>
      <c r="Q142" s="110"/>
      <c r="R142" s="110"/>
      <c r="S142" s="110"/>
      <c r="T142" s="110"/>
      <c r="U142" s="110"/>
      <c r="V142" s="110"/>
      <c r="W142" s="110"/>
      <c r="X142" s="110"/>
      <c r="Y142" s="110"/>
      <c r="Z142" s="110"/>
      <c r="AA142" s="110"/>
      <c r="AB142" s="110"/>
      <c r="AC142" s="110"/>
      <c r="AD142" s="110"/>
      <c r="AE142" s="110"/>
      <c r="AF142" s="110"/>
      <c r="AG142" s="110"/>
      <c r="AH142" s="110"/>
      <c r="AI142" s="110"/>
      <c r="AJ142" s="110"/>
      <c r="AK142" s="110"/>
      <c r="AL142" s="110"/>
      <c r="AM142" s="110"/>
      <c r="AN142" s="110"/>
      <c r="AO142" s="110"/>
      <c r="AP142" s="110"/>
      <c r="AQ142" s="110"/>
      <c r="AR142" s="110"/>
      <c r="AS142" s="110"/>
      <c r="AT142" s="110"/>
      <c r="AU142" s="110"/>
      <c r="AV142" s="110"/>
      <c r="AW142" s="110"/>
      <c r="AX142" s="110"/>
      <c r="AY142" s="110"/>
      <c r="AZ142" s="110"/>
      <c r="BA142" s="110"/>
      <c r="BB142" s="110"/>
      <c r="BC142" s="110"/>
      <c r="BD142" s="110"/>
      <c r="BE142" s="110"/>
      <c r="BF142" s="110"/>
      <c r="BG142" s="110"/>
      <c r="BH142" s="110"/>
      <c r="BI142" s="110"/>
      <c r="BJ142" s="110"/>
      <c r="BK142" s="110"/>
      <c r="BL142" s="110"/>
      <c r="BM142" s="110"/>
      <c r="BN142" s="110"/>
      <c r="BO142" s="110"/>
      <c r="BP142" s="110"/>
      <c r="BQ142" s="110"/>
      <c r="BR142" s="110"/>
      <c r="BS142" s="110"/>
      <c r="BT142" s="110"/>
      <c r="BU142" s="110"/>
      <c r="BV142" s="110"/>
      <c r="BW142" s="110"/>
      <c r="BX142" s="110"/>
      <c r="BY142" s="110"/>
      <c r="BZ142" s="110"/>
      <c r="CA142" s="110"/>
      <c r="CB142" s="110"/>
      <c r="CC142" s="110"/>
      <c r="CD142" s="110"/>
      <c r="CE142" s="110"/>
      <c r="CF142" s="110"/>
      <c r="CG142" s="110"/>
      <c r="CH142" s="110"/>
      <c r="CI142" s="110"/>
      <c r="CJ142" s="110"/>
      <c r="CK142" s="110"/>
      <c r="CL142" s="110"/>
      <c r="CM142" s="110"/>
      <c r="CN142" s="110"/>
      <c r="CO142" s="110"/>
      <c r="CP142" s="110"/>
      <c r="CQ142" s="110"/>
      <c r="CR142" s="110"/>
      <c r="CS142" s="110"/>
      <c r="CT142" s="110"/>
      <c r="CU142" s="110"/>
      <c r="CV142" s="110"/>
      <c r="CW142" s="110"/>
      <c r="CX142" s="110"/>
      <c r="CY142" s="110"/>
      <c r="CZ142" s="110"/>
      <c r="DA142" s="110"/>
      <c r="DB142" s="110"/>
      <c r="DC142" s="110"/>
      <c r="DD142" s="110"/>
      <c r="DE142" s="110"/>
      <c r="DF142" s="110"/>
      <c r="DG142" s="110"/>
      <c r="DH142" s="110"/>
      <c r="DI142" s="110"/>
      <c r="DJ142" s="110"/>
      <c r="DK142" s="110"/>
      <c r="DL142" s="110"/>
      <c r="DM142" s="110"/>
      <c r="DN142" s="110"/>
      <c r="DO142" s="110"/>
      <c r="DP142" s="110"/>
      <c r="DQ142" s="110"/>
      <c r="DR142" s="110"/>
      <c r="DS142" s="110"/>
      <c r="DT142" s="110"/>
      <c r="DU142" s="110"/>
      <c r="DV142" s="110"/>
      <c r="DW142" s="110"/>
      <c r="DX142" s="110"/>
      <c r="DY142" s="110"/>
      <c r="DZ142" s="110"/>
      <c r="EA142" s="110"/>
      <c r="EB142" s="110"/>
      <c r="EC142" s="110"/>
      <c r="ED142" s="110"/>
      <c r="EE142" s="110"/>
      <c r="EF142" s="110"/>
      <c r="EG142" s="110"/>
      <c r="EH142" s="110"/>
      <c r="EI142" s="110"/>
      <c r="EJ142" s="110"/>
      <c r="EK142" s="110"/>
      <c r="EL142" s="110"/>
      <c r="EM142" s="110"/>
      <c r="EN142" s="110"/>
      <c r="EO142" s="110"/>
      <c r="EP142" s="113"/>
    </row>
    <row r="143" spans="1:146" s="114" customFormat="1" ht="173.25" x14ac:dyDescent="0.25">
      <c r="A143" s="45">
        <v>4</v>
      </c>
      <c r="B143" s="45">
        <v>4</v>
      </c>
      <c r="C143" s="45" t="s">
        <v>95</v>
      </c>
      <c r="D143" s="50" t="s">
        <v>1</v>
      </c>
      <c r="E143" s="50" t="s">
        <v>1724</v>
      </c>
      <c r="F143" s="45" t="s">
        <v>81</v>
      </c>
      <c r="G143" s="54">
        <v>38</v>
      </c>
      <c r="H143" s="50" t="s">
        <v>1725</v>
      </c>
      <c r="I143" s="69"/>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c r="AG143" s="110"/>
      <c r="AH143" s="110"/>
      <c r="AI143" s="110"/>
      <c r="AJ143" s="110"/>
      <c r="AK143" s="110"/>
      <c r="AL143" s="110"/>
      <c r="AM143" s="110"/>
      <c r="AN143" s="110"/>
      <c r="AO143" s="110"/>
      <c r="AP143" s="110"/>
      <c r="AQ143" s="110"/>
      <c r="AR143" s="110"/>
      <c r="AS143" s="110"/>
      <c r="AT143" s="110"/>
      <c r="AU143" s="110"/>
      <c r="AV143" s="110"/>
      <c r="AW143" s="110"/>
      <c r="AX143" s="110"/>
      <c r="AY143" s="110"/>
      <c r="AZ143" s="110"/>
      <c r="BA143" s="110"/>
      <c r="BB143" s="110"/>
      <c r="BC143" s="110"/>
      <c r="BD143" s="110"/>
      <c r="BE143" s="110"/>
      <c r="BF143" s="110"/>
      <c r="BG143" s="110"/>
      <c r="BH143" s="110"/>
      <c r="BI143" s="110"/>
      <c r="BJ143" s="110"/>
      <c r="BK143" s="110"/>
      <c r="BL143" s="110"/>
      <c r="BM143" s="110"/>
      <c r="BN143" s="110"/>
      <c r="BO143" s="110"/>
      <c r="BP143" s="110"/>
      <c r="BQ143" s="110"/>
      <c r="BR143" s="110"/>
      <c r="BS143" s="110"/>
      <c r="BT143" s="110"/>
      <c r="BU143" s="110"/>
      <c r="BV143" s="110"/>
      <c r="BW143" s="110"/>
      <c r="BX143" s="110"/>
      <c r="BY143" s="110"/>
      <c r="BZ143" s="110"/>
      <c r="CA143" s="110"/>
      <c r="CB143" s="110"/>
      <c r="CC143" s="110"/>
      <c r="CD143" s="110"/>
      <c r="CE143" s="110"/>
      <c r="CF143" s="110"/>
      <c r="CG143" s="110"/>
      <c r="CH143" s="110"/>
      <c r="CI143" s="110"/>
      <c r="CJ143" s="110"/>
      <c r="CK143" s="110"/>
      <c r="CL143" s="110"/>
      <c r="CM143" s="110"/>
      <c r="CN143" s="110"/>
      <c r="CO143" s="110"/>
      <c r="CP143" s="110"/>
      <c r="CQ143" s="110"/>
      <c r="CR143" s="110"/>
      <c r="CS143" s="110"/>
      <c r="CT143" s="110"/>
      <c r="CU143" s="110"/>
      <c r="CV143" s="110"/>
      <c r="CW143" s="110"/>
      <c r="CX143" s="110"/>
      <c r="CY143" s="110"/>
      <c r="CZ143" s="110"/>
      <c r="DA143" s="110"/>
      <c r="DB143" s="110"/>
      <c r="DC143" s="110"/>
      <c r="DD143" s="110"/>
      <c r="DE143" s="110"/>
      <c r="DF143" s="110"/>
      <c r="DG143" s="110"/>
      <c r="DH143" s="110"/>
      <c r="DI143" s="110"/>
      <c r="DJ143" s="110"/>
      <c r="DK143" s="110"/>
      <c r="DL143" s="110"/>
      <c r="DM143" s="110"/>
      <c r="DN143" s="110"/>
      <c r="DO143" s="110"/>
      <c r="DP143" s="110"/>
      <c r="DQ143" s="110"/>
      <c r="DR143" s="110"/>
      <c r="DS143" s="110"/>
      <c r="DT143" s="110"/>
      <c r="DU143" s="110"/>
      <c r="DV143" s="110"/>
      <c r="DW143" s="110"/>
      <c r="DX143" s="110"/>
      <c r="DY143" s="110"/>
      <c r="DZ143" s="110"/>
      <c r="EA143" s="110"/>
      <c r="EB143" s="110"/>
      <c r="EC143" s="110"/>
      <c r="ED143" s="110"/>
      <c r="EE143" s="110"/>
      <c r="EF143" s="110"/>
      <c r="EG143" s="110"/>
      <c r="EH143" s="110"/>
      <c r="EI143" s="110"/>
      <c r="EJ143" s="110"/>
      <c r="EK143" s="110"/>
      <c r="EL143" s="110"/>
      <c r="EM143" s="110"/>
      <c r="EN143" s="110"/>
      <c r="EO143" s="110"/>
      <c r="EP143" s="113"/>
    </row>
    <row r="144" spans="1:146" s="114" customFormat="1" ht="94.5" x14ac:dyDescent="0.25">
      <c r="A144" s="45">
        <v>4</v>
      </c>
      <c r="B144" s="45">
        <v>4</v>
      </c>
      <c r="C144" s="45" t="s">
        <v>95</v>
      </c>
      <c r="D144" s="50" t="s">
        <v>1</v>
      </c>
      <c r="E144" s="50" t="s">
        <v>1726</v>
      </c>
      <c r="F144" s="45" t="s">
        <v>81</v>
      </c>
      <c r="G144" s="54">
        <v>1</v>
      </c>
      <c r="H144" s="50" t="s">
        <v>1727</v>
      </c>
      <c r="I144" s="69"/>
      <c r="J144" s="110"/>
      <c r="K144" s="110"/>
      <c r="L144" s="110"/>
      <c r="M144" s="110"/>
      <c r="N144" s="110"/>
      <c r="O144" s="110"/>
      <c r="P144" s="110"/>
      <c r="Q144" s="110"/>
      <c r="R144" s="110"/>
      <c r="S144" s="110"/>
      <c r="T144" s="110"/>
      <c r="U144" s="110"/>
      <c r="V144" s="110"/>
      <c r="W144" s="110"/>
      <c r="X144" s="110"/>
      <c r="Y144" s="110"/>
      <c r="Z144" s="110"/>
      <c r="AA144" s="110"/>
      <c r="AB144" s="110"/>
      <c r="AC144" s="110"/>
      <c r="AD144" s="110"/>
      <c r="AE144" s="110"/>
      <c r="AF144" s="110"/>
      <c r="AG144" s="110"/>
      <c r="AH144" s="110"/>
      <c r="AI144" s="110"/>
      <c r="AJ144" s="110"/>
      <c r="AK144" s="110"/>
      <c r="AL144" s="110"/>
      <c r="AM144" s="110"/>
      <c r="AN144" s="110"/>
      <c r="AO144" s="110"/>
      <c r="AP144" s="110"/>
      <c r="AQ144" s="110"/>
      <c r="AR144" s="110"/>
      <c r="AS144" s="110"/>
      <c r="AT144" s="110"/>
      <c r="AU144" s="110"/>
      <c r="AV144" s="110"/>
      <c r="AW144" s="110"/>
      <c r="AX144" s="110"/>
      <c r="AY144" s="110"/>
      <c r="AZ144" s="110"/>
      <c r="BA144" s="110"/>
      <c r="BB144" s="110"/>
      <c r="BC144" s="110"/>
      <c r="BD144" s="110"/>
      <c r="BE144" s="110"/>
      <c r="BF144" s="110"/>
      <c r="BG144" s="110"/>
      <c r="BH144" s="110"/>
      <c r="BI144" s="110"/>
      <c r="BJ144" s="110"/>
      <c r="BK144" s="110"/>
      <c r="BL144" s="110"/>
      <c r="BM144" s="110"/>
      <c r="BN144" s="110"/>
      <c r="BO144" s="110"/>
      <c r="BP144" s="110"/>
      <c r="BQ144" s="110"/>
      <c r="BR144" s="110"/>
      <c r="BS144" s="110"/>
      <c r="BT144" s="110"/>
      <c r="BU144" s="110"/>
      <c r="BV144" s="110"/>
      <c r="BW144" s="110"/>
      <c r="BX144" s="110"/>
      <c r="BY144" s="110"/>
      <c r="BZ144" s="110"/>
      <c r="CA144" s="110"/>
      <c r="CB144" s="110"/>
      <c r="CC144" s="110"/>
      <c r="CD144" s="110"/>
      <c r="CE144" s="110"/>
      <c r="CF144" s="110"/>
      <c r="CG144" s="110"/>
      <c r="CH144" s="110"/>
      <c r="CI144" s="110"/>
      <c r="CJ144" s="110"/>
      <c r="CK144" s="110"/>
      <c r="CL144" s="110"/>
      <c r="CM144" s="110"/>
      <c r="CN144" s="110"/>
      <c r="CO144" s="110"/>
      <c r="CP144" s="110"/>
      <c r="CQ144" s="110"/>
      <c r="CR144" s="110"/>
      <c r="CS144" s="110"/>
      <c r="CT144" s="110"/>
      <c r="CU144" s="110"/>
      <c r="CV144" s="110"/>
      <c r="CW144" s="110"/>
      <c r="CX144" s="110"/>
      <c r="CY144" s="110"/>
      <c r="CZ144" s="110"/>
      <c r="DA144" s="110"/>
      <c r="DB144" s="110"/>
      <c r="DC144" s="110"/>
      <c r="DD144" s="110"/>
      <c r="DE144" s="110"/>
      <c r="DF144" s="110"/>
      <c r="DG144" s="110"/>
      <c r="DH144" s="110"/>
      <c r="DI144" s="110"/>
      <c r="DJ144" s="110"/>
      <c r="DK144" s="110"/>
      <c r="DL144" s="110"/>
      <c r="DM144" s="110"/>
      <c r="DN144" s="110"/>
      <c r="DO144" s="110"/>
      <c r="DP144" s="110"/>
      <c r="DQ144" s="110"/>
      <c r="DR144" s="110"/>
      <c r="DS144" s="110"/>
      <c r="DT144" s="110"/>
      <c r="DU144" s="110"/>
      <c r="DV144" s="110"/>
      <c r="DW144" s="110"/>
      <c r="DX144" s="110"/>
      <c r="DY144" s="110"/>
      <c r="DZ144" s="110"/>
      <c r="EA144" s="110"/>
      <c r="EB144" s="110"/>
      <c r="EC144" s="110"/>
      <c r="ED144" s="110"/>
      <c r="EE144" s="110"/>
      <c r="EF144" s="110"/>
      <c r="EG144" s="110"/>
      <c r="EH144" s="110"/>
      <c r="EI144" s="110"/>
      <c r="EJ144" s="110"/>
      <c r="EK144" s="110"/>
      <c r="EL144" s="110"/>
      <c r="EM144" s="110"/>
      <c r="EN144" s="110"/>
      <c r="EO144" s="110"/>
      <c r="EP144" s="113"/>
    </row>
    <row r="145" spans="1:146" s="114" customFormat="1" x14ac:dyDescent="0.25">
      <c r="A145" s="14">
        <v>5</v>
      </c>
      <c r="B145" s="14">
        <v>1</v>
      </c>
      <c r="C145" s="14" t="s">
        <v>113</v>
      </c>
      <c r="D145" s="22" t="s">
        <v>83</v>
      </c>
      <c r="E145" s="22" t="s">
        <v>1728</v>
      </c>
      <c r="F145" s="24" t="s">
        <v>69</v>
      </c>
      <c r="G145" s="24">
        <v>1</v>
      </c>
      <c r="H145" s="22" t="s">
        <v>116</v>
      </c>
      <c r="I145" s="69"/>
      <c r="J145" s="110"/>
      <c r="K145" s="110"/>
      <c r="L145" s="110"/>
      <c r="M145" s="110"/>
      <c r="N145" s="110"/>
      <c r="O145" s="110"/>
      <c r="P145" s="110"/>
      <c r="Q145" s="110"/>
      <c r="R145" s="110"/>
      <c r="S145" s="110"/>
      <c r="T145" s="110"/>
      <c r="U145" s="110"/>
      <c r="V145" s="110"/>
      <c r="W145" s="110"/>
      <c r="X145" s="110"/>
      <c r="Y145" s="110"/>
      <c r="Z145" s="110"/>
      <c r="AA145" s="110"/>
      <c r="AB145" s="110"/>
      <c r="AC145" s="110"/>
      <c r="AD145" s="110"/>
      <c r="AE145" s="110"/>
      <c r="AF145" s="110"/>
      <c r="AG145" s="110"/>
      <c r="AH145" s="110"/>
      <c r="AI145" s="110"/>
      <c r="AJ145" s="110"/>
      <c r="AK145" s="110"/>
      <c r="AL145" s="110"/>
      <c r="AM145" s="110"/>
      <c r="AN145" s="110"/>
      <c r="AO145" s="110"/>
      <c r="AP145" s="110"/>
      <c r="AQ145" s="110"/>
      <c r="AR145" s="110"/>
      <c r="AS145" s="110"/>
      <c r="AT145" s="110"/>
      <c r="AU145" s="110"/>
      <c r="AV145" s="110"/>
      <c r="AW145" s="110"/>
      <c r="AX145" s="110"/>
      <c r="AY145" s="110"/>
      <c r="AZ145" s="110"/>
      <c r="BA145" s="110"/>
      <c r="BB145" s="110"/>
      <c r="BC145" s="110"/>
      <c r="BD145" s="110"/>
      <c r="BE145" s="110"/>
      <c r="BF145" s="110"/>
      <c r="BG145" s="110"/>
      <c r="BH145" s="110"/>
      <c r="BI145" s="110"/>
      <c r="BJ145" s="110"/>
      <c r="BK145" s="110"/>
      <c r="BL145" s="110"/>
      <c r="BM145" s="110"/>
      <c r="BN145" s="110"/>
      <c r="BO145" s="110"/>
      <c r="BP145" s="110"/>
      <c r="BQ145" s="110"/>
      <c r="BR145" s="110"/>
      <c r="BS145" s="110"/>
      <c r="BT145" s="110"/>
      <c r="BU145" s="110"/>
      <c r="BV145" s="110"/>
      <c r="BW145" s="110"/>
      <c r="BX145" s="110"/>
      <c r="BY145" s="110"/>
      <c r="BZ145" s="110"/>
      <c r="CA145" s="110"/>
      <c r="CB145" s="110"/>
      <c r="CC145" s="110"/>
      <c r="CD145" s="110"/>
      <c r="CE145" s="110"/>
      <c r="CF145" s="110"/>
      <c r="CG145" s="110"/>
      <c r="CH145" s="110"/>
      <c r="CI145" s="110"/>
      <c r="CJ145" s="110"/>
      <c r="CK145" s="110"/>
      <c r="CL145" s="110"/>
      <c r="CM145" s="110"/>
      <c r="CN145" s="110"/>
      <c r="CO145" s="110"/>
      <c r="CP145" s="110"/>
      <c r="CQ145" s="110"/>
      <c r="CR145" s="110"/>
      <c r="CS145" s="110"/>
      <c r="CT145" s="110"/>
      <c r="CU145" s="110"/>
      <c r="CV145" s="110"/>
      <c r="CW145" s="110"/>
      <c r="CX145" s="110"/>
      <c r="CY145" s="110"/>
      <c r="CZ145" s="110"/>
      <c r="DA145" s="110"/>
      <c r="DB145" s="110"/>
      <c r="DC145" s="110"/>
      <c r="DD145" s="110"/>
      <c r="DE145" s="110"/>
      <c r="DF145" s="110"/>
      <c r="DG145" s="110"/>
      <c r="DH145" s="110"/>
      <c r="DI145" s="110"/>
      <c r="DJ145" s="110"/>
      <c r="DK145" s="110"/>
      <c r="DL145" s="110"/>
      <c r="DM145" s="110"/>
      <c r="DN145" s="110"/>
      <c r="DO145" s="110"/>
      <c r="DP145" s="110"/>
      <c r="DQ145" s="110"/>
      <c r="DR145" s="110"/>
      <c r="DS145" s="110"/>
      <c r="DT145" s="110"/>
      <c r="DU145" s="110"/>
      <c r="DV145" s="110"/>
      <c r="DW145" s="110"/>
      <c r="DX145" s="110"/>
      <c r="DY145" s="110"/>
      <c r="DZ145" s="110"/>
      <c r="EA145" s="110"/>
      <c r="EB145" s="110"/>
      <c r="EC145" s="110"/>
      <c r="ED145" s="110"/>
      <c r="EE145" s="110"/>
      <c r="EF145" s="110"/>
      <c r="EG145" s="110"/>
      <c r="EH145" s="110"/>
      <c r="EI145" s="110"/>
      <c r="EJ145" s="110"/>
      <c r="EK145" s="110"/>
      <c r="EL145" s="110"/>
      <c r="EM145" s="110"/>
      <c r="EN145" s="110"/>
      <c r="EO145" s="110"/>
      <c r="EP145" s="113"/>
    </row>
    <row r="146" spans="1:146" s="114" customFormat="1" x14ac:dyDescent="0.25">
      <c r="A146" s="14">
        <v>5</v>
      </c>
      <c r="B146" s="14">
        <v>1</v>
      </c>
      <c r="C146" s="14" t="s">
        <v>113</v>
      </c>
      <c r="D146" s="22" t="s">
        <v>1</v>
      </c>
      <c r="E146" s="154" t="s">
        <v>1729</v>
      </c>
      <c r="F146" s="24" t="s">
        <v>69</v>
      </c>
      <c r="G146" s="24">
        <v>10</v>
      </c>
      <c r="H146" s="22" t="s">
        <v>114</v>
      </c>
      <c r="I146" s="69"/>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c r="AG146" s="110"/>
      <c r="AH146" s="110"/>
      <c r="AI146" s="110"/>
      <c r="AJ146" s="110"/>
      <c r="AK146" s="110"/>
      <c r="AL146" s="110"/>
      <c r="AM146" s="110"/>
      <c r="AN146" s="110"/>
      <c r="AO146" s="110"/>
      <c r="AP146" s="110"/>
      <c r="AQ146" s="110"/>
      <c r="AR146" s="110"/>
      <c r="AS146" s="110"/>
      <c r="AT146" s="110"/>
      <c r="AU146" s="110"/>
      <c r="AV146" s="110"/>
      <c r="AW146" s="110"/>
      <c r="AX146" s="110"/>
      <c r="AY146" s="110"/>
      <c r="AZ146" s="110"/>
      <c r="BA146" s="110"/>
      <c r="BB146" s="110"/>
      <c r="BC146" s="110"/>
      <c r="BD146" s="110"/>
      <c r="BE146" s="110"/>
      <c r="BF146" s="110"/>
      <c r="BG146" s="110"/>
      <c r="BH146" s="110"/>
      <c r="BI146" s="110"/>
      <c r="BJ146" s="110"/>
      <c r="BK146" s="110"/>
      <c r="BL146" s="110"/>
      <c r="BM146" s="110"/>
      <c r="BN146" s="110"/>
      <c r="BO146" s="110"/>
      <c r="BP146" s="110"/>
      <c r="BQ146" s="110"/>
      <c r="BR146" s="110"/>
      <c r="BS146" s="110"/>
      <c r="BT146" s="110"/>
      <c r="BU146" s="110"/>
      <c r="BV146" s="110"/>
      <c r="BW146" s="110"/>
      <c r="BX146" s="110"/>
      <c r="BY146" s="110"/>
      <c r="BZ146" s="110"/>
      <c r="CA146" s="110"/>
      <c r="CB146" s="110"/>
      <c r="CC146" s="110"/>
      <c r="CD146" s="110"/>
      <c r="CE146" s="110"/>
      <c r="CF146" s="110"/>
      <c r="CG146" s="110"/>
      <c r="CH146" s="110"/>
      <c r="CI146" s="110"/>
      <c r="CJ146" s="110"/>
      <c r="CK146" s="110"/>
      <c r="CL146" s="110"/>
      <c r="CM146" s="110"/>
      <c r="CN146" s="110"/>
      <c r="CO146" s="110"/>
      <c r="CP146" s="110"/>
      <c r="CQ146" s="110"/>
      <c r="CR146" s="110"/>
      <c r="CS146" s="110"/>
      <c r="CT146" s="110"/>
      <c r="CU146" s="110"/>
      <c r="CV146" s="110"/>
      <c r="CW146" s="110"/>
      <c r="CX146" s="110"/>
      <c r="CY146" s="110"/>
      <c r="CZ146" s="110"/>
      <c r="DA146" s="110"/>
      <c r="DB146" s="110"/>
      <c r="DC146" s="110"/>
      <c r="DD146" s="110"/>
      <c r="DE146" s="110"/>
      <c r="DF146" s="110"/>
      <c r="DG146" s="110"/>
      <c r="DH146" s="110"/>
      <c r="DI146" s="110"/>
      <c r="DJ146" s="110"/>
      <c r="DK146" s="110"/>
      <c r="DL146" s="110"/>
      <c r="DM146" s="110"/>
      <c r="DN146" s="110"/>
      <c r="DO146" s="110"/>
      <c r="DP146" s="110"/>
      <c r="DQ146" s="110"/>
      <c r="DR146" s="110"/>
      <c r="DS146" s="110"/>
      <c r="DT146" s="110"/>
      <c r="DU146" s="110"/>
      <c r="DV146" s="110"/>
      <c r="DW146" s="110"/>
      <c r="DX146" s="110"/>
      <c r="DY146" s="110"/>
      <c r="DZ146" s="110"/>
      <c r="EA146" s="110"/>
      <c r="EB146" s="110"/>
      <c r="EC146" s="110"/>
      <c r="ED146" s="110"/>
      <c r="EE146" s="110"/>
      <c r="EF146" s="110"/>
      <c r="EG146" s="110"/>
      <c r="EH146" s="110"/>
      <c r="EI146" s="110"/>
      <c r="EJ146" s="110"/>
      <c r="EK146" s="110"/>
      <c r="EL146" s="110"/>
      <c r="EM146" s="110"/>
      <c r="EN146" s="110"/>
      <c r="EO146" s="110"/>
      <c r="EP146" s="113"/>
    </row>
    <row r="147" spans="1:146" s="114" customFormat="1" x14ac:dyDescent="0.25">
      <c r="A147" s="14">
        <v>5</v>
      </c>
      <c r="B147" s="14">
        <v>1</v>
      </c>
      <c r="C147" s="14" t="s">
        <v>113</v>
      </c>
      <c r="D147" s="22" t="s">
        <v>83</v>
      </c>
      <c r="E147" s="154" t="s">
        <v>1730</v>
      </c>
      <c r="F147" s="24" t="s">
        <v>69</v>
      </c>
      <c r="G147" s="24">
        <v>84</v>
      </c>
      <c r="H147" s="22" t="s">
        <v>115</v>
      </c>
      <c r="I147" s="69"/>
      <c r="J147" s="110"/>
      <c r="K147" s="110"/>
      <c r="L147" s="110"/>
      <c r="M147" s="110"/>
      <c r="N147" s="110"/>
      <c r="O147" s="110"/>
      <c r="P147" s="110"/>
      <c r="Q147" s="110"/>
      <c r="R147" s="110"/>
      <c r="S147" s="110"/>
      <c r="T147" s="110"/>
      <c r="U147" s="110"/>
      <c r="V147" s="110"/>
      <c r="W147" s="110"/>
      <c r="X147" s="110"/>
      <c r="Y147" s="110"/>
      <c r="Z147" s="110"/>
      <c r="AA147" s="110"/>
      <c r="AB147" s="110"/>
      <c r="AC147" s="110"/>
      <c r="AD147" s="110"/>
      <c r="AE147" s="110"/>
      <c r="AF147" s="110"/>
      <c r="AG147" s="110"/>
      <c r="AH147" s="110"/>
      <c r="AI147" s="110"/>
      <c r="AJ147" s="110"/>
      <c r="AK147" s="110"/>
      <c r="AL147" s="110"/>
      <c r="AM147" s="110"/>
      <c r="AN147" s="110"/>
      <c r="AO147" s="110"/>
      <c r="AP147" s="110"/>
      <c r="AQ147" s="110"/>
      <c r="AR147" s="110"/>
      <c r="AS147" s="110"/>
      <c r="AT147" s="110"/>
      <c r="AU147" s="110"/>
      <c r="AV147" s="110"/>
      <c r="AW147" s="110"/>
      <c r="AX147" s="110"/>
      <c r="AY147" s="110"/>
      <c r="AZ147" s="110"/>
      <c r="BA147" s="110"/>
      <c r="BB147" s="110"/>
      <c r="BC147" s="110"/>
      <c r="BD147" s="110"/>
      <c r="BE147" s="110"/>
      <c r="BF147" s="110"/>
      <c r="BG147" s="110"/>
      <c r="BH147" s="110"/>
      <c r="BI147" s="110"/>
      <c r="BJ147" s="110"/>
      <c r="BK147" s="110"/>
      <c r="BL147" s="110"/>
      <c r="BM147" s="110"/>
      <c r="BN147" s="110"/>
      <c r="BO147" s="110"/>
      <c r="BP147" s="110"/>
      <c r="BQ147" s="110"/>
      <c r="BR147" s="110"/>
      <c r="BS147" s="110"/>
      <c r="BT147" s="110"/>
      <c r="BU147" s="110"/>
      <c r="BV147" s="110"/>
      <c r="BW147" s="110"/>
      <c r="BX147" s="110"/>
      <c r="BY147" s="110"/>
      <c r="BZ147" s="110"/>
      <c r="CA147" s="110"/>
      <c r="CB147" s="110"/>
      <c r="CC147" s="110"/>
      <c r="CD147" s="110"/>
      <c r="CE147" s="110"/>
      <c r="CF147" s="110"/>
      <c r="CG147" s="110"/>
      <c r="CH147" s="110"/>
      <c r="CI147" s="110"/>
      <c r="CJ147" s="110"/>
      <c r="CK147" s="110"/>
      <c r="CL147" s="110"/>
      <c r="CM147" s="110"/>
      <c r="CN147" s="110"/>
      <c r="CO147" s="110"/>
      <c r="CP147" s="110"/>
      <c r="CQ147" s="110"/>
      <c r="CR147" s="110"/>
      <c r="CS147" s="110"/>
      <c r="CT147" s="110"/>
      <c r="CU147" s="110"/>
      <c r="CV147" s="110"/>
      <c r="CW147" s="110"/>
      <c r="CX147" s="110"/>
      <c r="CY147" s="110"/>
      <c r="CZ147" s="110"/>
      <c r="DA147" s="110"/>
      <c r="DB147" s="110"/>
      <c r="DC147" s="110"/>
      <c r="DD147" s="110"/>
      <c r="DE147" s="110"/>
      <c r="DF147" s="110"/>
      <c r="DG147" s="110"/>
      <c r="DH147" s="110"/>
      <c r="DI147" s="110"/>
      <c r="DJ147" s="110"/>
      <c r="DK147" s="110"/>
      <c r="DL147" s="110"/>
      <c r="DM147" s="110"/>
      <c r="DN147" s="110"/>
      <c r="DO147" s="110"/>
      <c r="DP147" s="110"/>
      <c r="DQ147" s="110"/>
      <c r="DR147" s="110"/>
      <c r="DS147" s="110"/>
      <c r="DT147" s="110"/>
      <c r="DU147" s="110"/>
      <c r="DV147" s="110"/>
      <c r="DW147" s="110"/>
      <c r="DX147" s="110"/>
      <c r="DY147" s="110"/>
      <c r="DZ147" s="110"/>
      <c r="EA147" s="110"/>
      <c r="EB147" s="110"/>
      <c r="EC147" s="110"/>
      <c r="ED147" s="110"/>
      <c r="EE147" s="110"/>
      <c r="EF147" s="110"/>
      <c r="EG147" s="110"/>
      <c r="EH147" s="110"/>
      <c r="EI147" s="110"/>
      <c r="EJ147" s="110"/>
      <c r="EK147" s="110"/>
      <c r="EL147" s="110"/>
      <c r="EM147" s="110"/>
      <c r="EN147" s="110"/>
      <c r="EO147" s="110"/>
      <c r="EP147" s="113"/>
    </row>
    <row r="148" spans="1:146" s="114" customFormat="1" x14ac:dyDescent="0.25">
      <c r="A148" s="32">
        <v>5</v>
      </c>
      <c r="B148" s="32" t="s">
        <v>113</v>
      </c>
      <c r="C148" s="32">
        <v>2</v>
      </c>
      <c r="D148" s="38" t="s">
        <v>4</v>
      </c>
      <c r="E148" s="38" t="s">
        <v>689</v>
      </c>
      <c r="F148" s="32" t="s">
        <v>69</v>
      </c>
      <c r="G148" s="42">
        <v>67</v>
      </c>
      <c r="H148" s="38" t="s">
        <v>612</v>
      </c>
      <c r="I148" s="69"/>
      <c r="J148" s="110"/>
      <c r="K148" s="110"/>
      <c r="L148" s="110"/>
      <c r="M148" s="110"/>
      <c r="N148" s="110"/>
      <c r="O148" s="110"/>
      <c r="P148" s="110"/>
      <c r="Q148" s="110"/>
      <c r="R148" s="110"/>
      <c r="S148" s="110"/>
      <c r="T148" s="110"/>
      <c r="U148" s="110"/>
      <c r="V148" s="110"/>
      <c r="W148" s="110"/>
      <c r="X148" s="110"/>
      <c r="Y148" s="110"/>
      <c r="Z148" s="110"/>
      <c r="AA148" s="110"/>
      <c r="AB148" s="110"/>
      <c r="AC148" s="110"/>
      <c r="AD148" s="110"/>
      <c r="AE148" s="110"/>
      <c r="AF148" s="110"/>
      <c r="AG148" s="110"/>
      <c r="AH148" s="110"/>
      <c r="AI148" s="110"/>
      <c r="AJ148" s="110"/>
      <c r="AK148" s="110"/>
      <c r="AL148" s="110"/>
      <c r="AM148" s="110"/>
      <c r="AN148" s="110"/>
      <c r="AO148" s="110"/>
      <c r="AP148" s="110"/>
      <c r="AQ148" s="110"/>
      <c r="AR148" s="110"/>
      <c r="AS148" s="110"/>
      <c r="AT148" s="110"/>
      <c r="AU148" s="110"/>
      <c r="AV148" s="110"/>
      <c r="AW148" s="110"/>
      <c r="AX148" s="110"/>
      <c r="AY148" s="110"/>
      <c r="AZ148" s="110"/>
      <c r="BA148" s="110"/>
      <c r="BB148" s="110"/>
      <c r="BC148" s="110"/>
      <c r="BD148" s="110"/>
      <c r="BE148" s="110"/>
      <c r="BF148" s="110"/>
      <c r="BG148" s="110"/>
      <c r="BH148" s="110"/>
      <c r="BI148" s="110"/>
      <c r="BJ148" s="110"/>
      <c r="BK148" s="110"/>
      <c r="BL148" s="110"/>
      <c r="BM148" s="110"/>
      <c r="BN148" s="110"/>
      <c r="BO148" s="110"/>
      <c r="BP148" s="110"/>
      <c r="BQ148" s="110"/>
      <c r="BR148" s="110"/>
      <c r="BS148" s="110"/>
      <c r="BT148" s="110"/>
      <c r="BU148" s="110"/>
      <c r="BV148" s="110"/>
      <c r="BW148" s="110"/>
      <c r="BX148" s="110"/>
      <c r="BY148" s="110"/>
      <c r="BZ148" s="110"/>
      <c r="CA148" s="110"/>
      <c r="CB148" s="110"/>
      <c r="CC148" s="110"/>
      <c r="CD148" s="110"/>
      <c r="CE148" s="110"/>
      <c r="CF148" s="110"/>
      <c r="CG148" s="110"/>
      <c r="CH148" s="110"/>
      <c r="CI148" s="110"/>
      <c r="CJ148" s="110"/>
      <c r="CK148" s="110"/>
      <c r="CL148" s="110"/>
      <c r="CM148" s="110"/>
      <c r="CN148" s="110"/>
      <c r="CO148" s="110"/>
      <c r="CP148" s="110"/>
      <c r="CQ148" s="110"/>
      <c r="CR148" s="110"/>
      <c r="CS148" s="110"/>
      <c r="CT148" s="110"/>
      <c r="CU148" s="110"/>
      <c r="CV148" s="110"/>
      <c r="CW148" s="110"/>
      <c r="CX148" s="110"/>
      <c r="CY148" s="110"/>
      <c r="CZ148" s="110"/>
      <c r="DA148" s="110"/>
      <c r="DB148" s="110"/>
      <c r="DC148" s="110"/>
      <c r="DD148" s="110"/>
      <c r="DE148" s="110"/>
      <c r="DF148" s="110"/>
      <c r="DG148" s="110"/>
      <c r="DH148" s="110"/>
      <c r="DI148" s="110"/>
      <c r="DJ148" s="110"/>
      <c r="DK148" s="110"/>
      <c r="DL148" s="110"/>
      <c r="DM148" s="110"/>
      <c r="DN148" s="110"/>
      <c r="DO148" s="110"/>
      <c r="DP148" s="110"/>
      <c r="DQ148" s="110"/>
      <c r="DR148" s="110"/>
      <c r="DS148" s="110"/>
      <c r="DT148" s="110"/>
      <c r="DU148" s="110"/>
      <c r="DV148" s="110"/>
      <c r="DW148" s="110"/>
      <c r="DX148" s="110"/>
      <c r="DY148" s="110"/>
      <c r="DZ148" s="110"/>
      <c r="EA148" s="110"/>
      <c r="EB148" s="110"/>
      <c r="EC148" s="110"/>
      <c r="ED148" s="110"/>
      <c r="EE148" s="110"/>
      <c r="EF148" s="110"/>
      <c r="EG148" s="110"/>
      <c r="EH148" s="110"/>
      <c r="EI148" s="110"/>
      <c r="EJ148" s="110"/>
      <c r="EK148" s="110"/>
      <c r="EL148" s="110"/>
      <c r="EM148" s="110"/>
      <c r="EN148" s="110"/>
      <c r="EO148" s="110"/>
      <c r="EP148" s="113"/>
    </row>
    <row r="149" spans="1:146" s="114" customFormat="1" x14ac:dyDescent="0.25">
      <c r="A149" s="32">
        <v>5</v>
      </c>
      <c r="B149" s="32" t="s">
        <v>113</v>
      </c>
      <c r="C149" s="32">
        <v>2</v>
      </c>
      <c r="D149" s="38" t="s">
        <v>0</v>
      </c>
      <c r="E149" s="38" t="s">
        <v>637</v>
      </c>
      <c r="F149" s="32" t="s">
        <v>81</v>
      </c>
      <c r="G149" s="42">
        <v>33</v>
      </c>
      <c r="H149" s="38" t="s">
        <v>609</v>
      </c>
      <c r="I149" s="69"/>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c r="AG149" s="110"/>
      <c r="AH149" s="110"/>
      <c r="AI149" s="110"/>
      <c r="AJ149" s="110"/>
      <c r="AK149" s="110"/>
      <c r="AL149" s="110"/>
      <c r="AM149" s="110"/>
      <c r="AN149" s="110"/>
      <c r="AO149" s="110"/>
      <c r="AP149" s="110"/>
      <c r="AQ149" s="110"/>
      <c r="AR149" s="110"/>
      <c r="AS149" s="110"/>
      <c r="AT149" s="110"/>
      <c r="AU149" s="110"/>
      <c r="AV149" s="110"/>
      <c r="AW149" s="110"/>
      <c r="AX149" s="110"/>
      <c r="AY149" s="110"/>
      <c r="AZ149" s="110"/>
      <c r="BA149" s="110"/>
      <c r="BB149" s="110"/>
      <c r="BC149" s="110"/>
      <c r="BD149" s="110"/>
      <c r="BE149" s="110"/>
      <c r="BF149" s="110"/>
      <c r="BG149" s="110"/>
      <c r="BH149" s="110"/>
      <c r="BI149" s="110"/>
      <c r="BJ149" s="110"/>
      <c r="BK149" s="110"/>
      <c r="BL149" s="110"/>
      <c r="BM149" s="110"/>
      <c r="BN149" s="110"/>
      <c r="BO149" s="110"/>
      <c r="BP149" s="110"/>
      <c r="BQ149" s="110"/>
      <c r="BR149" s="110"/>
      <c r="BS149" s="110"/>
      <c r="BT149" s="110"/>
      <c r="BU149" s="110"/>
      <c r="BV149" s="110"/>
      <c r="BW149" s="110"/>
      <c r="BX149" s="110"/>
      <c r="BY149" s="110"/>
      <c r="BZ149" s="110"/>
      <c r="CA149" s="110"/>
      <c r="CB149" s="110"/>
      <c r="CC149" s="110"/>
      <c r="CD149" s="110"/>
      <c r="CE149" s="110"/>
      <c r="CF149" s="110"/>
      <c r="CG149" s="110"/>
      <c r="CH149" s="110"/>
      <c r="CI149" s="110"/>
      <c r="CJ149" s="110"/>
      <c r="CK149" s="110"/>
      <c r="CL149" s="110"/>
      <c r="CM149" s="110"/>
      <c r="CN149" s="110"/>
      <c r="CO149" s="110"/>
      <c r="CP149" s="110"/>
      <c r="CQ149" s="110"/>
      <c r="CR149" s="110"/>
      <c r="CS149" s="110"/>
      <c r="CT149" s="110"/>
      <c r="CU149" s="110"/>
      <c r="CV149" s="110"/>
      <c r="CW149" s="110"/>
      <c r="CX149" s="110"/>
      <c r="CY149" s="110"/>
      <c r="CZ149" s="110"/>
      <c r="DA149" s="110"/>
      <c r="DB149" s="110"/>
      <c r="DC149" s="110"/>
      <c r="DD149" s="110"/>
      <c r="DE149" s="110"/>
      <c r="DF149" s="110"/>
      <c r="DG149" s="110"/>
      <c r="DH149" s="110"/>
      <c r="DI149" s="110"/>
      <c r="DJ149" s="110"/>
      <c r="DK149" s="110"/>
      <c r="DL149" s="110"/>
      <c r="DM149" s="110"/>
      <c r="DN149" s="110"/>
      <c r="DO149" s="110"/>
      <c r="DP149" s="110"/>
      <c r="DQ149" s="110"/>
      <c r="DR149" s="110"/>
      <c r="DS149" s="110"/>
      <c r="DT149" s="110"/>
      <c r="DU149" s="110"/>
      <c r="DV149" s="110"/>
      <c r="DW149" s="110"/>
      <c r="DX149" s="110"/>
      <c r="DY149" s="110"/>
      <c r="DZ149" s="110"/>
      <c r="EA149" s="110"/>
      <c r="EB149" s="110"/>
      <c r="EC149" s="110"/>
      <c r="ED149" s="110"/>
      <c r="EE149" s="110"/>
      <c r="EF149" s="110"/>
      <c r="EG149" s="110"/>
      <c r="EH149" s="110"/>
      <c r="EI149" s="110"/>
      <c r="EJ149" s="110"/>
      <c r="EK149" s="110"/>
      <c r="EL149" s="110"/>
      <c r="EM149" s="110"/>
      <c r="EN149" s="110"/>
      <c r="EO149" s="110"/>
      <c r="EP149" s="113"/>
    </row>
    <row r="150" spans="1:146" s="114" customFormat="1" ht="144" customHeight="1" x14ac:dyDescent="0.25">
      <c r="A150" s="32">
        <v>5</v>
      </c>
      <c r="B150" s="32" t="s">
        <v>113</v>
      </c>
      <c r="C150" s="32">
        <v>2</v>
      </c>
      <c r="D150" s="38" t="s">
        <v>142</v>
      </c>
      <c r="E150" s="38" t="s">
        <v>640</v>
      </c>
      <c r="F150" s="32" t="s">
        <v>81</v>
      </c>
      <c r="G150" s="42">
        <v>15</v>
      </c>
      <c r="H150" s="38" t="s">
        <v>614</v>
      </c>
      <c r="I150" s="69"/>
      <c r="J150" s="110"/>
      <c r="K150" s="110"/>
      <c r="L150" s="110"/>
      <c r="M150" s="110"/>
      <c r="N150" s="110"/>
      <c r="O150" s="110"/>
      <c r="P150" s="110"/>
      <c r="Q150" s="110"/>
      <c r="R150" s="110"/>
      <c r="S150" s="110"/>
      <c r="T150" s="110"/>
      <c r="U150" s="110"/>
      <c r="V150" s="110"/>
      <c r="W150" s="110"/>
      <c r="X150" s="110"/>
      <c r="Y150" s="110"/>
      <c r="Z150" s="110"/>
      <c r="AA150" s="110"/>
      <c r="AB150" s="110"/>
      <c r="AC150" s="110"/>
      <c r="AD150" s="110"/>
      <c r="AE150" s="110"/>
      <c r="AF150" s="110"/>
      <c r="AG150" s="110"/>
      <c r="AH150" s="110"/>
      <c r="AI150" s="110"/>
      <c r="AJ150" s="110"/>
      <c r="AK150" s="110"/>
      <c r="AL150" s="110"/>
      <c r="AM150" s="110"/>
      <c r="AN150" s="110"/>
      <c r="AO150" s="110"/>
      <c r="AP150" s="110"/>
      <c r="AQ150" s="110"/>
      <c r="AR150" s="110"/>
      <c r="AS150" s="110"/>
      <c r="AT150" s="110"/>
      <c r="AU150" s="110"/>
      <c r="AV150" s="110"/>
      <c r="AW150" s="110"/>
      <c r="AX150" s="110"/>
      <c r="AY150" s="110"/>
      <c r="AZ150" s="110"/>
      <c r="BA150" s="110"/>
      <c r="BB150" s="110"/>
      <c r="BC150" s="110"/>
      <c r="BD150" s="110"/>
      <c r="BE150" s="110"/>
      <c r="BF150" s="110"/>
      <c r="BG150" s="110"/>
      <c r="BH150" s="110"/>
      <c r="BI150" s="110"/>
      <c r="BJ150" s="110"/>
      <c r="BK150" s="110"/>
      <c r="BL150" s="110"/>
      <c r="BM150" s="110"/>
      <c r="BN150" s="110"/>
      <c r="BO150" s="110"/>
      <c r="BP150" s="110"/>
      <c r="BQ150" s="110"/>
      <c r="BR150" s="110"/>
      <c r="BS150" s="110"/>
      <c r="BT150" s="110"/>
      <c r="BU150" s="110"/>
      <c r="BV150" s="110"/>
      <c r="BW150" s="110"/>
      <c r="BX150" s="110"/>
      <c r="BY150" s="110"/>
      <c r="BZ150" s="110"/>
      <c r="CA150" s="110"/>
      <c r="CB150" s="110"/>
      <c r="CC150" s="110"/>
      <c r="CD150" s="110"/>
      <c r="CE150" s="110"/>
      <c r="CF150" s="110"/>
      <c r="CG150" s="110"/>
      <c r="CH150" s="110"/>
      <c r="CI150" s="110"/>
      <c r="CJ150" s="110"/>
      <c r="CK150" s="110"/>
      <c r="CL150" s="110"/>
      <c r="CM150" s="110"/>
      <c r="CN150" s="110"/>
      <c r="CO150" s="110"/>
      <c r="CP150" s="110"/>
      <c r="CQ150" s="110"/>
      <c r="CR150" s="110"/>
      <c r="CS150" s="110"/>
      <c r="CT150" s="110"/>
      <c r="CU150" s="110"/>
      <c r="CV150" s="110"/>
      <c r="CW150" s="110"/>
      <c r="CX150" s="110"/>
      <c r="CY150" s="110"/>
      <c r="CZ150" s="110"/>
      <c r="DA150" s="110"/>
      <c r="DB150" s="110"/>
      <c r="DC150" s="110"/>
      <c r="DD150" s="110"/>
      <c r="DE150" s="110"/>
      <c r="DF150" s="110"/>
      <c r="DG150" s="110"/>
      <c r="DH150" s="110"/>
      <c r="DI150" s="110"/>
      <c r="DJ150" s="110"/>
      <c r="DK150" s="110"/>
      <c r="DL150" s="110"/>
      <c r="DM150" s="110"/>
      <c r="DN150" s="110"/>
      <c r="DO150" s="110"/>
      <c r="DP150" s="110"/>
      <c r="DQ150" s="110"/>
      <c r="DR150" s="110"/>
      <c r="DS150" s="110"/>
      <c r="DT150" s="110"/>
      <c r="DU150" s="110"/>
      <c r="DV150" s="110"/>
      <c r="DW150" s="110"/>
      <c r="DX150" s="110"/>
      <c r="DY150" s="110"/>
      <c r="DZ150" s="110"/>
      <c r="EA150" s="110"/>
      <c r="EB150" s="110"/>
      <c r="EC150" s="110"/>
      <c r="ED150" s="110"/>
      <c r="EE150" s="110"/>
      <c r="EF150" s="110"/>
      <c r="EG150" s="110"/>
      <c r="EH150" s="110"/>
      <c r="EI150" s="110"/>
      <c r="EJ150" s="110"/>
      <c r="EK150" s="110"/>
      <c r="EL150" s="110"/>
      <c r="EM150" s="110"/>
      <c r="EN150" s="110"/>
      <c r="EO150" s="110"/>
      <c r="EP150" s="113"/>
    </row>
    <row r="151" spans="1:146" s="114" customFormat="1" ht="31.5" x14ac:dyDescent="0.25">
      <c r="A151" s="32">
        <v>5</v>
      </c>
      <c r="B151" s="32" t="s">
        <v>113</v>
      </c>
      <c r="C151" s="32">
        <v>2</v>
      </c>
      <c r="D151" s="38" t="s">
        <v>142</v>
      </c>
      <c r="E151" s="38" t="s">
        <v>677</v>
      </c>
      <c r="F151" s="32" t="s">
        <v>81</v>
      </c>
      <c r="G151" s="42">
        <v>5</v>
      </c>
      <c r="H151" s="38" t="s">
        <v>615</v>
      </c>
      <c r="I151" s="69"/>
      <c r="J151" s="110"/>
      <c r="K151" s="110"/>
      <c r="L151" s="110"/>
      <c r="M151" s="110"/>
      <c r="N151" s="110"/>
      <c r="O151" s="110"/>
      <c r="P151" s="110"/>
      <c r="Q151" s="110"/>
      <c r="R151" s="110"/>
      <c r="S151" s="110"/>
      <c r="T151" s="110"/>
      <c r="U151" s="110"/>
      <c r="V151" s="110"/>
      <c r="W151" s="110"/>
      <c r="X151" s="110"/>
      <c r="Y151" s="110"/>
      <c r="Z151" s="110"/>
      <c r="AA151" s="110"/>
      <c r="AB151" s="110"/>
      <c r="AC151" s="110"/>
      <c r="AD151" s="110"/>
      <c r="AE151" s="110"/>
      <c r="AF151" s="110"/>
      <c r="AG151" s="110"/>
      <c r="AH151" s="110"/>
      <c r="AI151" s="110"/>
      <c r="AJ151" s="110"/>
      <c r="AK151" s="110"/>
      <c r="AL151" s="110"/>
      <c r="AM151" s="110"/>
      <c r="AN151" s="110"/>
      <c r="AO151" s="110"/>
      <c r="AP151" s="110"/>
      <c r="AQ151" s="110"/>
      <c r="AR151" s="110"/>
      <c r="AS151" s="110"/>
      <c r="AT151" s="110"/>
      <c r="AU151" s="110"/>
      <c r="AV151" s="110"/>
      <c r="AW151" s="110"/>
      <c r="AX151" s="110"/>
      <c r="AY151" s="110"/>
      <c r="AZ151" s="110"/>
      <c r="BA151" s="110"/>
      <c r="BB151" s="110"/>
      <c r="BC151" s="110"/>
      <c r="BD151" s="110"/>
      <c r="BE151" s="110"/>
      <c r="BF151" s="110"/>
      <c r="BG151" s="110"/>
      <c r="BH151" s="110"/>
      <c r="BI151" s="110"/>
      <c r="BJ151" s="110"/>
      <c r="BK151" s="110"/>
      <c r="BL151" s="110"/>
      <c r="BM151" s="110"/>
      <c r="BN151" s="110"/>
      <c r="BO151" s="110"/>
      <c r="BP151" s="110"/>
      <c r="BQ151" s="110"/>
      <c r="BR151" s="110"/>
      <c r="BS151" s="110"/>
      <c r="BT151" s="110"/>
      <c r="BU151" s="110"/>
      <c r="BV151" s="110"/>
      <c r="BW151" s="110"/>
      <c r="BX151" s="110"/>
      <c r="BY151" s="110"/>
      <c r="BZ151" s="110"/>
      <c r="CA151" s="110"/>
      <c r="CB151" s="110"/>
      <c r="CC151" s="110"/>
      <c r="CD151" s="110"/>
      <c r="CE151" s="110"/>
      <c r="CF151" s="110"/>
      <c r="CG151" s="110"/>
      <c r="CH151" s="110"/>
      <c r="CI151" s="110"/>
      <c r="CJ151" s="110"/>
      <c r="CK151" s="110"/>
      <c r="CL151" s="110"/>
      <c r="CM151" s="110"/>
      <c r="CN151" s="110"/>
      <c r="CO151" s="110"/>
      <c r="CP151" s="110"/>
      <c r="CQ151" s="110"/>
      <c r="CR151" s="110"/>
      <c r="CS151" s="110"/>
      <c r="CT151" s="110"/>
      <c r="CU151" s="110"/>
      <c r="CV151" s="110"/>
      <c r="CW151" s="110"/>
      <c r="CX151" s="110"/>
      <c r="CY151" s="110"/>
      <c r="CZ151" s="110"/>
      <c r="DA151" s="110"/>
      <c r="DB151" s="110"/>
      <c r="DC151" s="110"/>
      <c r="DD151" s="110"/>
      <c r="DE151" s="110"/>
      <c r="DF151" s="110"/>
      <c r="DG151" s="110"/>
      <c r="DH151" s="110"/>
      <c r="DI151" s="110"/>
      <c r="DJ151" s="110"/>
      <c r="DK151" s="110"/>
      <c r="DL151" s="110"/>
      <c r="DM151" s="110"/>
      <c r="DN151" s="110"/>
      <c r="DO151" s="110"/>
      <c r="DP151" s="110"/>
      <c r="DQ151" s="110"/>
      <c r="DR151" s="110"/>
      <c r="DS151" s="110"/>
      <c r="DT151" s="110"/>
      <c r="DU151" s="110"/>
      <c r="DV151" s="110"/>
      <c r="DW151" s="110"/>
      <c r="DX151" s="110"/>
      <c r="DY151" s="110"/>
      <c r="DZ151" s="110"/>
      <c r="EA151" s="110"/>
      <c r="EB151" s="110"/>
      <c r="EC151" s="110"/>
      <c r="ED151" s="110"/>
      <c r="EE151" s="110"/>
      <c r="EF151" s="110"/>
      <c r="EG151" s="110"/>
      <c r="EH151" s="110"/>
      <c r="EI151" s="110"/>
      <c r="EJ151" s="110"/>
      <c r="EK151" s="110"/>
      <c r="EL151" s="110"/>
      <c r="EM151" s="110"/>
      <c r="EN151" s="110"/>
      <c r="EO151" s="110"/>
      <c r="EP151" s="113"/>
    </row>
    <row r="152" spans="1:146" s="114" customFormat="1" x14ac:dyDescent="0.25">
      <c r="A152" s="32">
        <v>5</v>
      </c>
      <c r="B152" s="32" t="s">
        <v>113</v>
      </c>
      <c r="C152" s="32">
        <v>2</v>
      </c>
      <c r="D152" s="38" t="s">
        <v>1</v>
      </c>
      <c r="E152" s="38" t="s">
        <v>644</v>
      </c>
      <c r="F152" s="32" t="s">
        <v>69</v>
      </c>
      <c r="G152" s="42">
        <v>5</v>
      </c>
      <c r="H152" s="38" t="s">
        <v>618</v>
      </c>
      <c r="I152" s="69"/>
      <c r="J152" s="110"/>
      <c r="K152" s="110"/>
      <c r="L152" s="110"/>
      <c r="M152" s="110"/>
      <c r="N152" s="110"/>
      <c r="O152" s="110"/>
      <c r="P152" s="110"/>
      <c r="Q152" s="110"/>
      <c r="R152" s="110"/>
      <c r="S152" s="110"/>
      <c r="T152" s="110"/>
      <c r="U152" s="110"/>
      <c r="V152" s="110"/>
      <c r="W152" s="110"/>
      <c r="X152" s="110"/>
      <c r="Y152" s="110"/>
      <c r="Z152" s="110"/>
      <c r="AA152" s="110"/>
      <c r="AB152" s="110"/>
      <c r="AC152" s="110"/>
      <c r="AD152" s="110"/>
      <c r="AE152" s="110"/>
      <c r="AF152" s="110"/>
      <c r="AG152" s="110"/>
      <c r="AH152" s="110"/>
      <c r="AI152" s="110"/>
      <c r="AJ152" s="110"/>
      <c r="AK152" s="110"/>
      <c r="AL152" s="110"/>
      <c r="AM152" s="110"/>
      <c r="AN152" s="110"/>
      <c r="AO152" s="110"/>
      <c r="AP152" s="110"/>
      <c r="AQ152" s="110"/>
      <c r="AR152" s="110"/>
      <c r="AS152" s="110"/>
      <c r="AT152" s="110"/>
      <c r="AU152" s="110"/>
      <c r="AV152" s="110"/>
      <c r="AW152" s="110"/>
      <c r="AX152" s="110"/>
      <c r="AY152" s="110"/>
      <c r="AZ152" s="110"/>
      <c r="BA152" s="110"/>
      <c r="BB152" s="110"/>
      <c r="BC152" s="110"/>
      <c r="BD152" s="110"/>
      <c r="BE152" s="110"/>
      <c r="BF152" s="110"/>
      <c r="BG152" s="110"/>
      <c r="BH152" s="110"/>
      <c r="BI152" s="110"/>
      <c r="BJ152" s="110"/>
      <c r="BK152" s="110"/>
      <c r="BL152" s="110"/>
      <c r="BM152" s="110"/>
      <c r="BN152" s="110"/>
      <c r="BO152" s="110"/>
      <c r="BP152" s="110"/>
      <c r="BQ152" s="110"/>
      <c r="BR152" s="110"/>
      <c r="BS152" s="110"/>
      <c r="BT152" s="110"/>
      <c r="BU152" s="110"/>
      <c r="BV152" s="110"/>
      <c r="BW152" s="110"/>
      <c r="BX152" s="110"/>
      <c r="BY152" s="110"/>
      <c r="BZ152" s="110"/>
      <c r="CA152" s="110"/>
      <c r="CB152" s="110"/>
      <c r="CC152" s="110"/>
      <c r="CD152" s="110"/>
      <c r="CE152" s="110"/>
      <c r="CF152" s="110"/>
      <c r="CG152" s="110"/>
      <c r="CH152" s="110"/>
      <c r="CI152" s="110"/>
      <c r="CJ152" s="110"/>
      <c r="CK152" s="110"/>
      <c r="CL152" s="110"/>
      <c r="CM152" s="110"/>
      <c r="CN152" s="110"/>
      <c r="CO152" s="110"/>
      <c r="CP152" s="110"/>
      <c r="CQ152" s="110"/>
      <c r="CR152" s="110"/>
      <c r="CS152" s="110"/>
      <c r="CT152" s="110"/>
      <c r="CU152" s="110"/>
      <c r="CV152" s="110"/>
      <c r="CW152" s="110"/>
      <c r="CX152" s="110"/>
      <c r="CY152" s="110"/>
      <c r="CZ152" s="110"/>
      <c r="DA152" s="110"/>
      <c r="DB152" s="110"/>
      <c r="DC152" s="110"/>
      <c r="DD152" s="110"/>
      <c r="DE152" s="110"/>
      <c r="DF152" s="110"/>
      <c r="DG152" s="110"/>
      <c r="DH152" s="110"/>
      <c r="DI152" s="110"/>
      <c r="DJ152" s="110"/>
      <c r="DK152" s="110"/>
      <c r="DL152" s="110"/>
      <c r="DM152" s="110"/>
      <c r="DN152" s="110"/>
      <c r="DO152" s="110"/>
      <c r="DP152" s="110"/>
      <c r="DQ152" s="110"/>
      <c r="DR152" s="110"/>
      <c r="DS152" s="110"/>
      <c r="DT152" s="110"/>
      <c r="DU152" s="110"/>
      <c r="DV152" s="110"/>
      <c r="DW152" s="110"/>
      <c r="DX152" s="110"/>
      <c r="DY152" s="110"/>
      <c r="DZ152" s="110"/>
      <c r="EA152" s="110"/>
      <c r="EB152" s="110"/>
      <c r="EC152" s="110"/>
      <c r="ED152" s="110"/>
      <c r="EE152" s="110"/>
      <c r="EF152" s="110"/>
      <c r="EG152" s="110"/>
      <c r="EH152" s="110"/>
      <c r="EI152" s="110"/>
      <c r="EJ152" s="110"/>
      <c r="EK152" s="110"/>
      <c r="EL152" s="110"/>
      <c r="EM152" s="110"/>
      <c r="EN152" s="110"/>
      <c r="EO152" s="110"/>
      <c r="EP152" s="113"/>
    </row>
    <row r="153" spans="1:146" s="114" customFormat="1" x14ac:dyDescent="0.25">
      <c r="A153" s="32">
        <v>5</v>
      </c>
      <c r="B153" s="32" t="s">
        <v>113</v>
      </c>
      <c r="C153" s="32">
        <v>2</v>
      </c>
      <c r="D153" s="41" t="s">
        <v>1</v>
      </c>
      <c r="E153" s="34" t="s">
        <v>645</v>
      </c>
      <c r="F153" s="40" t="s">
        <v>69</v>
      </c>
      <c r="G153" s="40">
        <v>22</v>
      </c>
      <c r="H153" s="41" t="s">
        <v>618</v>
      </c>
      <c r="I153" s="69"/>
      <c r="J153" s="110"/>
      <c r="K153" s="110"/>
      <c r="L153" s="110"/>
      <c r="M153" s="110"/>
      <c r="N153" s="110"/>
      <c r="O153" s="110"/>
      <c r="P153" s="110"/>
      <c r="Q153" s="110"/>
      <c r="R153" s="110"/>
      <c r="S153" s="110"/>
      <c r="T153" s="110"/>
      <c r="U153" s="110"/>
      <c r="V153" s="110"/>
      <c r="W153" s="110"/>
      <c r="X153" s="110"/>
      <c r="Y153" s="110"/>
      <c r="Z153" s="110"/>
      <c r="AA153" s="110"/>
      <c r="AB153" s="110"/>
      <c r="AC153" s="110"/>
      <c r="AD153" s="110"/>
      <c r="AE153" s="110"/>
      <c r="AF153" s="110"/>
      <c r="AG153" s="110"/>
      <c r="AH153" s="110"/>
      <c r="AI153" s="110"/>
      <c r="AJ153" s="110"/>
      <c r="AK153" s="110"/>
      <c r="AL153" s="110"/>
      <c r="AM153" s="110"/>
      <c r="AN153" s="110"/>
      <c r="AO153" s="110"/>
      <c r="AP153" s="110"/>
      <c r="AQ153" s="110"/>
      <c r="AR153" s="110"/>
      <c r="AS153" s="110"/>
      <c r="AT153" s="110"/>
      <c r="AU153" s="110"/>
      <c r="AV153" s="110"/>
      <c r="AW153" s="110"/>
      <c r="AX153" s="110"/>
      <c r="AY153" s="110"/>
      <c r="AZ153" s="110"/>
      <c r="BA153" s="110"/>
      <c r="BB153" s="110"/>
      <c r="BC153" s="110"/>
      <c r="BD153" s="110"/>
      <c r="BE153" s="110"/>
      <c r="BF153" s="110"/>
      <c r="BG153" s="110"/>
      <c r="BH153" s="110"/>
      <c r="BI153" s="110"/>
      <c r="BJ153" s="110"/>
      <c r="BK153" s="110"/>
      <c r="BL153" s="110"/>
      <c r="BM153" s="110"/>
      <c r="BN153" s="110"/>
      <c r="BO153" s="110"/>
      <c r="BP153" s="110"/>
      <c r="BQ153" s="110"/>
      <c r="BR153" s="110"/>
      <c r="BS153" s="110"/>
      <c r="BT153" s="110"/>
      <c r="BU153" s="110"/>
      <c r="BV153" s="110"/>
      <c r="BW153" s="110"/>
      <c r="BX153" s="110"/>
      <c r="BY153" s="110"/>
      <c r="BZ153" s="110"/>
      <c r="CA153" s="110"/>
      <c r="CB153" s="110"/>
      <c r="CC153" s="110"/>
      <c r="CD153" s="110"/>
      <c r="CE153" s="110"/>
      <c r="CF153" s="110"/>
      <c r="CG153" s="110"/>
      <c r="CH153" s="110"/>
      <c r="CI153" s="110"/>
      <c r="CJ153" s="110"/>
      <c r="CK153" s="110"/>
      <c r="CL153" s="110"/>
      <c r="CM153" s="110"/>
      <c r="CN153" s="110"/>
      <c r="CO153" s="110"/>
      <c r="CP153" s="110"/>
      <c r="CQ153" s="110"/>
      <c r="CR153" s="110"/>
      <c r="CS153" s="110"/>
      <c r="CT153" s="110"/>
      <c r="CU153" s="110"/>
      <c r="CV153" s="110"/>
      <c r="CW153" s="110"/>
      <c r="CX153" s="110"/>
      <c r="CY153" s="110"/>
      <c r="CZ153" s="110"/>
      <c r="DA153" s="110"/>
      <c r="DB153" s="110"/>
      <c r="DC153" s="110"/>
      <c r="DD153" s="110"/>
      <c r="DE153" s="110"/>
      <c r="DF153" s="110"/>
      <c r="DG153" s="110"/>
      <c r="DH153" s="110"/>
      <c r="DI153" s="110"/>
      <c r="DJ153" s="110"/>
      <c r="DK153" s="110"/>
      <c r="DL153" s="110"/>
      <c r="DM153" s="110"/>
      <c r="DN153" s="110"/>
      <c r="DO153" s="110"/>
      <c r="DP153" s="110"/>
      <c r="DQ153" s="110"/>
      <c r="DR153" s="110"/>
      <c r="DS153" s="110"/>
      <c r="DT153" s="110"/>
      <c r="DU153" s="110"/>
      <c r="DV153" s="110"/>
      <c r="DW153" s="110"/>
      <c r="DX153" s="110"/>
      <c r="DY153" s="110"/>
      <c r="DZ153" s="110"/>
      <c r="EA153" s="110"/>
      <c r="EB153" s="110"/>
      <c r="EC153" s="110"/>
      <c r="ED153" s="110"/>
      <c r="EE153" s="110"/>
      <c r="EF153" s="110"/>
      <c r="EG153" s="110"/>
      <c r="EH153" s="110"/>
      <c r="EI153" s="110"/>
      <c r="EJ153" s="110"/>
      <c r="EK153" s="110"/>
      <c r="EL153" s="110"/>
      <c r="EM153" s="110"/>
      <c r="EN153" s="110"/>
      <c r="EO153" s="110"/>
      <c r="EP153" s="113"/>
    </row>
    <row r="154" spans="1:146" s="114" customFormat="1" ht="31.5" x14ac:dyDescent="0.25">
      <c r="A154" s="32">
        <v>5</v>
      </c>
      <c r="B154" s="32" t="s">
        <v>113</v>
      </c>
      <c r="C154" s="32">
        <v>2</v>
      </c>
      <c r="D154" s="38" t="s">
        <v>393</v>
      </c>
      <c r="E154" s="38" t="s">
        <v>633</v>
      </c>
      <c r="F154" s="32" t="s">
        <v>69</v>
      </c>
      <c r="G154" s="42">
        <v>154</v>
      </c>
      <c r="H154" s="38" t="s">
        <v>115</v>
      </c>
      <c r="I154" s="69"/>
      <c r="J154" s="110"/>
      <c r="K154" s="110"/>
      <c r="L154" s="110"/>
      <c r="M154" s="110"/>
      <c r="N154" s="110"/>
      <c r="O154" s="110"/>
      <c r="P154" s="110"/>
      <c r="Q154" s="110"/>
      <c r="R154" s="110"/>
      <c r="S154" s="110"/>
      <c r="T154" s="110"/>
      <c r="U154" s="110"/>
      <c r="V154" s="110"/>
      <c r="W154" s="110"/>
      <c r="X154" s="110"/>
      <c r="Y154" s="110"/>
      <c r="Z154" s="110"/>
      <c r="AA154" s="110"/>
      <c r="AB154" s="110"/>
      <c r="AC154" s="110"/>
      <c r="AD154" s="110"/>
      <c r="AE154" s="110"/>
      <c r="AF154" s="110"/>
      <c r="AG154" s="110"/>
      <c r="AH154" s="110"/>
      <c r="AI154" s="110"/>
      <c r="AJ154" s="110"/>
      <c r="AK154" s="110"/>
      <c r="AL154" s="110"/>
      <c r="AM154" s="110"/>
      <c r="AN154" s="110"/>
      <c r="AO154" s="110"/>
      <c r="AP154" s="110"/>
      <c r="AQ154" s="110"/>
      <c r="AR154" s="110"/>
      <c r="AS154" s="110"/>
      <c r="AT154" s="110"/>
      <c r="AU154" s="110"/>
      <c r="AV154" s="110"/>
      <c r="AW154" s="110"/>
      <c r="AX154" s="110"/>
      <c r="AY154" s="110"/>
      <c r="AZ154" s="110"/>
      <c r="BA154" s="110"/>
      <c r="BB154" s="110"/>
      <c r="BC154" s="110"/>
      <c r="BD154" s="110"/>
      <c r="BE154" s="110"/>
      <c r="BF154" s="110"/>
      <c r="BG154" s="110"/>
      <c r="BH154" s="110"/>
      <c r="BI154" s="110"/>
      <c r="BJ154" s="110"/>
      <c r="BK154" s="110"/>
      <c r="BL154" s="110"/>
      <c r="BM154" s="110"/>
      <c r="BN154" s="110"/>
      <c r="BO154" s="110"/>
      <c r="BP154" s="110"/>
      <c r="BQ154" s="110"/>
      <c r="BR154" s="110"/>
      <c r="BS154" s="110"/>
      <c r="BT154" s="110"/>
      <c r="BU154" s="110"/>
      <c r="BV154" s="110"/>
      <c r="BW154" s="110"/>
      <c r="BX154" s="110"/>
      <c r="BY154" s="110"/>
      <c r="BZ154" s="110"/>
      <c r="CA154" s="110"/>
      <c r="CB154" s="110"/>
      <c r="CC154" s="110"/>
      <c r="CD154" s="110"/>
      <c r="CE154" s="110"/>
      <c r="CF154" s="110"/>
      <c r="CG154" s="110"/>
      <c r="CH154" s="110"/>
      <c r="CI154" s="110"/>
      <c r="CJ154" s="110"/>
      <c r="CK154" s="110"/>
      <c r="CL154" s="110"/>
      <c r="CM154" s="110"/>
      <c r="CN154" s="110"/>
      <c r="CO154" s="110"/>
      <c r="CP154" s="110"/>
      <c r="CQ154" s="110"/>
      <c r="CR154" s="110"/>
      <c r="CS154" s="110"/>
      <c r="CT154" s="110"/>
      <c r="CU154" s="110"/>
      <c r="CV154" s="110"/>
      <c r="CW154" s="110"/>
      <c r="CX154" s="110"/>
      <c r="CY154" s="110"/>
      <c r="CZ154" s="110"/>
      <c r="DA154" s="110"/>
      <c r="DB154" s="110"/>
      <c r="DC154" s="110"/>
      <c r="DD154" s="110"/>
      <c r="DE154" s="110"/>
      <c r="DF154" s="110"/>
      <c r="DG154" s="110"/>
      <c r="DH154" s="110"/>
      <c r="DI154" s="110"/>
      <c r="DJ154" s="110"/>
      <c r="DK154" s="110"/>
      <c r="DL154" s="110"/>
      <c r="DM154" s="110"/>
      <c r="DN154" s="110"/>
      <c r="DO154" s="110"/>
      <c r="DP154" s="110"/>
      <c r="DQ154" s="110"/>
      <c r="DR154" s="110"/>
      <c r="DS154" s="110"/>
      <c r="DT154" s="110"/>
      <c r="DU154" s="110"/>
      <c r="DV154" s="110"/>
      <c r="DW154" s="110"/>
      <c r="DX154" s="110"/>
      <c r="DY154" s="110"/>
      <c r="DZ154" s="110"/>
      <c r="EA154" s="110"/>
      <c r="EB154" s="110"/>
      <c r="EC154" s="110"/>
      <c r="ED154" s="110"/>
      <c r="EE154" s="110"/>
      <c r="EF154" s="110"/>
      <c r="EG154" s="110"/>
      <c r="EH154" s="110"/>
      <c r="EI154" s="110"/>
      <c r="EJ154" s="110"/>
      <c r="EK154" s="110"/>
      <c r="EL154" s="110"/>
      <c r="EM154" s="110"/>
      <c r="EN154" s="110"/>
      <c r="EO154" s="110"/>
      <c r="EP154" s="113"/>
    </row>
    <row r="155" spans="1:146" s="114" customFormat="1" ht="31.5" x14ac:dyDescent="0.25">
      <c r="A155" s="32">
        <v>5</v>
      </c>
      <c r="B155" s="32" t="s">
        <v>113</v>
      </c>
      <c r="C155" s="32">
        <v>2</v>
      </c>
      <c r="D155" s="38" t="s">
        <v>393</v>
      </c>
      <c r="E155" s="38" t="s">
        <v>634</v>
      </c>
      <c r="F155" s="32" t="s">
        <v>69</v>
      </c>
      <c r="G155" s="42">
        <v>43</v>
      </c>
      <c r="H155" s="38" t="s">
        <v>606</v>
      </c>
      <c r="I155" s="69"/>
      <c r="J155" s="110"/>
      <c r="K155" s="110"/>
      <c r="L155" s="110"/>
      <c r="M155" s="110"/>
      <c r="N155" s="110"/>
      <c r="O155" s="110"/>
      <c r="P155" s="110"/>
      <c r="Q155" s="110"/>
      <c r="R155" s="110"/>
      <c r="S155" s="110"/>
      <c r="T155" s="110"/>
      <c r="U155" s="110"/>
      <c r="V155" s="110"/>
      <c r="W155" s="110"/>
      <c r="X155" s="110"/>
      <c r="Y155" s="110"/>
      <c r="Z155" s="110"/>
      <c r="AA155" s="110"/>
      <c r="AB155" s="110"/>
      <c r="AC155" s="110"/>
      <c r="AD155" s="110"/>
      <c r="AE155" s="110"/>
      <c r="AF155" s="110"/>
      <c r="AG155" s="110"/>
      <c r="AH155" s="110"/>
      <c r="AI155" s="110"/>
      <c r="AJ155" s="110"/>
      <c r="AK155" s="110"/>
      <c r="AL155" s="110"/>
      <c r="AM155" s="110"/>
      <c r="AN155" s="110"/>
      <c r="AO155" s="110"/>
      <c r="AP155" s="110"/>
      <c r="AQ155" s="110"/>
      <c r="AR155" s="110"/>
      <c r="AS155" s="110"/>
      <c r="AT155" s="110"/>
      <c r="AU155" s="110"/>
      <c r="AV155" s="110"/>
      <c r="AW155" s="110"/>
      <c r="AX155" s="110"/>
      <c r="AY155" s="110"/>
      <c r="AZ155" s="110"/>
      <c r="BA155" s="110"/>
      <c r="BB155" s="110"/>
      <c r="BC155" s="110"/>
      <c r="BD155" s="110"/>
      <c r="BE155" s="110"/>
      <c r="BF155" s="110"/>
      <c r="BG155" s="110"/>
      <c r="BH155" s="110"/>
      <c r="BI155" s="110"/>
      <c r="BJ155" s="110"/>
      <c r="BK155" s="110"/>
      <c r="BL155" s="110"/>
      <c r="BM155" s="110"/>
      <c r="BN155" s="110"/>
      <c r="BO155" s="110"/>
      <c r="BP155" s="110"/>
      <c r="BQ155" s="110"/>
      <c r="BR155" s="110"/>
      <c r="BS155" s="110"/>
      <c r="BT155" s="110"/>
      <c r="BU155" s="110"/>
      <c r="BV155" s="110"/>
      <c r="BW155" s="110"/>
      <c r="BX155" s="110"/>
      <c r="BY155" s="110"/>
      <c r="BZ155" s="110"/>
      <c r="CA155" s="110"/>
      <c r="CB155" s="110"/>
      <c r="CC155" s="110"/>
      <c r="CD155" s="110"/>
      <c r="CE155" s="110"/>
      <c r="CF155" s="110"/>
      <c r="CG155" s="110"/>
      <c r="CH155" s="110"/>
      <c r="CI155" s="110"/>
      <c r="CJ155" s="110"/>
      <c r="CK155" s="110"/>
      <c r="CL155" s="110"/>
      <c r="CM155" s="110"/>
      <c r="CN155" s="110"/>
      <c r="CO155" s="110"/>
      <c r="CP155" s="110"/>
      <c r="CQ155" s="110"/>
      <c r="CR155" s="110"/>
      <c r="CS155" s="110"/>
      <c r="CT155" s="110"/>
      <c r="CU155" s="110"/>
      <c r="CV155" s="110"/>
      <c r="CW155" s="110"/>
      <c r="CX155" s="110"/>
      <c r="CY155" s="110"/>
      <c r="CZ155" s="110"/>
      <c r="DA155" s="110"/>
      <c r="DB155" s="110"/>
      <c r="DC155" s="110"/>
      <c r="DD155" s="110"/>
      <c r="DE155" s="110"/>
      <c r="DF155" s="110"/>
      <c r="DG155" s="110"/>
      <c r="DH155" s="110"/>
      <c r="DI155" s="110"/>
      <c r="DJ155" s="110"/>
      <c r="DK155" s="110"/>
      <c r="DL155" s="110"/>
      <c r="DM155" s="110"/>
      <c r="DN155" s="110"/>
      <c r="DO155" s="110"/>
      <c r="DP155" s="110"/>
      <c r="DQ155" s="110"/>
      <c r="DR155" s="110"/>
      <c r="DS155" s="110"/>
      <c r="DT155" s="110"/>
      <c r="DU155" s="110"/>
      <c r="DV155" s="110"/>
      <c r="DW155" s="110"/>
      <c r="DX155" s="110"/>
      <c r="DY155" s="110"/>
      <c r="DZ155" s="110"/>
      <c r="EA155" s="110"/>
      <c r="EB155" s="110"/>
      <c r="EC155" s="110"/>
      <c r="ED155" s="110"/>
      <c r="EE155" s="110"/>
      <c r="EF155" s="110"/>
      <c r="EG155" s="110"/>
      <c r="EH155" s="110"/>
      <c r="EI155" s="110"/>
      <c r="EJ155" s="110"/>
      <c r="EK155" s="110"/>
      <c r="EL155" s="110"/>
      <c r="EM155" s="110"/>
      <c r="EN155" s="110"/>
      <c r="EO155" s="110"/>
      <c r="EP155" s="113"/>
    </row>
    <row r="156" spans="1:146" s="114" customFormat="1" x14ac:dyDescent="0.25">
      <c r="A156" s="32">
        <v>5</v>
      </c>
      <c r="B156" s="32" t="s">
        <v>113</v>
      </c>
      <c r="C156" s="32">
        <v>2</v>
      </c>
      <c r="D156" s="38" t="s">
        <v>393</v>
      </c>
      <c r="E156" s="38" t="s">
        <v>635</v>
      </c>
      <c r="F156" s="32" t="s">
        <v>81</v>
      </c>
      <c r="G156" s="42">
        <v>15</v>
      </c>
      <c r="H156" s="38" t="s">
        <v>607</v>
      </c>
      <c r="I156" s="69"/>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c r="AG156" s="110"/>
      <c r="AH156" s="110"/>
      <c r="AI156" s="110"/>
      <c r="AJ156" s="110"/>
      <c r="AK156" s="110"/>
      <c r="AL156" s="110"/>
      <c r="AM156" s="110"/>
      <c r="AN156" s="110"/>
      <c r="AO156" s="110"/>
      <c r="AP156" s="110"/>
      <c r="AQ156" s="110"/>
      <c r="AR156" s="110"/>
      <c r="AS156" s="110"/>
      <c r="AT156" s="110"/>
      <c r="AU156" s="110"/>
      <c r="AV156" s="110"/>
      <c r="AW156" s="110"/>
      <c r="AX156" s="110"/>
      <c r="AY156" s="110"/>
      <c r="AZ156" s="110"/>
      <c r="BA156" s="110"/>
      <c r="BB156" s="110"/>
      <c r="BC156" s="110"/>
      <c r="BD156" s="110"/>
      <c r="BE156" s="110"/>
      <c r="BF156" s="110"/>
      <c r="BG156" s="110"/>
      <c r="BH156" s="110"/>
      <c r="BI156" s="110"/>
      <c r="BJ156" s="110"/>
      <c r="BK156" s="110"/>
      <c r="BL156" s="110"/>
      <c r="BM156" s="110"/>
      <c r="BN156" s="110"/>
      <c r="BO156" s="110"/>
      <c r="BP156" s="110"/>
      <c r="BQ156" s="110"/>
      <c r="BR156" s="110"/>
      <c r="BS156" s="110"/>
      <c r="BT156" s="110"/>
      <c r="BU156" s="110"/>
      <c r="BV156" s="110"/>
      <c r="BW156" s="110"/>
      <c r="BX156" s="110"/>
      <c r="BY156" s="110"/>
      <c r="BZ156" s="110"/>
      <c r="CA156" s="110"/>
      <c r="CB156" s="110"/>
      <c r="CC156" s="110"/>
      <c r="CD156" s="110"/>
      <c r="CE156" s="110"/>
      <c r="CF156" s="110"/>
      <c r="CG156" s="110"/>
      <c r="CH156" s="110"/>
      <c r="CI156" s="110"/>
      <c r="CJ156" s="110"/>
      <c r="CK156" s="110"/>
      <c r="CL156" s="110"/>
      <c r="CM156" s="110"/>
      <c r="CN156" s="110"/>
      <c r="CO156" s="110"/>
      <c r="CP156" s="110"/>
      <c r="CQ156" s="110"/>
      <c r="CR156" s="110"/>
      <c r="CS156" s="110"/>
      <c r="CT156" s="110"/>
      <c r="CU156" s="110"/>
      <c r="CV156" s="110"/>
      <c r="CW156" s="110"/>
      <c r="CX156" s="110"/>
      <c r="CY156" s="110"/>
      <c r="CZ156" s="110"/>
      <c r="DA156" s="110"/>
      <c r="DB156" s="110"/>
      <c r="DC156" s="110"/>
      <c r="DD156" s="110"/>
      <c r="DE156" s="110"/>
      <c r="DF156" s="110"/>
      <c r="DG156" s="110"/>
      <c r="DH156" s="110"/>
      <c r="DI156" s="110"/>
      <c r="DJ156" s="110"/>
      <c r="DK156" s="110"/>
      <c r="DL156" s="110"/>
      <c r="DM156" s="110"/>
      <c r="DN156" s="110"/>
      <c r="DO156" s="110"/>
      <c r="DP156" s="110"/>
      <c r="DQ156" s="110"/>
      <c r="DR156" s="110"/>
      <c r="DS156" s="110"/>
      <c r="DT156" s="110"/>
      <c r="DU156" s="110"/>
      <c r="DV156" s="110"/>
      <c r="DW156" s="110"/>
      <c r="DX156" s="110"/>
      <c r="DY156" s="110"/>
      <c r="DZ156" s="110"/>
      <c r="EA156" s="110"/>
      <c r="EB156" s="110"/>
      <c r="EC156" s="110"/>
      <c r="ED156" s="110"/>
      <c r="EE156" s="110"/>
      <c r="EF156" s="110"/>
      <c r="EG156" s="110"/>
      <c r="EH156" s="110"/>
      <c r="EI156" s="110"/>
      <c r="EJ156" s="110"/>
      <c r="EK156" s="110"/>
      <c r="EL156" s="110"/>
      <c r="EM156" s="110"/>
      <c r="EN156" s="110"/>
      <c r="EO156" s="110"/>
      <c r="EP156" s="113"/>
    </row>
    <row r="157" spans="1:146" s="114" customFormat="1" x14ac:dyDescent="0.25">
      <c r="A157" s="32">
        <v>5</v>
      </c>
      <c r="B157" s="32" t="s">
        <v>113</v>
      </c>
      <c r="C157" s="32">
        <v>2</v>
      </c>
      <c r="D157" s="38" t="s">
        <v>393</v>
      </c>
      <c r="E157" s="38" t="s">
        <v>636</v>
      </c>
      <c r="F157" s="32" t="s">
        <v>69</v>
      </c>
      <c r="G157" s="42">
        <v>250</v>
      </c>
      <c r="H157" s="38" t="s">
        <v>608</v>
      </c>
      <c r="I157" s="69"/>
      <c r="J157" s="110"/>
      <c r="K157" s="110"/>
      <c r="L157" s="110"/>
      <c r="M157" s="110"/>
      <c r="N157" s="110"/>
      <c r="O157" s="110"/>
      <c r="P157" s="110"/>
      <c r="Q157" s="110"/>
      <c r="R157" s="110"/>
      <c r="S157" s="110"/>
      <c r="T157" s="110"/>
      <c r="U157" s="110"/>
      <c r="V157" s="110"/>
      <c r="W157" s="110"/>
      <c r="X157" s="110"/>
      <c r="Y157" s="110"/>
      <c r="Z157" s="110"/>
      <c r="AA157" s="110"/>
      <c r="AB157" s="110"/>
      <c r="AC157" s="110"/>
      <c r="AD157" s="110"/>
      <c r="AE157" s="110"/>
      <c r="AF157" s="110"/>
      <c r="AG157" s="110"/>
      <c r="AH157" s="110"/>
      <c r="AI157" s="110"/>
      <c r="AJ157" s="110"/>
      <c r="AK157" s="110"/>
      <c r="AL157" s="110"/>
      <c r="AM157" s="110"/>
      <c r="AN157" s="110"/>
      <c r="AO157" s="110"/>
      <c r="AP157" s="110"/>
      <c r="AQ157" s="110"/>
      <c r="AR157" s="110"/>
      <c r="AS157" s="110"/>
      <c r="AT157" s="110"/>
      <c r="AU157" s="110"/>
      <c r="AV157" s="110"/>
      <c r="AW157" s="110"/>
      <c r="AX157" s="110"/>
      <c r="AY157" s="110"/>
      <c r="AZ157" s="110"/>
      <c r="BA157" s="110"/>
      <c r="BB157" s="110"/>
      <c r="BC157" s="110"/>
      <c r="BD157" s="110"/>
      <c r="BE157" s="110"/>
      <c r="BF157" s="110"/>
      <c r="BG157" s="110"/>
      <c r="BH157" s="110"/>
      <c r="BI157" s="110"/>
      <c r="BJ157" s="110"/>
      <c r="BK157" s="110"/>
      <c r="BL157" s="110"/>
      <c r="BM157" s="110"/>
      <c r="BN157" s="110"/>
      <c r="BO157" s="110"/>
      <c r="BP157" s="110"/>
      <c r="BQ157" s="110"/>
      <c r="BR157" s="110"/>
      <c r="BS157" s="110"/>
      <c r="BT157" s="110"/>
      <c r="BU157" s="110"/>
      <c r="BV157" s="110"/>
      <c r="BW157" s="110"/>
      <c r="BX157" s="110"/>
      <c r="BY157" s="110"/>
      <c r="BZ157" s="110"/>
      <c r="CA157" s="110"/>
      <c r="CB157" s="110"/>
      <c r="CC157" s="110"/>
      <c r="CD157" s="110"/>
      <c r="CE157" s="110"/>
      <c r="CF157" s="110"/>
      <c r="CG157" s="110"/>
      <c r="CH157" s="110"/>
      <c r="CI157" s="110"/>
      <c r="CJ157" s="110"/>
      <c r="CK157" s="110"/>
      <c r="CL157" s="110"/>
      <c r="CM157" s="110"/>
      <c r="CN157" s="110"/>
      <c r="CO157" s="110"/>
      <c r="CP157" s="110"/>
      <c r="CQ157" s="110"/>
      <c r="CR157" s="110"/>
      <c r="CS157" s="110"/>
      <c r="CT157" s="110"/>
      <c r="CU157" s="110"/>
      <c r="CV157" s="110"/>
      <c r="CW157" s="110"/>
      <c r="CX157" s="110"/>
      <c r="CY157" s="110"/>
      <c r="CZ157" s="110"/>
      <c r="DA157" s="110"/>
      <c r="DB157" s="110"/>
      <c r="DC157" s="110"/>
      <c r="DD157" s="110"/>
      <c r="DE157" s="110"/>
      <c r="DF157" s="110"/>
      <c r="DG157" s="110"/>
      <c r="DH157" s="110"/>
      <c r="DI157" s="110"/>
      <c r="DJ157" s="110"/>
      <c r="DK157" s="110"/>
      <c r="DL157" s="110"/>
      <c r="DM157" s="110"/>
      <c r="DN157" s="110"/>
      <c r="DO157" s="110"/>
      <c r="DP157" s="110"/>
      <c r="DQ157" s="110"/>
      <c r="DR157" s="110"/>
      <c r="DS157" s="110"/>
      <c r="DT157" s="110"/>
      <c r="DU157" s="110"/>
      <c r="DV157" s="110"/>
      <c r="DW157" s="110"/>
      <c r="DX157" s="110"/>
      <c r="DY157" s="110"/>
      <c r="DZ157" s="110"/>
      <c r="EA157" s="110"/>
      <c r="EB157" s="110"/>
      <c r="EC157" s="110"/>
      <c r="ED157" s="110"/>
      <c r="EE157" s="110"/>
      <c r="EF157" s="110"/>
      <c r="EG157" s="110"/>
      <c r="EH157" s="110"/>
      <c r="EI157" s="110"/>
      <c r="EJ157" s="110"/>
      <c r="EK157" s="110"/>
      <c r="EL157" s="110"/>
      <c r="EM157" s="110"/>
      <c r="EN157" s="110"/>
      <c r="EO157" s="110"/>
      <c r="EP157" s="113"/>
    </row>
    <row r="158" spans="1:146" s="114" customFormat="1" ht="31.5" x14ac:dyDescent="0.25">
      <c r="A158" s="32">
        <v>5</v>
      </c>
      <c r="B158" s="32" t="s">
        <v>113</v>
      </c>
      <c r="C158" s="32">
        <v>2</v>
      </c>
      <c r="D158" s="38" t="s">
        <v>393</v>
      </c>
      <c r="E158" s="38" t="s">
        <v>638</v>
      </c>
      <c r="F158" s="32" t="s">
        <v>69</v>
      </c>
      <c r="G158" s="42">
        <v>6</v>
      </c>
      <c r="H158" s="38" t="s">
        <v>610</v>
      </c>
      <c r="I158" s="69"/>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c r="AH158" s="110"/>
      <c r="AI158" s="110"/>
      <c r="AJ158" s="110"/>
      <c r="AK158" s="110"/>
      <c r="AL158" s="110"/>
      <c r="AM158" s="110"/>
      <c r="AN158" s="110"/>
      <c r="AO158" s="110"/>
      <c r="AP158" s="110"/>
      <c r="AQ158" s="110"/>
      <c r="AR158" s="110"/>
      <c r="AS158" s="110"/>
      <c r="AT158" s="110"/>
      <c r="AU158" s="110"/>
      <c r="AV158" s="110"/>
      <c r="AW158" s="110"/>
      <c r="AX158" s="110"/>
      <c r="AY158" s="110"/>
      <c r="AZ158" s="110"/>
      <c r="BA158" s="110"/>
      <c r="BB158" s="110"/>
      <c r="BC158" s="110"/>
      <c r="BD158" s="110"/>
      <c r="BE158" s="110"/>
      <c r="BF158" s="110"/>
      <c r="BG158" s="110"/>
      <c r="BH158" s="110"/>
      <c r="BI158" s="110"/>
      <c r="BJ158" s="110"/>
      <c r="BK158" s="110"/>
      <c r="BL158" s="110"/>
      <c r="BM158" s="110"/>
      <c r="BN158" s="110"/>
      <c r="BO158" s="110"/>
      <c r="BP158" s="110"/>
      <c r="BQ158" s="110"/>
      <c r="BR158" s="110"/>
      <c r="BS158" s="110"/>
      <c r="BT158" s="110"/>
      <c r="BU158" s="110"/>
      <c r="BV158" s="110"/>
      <c r="BW158" s="110"/>
      <c r="BX158" s="110"/>
      <c r="BY158" s="110"/>
      <c r="BZ158" s="110"/>
      <c r="CA158" s="110"/>
      <c r="CB158" s="110"/>
      <c r="CC158" s="110"/>
      <c r="CD158" s="110"/>
      <c r="CE158" s="110"/>
      <c r="CF158" s="110"/>
      <c r="CG158" s="110"/>
      <c r="CH158" s="110"/>
      <c r="CI158" s="110"/>
      <c r="CJ158" s="110"/>
      <c r="CK158" s="110"/>
      <c r="CL158" s="110"/>
      <c r="CM158" s="110"/>
      <c r="CN158" s="110"/>
      <c r="CO158" s="110"/>
      <c r="CP158" s="110"/>
      <c r="CQ158" s="110"/>
      <c r="CR158" s="110"/>
      <c r="CS158" s="110"/>
      <c r="CT158" s="110"/>
      <c r="CU158" s="110"/>
      <c r="CV158" s="110"/>
      <c r="CW158" s="110"/>
      <c r="CX158" s="110"/>
      <c r="CY158" s="110"/>
      <c r="CZ158" s="110"/>
      <c r="DA158" s="110"/>
      <c r="DB158" s="110"/>
      <c r="DC158" s="110"/>
      <c r="DD158" s="110"/>
      <c r="DE158" s="110"/>
      <c r="DF158" s="110"/>
      <c r="DG158" s="110"/>
      <c r="DH158" s="110"/>
      <c r="DI158" s="110"/>
      <c r="DJ158" s="110"/>
      <c r="DK158" s="110"/>
      <c r="DL158" s="110"/>
      <c r="DM158" s="110"/>
      <c r="DN158" s="110"/>
      <c r="DO158" s="110"/>
      <c r="DP158" s="110"/>
      <c r="DQ158" s="110"/>
      <c r="DR158" s="110"/>
      <c r="DS158" s="110"/>
      <c r="DT158" s="110"/>
      <c r="DU158" s="110"/>
      <c r="DV158" s="110"/>
      <c r="DW158" s="110"/>
      <c r="DX158" s="110"/>
      <c r="DY158" s="110"/>
      <c r="DZ158" s="110"/>
      <c r="EA158" s="110"/>
      <c r="EB158" s="110"/>
      <c r="EC158" s="110"/>
      <c r="ED158" s="110"/>
      <c r="EE158" s="110"/>
      <c r="EF158" s="110"/>
      <c r="EG158" s="110"/>
      <c r="EH158" s="110"/>
      <c r="EI158" s="110"/>
      <c r="EJ158" s="110"/>
      <c r="EK158" s="110"/>
      <c r="EL158" s="110"/>
      <c r="EM158" s="110"/>
      <c r="EN158" s="110"/>
      <c r="EO158" s="110"/>
      <c r="EP158" s="113"/>
    </row>
    <row r="159" spans="1:146" s="114" customFormat="1" x14ac:dyDescent="0.25">
      <c r="A159" s="32">
        <v>5</v>
      </c>
      <c r="B159" s="32" t="s">
        <v>113</v>
      </c>
      <c r="C159" s="32">
        <v>2</v>
      </c>
      <c r="D159" s="38" t="s">
        <v>393</v>
      </c>
      <c r="E159" s="38" t="s">
        <v>690</v>
      </c>
      <c r="F159" s="32" t="s">
        <v>69</v>
      </c>
      <c r="G159" s="42">
        <v>182</v>
      </c>
      <c r="H159" s="38" t="s">
        <v>611</v>
      </c>
      <c r="I159" s="69"/>
      <c r="J159" s="110"/>
      <c r="K159" s="110"/>
      <c r="L159" s="110"/>
      <c r="M159" s="110"/>
      <c r="N159" s="110"/>
      <c r="O159" s="110"/>
      <c r="P159" s="110"/>
      <c r="Q159" s="110"/>
      <c r="R159" s="110"/>
      <c r="S159" s="110"/>
      <c r="T159" s="110"/>
      <c r="U159" s="110"/>
      <c r="V159" s="110"/>
      <c r="W159" s="110"/>
      <c r="X159" s="110"/>
      <c r="Y159" s="110"/>
      <c r="Z159" s="110"/>
      <c r="AA159" s="110"/>
      <c r="AB159" s="110"/>
      <c r="AC159" s="110"/>
      <c r="AD159" s="110"/>
      <c r="AE159" s="110"/>
      <c r="AF159" s="110"/>
      <c r="AG159" s="110"/>
      <c r="AH159" s="110"/>
      <c r="AI159" s="110"/>
      <c r="AJ159" s="110"/>
      <c r="AK159" s="110"/>
      <c r="AL159" s="110"/>
      <c r="AM159" s="110"/>
      <c r="AN159" s="110"/>
      <c r="AO159" s="110"/>
      <c r="AP159" s="110"/>
      <c r="AQ159" s="110"/>
      <c r="AR159" s="110"/>
      <c r="AS159" s="110"/>
      <c r="AT159" s="110"/>
      <c r="AU159" s="110"/>
      <c r="AV159" s="110"/>
      <c r="AW159" s="110"/>
      <c r="AX159" s="110"/>
      <c r="AY159" s="110"/>
      <c r="AZ159" s="110"/>
      <c r="BA159" s="110"/>
      <c r="BB159" s="110"/>
      <c r="BC159" s="110"/>
      <c r="BD159" s="110"/>
      <c r="BE159" s="110"/>
      <c r="BF159" s="110"/>
      <c r="BG159" s="110"/>
      <c r="BH159" s="110"/>
      <c r="BI159" s="110"/>
      <c r="BJ159" s="110"/>
      <c r="BK159" s="110"/>
      <c r="BL159" s="110"/>
      <c r="BM159" s="110"/>
      <c r="BN159" s="110"/>
      <c r="BO159" s="110"/>
      <c r="BP159" s="110"/>
      <c r="BQ159" s="110"/>
      <c r="BR159" s="110"/>
      <c r="BS159" s="110"/>
      <c r="BT159" s="110"/>
      <c r="BU159" s="110"/>
      <c r="BV159" s="110"/>
      <c r="BW159" s="110"/>
      <c r="BX159" s="110"/>
      <c r="BY159" s="110"/>
      <c r="BZ159" s="110"/>
      <c r="CA159" s="110"/>
      <c r="CB159" s="110"/>
      <c r="CC159" s="110"/>
      <c r="CD159" s="110"/>
      <c r="CE159" s="110"/>
      <c r="CF159" s="110"/>
      <c r="CG159" s="110"/>
      <c r="CH159" s="110"/>
      <c r="CI159" s="110"/>
      <c r="CJ159" s="110"/>
      <c r="CK159" s="110"/>
      <c r="CL159" s="110"/>
      <c r="CM159" s="110"/>
      <c r="CN159" s="110"/>
      <c r="CO159" s="110"/>
      <c r="CP159" s="110"/>
      <c r="CQ159" s="110"/>
      <c r="CR159" s="110"/>
      <c r="CS159" s="110"/>
      <c r="CT159" s="110"/>
      <c r="CU159" s="110"/>
      <c r="CV159" s="110"/>
      <c r="CW159" s="110"/>
      <c r="CX159" s="110"/>
      <c r="CY159" s="110"/>
      <c r="CZ159" s="110"/>
      <c r="DA159" s="110"/>
      <c r="DB159" s="110"/>
      <c r="DC159" s="110"/>
      <c r="DD159" s="110"/>
      <c r="DE159" s="110"/>
      <c r="DF159" s="110"/>
      <c r="DG159" s="110"/>
      <c r="DH159" s="110"/>
      <c r="DI159" s="110"/>
      <c r="DJ159" s="110"/>
      <c r="DK159" s="110"/>
      <c r="DL159" s="110"/>
      <c r="DM159" s="110"/>
      <c r="DN159" s="110"/>
      <c r="DO159" s="110"/>
      <c r="DP159" s="110"/>
      <c r="DQ159" s="110"/>
      <c r="DR159" s="110"/>
      <c r="DS159" s="110"/>
      <c r="DT159" s="110"/>
      <c r="DU159" s="110"/>
      <c r="DV159" s="110"/>
      <c r="DW159" s="110"/>
      <c r="DX159" s="110"/>
      <c r="DY159" s="110"/>
      <c r="DZ159" s="110"/>
      <c r="EA159" s="110"/>
      <c r="EB159" s="110"/>
      <c r="EC159" s="110"/>
      <c r="ED159" s="110"/>
      <c r="EE159" s="110"/>
      <c r="EF159" s="110"/>
      <c r="EG159" s="110"/>
      <c r="EH159" s="110"/>
      <c r="EI159" s="110"/>
      <c r="EJ159" s="110"/>
      <c r="EK159" s="110"/>
      <c r="EL159" s="110"/>
      <c r="EM159" s="110"/>
      <c r="EN159" s="110"/>
      <c r="EO159" s="110"/>
      <c r="EP159" s="113"/>
    </row>
    <row r="160" spans="1:146" s="114" customFormat="1" ht="31.5" x14ac:dyDescent="0.25">
      <c r="A160" s="32">
        <v>5</v>
      </c>
      <c r="B160" s="32" t="s">
        <v>113</v>
      </c>
      <c r="C160" s="32">
        <v>2</v>
      </c>
      <c r="D160" s="38" t="s">
        <v>393</v>
      </c>
      <c r="E160" s="38" t="s">
        <v>639</v>
      </c>
      <c r="F160" s="32" t="s">
        <v>69</v>
      </c>
      <c r="G160" s="42">
        <v>1000</v>
      </c>
      <c r="H160" s="38" t="s">
        <v>613</v>
      </c>
      <c r="I160" s="69"/>
      <c r="J160" s="110"/>
      <c r="K160" s="110"/>
      <c r="L160" s="110"/>
      <c r="M160" s="110"/>
      <c r="N160" s="110"/>
      <c r="O160" s="110"/>
      <c r="P160" s="110"/>
      <c r="Q160" s="110"/>
      <c r="R160" s="110"/>
      <c r="S160" s="110"/>
      <c r="T160" s="110"/>
      <c r="U160" s="110"/>
      <c r="V160" s="110"/>
      <c r="W160" s="110"/>
      <c r="X160" s="110"/>
      <c r="Y160" s="110"/>
      <c r="Z160" s="110"/>
      <c r="AA160" s="110"/>
      <c r="AB160" s="110"/>
      <c r="AC160" s="110"/>
      <c r="AD160" s="110"/>
      <c r="AE160" s="110"/>
      <c r="AF160" s="110"/>
      <c r="AG160" s="110"/>
      <c r="AH160" s="110"/>
      <c r="AI160" s="110"/>
      <c r="AJ160" s="110"/>
      <c r="AK160" s="110"/>
      <c r="AL160" s="110"/>
      <c r="AM160" s="110"/>
      <c r="AN160" s="110"/>
      <c r="AO160" s="110"/>
      <c r="AP160" s="110"/>
      <c r="AQ160" s="110"/>
      <c r="AR160" s="110"/>
      <c r="AS160" s="110"/>
      <c r="AT160" s="110"/>
      <c r="AU160" s="110"/>
      <c r="AV160" s="110"/>
      <c r="AW160" s="110"/>
      <c r="AX160" s="110"/>
      <c r="AY160" s="110"/>
      <c r="AZ160" s="110"/>
      <c r="BA160" s="110"/>
      <c r="BB160" s="110"/>
      <c r="BC160" s="110"/>
      <c r="BD160" s="110"/>
      <c r="BE160" s="110"/>
      <c r="BF160" s="110"/>
      <c r="BG160" s="110"/>
      <c r="BH160" s="110"/>
      <c r="BI160" s="110"/>
      <c r="BJ160" s="110"/>
      <c r="BK160" s="110"/>
      <c r="BL160" s="110"/>
      <c r="BM160" s="110"/>
      <c r="BN160" s="110"/>
      <c r="BO160" s="110"/>
      <c r="BP160" s="110"/>
      <c r="BQ160" s="110"/>
      <c r="BR160" s="110"/>
      <c r="BS160" s="110"/>
      <c r="BT160" s="110"/>
      <c r="BU160" s="110"/>
      <c r="BV160" s="110"/>
      <c r="BW160" s="110"/>
      <c r="BX160" s="110"/>
      <c r="BY160" s="110"/>
      <c r="BZ160" s="110"/>
      <c r="CA160" s="110"/>
      <c r="CB160" s="110"/>
      <c r="CC160" s="110"/>
      <c r="CD160" s="110"/>
      <c r="CE160" s="110"/>
      <c r="CF160" s="110"/>
      <c r="CG160" s="110"/>
      <c r="CH160" s="110"/>
      <c r="CI160" s="110"/>
      <c r="CJ160" s="110"/>
      <c r="CK160" s="110"/>
      <c r="CL160" s="110"/>
      <c r="CM160" s="110"/>
      <c r="CN160" s="110"/>
      <c r="CO160" s="110"/>
      <c r="CP160" s="110"/>
      <c r="CQ160" s="110"/>
      <c r="CR160" s="110"/>
      <c r="CS160" s="110"/>
      <c r="CT160" s="110"/>
      <c r="CU160" s="110"/>
      <c r="CV160" s="110"/>
      <c r="CW160" s="110"/>
      <c r="CX160" s="110"/>
      <c r="CY160" s="110"/>
      <c r="CZ160" s="110"/>
      <c r="DA160" s="110"/>
      <c r="DB160" s="110"/>
      <c r="DC160" s="110"/>
      <c r="DD160" s="110"/>
      <c r="DE160" s="110"/>
      <c r="DF160" s="110"/>
      <c r="DG160" s="110"/>
      <c r="DH160" s="110"/>
      <c r="DI160" s="110"/>
      <c r="DJ160" s="110"/>
      <c r="DK160" s="110"/>
      <c r="DL160" s="110"/>
      <c r="DM160" s="110"/>
      <c r="DN160" s="110"/>
      <c r="DO160" s="110"/>
      <c r="DP160" s="110"/>
      <c r="DQ160" s="110"/>
      <c r="DR160" s="110"/>
      <c r="DS160" s="110"/>
      <c r="DT160" s="110"/>
      <c r="DU160" s="110"/>
      <c r="DV160" s="110"/>
      <c r="DW160" s="110"/>
      <c r="DX160" s="110"/>
      <c r="DY160" s="110"/>
      <c r="DZ160" s="110"/>
      <c r="EA160" s="110"/>
      <c r="EB160" s="110"/>
      <c r="EC160" s="110"/>
      <c r="ED160" s="110"/>
      <c r="EE160" s="110"/>
      <c r="EF160" s="110"/>
      <c r="EG160" s="110"/>
      <c r="EH160" s="110"/>
      <c r="EI160" s="110"/>
      <c r="EJ160" s="110"/>
      <c r="EK160" s="110"/>
      <c r="EL160" s="110"/>
      <c r="EM160" s="110"/>
      <c r="EN160" s="110"/>
      <c r="EO160" s="110"/>
      <c r="EP160" s="113"/>
    </row>
    <row r="161" spans="1:146" s="114" customFormat="1" x14ac:dyDescent="0.25">
      <c r="A161" s="32">
        <v>5</v>
      </c>
      <c r="B161" s="32" t="s">
        <v>113</v>
      </c>
      <c r="C161" s="32">
        <v>2</v>
      </c>
      <c r="D161" s="38" t="s">
        <v>393</v>
      </c>
      <c r="E161" s="38" t="s">
        <v>641</v>
      </c>
      <c r="F161" s="32" t="s">
        <v>81</v>
      </c>
      <c r="G161" s="42">
        <v>33</v>
      </c>
      <c r="H161" s="38" t="s">
        <v>616</v>
      </c>
      <c r="I161" s="69"/>
      <c r="J161" s="110"/>
      <c r="K161" s="110"/>
      <c r="L161" s="110"/>
      <c r="M161" s="110"/>
      <c r="N161" s="110"/>
      <c r="O161" s="110"/>
      <c r="P161" s="110"/>
      <c r="Q161" s="110"/>
      <c r="R161" s="110"/>
      <c r="S161" s="110"/>
      <c r="T161" s="110"/>
      <c r="U161" s="110"/>
      <c r="V161" s="110"/>
      <c r="W161" s="110"/>
      <c r="X161" s="110"/>
      <c r="Y161" s="110"/>
      <c r="Z161" s="110"/>
      <c r="AA161" s="110"/>
      <c r="AB161" s="110"/>
      <c r="AC161" s="110"/>
      <c r="AD161" s="110"/>
      <c r="AE161" s="110"/>
      <c r="AF161" s="110"/>
      <c r="AG161" s="110"/>
      <c r="AH161" s="110"/>
      <c r="AI161" s="110"/>
      <c r="AJ161" s="110"/>
      <c r="AK161" s="110"/>
      <c r="AL161" s="110"/>
      <c r="AM161" s="110"/>
      <c r="AN161" s="110"/>
      <c r="AO161" s="110"/>
      <c r="AP161" s="110"/>
      <c r="AQ161" s="110"/>
      <c r="AR161" s="110"/>
      <c r="AS161" s="110"/>
      <c r="AT161" s="110"/>
      <c r="AU161" s="110"/>
      <c r="AV161" s="110"/>
      <c r="AW161" s="110"/>
      <c r="AX161" s="110"/>
      <c r="AY161" s="110"/>
      <c r="AZ161" s="110"/>
      <c r="BA161" s="110"/>
      <c r="BB161" s="110"/>
      <c r="BC161" s="110"/>
      <c r="BD161" s="110"/>
      <c r="BE161" s="110"/>
      <c r="BF161" s="110"/>
      <c r="BG161" s="110"/>
      <c r="BH161" s="110"/>
      <c r="BI161" s="110"/>
      <c r="BJ161" s="110"/>
      <c r="BK161" s="110"/>
      <c r="BL161" s="110"/>
      <c r="BM161" s="110"/>
      <c r="BN161" s="110"/>
      <c r="BO161" s="110"/>
      <c r="BP161" s="110"/>
      <c r="BQ161" s="110"/>
      <c r="BR161" s="110"/>
      <c r="BS161" s="110"/>
      <c r="BT161" s="110"/>
      <c r="BU161" s="110"/>
      <c r="BV161" s="110"/>
      <c r="BW161" s="110"/>
      <c r="BX161" s="110"/>
      <c r="BY161" s="110"/>
      <c r="BZ161" s="110"/>
      <c r="CA161" s="110"/>
      <c r="CB161" s="110"/>
      <c r="CC161" s="110"/>
      <c r="CD161" s="110"/>
      <c r="CE161" s="110"/>
      <c r="CF161" s="110"/>
      <c r="CG161" s="110"/>
      <c r="CH161" s="110"/>
      <c r="CI161" s="110"/>
      <c r="CJ161" s="110"/>
      <c r="CK161" s="110"/>
      <c r="CL161" s="110"/>
      <c r="CM161" s="110"/>
      <c r="CN161" s="110"/>
      <c r="CO161" s="110"/>
      <c r="CP161" s="110"/>
      <c r="CQ161" s="110"/>
      <c r="CR161" s="110"/>
      <c r="CS161" s="110"/>
      <c r="CT161" s="110"/>
      <c r="CU161" s="110"/>
      <c r="CV161" s="110"/>
      <c r="CW161" s="110"/>
      <c r="CX161" s="110"/>
      <c r="CY161" s="110"/>
      <c r="CZ161" s="110"/>
      <c r="DA161" s="110"/>
      <c r="DB161" s="110"/>
      <c r="DC161" s="110"/>
      <c r="DD161" s="110"/>
      <c r="DE161" s="110"/>
      <c r="DF161" s="110"/>
      <c r="DG161" s="110"/>
      <c r="DH161" s="110"/>
      <c r="DI161" s="110"/>
      <c r="DJ161" s="110"/>
      <c r="DK161" s="110"/>
      <c r="DL161" s="110"/>
      <c r="DM161" s="110"/>
      <c r="DN161" s="110"/>
      <c r="DO161" s="110"/>
      <c r="DP161" s="110"/>
      <c r="DQ161" s="110"/>
      <c r="DR161" s="110"/>
      <c r="DS161" s="110"/>
      <c r="DT161" s="110"/>
      <c r="DU161" s="110"/>
      <c r="DV161" s="110"/>
      <c r="DW161" s="110"/>
      <c r="DX161" s="110"/>
      <c r="DY161" s="110"/>
      <c r="DZ161" s="110"/>
      <c r="EA161" s="110"/>
      <c r="EB161" s="110"/>
      <c r="EC161" s="110"/>
      <c r="ED161" s="110"/>
      <c r="EE161" s="110"/>
      <c r="EF161" s="110"/>
      <c r="EG161" s="110"/>
      <c r="EH161" s="110"/>
      <c r="EI161" s="110"/>
      <c r="EJ161" s="110"/>
      <c r="EK161" s="110"/>
      <c r="EL161" s="110"/>
      <c r="EM161" s="110"/>
      <c r="EN161" s="110"/>
      <c r="EO161" s="110"/>
      <c r="EP161" s="113"/>
    </row>
    <row r="162" spans="1:146" s="114" customFormat="1" x14ac:dyDescent="0.25">
      <c r="A162" s="32">
        <v>5</v>
      </c>
      <c r="B162" s="32" t="s">
        <v>113</v>
      </c>
      <c r="C162" s="32">
        <v>2</v>
      </c>
      <c r="D162" s="38" t="s">
        <v>393</v>
      </c>
      <c r="E162" s="38" t="s">
        <v>642</v>
      </c>
      <c r="F162" s="32" t="s">
        <v>69</v>
      </c>
      <c r="G162" s="42">
        <v>8</v>
      </c>
      <c r="H162" s="38" t="s">
        <v>617</v>
      </c>
      <c r="I162" s="69"/>
      <c r="J162" s="110"/>
      <c r="K162" s="110"/>
      <c r="L162" s="110"/>
      <c r="M162" s="110"/>
      <c r="N162" s="110"/>
      <c r="O162" s="110"/>
      <c r="P162" s="110"/>
      <c r="Q162" s="110"/>
      <c r="R162" s="110"/>
      <c r="S162" s="110"/>
      <c r="T162" s="110"/>
      <c r="U162" s="110"/>
      <c r="V162" s="110"/>
      <c r="W162" s="110"/>
      <c r="X162" s="110"/>
      <c r="Y162" s="110"/>
      <c r="Z162" s="110"/>
      <c r="AA162" s="110"/>
      <c r="AB162" s="110"/>
      <c r="AC162" s="110"/>
      <c r="AD162" s="110"/>
      <c r="AE162" s="110"/>
      <c r="AF162" s="110"/>
      <c r="AG162" s="110"/>
      <c r="AH162" s="110"/>
      <c r="AI162" s="110"/>
      <c r="AJ162" s="110"/>
      <c r="AK162" s="110"/>
      <c r="AL162" s="110"/>
      <c r="AM162" s="110"/>
      <c r="AN162" s="110"/>
      <c r="AO162" s="110"/>
      <c r="AP162" s="110"/>
      <c r="AQ162" s="110"/>
      <c r="AR162" s="110"/>
      <c r="AS162" s="110"/>
      <c r="AT162" s="110"/>
      <c r="AU162" s="110"/>
      <c r="AV162" s="110"/>
      <c r="AW162" s="110"/>
      <c r="AX162" s="110"/>
      <c r="AY162" s="110"/>
      <c r="AZ162" s="110"/>
      <c r="BA162" s="110"/>
      <c r="BB162" s="110"/>
      <c r="BC162" s="110"/>
      <c r="BD162" s="110"/>
      <c r="BE162" s="110"/>
      <c r="BF162" s="110"/>
      <c r="BG162" s="110"/>
      <c r="BH162" s="110"/>
      <c r="BI162" s="110"/>
      <c r="BJ162" s="110"/>
      <c r="BK162" s="110"/>
      <c r="BL162" s="110"/>
      <c r="BM162" s="110"/>
      <c r="BN162" s="110"/>
      <c r="BO162" s="110"/>
      <c r="BP162" s="110"/>
      <c r="BQ162" s="110"/>
      <c r="BR162" s="110"/>
      <c r="BS162" s="110"/>
      <c r="BT162" s="110"/>
      <c r="BU162" s="110"/>
      <c r="BV162" s="110"/>
      <c r="BW162" s="110"/>
      <c r="BX162" s="110"/>
      <c r="BY162" s="110"/>
      <c r="BZ162" s="110"/>
      <c r="CA162" s="110"/>
      <c r="CB162" s="110"/>
      <c r="CC162" s="110"/>
      <c r="CD162" s="110"/>
      <c r="CE162" s="110"/>
      <c r="CF162" s="110"/>
      <c r="CG162" s="110"/>
      <c r="CH162" s="110"/>
      <c r="CI162" s="110"/>
      <c r="CJ162" s="110"/>
      <c r="CK162" s="110"/>
      <c r="CL162" s="110"/>
      <c r="CM162" s="110"/>
      <c r="CN162" s="110"/>
      <c r="CO162" s="110"/>
      <c r="CP162" s="110"/>
      <c r="CQ162" s="110"/>
      <c r="CR162" s="110"/>
      <c r="CS162" s="110"/>
      <c r="CT162" s="110"/>
      <c r="CU162" s="110"/>
      <c r="CV162" s="110"/>
      <c r="CW162" s="110"/>
      <c r="CX162" s="110"/>
      <c r="CY162" s="110"/>
      <c r="CZ162" s="110"/>
      <c r="DA162" s="110"/>
      <c r="DB162" s="110"/>
      <c r="DC162" s="110"/>
      <c r="DD162" s="110"/>
      <c r="DE162" s="110"/>
      <c r="DF162" s="110"/>
      <c r="DG162" s="110"/>
      <c r="DH162" s="110"/>
      <c r="DI162" s="110"/>
      <c r="DJ162" s="110"/>
      <c r="DK162" s="110"/>
      <c r="DL162" s="110"/>
      <c r="DM162" s="110"/>
      <c r="DN162" s="110"/>
      <c r="DO162" s="110"/>
      <c r="DP162" s="110"/>
      <c r="DQ162" s="110"/>
      <c r="DR162" s="110"/>
      <c r="DS162" s="110"/>
      <c r="DT162" s="110"/>
      <c r="DU162" s="110"/>
      <c r="DV162" s="110"/>
      <c r="DW162" s="110"/>
      <c r="DX162" s="110"/>
      <c r="DY162" s="110"/>
      <c r="DZ162" s="110"/>
      <c r="EA162" s="110"/>
      <c r="EB162" s="110"/>
      <c r="EC162" s="110"/>
      <c r="ED162" s="110"/>
      <c r="EE162" s="110"/>
      <c r="EF162" s="110"/>
      <c r="EG162" s="110"/>
      <c r="EH162" s="110"/>
      <c r="EI162" s="110"/>
      <c r="EJ162" s="110"/>
      <c r="EK162" s="110"/>
      <c r="EL162" s="110"/>
      <c r="EM162" s="110"/>
      <c r="EN162" s="110"/>
      <c r="EO162" s="110"/>
      <c r="EP162" s="113"/>
    </row>
    <row r="163" spans="1:146" s="114" customFormat="1" x14ac:dyDescent="0.25">
      <c r="A163" s="32">
        <v>5</v>
      </c>
      <c r="B163" s="32" t="s">
        <v>113</v>
      </c>
      <c r="C163" s="32">
        <v>2</v>
      </c>
      <c r="D163" s="38" t="s">
        <v>393</v>
      </c>
      <c r="E163" s="38" t="s">
        <v>643</v>
      </c>
      <c r="F163" s="32" t="s">
        <v>69</v>
      </c>
      <c r="G163" s="42">
        <v>5</v>
      </c>
      <c r="H163" s="38" t="s">
        <v>616</v>
      </c>
      <c r="I163" s="69"/>
      <c r="J163" s="110"/>
      <c r="K163" s="110"/>
      <c r="L163" s="110"/>
      <c r="M163" s="110"/>
      <c r="N163" s="110"/>
      <c r="O163" s="110"/>
      <c r="P163" s="110"/>
      <c r="Q163" s="110"/>
      <c r="R163" s="110"/>
      <c r="S163" s="110"/>
      <c r="T163" s="110"/>
      <c r="U163" s="110"/>
      <c r="V163" s="110"/>
      <c r="W163" s="110"/>
      <c r="X163" s="110"/>
      <c r="Y163" s="110"/>
      <c r="Z163" s="110"/>
      <c r="AA163" s="110"/>
      <c r="AB163" s="110"/>
      <c r="AC163" s="110"/>
      <c r="AD163" s="110"/>
      <c r="AE163" s="110"/>
      <c r="AF163" s="110"/>
      <c r="AG163" s="110"/>
      <c r="AH163" s="110"/>
      <c r="AI163" s="110"/>
      <c r="AJ163" s="110"/>
      <c r="AK163" s="110"/>
      <c r="AL163" s="110"/>
      <c r="AM163" s="110"/>
      <c r="AN163" s="110"/>
      <c r="AO163" s="110"/>
      <c r="AP163" s="110"/>
      <c r="AQ163" s="110"/>
      <c r="AR163" s="110"/>
      <c r="AS163" s="110"/>
      <c r="AT163" s="110"/>
      <c r="AU163" s="110"/>
      <c r="AV163" s="110"/>
      <c r="AW163" s="110"/>
      <c r="AX163" s="110"/>
      <c r="AY163" s="110"/>
      <c r="AZ163" s="110"/>
      <c r="BA163" s="110"/>
      <c r="BB163" s="110"/>
      <c r="BC163" s="110"/>
      <c r="BD163" s="110"/>
      <c r="BE163" s="110"/>
      <c r="BF163" s="110"/>
      <c r="BG163" s="110"/>
      <c r="BH163" s="110"/>
      <c r="BI163" s="110"/>
      <c r="BJ163" s="110"/>
      <c r="BK163" s="110"/>
      <c r="BL163" s="110"/>
      <c r="BM163" s="110"/>
      <c r="BN163" s="110"/>
      <c r="BO163" s="110"/>
      <c r="BP163" s="110"/>
      <c r="BQ163" s="110"/>
      <c r="BR163" s="110"/>
      <c r="BS163" s="110"/>
      <c r="BT163" s="110"/>
      <c r="BU163" s="110"/>
      <c r="BV163" s="110"/>
      <c r="BW163" s="110"/>
      <c r="BX163" s="110"/>
      <c r="BY163" s="110"/>
      <c r="BZ163" s="110"/>
      <c r="CA163" s="110"/>
      <c r="CB163" s="110"/>
      <c r="CC163" s="110"/>
      <c r="CD163" s="110"/>
      <c r="CE163" s="110"/>
      <c r="CF163" s="110"/>
      <c r="CG163" s="110"/>
      <c r="CH163" s="110"/>
      <c r="CI163" s="110"/>
      <c r="CJ163" s="110"/>
      <c r="CK163" s="110"/>
      <c r="CL163" s="110"/>
      <c r="CM163" s="110"/>
      <c r="CN163" s="110"/>
      <c r="CO163" s="110"/>
      <c r="CP163" s="110"/>
      <c r="CQ163" s="110"/>
      <c r="CR163" s="110"/>
      <c r="CS163" s="110"/>
      <c r="CT163" s="110"/>
      <c r="CU163" s="110"/>
      <c r="CV163" s="110"/>
      <c r="CW163" s="110"/>
      <c r="CX163" s="110"/>
      <c r="CY163" s="110"/>
      <c r="CZ163" s="110"/>
      <c r="DA163" s="110"/>
      <c r="DB163" s="110"/>
      <c r="DC163" s="110"/>
      <c r="DD163" s="110"/>
      <c r="DE163" s="110"/>
      <c r="DF163" s="110"/>
      <c r="DG163" s="110"/>
      <c r="DH163" s="110"/>
      <c r="DI163" s="110"/>
      <c r="DJ163" s="110"/>
      <c r="DK163" s="110"/>
      <c r="DL163" s="110"/>
      <c r="DM163" s="110"/>
      <c r="DN163" s="110"/>
      <c r="DO163" s="110"/>
      <c r="DP163" s="110"/>
      <c r="DQ163" s="110"/>
      <c r="DR163" s="110"/>
      <c r="DS163" s="110"/>
      <c r="DT163" s="110"/>
      <c r="DU163" s="110"/>
      <c r="DV163" s="110"/>
      <c r="DW163" s="110"/>
      <c r="DX163" s="110"/>
      <c r="DY163" s="110"/>
      <c r="DZ163" s="110"/>
      <c r="EA163" s="110"/>
      <c r="EB163" s="110"/>
      <c r="EC163" s="110"/>
      <c r="ED163" s="110"/>
      <c r="EE163" s="110"/>
      <c r="EF163" s="110"/>
      <c r="EG163" s="110"/>
      <c r="EH163" s="110"/>
      <c r="EI163" s="110"/>
      <c r="EJ163" s="110"/>
      <c r="EK163" s="110"/>
      <c r="EL163" s="110"/>
      <c r="EM163" s="110"/>
      <c r="EN163" s="110"/>
      <c r="EO163" s="110"/>
      <c r="EP163" s="113"/>
    </row>
    <row r="164" spans="1:146" s="114" customFormat="1" x14ac:dyDescent="0.25">
      <c r="A164" s="32">
        <v>5</v>
      </c>
      <c r="B164" s="32" t="s">
        <v>113</v>
      </c>
      <c r="C164" s="32">
        <v>2</v>
      </c>
      <c r="D164" s="41" t="s">
        <v>393</v>
      </c>
      <c r="E164" s="39" t="s">
        <v>646</v>
      </c>
      <c r="F164" s="40" t="s">
        <v>69</v>
      </c>
      <c r="G164" s="40">
        <v>12</v>
      </c>
      <c r="H164" s="41" t="s">
        <v>619</v>
      </c>
      <c r="I164" s="69"/>
      <c r="J164" s="110"/>
      <c r="K164" s="110"/>
      <c r="L164" s="110"/>
      <c r="M164" s="110"/>
      <c r="N164" s="110"/>
      <c r="O164" s="110"/>
      <c r="P164" s="110"/>
      <c r="Q164" s="110"/>
      <c r="R164" s="110"/>
      <c r="S164" s="110"/>
      <c r="T164" s="110"/>
      <c r="U164" s="110"/>
      <c r="V164" s="110"/>
      <c r="W164" s="110"/>
      <c r="X164" s="110"/>
      <c r="Y164" s="110"/>
      <c r="Z164" s="110"/>
      <c r="AA164" s="110"/>
      <c r="AB164" s="110"/>
      <c r="AC164" s="110"/>
      <c r="AD164" s="110"/>
      <c r="AE164" s="110"/>
      <c r="AF164" s="110"/>
      <c r="AG164" s="110"/>
      <c r="AH164" s="110"/>
      <c r="AI164" s="110"/>
      <c r="AJ164" s="110"/>
      <c r="AK164" s="110"/>
      <c r="AL164" s="110"/>
      <c r="AM164" s="110"/>
      <c r="AN164" s="110"/>
      <c r="AO164" s="110"/>
      <c r="AP164" s="110"/>
      <c r="AQ164" s="110"/>
      <c r="AR164" s="110"/>
      <c r="AS164" s="110"/>
      <c r="AT164" s="110"/>
      <c r="AU164" s="110"/>
      <c r="AV164" s="110"/>
      <c r="AW164" s="110"/>
      <c r="AX164" s="110"/>
      <c r="AY164" s="110"/>
      <c r="AZ164" s="110"/>
      <c r="BA164" s="110"/>
      <c r="BB164" s="110"/>
      <c r="BC164" s="110"/>
      <c r="BD164" s="110"/>
      <c r="BE164" s="110"/>
      <c r="BF164" s="110"/>
      <c r="BG164" s="110"/>
      <c r="BH164" s="110"/>
      <c r="BI164" s="110"/>
      <c r="BJ164" s="110"/>
      <c r="BK164" s="110"/>
      <c r="BL164" s="110"/>
      <c r="BM164" s="110"/>
      <c r="BN164" s="110"/>
      <c r="BO164" s="110"/>
      <c r="BP164" s="110"/>
      <c r="BQ164" s="110"/>
      <c r="BR164" s="110"/>
      <c r="BS164" s="110"/>
      <c r="BT164" s="110"/>
      <c r="BU164" s="110"/>
      <c r="BV164" s="110"/>
      <c r="BW164" s="110"/>
      <c r="BX164" s="110"/>
      <c r="BY164" s="110"/>
      <c r="BZ164" s="110"/>
      <c r="CA164" s="110"/>
      <c r="CB164" s="110"/>
      <c r="CC164" s="110"/>
      <c r="CD164" s="110"/>
      <c r="CE164" s="110"/>
      <c r="CF164" s="110"/>
      <c r="CG164" s="110"/>
      <c r="CH164" s="110"/>
      <c r="CI164" s="110"/>
      <c r="CJ164" s="110"/>
      <c r="CK164" s="110"/>
      <c r="CL164" s="110"/>
      <c r="CM164" s="110"/>
      <c r="CN164" s="110"/>
      <c r="CO164" s="110"/>
      <c r="CP164" s="110"/>
      <c r="CQ164" s="110"/>
      <c r="CR164" s="110"/>
      <c r="CS164" s="110"/>
      <c r="CT164" s="110"/>
      <c r="CU164" s="110"/>
      <c r="CV164" s="110"/>
      <c r="CW164" s="110"/>
      <c r="CX164" s="110"/>
      <c r="CY164" s="110"/>
      <c r="CZ164" s="110"/>
      <c r="DA164" s="110"/>
      <c r="DB164" s="110"/>
      <c r="DC164" s="110"/>
      <c r="DD164" s="110"/>
      <c r="DE164" s="110"/>
      <c r="DF164" s="110"/>
      <c r="DG164" s="110"/>
      <c r="DH164" s="110"/>
      <c r="DI164" s="110"/>
      <c r="DJ164" s="110"/>
      <c r="DK164" s="110"/>
      <c r="DL164" s="110"/>
      <c r="DM164" s="110"/>
      <c r="DN164" s="110"/>
      <c r="DO164" s="110"/>
      <c r="DP164" s="110"/>
      <c r="DQ164" s="110"/>
      <c r="DR164" s="110"/>
      <c r="DS164" s="110"/>
      <c r="DT164" s="110"/>
      <c r="DU164" s="110"/>
      <c r="DV164" s="110"/>
      <c r="DW164" s="110"/>
      <c r="DX164" s="110"/>
      <c r="DY164" s="110"/>
      <c r="DZ164" s="110"/>
      <c r="EA164" s="110"/>
      <c r="EB164" s="110"/>
      <c r="EC164" s="110"/>
      <c r="ED164" s="110"/>
      <c r="EE164" s="110"/>
      <c r="EF164" s="110"/>
      <c r="EG164" s="110"/>
      <c r="EH164" s="110"/>
      <c r="EI164" s="110"/>
      <c r="EJ164" s="110"/>
      <c r="EK164" s="110"/>
      <c r="EL164" s="110"/>
      <c r="EM164" s="110"/>
      <c r="EN164" s="110"/>
      <c r="EO164" s="110"/>
      <c r="EP164" s="113"/>
    </row>
    <row r="165" spans="1:146" s="114" customFormat="1" x14ac:dyDescent="0.25">
      <c r="A165" s="32">
        <v>5</v>
      </c>
      <c r="B165" s="32" t="s">
        <v>113</v>
      </c>
      <c r="C165" s="32">
        <v>2</v>
      </c>
      <c r="D165" s="37" t="s">
        <v>393</v>
      </c>
      <c r="E165" s="35" t="s">
        <v>647</v>
      </c>
      <c r="F165" s="36" t="s">
        <v>81</v>
      </c>
      <c r="G165" s="36">
        <v>19</v>
      </c>
      <c r="H165" s="37" t="s">
        <v>620</v>
      </c>
      <c r="I165" s="69"/>
      <c r="J165" s="110"/>
      <c r="K165" s="110"/>
      <c r="L165" s="110"/>
      <c r="M165" s="110"/>
      <c r="N165" s="110"/>
      <c r="O165" s="110"/>
      <c r="P165" s="110"/>
      <c r="Q165" s="110"/>
      <c r="R165" s="110"/>
      <c r="S165" s="110"/>
      <c r="T165" s="110"/>
      <c r="U165" s="110"/>
      <c r="V165" s="110"/>
      <c r="W165" s="110"/>
      <c r="X165" s="110"/>
      <c r="Y165" s="110"/>
      <c r="Z165" s="110"/>
      <c r="AA165" s="110"/>
      <c r="AB165" s="110"/>
      <c r="AC165" s="110"/>
      <c r="AD165" s="110"/>
      <c r="AE165" s="110"/>
      <c r="AF165" s="110"/>
      <c r="AG165" s="110"/>
      <c r="AH165" s="110"/>
      <c r="AI165" s="110"/>
      <c r="AJ165" s="110"/>
      <c r="AK165" s="110"/>
      <c r="AL165" s="110"/>
      <c r="AM165" s="110"/>
      <c r="AN165" s="110"/>
      <c r="AO165" s="110"/>
      <c r="AP165" s="110"/>
      <c r="AQ165" s="110"/>
      <c r="AR165" s="110"/>
      <c r="AS165" s="110"/>
      <c r="AT165" s="110"/>
      <c r="AU165" s="110"/>
      <c r="AV165" s="110"/>
      <c r="AW165" s="110"/>
      <c r="AX165" s="110"/>
      <c r="AY165" s="110"/>
      <c r="AZ165" s="110"/>
      <c r="BA165" s="110"/>
      <c r="BB165" s="110"/>
      <c r="BC165" s="110"/>
      <c r="BD165" s="110"/>
      <c r="BE165" s="110"/>
      <c r="BF165" s="110"/>
      <c r="BG165" s="110"/>
      <c r="BH165" s="110"/>
      <c r="BI165" s="110"/>
      <c r="BJ165" s="110"/>
      <c r="BK165" s="110"/>
      <c r="BL165" s="110"/>
      <c r="BM165" s="110"/>
      <c r="BN165" s="110"/>
      <c r="BO165" s="110"/>
      <c r="BP165" s="110"/>
      <c r="BQ165" s="110"/>
      <c r="BR165" s="110"/>
      <c r="BS165" s="110"/>
      <c r="BT165" s="110"/>
      <c r="BU165" s="110"/>
      <c r="BV165" s="110"/>
      <c r="BW165" s="110"/>
      <c r="BX165" s="110"/>
      <c r="BY165" s="110"/>
      <c r="BZ165" s="110"/>
      <c r="CA165" s="110"/>
      <c r="CB165" s="110"/>
      <c r="CC165" s="110"/>
      <c r="CD165" s="110"/>
      <c r="CE165" s="110"/>
      <c r="CF165" s="110"/>
      <c r="CG165" s="110"/>
      <c r="CH165" s="110"/>
      <c r="CI165" s="110"/>
      <c r="CJ165" s="110"/>
      <c r="CK165" s="110"/>
      <c r="CL165" s="110"/>
      <c r="CM165" s="110"/>
      <c r="CN165" s="110"/>
      <c r="CO165" s="110"/>
      <c r="CP165" s="110"/>
      <c r="CQ165" s="110"/>
      <c r="CR165" s="110"/>
      <c r="CS165" s="110"/>
      <c r="CT165" s="110"/>
      <c r="CU165" s="110"/>
      <c r="CV165" s="110"/>
      <c r="CW165" s="110"/>
      <c r="CX165" s="110"/>
      <c r="CY165" s="110"/>
      <c r="CZ165" s="110"/>
      <c r="DA165" s="110"/>
      <c r="DB165" s="110"/>
      <c r="DC165" s="110"/>
      <c r="DD165" s="110"/>
      <c r="DE165" s="110"/>
      <c r="DF165" s="110"/>
      <c r="DG165" s="110"/>
      <c r="DH165" s="110"/>
      <c r="DI165" s="110"/>
      <c r="DJ165" s="110"/>
      <c r="DK165" s="110"/>
      <c r="DL165" s="110"/>
      <c r="DM165" s="110"/>
      <c r="DN165" s="110"/>
      <c r="DO165" s="110"/>
      <c r="DP165" s="110"/>
      <c r="DQ165" s="110"/>
      <c r="DR165" s="110"/>
      <c r="DS165" s="110"/>
      <c r="DT165" s="110"/>
      <c r="DU165" s="110"/>
      <c r="DV165" s="110"/>
      <c r="DW165" s="110"/>
      <c r="DX165" s="110"/>
      <c r="DY165" s="110"/>
      <c r="DZ165" s="110"/>
      <c r="EA165" s="110"/>
      <c r="EB165" s="110"/>
      <c r="EC165" s="110"/>
      <c r="ED165" s="110"/>
      <c r="EE165" s="110"/>
      <c r="EF165" s="110"/>
      <c r="EG165" s="110"/>
      <c r="EH165" s="110"/>
      <c r="EI165" s="110"/>
      <c r="EJ165" s="110"/>
      <c r="EK165" s="110"/>
      <c r="EL165" s="110"/>
      <c r="EM165" s="110"/>
      <c r="EN165" s="110"/>
      <c r="EO165" s="110"/>
      <c r="EP165" s="113"/>
    </row>
    <row r="166" spans="1:146" s="114" customFormat="1" x14ac:dyDescent="0.25">
      <c r="A166" s="32">
        <v>5</v>
      </c>
      <c r="B166" s="32" t="s">
        <v>113</v>
      </c>
      <c r="C166" s="32">
        <v>2</v>
      </c>
      <c r="D166" s="37" t="s">
        <v>393</v>
      </c>
      <c r="E166" s="35" t="s">
        <v>648</v>
      </c>
      <c r="F166" s="36" t="s">
        <v>69</v>
      </c>
      <c r="G166" s="36">
        <v>4</v>
      </c>
      <c r="H166" s="37" t="s">
        <v>621</v>
      </c>
      <c r="I166" s="69"/>
      <c r="J166" s="110"/>
      <c r="K166" s="110"/>
      <c r="L166" s="110"/>
      <c r="M166" s="110"/>
      <c r="N166" s="110"/>
      <c r="O166" s="110"/>
      <c r="P166" s="110"/>
      <c r="Q166" s="110"/>
      <c r="R166" s="110"/>
      <c r="S166" s="110"/>
      <c r="T166" s="110"/>
      <c r="U166" s="110"/>
      <c r="V166" s="110"/>
      <c r="W166" s="110"/>
      <c r="X166" s="110"/>
      <c r="Y166" s="110"/>
      <c r="Z166" s="110"/>
      <c r="AA166" s="110"/>
      <c r="AB166" s="110"/>
      <c r="AC166" s="110"/>
      <c r="AD166" s="110"/>
      <c r="AE166" s="110"/>
      <c r="AF166" s="110"/>
      <c r="AG166" s="110"/>
      <c r="AH166" s="110"/>
      <c r="AI166" s="110"/>
      <c r="AJ166" s="110"/>
      <c r="AK166" s="110"/>
      <c r="AL166" s="110"/>
      <c r="AM166" s="110"/>
      <c r="AN166" s="110"/>
      <c r="AO166" s="110"/>
      <c r="AP166" s="110"/>
      <c r="AQ166" s="110"/>
      <c r="AR166" s="110"/>
      <c r="AS166" s="110"/>
      <c r="AT166" s="110"/>
      <c r="AU166" s="110"/>
      <c r="AV166" s="110"/>
      <c r="AW166" s="110"/>
      <c r="AX166" s="110"/>
      <c r="AY166" s="110"/>
      <c r="AZ166" s="110"/>
      <c r="BA166" s="110"/>
      <c r="BB166" s="110"/>
      <c r="BC166" s="110"/>
      <c r="BD166" s="110"/>
      <c r="BE166" s="110"/>
      <c r="BF166" s="110"/>
      <c r="BG166" s="110"/>
      <c r="BH166" s="110"/>
      <c r="BI166" s="110"/>
      <c r="BJ166" s="110"/>
      <c r="BK166" s="110"/>
      <c r="BL166" s="110"/>
      <c r="BM166" s="110"/>
      <c r="BN166" s="110"/>
      <c r="BO166" s="110"/>
      <c r="BP166" s="110"/>
      <c r="BQ166" s="110"/>
      <c r="BR166" s="110"/>
      <c r="BS166" s="110"/>
      <c r="BT166" s="110"/>
      <c r="BU166" s="110"/>
      <c r="BV166" s="110"/>
      <c r="BW166" s="110"/>
      <c r="BX166" s="110"/>
      <c r="BY166" s="110"/>
      <c r="BZ166" s="110"/>
      <c r="CA166" s="110"/>
      <c r="CB166" s="110"/>
      <c r="CC166" s="110"/>
      <c r="CD166" s="110"/>
      <c r="CE166" s="110"/>
      <c r="CF166" s="110"/>
      <c r="CG166" s="110"/>
      <c r="CH166" s="110"/>
      <c r="CI166" s="110"/>
      <c r="CJ166" s="110"/>
      <c r="CK166" s="110"/>
      <c r="CL166" s="110"/>
      <c r="CM166" s="110"/>
      <c r="CN166" s="110"/>
      <c r="CO166" s="110"/>
      <c r="CP166" s="110"/>
      <c r="CQ166" s="110"/>
      <c r="CR166" s="110"/>
      <c r="CS166" s="110"/>
      <c r="CT166" s="110"/>
      <c r="CU166" s="110"/>
      <c r="CV166" s="110"/>
      <c r="CW166" s="110"/>
      <c r="CX166" s="110"/>
      <c r="CY166" s="110"/>
      <c r="CZ166" s="110"/>
      <c r="DA166" s="110"/>
      <c r="DB166" s="110"/>
      <c r="DC166" s="110"/>
      <c r="DD166" s="110"/>
      <c r="DE166" s="110"/>
      <c r="DF166" s="110"/>
      <c r="DG166" s="110"/>
      <c r="DH166" s="110"/>
      <c r="DI166" s="110"/>
      <c r="DJ166" s="110"/>
      <c r="DK166" s="110"/>
      <c r="DL166" s="110"/>
      <c r="DM166" s="110"/>
      <c r="DN166" s="110"/>
      <c r="DO166" s="110"/>
      <c r="DP166" s="110"/>
      <c r="DQ166" s="110"/>
      <c r="DR166" s="110"/>
      <c r="DS166" s="110"/>
      <c r="DT166" s="110"/>
      <c r="DU166" s="110"/>
      <c r="DV166" s="110"/>
      <c r="DW166" s="110"/>
      <c r="DX166" s="110"/>
      <c r="DY166" s="110"/>
      <c r="DZ166" s="110"/>
      <c r="EA166" s="110"/>
      <c r="EB166" s="110"/>
      <c r="EC166" s="110"/>
      <c r="ED166" s="110"/>
      <c r="EE166" s="110"/>
      <c r="EF166" s="110"/>
      <c r="EG166" s="110"/>
      <c r="EH166" s="110"/>
      <c r="EI166" s="110"/>
      <c r="EJ166" s="110"/>
      <c r="EK166" s="110"/>
      <c r="EL166" s="110"/>
      <c r="EM166" s="110"/>
      <c r="EN166" s="110"/>
      <c r="EO166" s="110"/>
      <c r="EP166" s="113"/>
    </row>
    <row r="167" spans="1:146" s="114" customFormat="1" ht="31.5" x14ac:dyDescent="0.25">
      <c r="A167" s="63">
        <v>5</v>
      </c>
      <c r="B167" s="63" t="s">
        <v>113</v>
      </c>
      <c r="C167" s="63">
        <v>3</v>
      </c>
      <c r="D167" s="64" t="s">
        <v>4</v>
      </c>
      <c r="E167" s="64" t="s">
        <v>1056</v>
      </c>
      <c r="F167" s="63" t="s">
        <v>81</v>
      </c>
      <c r="G167" s="65">
        <v>54</v>
      </c>
      <c r="H167" s="64" t="s">
        <v>998</v>
      </c>
      <c r="I167" s="69"/>
      <c r="J167" s="110"/>
      <c r="K167" s="110"/>
      <c r="L167" s="110"/>
      <c r="M167" s="110"/>
      <c r="N167" s="110"/>
      <c r="O167" s="110"/>
      <c r="P167" s="110"/>
      <c r="Q167" s="110"/>
      <c r="R167" s="110"/>
      <c r="S167" s="110"/>
      <c r="T167" s="110"/>
      <c r="U167" s="110"/>
      <c r="V167" s="110"/>
      <c r="W167" s="110"/>
      <c r="X167" s="110"/>
      <c r="Y167" s="110"/>
      <c r="Z167" s="110"/>
      <c r="AA167" s="110"/>
      <c r="AB167" s="110"/>
      <c r="AC167" s="110"/>
      <c r="AD167" s="110"/>
      <c r="AE167" s="110"/>
      <c r="AF167" s="110"/>
      <c r="AG167" s="110"/>
      <c r="AH167" s="110"/>
      <c r="AI167" s="110"/>
      <c r="AJ167" s="110"/>
      <c r="AK167" s="110"/>
      <c r="AL167" s="110"/>
      <c r="AM167" s="110"/>
      <c r="AN167" s="110"/>
      <c r="AO167" s="110"/>
      <c r="AP167" s="110"/>
      <c r="AQ167" s="110"/>
      <c r="AR167" s="110"/>
      <c r="AS167" s="110"/>
      <c r="AT167" s="110"/>
      <c r="AU167" s="110"/>
      <c r="AV167" s="110"/>
      <c r="AW167" s="110"/>
      <c r="AX167" s="110"/>
      <c r="AY167" s="110"/>
      <c r="AZ167" s="110"/>
      <c r="BA167" s="110"/>
      <c r="BB167" s="110"/>
      <c r="BC167" s="110"/>
      <c r="BD167" s="110"/>
      <c r="BE167" s="110"/>
      <c r="BF167" s="110"/>
      <c r="BG167" s="110"/>
      <c r="BH167" s="110"/>
      <c r="BI167" s="110"/>
      <c r="BJ167" s="110"/>
      <c r="BK167" s="110"/>
      <c r="BL167" s="110"/>
      <c r="BM167" s="110"/>
      <c r="BN167" s="110"/>
      <c r="BO167" s="110"/>
      <c r="BP167" s="110"/>
      <c r="BQ167" s="110"/>
      <c r="BR167" s="110"/>
      <c r="BS167" s="110"/>
      <c r="BT167" s="110"/>
      <c r="BU167" s="110"/>
      <c r="BV167" s="110"/>
      <c r="BW167" s="110"/>
      <c r="BX167" s="110"/>
      <c r="BY167" s="110"/>
      <c r="BZ167" s="110"/>
      <c r="CA167" s="110"/>
      <c r="CB167" s="110"/>
      <c r="CC167" s="110"/>
      <c r="CD167" s="110"/>
      <c r="CE167" s="110"/>
      <c r="CF167" s="110"/>
      <c r="CG167" s="110"/>
      <c r="CH167" s="110"/>
      <c r="CI167" s="110"/>
      <c r="CJ167" s="110"/>
      <c r="CK167" s="110"/>
      <c r="CL167" s="110"/>
      <c r="CM167" s="110"/>
      <c r="CN167" s="110"/>
      <c r="CO167" s="110"/>
      <c r="CP167" s="110"/>
      <c r="CQ167" s="110"/>
      <c r="CR167" s="110"/>
      <c r="CS167" s="110"/>
      <c r="CT167" s="110"/>
      <c r="CU167" s="110"/>
      <c r="CV167" s="110"/>
      <c r="CW167" s="110"/>
      <c r="CX167" s="110"/>
      <c r="CY167" s="110"/>
      <c r="CZ167" s="110"/>
      <c r="DA167" s="110"/>
      <c r="DB167" s="110"/>
      <c r="DC167" s="110"/>
      <c r="DD167" s="110"/>
      <c r="DE167" s="110"/>
      <c r="DF167" s="110"/>
      <c r="DG167" s="110"/>
      <c r="DH167" s="110"/>
      <c r="DI167" s="110"/>
      <c r="DJ167" s="110"/>
      <c r="DK167" s="110"/>
      <c r="DL167" s="110"/>
      <c r="DM167" s="110"/>
      <c r="DN167" s="110"/>
      <c r="DO167" s="110"/>
      <c r="DP167" s="110"/>
      <c r="DQ167" s="110"/>
      <c r="DR167" s="110"/>
      <c r="DS167" s="110"/>
      <c r="DT167" s="110"/>
      <c r="DU167" s="110"/>
      <c r="DV167" s="110"/>
      <c r="DW167" s="110"/>
      <c r="DX167" s="110"/>
      <c r="DY167" s="110"/>
      <c r="DZ167" s="110"/>
      <c r="EA167" s="110"/>
      <c r="EB167" s="110"/>
      <c r="EC167" s="110"/>
      <c r="ED167" s="110"/>
      <c r="EE167" s="110"/>
      <c r="EF167" s="110"/>
      <c r="EG167" s="110"/>
      <c r="EH167" s="110"/>
      <c r="EI167" s="110"/>
      <c r="EJ167" s="110"/>
      <c r="EK167" s="110"/>
      <c r="EL167" s="110"/>
      <c r="EM167" s="110"/>
      <c r="EN167" s="110"/>
      <c r="EO167" s="110"/>
      <c r="EP167" s="113"/>
    </row>
    <row r="168" spans="1:146" s="114" customFormat="1" ht="31.5" x14ac:dyDescent="0.25">
      <c r="A168" s="63">
        <v>5</v>
      </c>
      <c r="B168" s="63" t="s">
        <v>113</v>
      </c>
      <c r="C168" s="63">
        <v>3</v>
      </c>
      <c r="D168" s="64" t="s">
        <v>1</v>
      </c>
      <c r="E168" s="64" t="s">
        <v>1057</v>
      </c>
      <c r="F168" s="63" t="s">
        <v>81</v>
      </c>
      <c r="G168" s="65">
        <v>675</v>
      </c>
      <c r="H168" s="64" t="s">
        <v>989</v>
      </c>
      <c r="I168" s="69"/>
      <c r="J168" s="110"/>
      <c r="K168" s="110"/>
      <c r="L168" s="110"/>
      <c r="M168" s="110"/>
      <c r="N168" s="110"/>
      <c r="O168" s="110"/>
      <c r="P168" s="110"/>
      <c r="Q168" s="110"/>
      <c r="R168" s="110"/>
      <c r="S168" s="110"/>
      <c r="T168" s="110"/>
      <c r="U168" s="110"/>
      <c r="V168" s="110"/>
      <c r="W168" s="110"/>
      <c r="X168" s="110"/>
      <c r="Y168" s="110"/>
      <c r="Z168" s="110"/>
      <c r="AA168" s="110"/>
      <c r="AB168" s="110"/>
      <c r="AC168" s="110"/>
      <c r="AD168" s="110"/>
      <c r="AE168" s="110"/>
      <c r="AF168" s="110"/>
      <c r="AG168" s="110"/>
      <c r="AH168" s="110"/>
      <c r="AI168" s="110"/>
      <c r="AJ168" s="110"/>
      <c r="AK168" s="110"/>
      <c r="AL168" s="110"/>
      <c r="AM168" s="110"/>
      <c r="AN168" s="110"/>
      <c r="AO168" s="110"/>
      <c r="AP168" s="110"/>
      <c r="AQ168" s="110"/>
      <c r="AR168" s="110"/>
      <c r="AS168" s="110"/>
      <c r="AT168" s="110"/>
      <c r="AU168" s="110"/>
      <c r="AV168" s="110"/>
      <c r="AW168" s="110"/>
      <c r="AX168" s="110"/>
      <c r="AY168" s="110"/>
      <c r="AZ168" s="110"/>
      <c r="BA168" s="110"/>
      <c r="BB168" s="110"/>
      <c r="BC168" s="110"/>
      <c r="BD168" s="110"/>
      <c r="BE168" s="110"/>
      <c r="BF168" s="110"/>
      <c r="BG168" s="110"/>
      <c r="BH168" s="110"/>
      <c r="BI168" s="110"/>
      <c r="BJ168" s="110"/>
      <c r="BK168" s="110"/>
      <c r="BL168" s="110"/>
      <c r="BM168" s="110"/>
      <c r="BN168" s="110"/>
      <c r="BO168" s="110"/>
      <c r="BP168" s="110"/>
      <c r="BQ168" s="110"/>
      <c r="BR168" s="110"/>
      <c r="BS168" s="110"/>
      <c r="BT168" s="110"/>
      <c r="BU168" s="110"/>
      <c r="BV168" s="110"/>
      <c r="BW168" s="110"/>
      <c r="BX168" s="110"/>
      <c r="BY168" s="110"/>
      <c r="BZ168" s="110"/>
      <c r="CA168" s="110"/>
      <c r="CB168" s="110"/>
      <c r="CC168" s="110"/>
      <c r="CD168" s="110"/>
      <c r="CE168" s="110"/>
      <c r="CF168" s="110"/>
      <c r="CG168" s="110"/>
      <c r="CH168" s="110"/>
      <c r="CI168" s="110"/>
      <c r="CJ168" s="110"/>
      <c r="CK168" s="110"/>
      <c r="CL168" s="110"/>
      <c r="CM168" s="110"/>
      <c r="CN168" s="110"/>
      <c r="CO168" s="110"/>
      <c r="CP168" s="110"/>
      <c r="CQ168" s="110"/>
      <c r="CR168" s="110"/>
      <c r="CS168" s="110"/>
      <c r="CT168" s="110"/>
      <c r="CU168" s="110"/>
      <c r="CV168" s="110"/>
      <c r="CW168" s="110"/>
      <c r="CX168" s="110"/>
      <c r="CY168" s="110"/>
      <c r="CZ168" s="110"/>
      <c r="DA168" s="110"/>
      <c r="DB168" s="110"/>
      <c r="DC168" s="110"/>
      <c r="DD168" s="110"/>
      <c r="DE168" s="110"/>
      <c r="DF168" s="110"/>
      <c r="DG168" s="110"/>
      <c r="DH168" s="110"/>
      <c r="DI168" s="110"/>
      <c r="DJ168" s="110"/>
      <c r="DK168" s="110"/>
      <c r="DL168" s="110"/>
      <c r="DM168" s="110"/>
      <c r="DN168" s="110"/>
      <c r="DO168" s="110"/>
      <c r="DP168" s="110"/>
      <c r="DQ168" s="110"/>
      <c r="DR168" s="110"/>
      <c r="DS168" s="110"/>
      <c r="DT168" s="110"/>
      <c r="DU168" s="110"/>
      <c r="DV168" s="110"/>
      <c r="DW168" s="110"/>
      <c r="DX168" s="110"/>
      <c r="DY168" s="110"/>
      <c r="DZ168" s="110"/>
      <c r="EA168" s="110"/>
      <c r="EB168" s="110"/>
      <c r="EC168" s="110"/>
      <c r="ED168" s="110"/>
      <c r="EE168" s="110"/>
      <c r="EF168" s="110"/>
      <c r="EG168" s="110"/>
      <c r="EH168" s="110"/>
      <c r="EI168" s="110"/>
      <c r="EJ168" s="110"/>
      <c r="EK168" s="110"/>
      <c r="EL168" s="110"/>
      <c r="EM168" s="110"/>
      <c r="EN168" s="110"/>
      <c r="EO168" s="110"/>
      <c r="EP168" s="113"/>
    </row>
    <row r="169" spans="1:146" s="114" customFormat="1" x14ac:dyDescent="0.25">
      <c r="A169" s="63">
        <v>5</v>
      </c>
      <c r="B169" s="63" t="s">
        <v>113</v>
      </c>
      <c r="C169" s="63">
        <v>3</v>
      </c>
      <c r="D169" s="64" t="s">
        <v>1</v>
      </c>
      <c r="E169" s="64" t="s">
        <v>1058</v>
      </c>
      <c r="F169" s="63" t="s">
        <v>69</v>
      </c>
      <c r="G169" s="65">
        <v>22</v>
      </c>
      <c r="H169" s="64" t="s">
        <v>990</v>
      </c>
      <c r="I169" s="69"/>
      <c r="J169" s="110"/>
      <c r="K169" s="110"/>
      <c r="L169" s="110"/>
      <c r="M169" s="110"/>
      <c r="N169" s="110"/>
      <c r="O169" s="110"/>
      <c r="P169" s="110"/>
      <c r="Q169" s="110"/>
      <c r="R169" s="110"/>
      <c r="S169" s="110"/>
      <c r="T169" s="110"/>
      <c r="U169" s="110"/>
      <c r="V169" s="110"/>
      <c r="W169" s="110"/>
      <c r="X169" s="110"/>
      <c r="Y169" s="110"/>
      <c r="Z169" s="110"/>
      <c r="AA169" s="110"/>
      <c r="AB169" s="110"/>
      <c r="AC169" s="110"/>
      <c r="AD169" s="110"/>
      <c r="AE169" s="110"/>
      <c r="AF169" s="110"/>
      <c r="AG169" s="110"/>
      <c r="AH169" s="110"/>
      <c r="AI169" s="110"/>
      <c r="AJ169" s="110"/>
      <c r="AK169" s="110"/>
      <c r="AL169" s="110"/>
      <c r="AM169" s="110"/>
      <c r="AN169" s="110"/>
      <c r="AO169" s="110"/>
      <c r="AP169" s="110"/>
      <c r="AQ169" s="110"/>
      <c r="AR169" s="110"/>
      <c r="AS169" s="110"/>
      <c r="AT169" s="110"/>
      <c r="AU169" s="110"/>
      <c r="AV169" s="110"/>
      <c r="AW169" s="110"/>
      <c r="AX169" s="110"/>
      <c r="AY169" s="110"/>
      <c r="AZ169" s="110"/>
      <c r="BA169" s="110"/>
      <c r="BB169" s="110"/>
      <c r="BC169" s="110"/>
      <c r="BD169" s="110"/>
      <c r="BE169" s="110"/>
      <c r="BF169" s="110"/>
      <c r="BG169" s="110"/>
      <c r="BH169" s="110"/>
      <c r="BI169" s="110"/>
      <c r="BJ169" s="110"/>
      <c r="BK169" s="110"/>
      <c r="BL169" s="110"/>
      <c r="BM169" s="110"/>
      <c r="BN169" s="110"/>
      <c r="BO169" s="110"/>
      <c r="BP169" s="110"/>
      <c r="BQ169" s="110"/>
      <c r="BR169" s="110"/>
      <c r="BS169" s="110"/>
      <c r="BT169" s="110"/>
      <c r="BU169" s="110"/>
      <c r="BV169" s="110"/>
      <c r="BW169" s="110"/>
      <c r="BX169" s="110"/>
      <c r="BY169" s="110"/>
      <c r="BZ169" s="110"/>
      <c r="CA169" s="110"/>
      <c r="CB169" s="110"/>
      <c r="CC169" s="110"/>
      <c r="CD169" s="110"/>
      <c r="CE169" s="110"/>
      <c r="CF169" s="110"/>
      <c r="CG169" s="110"/>
      <c r="CH169" s="110"/>
      <c r="CI169" s="110"/>
      <c r="CJ169" s="110"/>
      <c r="CK169" s="110"/>
      <c r="CL169" s="110"/>
      <c r="CM169" s="110"/>
      <c r="CN169" s="110"/>
      <c r="CO169" s="110"/>
      <c r="CP169" s="110"/>
      <c r="CQ169" s="110"/>
      <c r="CR169" s="110"/>
      <c r="CS169" s="110"/>
      <c r="CT169" s="110"/>
      <c r="CU169" s="110"/>
      <c r="CV169" s="110"/>
      <c r="CW169" s="110"/>
      <c r="CX169" s="110"/>
      <c r="CY169" s="110"/>
      <c r="CZ169" s="110"/>
      <c r="DA169" s="110"/>
      <c r="DB169" s="110"/>
      <c r="DC169" s="110"/>
      <c r="DD169" s="110"/>
      <c r="DE169" s="110"/>
      <c r="DF169" s="110"/>
      <c r="DG169" s="110"/>
      <c r="DH169" s="110"/>
      <c r="DI169" s="110"/>
      <c r="DJ169" s="110"/>
      <c r="DK169" s="110"/>
      <c r="DL169" s="110"/>
      <c r="DM169" s="110"/>
      <c r="DN169" s="110"/>
      <c r="DO169" s="110"/>
      <c r="DP169" s="110"/>
      <c r="DQ169" s="110"/>
      <c r="DR169" s="110"/>
      <c r="DS169" s="110"/>
      <c r="DT169" s="110"/>
      <c r="DU169" s="110"/>
      <c r="DV169" s="110"/>
      <c r="DW169" s="110"/>
      <c r="DX169" s="110"/>
      <c r="DY169" s="110"/>
      <c r="DZ169" s="110"/>
      <c r="EA169" s="110"/>
      <c r="EB169" s="110"/>
      <c r="EC169" s="110"/>
      <c r="ED169" s="110"/>
      <c r="EE169" s="110"/>
      <c r="EF169" s="110"/>
      <c r="EG169" s="110"/>
      <c r="EH169" s="110"/>
      <c r="EI169" s="110"/>
      <c r="EJ169" s="110"/>
      <c r="EK169" s="110"/>
      <c r="EL169" s="110"/>
      <c r="EM169" s="110"/>
      <c r="EN169" s="110"/>
      <c r="EO169" s="110"/>
      <c r="EP169" s="113"/>
    </row>
    <row r="170" spans="1:146" s="114" customFormat="1" ht="31.5" x14ac:dyDescent="0.25">
      <c r="A170" s="63">
        <v>5</v>
      </c>
      <c r="B170" s="63" t="s">
        <v>113</v>
      </c>
      <c r="C170" s="63">
        <v>3</v>
      </c>
      <c r="D170" s="64" t="s">
        <v>393</v>
      </c>
      <c r="E170" s="64" t="s">
        <v>1059</v>
      </c>
      <c r="F170" s="63" t="s">
        <v>81</v>
      </c>
      <c r="G170" s="65">
        <v>5</v>
      </c>
      <c r="H170" s="64" t="s">
        <v>992</v>
      </c>
      <c r="I170" s="69"/>
      <c r="J170" s="110"/>
      <c r="K170" s="110"/>
      <c r="L170" s="110"/>
      <c r="M170" s="110"/>
      <c r="N170" s="110"/>
      <c r="O170" s="110"/>
      <c r="P170" s="110"/>
      <c r="Q170" s="110"/>
      <c r="R170" s="110"/>
      <c r="S170" s="110"/>
      <c r="T170" s="110"/>
      <c r="U170" s="110"/>
      <c r="V170" s="110"/>
      <c r="W170" s="110"/>
      <c r="X170" s="110"/>
      <c r="Y170" s="110"/>
      <c r="Z170" s="110"/>
      <c r="AA170" s="110"/>
      <c r="AB170" s="110"/>
      <c r="AC170" s="110"/>
      <c r="AD170" s="110"/>
      <c r="AE170" s="110"/>
      <c r="AF170" s="110"/>
      <c r="AG170" s="110"/>
      <c r="AH170" s="110"/>
      <c r="AI170" s="110"/>
      <c r="AJ170" s="110"/>
      <c r="AK170" s="110"/>
      <c r="AL170" s="110"/>
      <c r="AM170" s="110"/>
      <c r="AN170" s="110"/>
      <c r="AO170" s="110"/>
      <c r="AP170" s="110"/>
      <c r="AQ170" s="110"/>
      <c r="AR170" s="110"/>
      <c r="AS170" s="110"/>
      <c r="AT170" s="110"/>
      <c r="AU170" s="110"/>
      <c r="AV170" s="110"/>
      <c r="AW170" s="110"/>
      <c r="AX170" s="110"/>
      <c r="AY170" s="110"/>
      <c r="AZ170" s="110"/>
      <c r="BA170" s="110"/>
      <c r="BB170" s="110"/>
      <c r="BC170" s="110"/>
      <c r="BD170" s="110"/>
      <c r="BE170" s="110"/>
      <c r="BF170" s="110"/>
      <c r="BG170" s="110"/>
      <c r="BH170" s="110"/>
      <c r="BI170" s="110"/>
      <c r="BJ170" s="110"/>
      <c r="BK170" s="110"/>
      <c r="BL170" s="110"/>
      <c r="BM170" s="110"/>
      <c r="BN170" s="110"/>
      <c r="BO170" s="110"/>
      <c r="BP170" s="110"/>
      <c r="BQ170" s="110"/>
      <c r="BR170" s="110"/>
      <c r="BS170" s="110"/>
      <c r="BT170" s="110"/>
      <c r="BU170" s="110"/>
      <c r="BV170" s="110"/>
      <c r="BW170" s="110"/>
      <c r="BX170" s="110"/>
      <c r="BY170" s="110"/>
      <c r="BZ170" s="110"/>
      <c r="CA170" s="110"/>
      <c r="CB170" s="110"/>
      <c r="CC170" s="110"/>
      <c r="CD170" s="110"/>
      <c r="CE170" s="110"/>
      <c r="CF170" s="110"/>
      <c r="CG170" s="110"/>
      <c r="CH170" s="110"/>
      <c r="CI170" s="110"/>
      <c r="CJ170" s="110"/>
      <c r="CK170" s="110"/>
      <c r="CL170" s="110"/>
      <c r="CM170" s="110"/>
      <c r="CN170" s="110"/>
      <c r="CO170" s="110"/>
      <c r="CP170" s="110"/>
      <c r="CQ170" s="110"/>
      <c r="CR170" s="110"/>
      <c r="CS170" s="110"/>
      <c r="CT170" s="110"/>
      <c r="CU170" s="110"/>
      <c r="CV170" s="110"/>
      <c r="CW170" s="110"/>
      <c r="CX170" s="110"/>
      <c r="CY170" s="110"/>
      <c r="CZ170" s="110"/>
      <c r="DA170" s="110"/>
      <c r="DB170" s="110"/>
      <c r="DC170" s="110"/>
      <c r="DD170" s="110"/>
      <c r="DE170" s="110"/>
      <c r="DF170" s="110"/>
      <c r="DG170" s="110"/>
      <c r="DH170" s="110"/>
      <c r="DI170" s="110"/>
      <c r="DJ170" s="110"/>
      <c r="DK170" s="110"/>
      <c r="DL170" s="110"/>
      <c r="DM170" s="110"/>
      <c r="DN170" s="110"/>
      <c r="DO170" s="110"/>
      <c r="DP170" s="110"/>
      <c r="DQ170" s="110"/>
      <c r="DR170" s="110"/>
      <c r="DS170" s="110"/>
      <c r="DT170" s="110"/>
      <c r="DU170" s="110"/>
      <c r="DV170" s="110"/>
      <c r="DW170" s="110"/>
      <c r="DX170" s="110"/>
      <c r="DY170" s="110"/>
      <c r="DZ170" s="110"/>
      <c r="EA170" s="110"/>
      <c r="EB170" s="110"/>
      <c r="EC170" s="110"/>
      <c r="ED170" s="110"/>
      <c r="EE170" s="110"/>
      <c r="EF170" s="110"/>
      <c r="EG170" s="110"/>
      <c r="EH170" s="110"/>
      <c r="EI170" s="110"/>
      <c r="EJ170" s="110"/>
      <c r="EK170" s="110"/>
      <c r="EL170" s="110"/>
      <c r="EM170" s="110"/>
      <c r="EN170" s="110"/>
      <c r="EO170" s="110"/>
      <c r="EP170" s="113"/>
    </row>
    <row r="171" spans="1:146" s="114" customFormat="1" x14ac:dyDescent="0.25">
      <c r="A171" s="63">
        <v>5</v>
      </c>
      <c r="B171" s="63" t="s">
        <v>113</v>
      </c>
      <c r="C171" s="63">
        <v>3</v>
      </c>
      <c r="D171" s="64" t="s">
        <v>393</v>
      </c>
      <c r="E171" s="64" t="s">
        <v>1060</v>
      </c>
      <c r="F171" s="63" t="s">
        <v>69</v>
      </c>
      <c r="G171" s="65">
        <v>9</v>
      </c>
      <c r="H171" s="64" t="s">
        <v>1015</v>
      </c>
      <c r="I171" s="69"/>
      <c r="J171" s="110"/>
      <c r="K171" s="110"/>
      <c r="L171" s="110"/>
      <c r="M171" s="110"/>
      <c r="N171" s="110"/>
      <c r="O171" s="110"/>
      <c r="P171" s="110"/>
      <c r="Q171" s="110"/>
      <c r="R171" s="110"/>
      <c r="S171" s="110"/>
      <c r="T171" s="110"/>
      <c r="U171" s="110"/>
      <c r="V171" s="110"/>
      <c r="W171" s="110"/>
      <c r="X171" s="110"/>
      <c r="Y171" s="110"/>
      <c r="Z171" s="110"/>
      <c r="AA171" s="110"/>
      <c r="AB171" s="110"/>
      <c r="AC171" s="110"/>
      <c r="AD171" s="110"/>
      <c r="AE171" s="110"/>
      <c r="AF171" s="110"/>
      <c r="AG171" s="110"/>
      <c r="AH171" s="110"/>
      <c r="AI171" s="110"/>
      <c r="AJ171" s="110"/>
      <c r="AK171" s="110"/>
      <c r="AL171" s="110"/>
      <c r="AM171" s="110"/>
      <c r="AN171" s="110"/>
      <c r="AO171" s="110"/>
      <c r="AP171" s="110"/>
      <c r="AQ171" s="110"/>
      <c r="AR171" s="110"/>
      <c r="AS171" s="110"/>
      <c r="AT171" s="110"/>
      <c r="AU171" s="110"/>
      <c r="AV171" s="110"/>
      <c r="AW171" s="110"/>
      <c r="AX171" s="110"/>
      <c r="AY171" s="110"/>
      <c r="AZ171" s="110"/>
      <c r="BA171" s="110"/>
      <c r="BB171" s="110"/>
      <c r="BC171" s="110"/>
      <c r="BD171" s="110"/>
      <c r="BE171" s="110"/>
      <c r="BF171" s="110"/>
      <c r="BG171" s="110"/>
      <c r="BH171" s="110"/>
      <c r="BI171" s="110"/>
      <c r="BJ171" s="110"/>
      <c r="BK171" s="110"/>
      <c r="BL171" s="110"/>
      <c r="BM171" s="110"/>
      <c r="BN171" s="110"/>
      <c r="BO171" s="110"/>
      <c r="BP171" s="110"/>
      <c r="BQ171" s="110"/>
      <c r="BR171" s="110"/>
      <c r="BS171" s="110"/>
      <c r="BT171" s="110"/>
      <c r="BU171" s="110"/>
      <c r="BV171" s="110"/>
      <c r="BW171" s="110"/>
      <c r="BX171" s="110"/>
      <c r="BY171" s="110"/>
      <c r="BZ171" s="110"/>
      <c r="CA171" s="110"/>
      <c r="CB171" s="110"/>
      <c r="CC171" s="110"/>
      <c r="CD171" s="110"/>
      <c r="CE171" s="110"/>
      <c r="CF171" s="110"/>
      <c r="CG171" s="110"/>
      <c r="CH171" s="110"/>
      <c r="CI171" s="110"/>
      <c r="CJ171" s="110"/>
      <c r="CK171" s="110"/>
      <c r="CL171" s="110"/>
      <c r="CM171" s="110"/>
      <c r="CN171" s="110"/>
      <c r="CO171" s="110"/>
      <c r="CP171" s="110"/>
      <c r="CQ171" s="110"/>
      <c r="CR171" s="110"/>
      <c r="CS171" s="110"/>
      <c r="CT171" s="110"/>
      <c r="CU171" s="110"/>
      <c r="CV171" s="110"/>
      <c r="CW171" s="110"/>
      <c r="CX171" s="110"/>
      <c r="CY171" s="110"/>
      <c r="CZ171" s="110"/>
      <c r="DA171" s="110"/>
      <c r="DB171" s="110"/>
      <c r="DC171" s="110"/>
      <c r="DD171" s="110"/>
      <c r="DE171" s="110"/>
      <c r="DF171" s="110"/>
      <c r="DG171" s="110"/>
      <c r="DH171" s="110"/>
      <c r="DI171" s="110"/>
      <c r="DJ171" s="110"/>
      <c r="DK171" s="110"/>
      <c r="DL171" s="110"/>
      <c r="DM171" s="110"/>
      <c r="DN171" s="110"/>
      <c r="DO171" s="110"/>
      <c r="DP171" s="110"/>
      <c r="DQ171" s="110"/>
      <c r="DR171" s="110"/>
      <c r="DS171" s="110"/>
      <c r="DT171" s="110"/>
      <c r="DU171" s="110"/>
      <c r="DV171" s="110"/>
      <c r="DW171" s="110"/>
      <c r="DX171" s="110"/>
      <c r="DY171" s="110"/>
      <c r="DZ171" s="110"/>
      <c r="EA171" s="110"/>
      <c r="EB171" s="110"/>
      <c r="EC171" s="110"/>
      <c r="ED171" s="110"/>
      <c r="EE171" s="110"/>
      <c r="EF171" s="110"/>
      <c r="EG171" s="110"/>
      <c r="EH171" s="110"/>
      <c r="EI171" s="110"/>
      <c r="EJ171" s="110"/>
      <c r="EK171" s="110"/>
      <c r="EL171" s="110"/>
      <c r="EM171" s="110"/>
      <c r="EN171" s="110"/>
      <c r="EO171" s="110"/>
      <c r="EP171" s="113"/>
    </row>
    <row r="172" spans="1:146" s="114" customFormat="1" x14ac:dyDescent="0.25">
      <c r="A172" s="63">
        <v>5</v>
      </c>
      <c r="B172" s="63" t="s">
        <v>113</v>
      </c>
      <c r="C172" s="63">
        <v>3</v>
      </c>
      <c r="D172" s="64" t="s">
        <v>393</v>
      </c>
      <c r="E172" s="64" t="s">
        <v>1061</v>
      </c>
      <c r="F172" s="63" t="s">
        <v>69</v>
      </c>
      <c r="G172" s="65">
        <v>8</v>
      </c>
      <c r="H172" s="64" t="s">
        <v>993</v>
      </c>
      <c r="I172" s="69"/>
      <c r="J172" s="110"/>
      <c r="K172" s="110"/>
      <c r="L172" s="110"/>
      <c r="M172" s="110"/>
      <c r="N172" s="110"/>
      <c r="O172" s="110"/>
      <c r="P172" s="110"/>
      <c r="Q172" s="110"/>
      <c r="R172" s="110"/>
      <c r="S172" s="110"/>
      <c r="T172" s="110"/>
      <c r="U172" s="110"/>
      <c r="V172" s="110"/>
      <c r="W172" s="110"/>
      <c r="X172" s="110"/>
      <c r="Y172" s="110"/>
      <c r="Z172" s="110"/>
      <c r="AA172" s="110"/>
      <c r="AB172" s="110"/>
      <c r="AC172" s="110"/>
      <c r="AD172" s="110"/>
      <c r="AE172" s="110"/>
      <c r="AF172" s="110"/>
      <c r="AG172" s="110"/>
      <c r="AH172" s="110"/>
      <c r="AI172" s="110"/>
      <c r="AJ172" s="110"/>
      <c r="AK172" s="110"/>
      <c r="AL172" s="110"/>
      <c r="AM172" s="110"/>
      <c r="AN172" s="110"/>
      <c r="AO172" s="110"/>
      <c r="AP172" s="110"/>
      <c r="AQ172" s="110"/>
      <c r="AR172" s="110"/>
      <c r="AS172" s="110"/>
      <c r="AT172" s="110"/>
      <c r="AU172" s="110"/>
      <c r="AV172" s="110"/>
      <c r="AW172" s="110"/>
      <c r="AX172" s="110"/>
      <c r="AY172" s="110"/>
      <c r="AZ172" s="110"/>
      <c r="BA172" s="110"/>
      <c r="BB172" s="110"/>
      <c r="BC172" s="110"/>
      <c r="BD172" s="110"/>
      <c r="BE172" s="110"/>
      <c r="BF172" s="110"/>
      <c r="BG172" s="110"/>
      <c r="BH172" s="110"/>
      <c r="BI172" s="110"/>
      <c r="BJ172" s="110"/>
      <c r="BK172" s="110"/>
      <c r="BL172" s="110"/>
      <c r="BM172" s="110"/>
      <c r="BN172" s="110"/>
      <c r="BO172" s="110"/>
      <c r="BP172" s="110"/>
      <c r="BQ172" s="110"/>
      <c r="BR172" s="110"/>
      <c r="BS172" s="110"/>
      <c r="BT172" s="110"/>
      <c r="BU172" s="110"/>
      <c r="BV172" s="110"/>
      <c r="BW172" s="110"/>
      <c r="BX172" s="110"/>
      <c r="BY172" s="110"/>
      <c r="BZ172" s="110"/>
      <c r="CA172" s="110"/>
      <c r="CB172" s="110"/>
      <c r="CC172" s="110"/>
      <c r="CD172" s="110"/>
      <c r="CE172" s="110"/>
      <c r="CF172" s="110"/>
      <c r="CG172" s="110"/>
      <c r="CH172" s="110"/>
      <c r="CI172" s="110"/>
      <c r="CJ172" s="110"/>
      <c r="CK172" s="110"/>
      <c r="CL172" s="110"/>
      <c r="CM172" s="110"/>
      <c r="CN172" s="110"/>
      <c r="CO172" s="110"/>
      <c r="CP172" s="110"/>
      <c r="CQ172" s="110"/>
      <c r="CR172" s="110"/>
      <c r="CS172" s="110"/>
      <c r="CT172" s="110"/>
      <c r="CU172" s="110"/>
      <c r="CV172" s="110"/>
      <c r="CW172" s="110"/>
      <c r="CX172" s="110"/>
      <c r="CY172" s="110"/>
      <c r="CZ172" s="110"/>
      <c r="DA172" s="110"/>
      <c r="DB172" s="110"/>
      <c r="DC172" s="110"/>
      <c r="DD172" s="110"/>
      <c r="DE172" s="110"/>
      <c r="DF172" s="110"/>
      <c r="DG172" s="110"/>
      <c r="DH172" s="110"/>
      <c r="DI172" s="110"/>
      <c r="DJ172" s="110"/>
      <c r="DK172" s="110"/>
      <c r="DL172" s="110"/>
      <c r="DM172" s="110"/>
      <c r="DN172" s="110"/>
      <c r="DO172" s="110"/>
      <c r="DP172" s="110"/>
      <c r="DQ172" s="110"/>
      <c r="DR172" s="110"/>
      <c r="DS172" s="110"/>
      <c r="DT172" s="110"/>
      <c r="DU172" s="110"/>
      <c r="DV172" s="110"/>
      <c r="DW172" s="110"/>
      <c r="DX172" s="110"/>
      <c r="DY172" s="110"/>
      <c r="DZ172" s="110"/>
      <c r="EA172" s="110"/>
      <c r="EB172" s="110"/>
      <c r="EC172" s="110"/>
      <c r="ED172" s="110"/>
      <c r="EE172" s="110"/>
      <c r="EF172" s="110"/>
      <c r="EG172" s="110"/>
      <c r="EH172" s="110"/>
      <c r="EI172" s="110"/>
      <c r="EJ172" s="110"/>
      <c r="EK172" s="110"/>
      <c r="EL172" s="110"/>
      <c r="EM172" s="110"/>
      <c r="EN172" s="110"/>
      <c r="EO172" s="110"/>
      <c r="EP172" s="113"/>
    </row>
    <row r="173" spans="1:146" s="114" customFormat="1" ht="31.5" x14ac:dyDescent="0.25">
      <c r="A173" s="63">
        <v>5</v>
      </c>
      <c r="B173" s="63" t="s">
        <v>113</v>
      </c>
      <c r="C173" s="63">
        <v>3</v>
      </c>
      <c r="D173" s="64" t="s">
        <v>393</v>
      </c>
      <c r="E173" s="64" t="s">
        <v>1062</v>
      </c>
      <c r="F173" s="63" t="s">
        <v>81</v>
      </c>
      <c r="G173" s="65">
        <v>6</v>
      </c>
      <c r="H173" s="64" t="s">
        <v>1016</v>
      </c>
      <c r="I173" s="69"/>
      <c r="J173" s="110"/>
      <c r="K173" s="110"/>
      <c r="L173" s="110"/>
      <c r="M173" s="110"/>
      <c r="N173" s="110"/>
      <c r="O173" s="110"/>
      <c r="P173" s="110"/>
      <c r="Q173" s="110"/>
      <c r="R173" s="110"/>
      <c r="S173" s="110"/>
      <c r="T173" s="110"/>
      <c r="U173" s="110"/>
      <c r="V173" s="110"/>
      <c r="W173" s="110"/>
      <c r="X173" s="110"/>
      <c r="Y173" s="110"/>
      <c r="Z173" s="110"/>
      <c r="AA173" s="110"/>
      <c r="AB173" s="110"/>
      <c r="AC173" s="110"/>
      <c r="AD173" s="110"/>
      <c r="AE173" s="110"/>
      <c r="AF173" s="110"/>
      <c r="AG173" s="110"/>
      <c r="AH173" s="110"/>
      <c r="AI173" s="110"/>
      <c r="AJ173" s="110"/>
      <c r="AK173" s="110"/>
      <c r="AL173" s="110"/>
      <c r="AM173" s="110"/>
      <c r="AN173" s="110"/>
      <c r="AO173" s="110"/>
      <c r="AP173" s="110"/>
      <c r="AQ173" s="110"/>
      <c r="AR173" s="110"/>
      <c r="AS173" s="110"/>
      <c r="AT173" s="110"/>
      <c r="AU173" s="110"/>
      <c r="AV173" s="110"/>
      <c r="AW173" s="110"/>
      <c r="AX173" s="110"/>
      <c r="AY173" s="110"/>
      <c r="AZ173" s="110"/>
      <c r="BA173" s="110"/>
      <c r="BB173" s="110"/>
      <c r="BC173" s="110"/>
      <c r="BD173" s="110"/>
      <c r="BE173" s="110"/>
      <c r="BF173" s="110"/>
      <c r="BG173" s="110"/>
      <c r="BH173" s="110"/>
      <c r="BI173" s="110"/>
      <c r="BJ173" s="110"/>
      <c r="BK173" s="110"/>
      <c r="BL173" s="110"/>
      <c r="BM173" s="110"/>
      <c r="BN173" s="110"/>
      <c r="BO173" s="110"/>
      <c r="BP173" s="110"/>
      <c r="BQ173" s="110"/>
      <c r="BR173" s="110"/>
      <c r="BS173" s="110"/>
      <c r="BT173" s="110"/>
      <c r="BU173" s="110"/>
      <c r="BV173" s="110"/>
      <c r="BW173" s="110"/>
      <c r="BX173" s="110"/>
      <c r="BY173" s="110"/>
      <c r="BZ173" s="110"/>
      <c r="CA173" s="110"/>
      <c r="CB173" s="110"/>
      <c r="CC173" s="110"/>
      <c r="CD173" s="110"/>
      <c r="CE173" s="110"/>
      <c r="CF173" s="110"/>
      <c r="CG173" s="110"/>
      <c r="CH173" s="110"/>
      <c r="CI173" s="110"/>
      <c r="CJ173" s="110"/>
      <c r="CK173" s="110"/>
      <c r="CL173" s="110"/>
      <c r="CM173" s="110"/>
      <c r="CN173" s="110"/>
      <c r="CO173" s="110"/>
      <c r="CP173" s="110"/>
      <c r="CQ173" s="110"/>
      <c r="CR173" s="110"/>
      <c r="CS173" s="110"/>
      <c r="CT173" s="110"/>
      <c r="CU173" s="110"/>
      <c r="CV173" s="110"/>
      <c r="CW173" s="110"/>
      <c r="CX173" s="110"/>
      <c r="CY173" s="110"/>
      <c r="CZ173" s="110"/>
      <c r="DA173" s="110"/>
      <c r="DB173" s="110"/>
      <c r="DC173" s="110"/>
      <c r="DD173" s="110"/>
      <c r="DE173" s="110"/>
      <c r="DF173" s="110"/>
      <c r="DG173" s="110"/>
      <c r="DH173" s="110"/>
      <c r="DI173" s="110"/>
      <c r="DJ173" s="110"/>
      <c r="DK173" s="110"/>
      <c r="DL173" s="110"/>
      <c r="DM173" s="110"/>
      <c r="DN173" s="110"/>
      <c r="DO173" s="110"/>
      <c r="DP173" s="110"/>
      <c r="DQ173" s="110"/>
      <c r="DR173" s="110"/>
      <c r="DS173" s="110"/>
      <c r="DT173" s="110"/>
      <c r="DU173" s="110"/>
      <c r="DV173" s="110"/>
      <c r="DW173" s="110"/>
      <c r="DX173" s="110"/>
      <c r="DY173" s="110"/>
      <c r="DZ173" s="110"/>
      <c r="EA173" s="110"/>
      <c r="EB173" s="110"/>
      <c r="EC173" s="110"/>
      <c r="ED173" s="110"/>
      <c r="EE173" s="110"/>
      <c r="EF173" s="110"/>
      <c r="EG173" s="110"/>
      <c r="EH173" s="110"/>
      <c r="EI173" s="110"/>
      <c r="EJ173" s="110"/>
      <c r="EK173" s="110"/>
      <c r="EL173" s="110"/>
      <c r="EM173" s="110"/>
      <c r="EN173" s="110"/>
      <c r="EO173" s="110"/>
      <c r="EP173" s="113"/>
    </row>
    <row r="174" spans="1:146" s="114" customFormat="1" ht="31.5" x14ac:dyDescent="0.25">
      <c r="A174" s="63">
        <v>5</v>
      </c>
      <c r="B174" s="63" t="s">
        <v>113</v>
      </c>
      <c r="C174" s="63">
        <v>3</v>
      </c>
      <c r="D174" s="64" t="s">
        <v>393</v>
      </c>
      <c r="E174" s="64" t="s">
        <v>1063</v>
      </c>
      <c r="F174" s="63" t="s">
        <v>81</v>
      </c>
      <c r="G174" s="65">
        <v>4</v>
      </c>
      <c r="H174" s="64" t="s">
        <v>994</v>
      </c>
      <c r="I174" s="69"/>
      <c r="J174" s="110"/>
      <c r="K174" s="110"/>
      <c r="L174" s="110"/>
      <c r="M174" s="110"/>
      <c r="N174" s="110"/>
      <c r="O174" s="110"/>
      <c r="P174" s="110"/>
      <c r="Q174" s="110"/>
      <c r="R174" s="110"/>
      <c r="S174" s="110"/>
      <c r="T174" s="110"/>
      <c r="U174" s="110"/>
      <c r="V174" s="110"/>
      <c r="W174" s="110"/>
      <c r="X174" s="110"/>
      <c r="Y174" s="110"/>
      <c r="Z174" s="110"/>
      <c r="AA174" s="110"/>
      <c r="AB174" s="110"/>
      <c r="AC174" s="110"/>
      <c r="AD174" s="110"/>
      <c r="AE174" s="110"/>
      <c r="AF174" s="110"/>
      <c r="AG174" s="110"/>
      <c r="AH174" s="110"/>
      <c r="AI174" s="110"/>
      <c r="AJ174" s="110"/>
      <c r="AK174" s="110"/>
      <c r="AL174" s="110"/>
      <c r="AM174" s="110"/>
      <c r="AN174" s="110"/>
      <c r="AO174" s="110"/>
      <c r="AP174" s="110"/>
      <c r="AQ174" s="110"/>
      <c r="AR174" s="110"/>
      <c r="AS174" s="110"/>
      <c r="AT174" s="110"/>
      <c r="AU174" s="110"/>
      <c r="AV174" s="110"/>
      <c r="AW174" s="110"/>
      <c r="AX174" s="110"/>
      <c r="AY174" s="110"/>
      <c r="AZ174" s="110"/>
      <c r="BA174" s="110"/>
      <c r="BB174" s="110"/>
      <c r="BC174" s="110"/>
      <c r="BD174" s="110"/>
      <c r="BE174" s="110"/>
      <c r="BF174" s="110"/>
      <c r="BG174" s="110"/>
      <c r="BH174" s="110"/>
      <c r="BI174" s="110"/>
      <c r="BJ174" s="110"/>
      <c r="BK174" s="110"/>
      <c r="BL174" s="110"/>
      <c r="BM174" s="110"/>
      <c r="BN174" s="110"/>
      <c r="BO174" s="110"/>
      <c r="BP174" s="110"/>
      <c r="BQ174" s="110"/>
      <c r="BR174" s="110"/>
      <c r="BS174" s="110"/>
      <c r="BT174" s="110"/>
      <c r="BU174" s="110"/>
      <c r="BV174" s="110"/>
      <c r="BW174" s="110"/>
      <c r="BX174" s="110"/>
      <c r="BY174" s="110"/>
      <c r="BZ174" s="110"/>
      <c r="CA174" s="110"/>
      <c r="CB174" s="110"/>
      <c r="CC174" s="110"/>
      <c r="CD174" s="110"/>
      <c r="CE174" s="110"/>
      <c r="CF174" s="110"/>
      <c r="CG174" s="110"/>
      <c r="CH174" s="110"/>
      <c r="CI174" s="110"/>
      <c r="CJ174" s="110"/>
      <c r="CK174" s="110"/>
      <c r="CL174" s="110"/>
      <c r="CM174" s="110"/>
      <c r="CN174" s="110"/>
      <c r="CO174" s="110"/>
      <c r="CP174" s="110"/>
      <c r="CQ174" s="110"/>
      <c r="CR174" s="110"/>
      <c r="CS174" s="110"/>
      <c r="CT174" s="110"/>
      <c r="CU174" s="110"/>
      <c r="CV174" s="110"/>
      <c r="CW174" s="110"/>
      <c r="CX174" s="110"/>
      <c r="CY174" s="110"/>
      <c r="CZ174" s="110"/>
      <c r="DA174" s="110"/>
      <c r="DB174" s="110"/>
      <c r="DC174" s="110"/>
      <c r="DD174" s="110"/>
      <c r="DE174" s="110"/>
      <c r="DF174" s="110"/>
      <c r="DG174" s="110"/>
      <c r="DH174" s="110"/>
      <c r="DI174" s="110"/>
      <c r="DJ174" s="110"/>
      <c r="DK174" s="110"/>
      <c r="DL174" s="110"/>
      <c r="DM174" s="110"/>
      <c r="DN174" s="110"/>
      <c r="DO174" s="110"/>
      <c r="DP174" s="110"/>
      <c r="DQ174" s="110"/>
      <c r="DR174" s="110"/>
      <c r="DS174" s="110"/>
      <c r="DT174" s="110"/>
      <c r="DU174" s="110"/>
      <c r="DV174" s="110"/>
      <c r="DW174" s="110"/>
      <c r="DX174" s="110"/>
      <c r="DY174" s="110"/>
      <c r="DZ174" s="110"/>
      <c r="EA174" s="110"/>
      <c r="EB174" s="110"/>
      <c r="EC174" s="110"/>
      <c r="ED174" s="110"/>
      <c r="EE174" s="110"/>
      <c r="EF174" s="110"/>
      <c r="EG174" s="110"/>
      <c r="EH174" s="110"/>
      <c r="EI174" s="110"/>
      <c r="EJ174" s="110"/>
      <c r="EK174" s="110"/>
      <c r="EL174" s="110"/>
      <c r="EM174" s="110"/>
      <c r="EN174" s="110"/>
      <c r="EO174" s="110"/>
      <c r="EP174" s="113"/>
    </row>
    <row r="175" spans="1:146" s="114" customFormat="1" x14ac:dyDescent="0.25">
      <c r="A175" s="63">
        <v>5</v>
      </c>
      <c r="B175" s="63" t="s">
        <v>113</v>
      </c>
      <c r="C175" s="63">
        <v>3</v>
      </c>
      <c r="D175" s="64" t="s">
        <v>1</v>
      </c>
      <c r="E175" s="64" t="s">
        <v>995</v>
      </c>
      <c r="F175" s="63" t="s">
        <v>69</v>
      </c>
      <c r="G175" s="65">
        <v>13</v>
      </c>
      <c r="H175" s="64" t="s">
        <v>618</v>
      </c>
      <c r="I175" s="69"/>
      <c r="J175" s="110"/>
      <c r="K175" s="110"/>
      <c r="L175" s="110"/>
      <c r="M175" s="110"/>
      <c r="N175" s="110"/>
      <c r="O175" s="110"/>
      <c r="P175" s="110"/>
      <c r="Q175" s="110"/>
      <c r="R175" s="110"/>
      <c r="S175" s="110"/>
      <c r="T175" s="110"/>
      <c r="U175" s="110"/>
      <c r="V175" s="110"/>
      <c r="W175" s="110"/>
      <c r="X175" s="110"/>
      <c r="Y175" s="110"/>
      <c r="Z175" s="110"/>
      <c r="AA175" s="110"/>
      <c r="AB175" s="110"/>
      <c r="AC175" s="110"/>
      <c r="AD175" s="110"/>
      <c r="AE175" s="110"/>
      <c r="AF175" s="110"/>
      <c r="AG175" s="110"/>
      <c r="AH175" s="110"/>
      <c r="AI175" s="110"/>
      <c r="AJ175" s="110"/>
      <c r="AK175" s="110"/>
      <c r="AL175" s="110"/>
      <c r="AM175" s="110"/>
      <c r="AN175" s="110"/>
      <c r="AO175" s="110"/>
      <c r="AP175" s="110"/>
      <c r="AQ175" s="110"/>
      <c r="AR175" s="110"/>
      <c r="AS175" s="110"/>
      <c r="AT175" s="110"/>
      <c r="AU175" s="110"/>
      <c r="AV175" s="110"/>
      <c r="AW175" s="110"/>
      <c r="AX175" s="110"/>
      <c r="AY175" s="110"/>
      <c r="AZ175" s="110"/>
      <c r="BA175" s="110"/>
      <c r="BB175" s="110"/>
      <c r="BC175" s="110"/>
      <c r="BD175" s="110"/>
      <c r="BE175" s="110"/>
      <c r="BF175" s="110"/>
      <c r="BG175" s="110"/>
      <c r="BH175" s="110"/>
      <c r="BI175" s="110"/>
      <c r="BJ175" s="110"/>
      <c r="BK175" s="110"/>
      <c r="BL175" s="110"/>
      <c r="BM175" s="110"/>
      <c r="BN175" s="110"/>
      <c r="BO175" s="110"/>
      <c r="BP175" s="110"/>
      <c r="BQ175" s="110"/>
      <c r="BR175" s="110"/>
      <c r="BS175" s="110"/>
      <c r="BT175" s="110"/>
      <c r="BU175" s="110"/>
      <c r="BV175" s="110"/>
      <c r="BW175" s="110"/>
      <c r="BX175" s="110"/>
      <c r="BY175" s="110"/>
      <c r="BZ175" s="110"/>
      <c r="CA175" s="110"/>
      <c r="CB175" s="110"/>
      <c r="CC175" s="110"/>
      <c r="CD175" s="110"/>
      <c r="CE175" s="110"/>
      <c r="CF175" s="110"/>
      <c r="CG175" s="110"/>
      <c r="CH175" s="110"/>
      <c r="CI175" s="110"/>
      <c r="CJ175" s="110"/>
      <c r="CK175" s="110"/>
      <c r="CL175" s="110"/>
      <c r="CM175" s="110"/>
      <c r="CN175" s="110"/>
      <c r="CO175" s="110"/>
      <c r="CP175" s="110"/>
      <c r="CQ175" s="110"/>
      <c r="CR175" s="110"/>
      <c r="CS175" s="110"/>
      <c r="CT175" s="110"/>
      <c r="CU175" s="110"/>
      <c r="CV175" s="110"/>
      <c r="CW175" s="110"/>
      <c r="CX175" s="110"/>
      <c r="CY175" s="110"/>
      <c r="CZ175" s="110"/>
      <c r="DA175" s="110"/>
      <c r="DB175" s="110"/>
      <c r="DC175" s="110"/>
      <c r="DD175" s="110"/>
      <c r="DE175" s="110"/>
      <c r="DF175" s="110"/>
      <c r="DG175" s="110"/>
      <c r="DH175" s="110"/>
      <c r="DI175" s="110"/>
      <c r="DJ175" s="110"/>
      <c r="DK175" s="110"/>
      <c r="DL175" s="110"/>
      <c r="DM175" s="110"/>
      <c r="DN175" s="110"/>
      <c r="DO175" s="110"/>
      <c r="DP175" s="110"/>
      <c r="DQ175" s="110"/>
      <c r="DR175" s="110"/>
      <c r="DS175" s="110"/>
      <c r="DT175" s="110"/>
      <c r="DU175" s="110"/>
      <c r="DV175" s="110"/>
      <c r="DW175" s="110"/>
      <c r="DX175" s="110"/>
      <c r="DY175" s="110"/>
      <c r="DZ175" s="110"/>
      <c r="EA175" s="110"/>
      <c r="EB175" s="110"/>
      <c r="EC175" s="110"/>
      <c r="ED175" s="110"/>
      <c r="EE175" s="110"/>
      <c r="EF175" s="110"/>
      <c r="EG175" s="110"/>
      <c r="EH175" s="110"/>
      <c r="EI175" s="110"/>
      <c r="EJ175" s="110"/>
      <c r="EK175" s="110"/>
      <c r="EL175" s="110"/>
      <c r="EM175" s="110"/>
      <c r="EN175" s="110"/>
      <c r="EO175" s="110"/>
      <c r="EP175" s="113"/>
    </row>
    <row r="176" spans="1:146" s="114" customFormat="1" ht="31.5" x14ac:dyDescent="0.25">
      <c r="A176" s="63">
        <v>5</v>
      </c>
      <c r="B176" s="63" t="s">
        <v>113</v>
      </c>
      <c r="C176" s="63">
        <v>3</v>
      </c>
      <c r="D176" s="64" t="s">
        <v>1</v>
      </c>
      <c r="E176" s="64" t="s">
        <v>1064</v>
      </c>
      <c r="F176" s="63" t="s">
        <v>69</v>
      </c>
      <c r="G176" s="65">
        <v>270</v>
      </c>
      <c r="H176" s="64" t="s">
        <v>1000</v>
      </c>
      <c r="I176" s="69"/>
      <c r="J176" s="110"/>
      <c r="K176" s="110"/>
      <c r="L176" s="110"/>
      <c r="M176" s="110"/>
      <c r="N176" s="110"/>
      <c r="O176" s="110"/>
      <c r="P176" s="110"/>
      <c r="Q176" s="110"/>
      <c r="R176" s="110"/>
      <c r="S176" s="110"/>
      <c r="T176" s="110"/>
      <c r="U176" s="110"/>
      <c r="V176" s="110"/>
      <c r="W176" s="110"/>
      <c r="X176" s="110"/>
      <c r="Y176" s="110"/>
      <c r="Z176" s="110"/>
      <c r="AA176" s="110"/>
      <c r="AB176" s="110"/>
      <c r="AC176" s="110"/>
      <c r="AD176" s="110"/>
      <c r="AE176" s="110"/>
      <c r="AF176" s="110"/>
      <c r="AG176" s="110"/>
      <c r="AH176" s="110"/>
      <c r="AI176" s="110"/>
      <c r="AJ176" s="110"/>
      <c r="AK176" s="110"/>
      <c r="AL176" s="110"/>
      <c r="AM176" s="110"/>
      <c r="AN176" s="110"/>
      <c r="AO176" s="110"/>
      <c r="AP176" s="110"/>
      <c r="AQ176" s="110"/>
      <c r="AR176" s="110"/>
      <c r="AS176" s="110"/>
      <c r="AT176" s="110"/>
      <c r="AU176" s="110"/>
      <c r="AV176" s="110"/>
      <c r="AW176" s="110"/>
      <c r="AX176" s="110"/>
      <c r="AY176" s="110"/>
      <c r="AZ176" s="110"/>
      <c r="BA176" s="110"/>
      <c r="BB176" s="110"/>
      <c r="BC176" s="110"/>
      <c r="BD176" s="110"/>
      <c r="BE176" s="110"/>
      <c r="BF176" s="110"/>
      <c r="BG176" s="110"/>
      <c r="BH176" s="110"/>
      <c r="BI176" s="110"/>
      <c r="BJ176" s="110"/>
      <c r="BK176" s="110"/>
      <c r="BL176" s="110"/>
      <c r="BM176" s="110"/>
      <c r="BN176" s="110"/>
      <c r="BO176" s="110"/>
      <c r="BP176" s="110"/>
      <c r="BQ176" s="110"/>
      <c r="BR176" s="110"/>
      <c r="BS176" s="110"/>
      <c r="BT176" s="110"/>
      <c r="BU176" s="110"/>
      <c r="BV176" s="110"/>
      <c r="BW176" s="110"/>
      <c r="BX176" s="110"/>
      <c r="BY176" s="110"/>
      <c r="BZ176" s="110"/>
      <c r="CA176" s="110"/>
      <c r="CB176" s="110"/>
      <c r="CC176" s="110"/>
      <c r="CD176" s="110"/>
      <c r="CE176" s="110"/>
      <c r="CF176" s="110"/>
      <c r="CG176" s="110"/>
      <c r="CH176" s="110"/>
      <c r="CI176" s="110"/>
      <c r="CJ176" s="110"/>
      <c r="CK176" s="110"/>
      <c r="CL176" s="110"/>
      <c r="CM176" s="110"/>
      <c r="CN176" s="110"/>
      <c r="CO176" s="110"/>
      <c r="CP176" s="110"/>
      <c r="CQ176" s="110"/>
      <c r="CR176" s="110"/>
      <c r="CS176" s="110"/>
      <c r="CT176" s="110"/>
      <c r="CU176" s="110"/>
      <c r="CV176" s="110"/>
      <c r="CW176" s="110"/>
      <c r="CX176" s="110"/>
      <c r="CY176" s="110"/>
      <c r="CZ176" s="110"/>
      <c r="DA176" s="110"/>
      <c r="DB176" s="110"/>
      <c r="DC176" s="110"/>
      <c r="DD176" s="110"/>
      <c r="DE176" s="110"/>
      <c r="DF176" s="110"/>
      <c r="DG176" s="110"/>
      <c r="DH176" s="110"/>
      <c r="DI176" s="110"/>
      <c r="DJ176" s="110"/>
      <c r="DK176" s="110"/>
      <c r="DL176" s="110"/>
      <c r="DM176" s="110"/>
      <c r="DN176" s="110"/>
      <c r="DO176" s="110"/>
      <c r="DP176" s="110"/>
      <c r="DQ176" s="110"/>
      <c r="DR176" s="110"/>
      <c r="DS176" s="110"/>
      <c r="DT176" s="110"/>
      <c r="DU176" s="110"/>
      <c r="DV176" s="110"/>
      <c r="DW176" s="110"/>
      <c r="DX176" s="110"/>
      <c r="DY176" s="110"/>
      <c r="DZ176" s="110"/>
      <c r="EA176" s="110"/>
      <c r="EB176" s="110"/>
      <c r="EC176" s="110"/>
      <c r="ED176" s="110"/>
      <c r="EE176" s="110"/>
      <c r="EF176" s="110"/>
      <c r="EG176" s="110"/>
      <c r="EH176" s="110"/>
      <c r="EI176" s="110"/>
      <c r="EJ176" s="110"/>
      <c r="EK176" s="110"/>
      <c r="EL176" s="110"/>
      <c r="EM176" s="110"/>
      <c r="EN176" s="110"/>
      <c r="EO176" s="110"/>
      <c r="EP176" s="113"/>
    </row>
    <row r="177" spans="1:147" s="114" customFormat="1" x14ac:dyDescent="0.25">
      <c r="A177" s="63">
        <v>5</v>
      </c>
      <c r="B177" s="63" t="s">
        <v>113</v>
      </c>
      <c r="C177" s="63">
        <v>3</v>
      </c>
      <c r="D177" s="64" t="s">
        <v>393</v>
      </c>
      <c r="E177" s="64" t="s">
        <v>1065</v>
      </c>
      <c r="F177" s="63" t="s">
        <v>69</v>
      </c>
      <c r="G177" s="65">
        <v>114</v>
      </c>
      <c r="H177" s="64" t="s">
        <v>987</v>
      </c>
      <c r="I177" s="69"/>
      <c r="J177" s="110"/>
      <c r="K177" s="110"/>
      <c r="L177" s="110"/>
      <c r="M177" s="110"/>
      <c r="N177" s="110"/>
      <c r="O177" s="110"/>
      <c r="P177" s="110"/>
      <c r="Q177" s="110"/>
      <c r="R177" s="110"/>
      <c r="S177" s="110"/>
      <c r="T177" s="110"/>
      <c r="U177" s="110"/>
      <c r="V177" s="110"/>
      <c r="W177" s="110"/>
      <c r="X177" s="110"/>
      <c r="Y177" s="110"/>
      <c r="Z177" s="110"/>
      <c r="AA177" s="110"/>
      <c r="AB177" s="110"/>
      <c r="AC177" s="110"/>
      <c r="AD177" s="110"/>
      <c r="AE177" s="110"/>
      <c r="AF177" s="110"/>
      <c r="AG177" s="110"/>
      <c r="AH177" s="110"/>
      <c r="AI177" s="110"/>
      <c r="AJ177" s="110"/>
      <c r="AK177" s="110"/>
      <c r="AL177" s="110"/>
      <c r="AM177" s="110"/>
      <c r="AN177" s="110"/>
      <c r="AO177" s="110"/>
      <c r="AP177" s="110"/>
      <c r="AQ177" s="110"/>
      <c r="AR177" s="110"/>
      <c r="AS177" s="110"/>
      <c r="AT177" s="110"/>
      <c r="AU177" s="110"/>
      <c r="AV177" s="110"/>
      <c r="AW177" s="110"/>
      <c r="AX177" s="110"/>
      <c r="AY177" s="110"/>
      <c r="AZ177" s="110"/>
      <c r="BA177" s="110"/>
      <c r="BB177" s="110"/>
      <c r="BC177" s="110"/>
      <c r="BD177" s="110"/>
      <c r="BE177" s="110"/>
      <c r="BF177" s="110"/>
      <c r="BG177" s="110"/>
      <c r="BH177" s="110"/>
      <c r="BI177" s="110"/>
      <c r="BJ177" s="110"/>
      <c r="BK177" s="110"/>
      <c r="BL177" s="110"/>
      <c r="BM177" s="110"/>
      <c r="BN177" s="110"/>
      <c r="BO177" s="110"/>
      <c r="BP177" s="110"/>
      <c r="BQ177" s="110"/>
      <c r="BR177" s="110"/>
      <c r="BS177" s="110"/>
      <c r="BT177" s="110"/>
      <c r="BU177" s="110"/>
      <c r="BV177" s="110"/>
      <c r="BW177" s="110"/>
      <c r="BX177" s="110"/>
      <c r="BY177" s="110"/>
      <c r="BZ177" s="110"/>
      <c r="CA177" s="110"/>
      <c r="CB177" s="110"/>
      <c r="CC177" s="110"/>
      <c r="CD177" s="110"/>
      <c r="CE177" s="110"/>
      <c r="CF177" s="110"/>
      <c r="CG177" s="110"/>
      <c r="CH177" s="110"/>
      <c r="CI177" s="110"/>
      <c r="CJ177" s="110"/>
      <c r="CK177" s="110"/>
      <c r="CL177" s="110"/>
      <c r="CM177" s="110"/>
      <c r="CN177" s="110"/>
      <c r="CO177" s="110"/>
      <c r="CP177" s="110"/>
      <c r="CQ177" s="110"/>
      <c r="CR177" s="110"/>
      <c r="CS177" s="110"/>
      <c r="CT177" s="110"/>
      <c r="CU177" s="110"/>
      <c r="CV177" s="110"/>
      <c r="CW177" s="110"/>
      <c r="CX177" s="110"/>
      <c r="CY177" s="110"/>
      <c r="CZ177" s="110"/>
      <c r="DA177" s="110"/>
      <c r="DB177" s="110"/>
      <c r="DC177" s="110"/>
      <c r="DD177" s="110"/>
      <c r="DE177" s="110"/>
      <c r="DF177" s="110"/>
      <c r="DG177" s="110"/>
      <c r="DH177" s="110"/>
      <c r="DI177" s="110"/>
      <c r="DJ177" s="110"/>
      <c r="DK177" s="110"/>
      <c r="DL177" s="110"/>
      <c r="DM177" s="110"/>
      <c r="DN177" s="110"/>
      <c r="DO177" s="110"/>
      <c r="DP177" s="110"/>
      <c r="DQ177" s="110"/>
      <c r="DR177" s="110"/>
      <c r="DS177" s="110"/>
      <c r="DT177" s="110"/>
      <c r="DU177" s="110"/>
      <c r="DV177" s="110"/>
      <c r="DW177" s="110"/>
      <c r="DX177" s="110"/>
      <c r="DY177" s="110"/>
      <c r="DZ177" s="110"/>
      <c r="EA177" s="110"/>
      <c r="EB177" s="110"/>
      <c r="EC177" s="110"/>
      <c r="ED177" s="110"/>
      <c r="EE177" s="110"/>
      <c r="EF177" s="110"/>
      <c r="EG177" s="110"/>
      <c r="EH177" s="110"/>
      <c r="EI177" s="110"/>
      <c r="EJ177" s="110"/>
      <c r="EK177" s="110"/>
      <c r="EL177" s="110"/>
      <c r="EM177" s="110"/>
      <c r="EN177" s="110"/>
      <c r="EO177" s="110"/>
      <c r="EP177" s="113"/>
    </row>
    <row r="178" spans="1:147" s="114" customFormat="1" x14ac:dyDescent="0.25">
      <c r="A178" s="63">
        <v>5</v>
      </c>
      <c r="B178" s="63" t="s">
        <v>113</v>
      </c>
      <c r="C178" s="63">
        <v>3</v>
      </c>
      <c r="D178" s="64" t="s">
        <v>393</v>
      </c>
      <c r="E178" s="64" t="s">
        <v>1066</v>
      </c>
      <c r="F178" s="63" t="s">
        <v>81</v>
      </c>
      <c r="G178" s="65">
        <v>10</v>
      </c>
      <c r="H178" s="64" t="s">
        <v>988</v>
      </c>
      <c r="I178" s="69"/>
      <c r="J178" s="110"/>
      <c r="K178" s="110"/>
      <c r="L178" s="110"/>
      <c r="M178" s="110"/>
      <c r="N178" s="110"/>
      <c r="O178" s="110"/>
      <c r="P178" s="110"/>
      <c r="Q178" s="110"/>
      <c r="R178" s="110"/>
      <c r="S178" s="110"/>
      <c r="T178" s="110"/>
      <c r="U178" s="110"/>
      <c r="V178" s="110"/>
      <c r="W178" s="110"/>
      <c r="X178" s="110"/>
      <c r="Y178" s="110"/>
      <c r="Z178" s="110"/>
      <c r="AA178" s="110"/>
      <c r="AB178" s="110"/>
      <c r="AC178" s="110"/>
      <c r="AD178" s="110"/>
      <c r="AE178" s="110"/>
      <c r="AF178" s="110"/>
      <c r="AG178" s="110"/>
      <c r="AH178" s="110"/>
      <c r="AI178" s="110"/>
      <c r="AJ178" s="110"/>
      <c r="AK178" s="110"/>
      <c r="AL178" s="110"/>
      <c r="AM178" s="110"/>
      <c r="AN178" s="110"/>
      <c r="AO178" s="110"/>
      <c r="AP178" s="110"/>
      <c r="AQ178" s="110"/>
      <c r="AR178" s="110"/>
      <c r="AS178" s="110"/>
      <c r="AT178" s="110"/>
      <c r="AU178" s="110"/>
      <c r="AV178" s="110"/>
      <c r="AW178" s="110"/>
      <c r="AX178" s="110"/>
      <c r="AY178" s="110"/>
      <c r="AZ178" s="110"/>
      <c r="BA178" s="110"/>
      <c r="BB178" s="110"/>
      <c r="BC178" s="110"/>
      <c r="BD178" s="110"/>
      <c r="BE178" s="110"/>
      <c r="BF178" s="110"/>
      <c r="BG178" s="110"/>
      <c r="BH178" s="110"/>
      <c r="BI178" s="110"/>
      <c r="BJ178" s="110"/>
      <c r="BK178" s="110"/>
      <c r="BL178" s="110"/>
      <c r="BM178" s="110"/>
      <c r="BN178" s="110"/>
      <c r="BO178" s="110"/>
      <c r="BP178" s="110"/>
      <c r="BQ178" s="110"/>
      <c r="BR178" s="110"/>
      <c r="BS178" s="110"/>
      <c r="BT178" s="110"/>
      <c r="BU178" s="110"/>
      <c r="BV178" s="110"/>
      <c r="BW178" s="110"/>
      <c r="BX178" s="110"/>
      <c r="BY178" s="110"/>
      <c r="BZ178" s="110"/>
      <c r="CA178" s="110"/>
      <c r="CB178" s="110"/>
      <c r="CC178" s="110"/>
      <c r="CD178" s="110"/>
      <c r="CE178" s="110"/>
      <c r="CF178" s="110"/>
      <c r="CG178" s="110"/>
      <c r="CH178" s="110"/>
      <c r="CI178" s="110"/>
      <c r="CJ178" s="110"/>
      <c r="CK178" s="110"/>
      <c r="CL178" s="110"/>
      <c r="CM178" s="110"/>
      <c r="CN178" s="110"/>
      <c r="CO178" s="110"/>
      <c r="CP178" s="110"/>
      <c r="CQ178" s="110"/>
      <c r="CR178" s="110"/>
      <c r="CS178" s="110"/>
      <c r="CT178" s="110"/>
      <c r="CU178" s="110"/>
      <c r="CV178" s="110"/>
      <c r="CW178" s="110"/>
      <c r="CX178" s="110"/>
      <c r="CY178" s="110"/>
      <c r="CZ178" s="110"/>
      <c r="DA178" s="110"/>
      <c r="DB178" s="110"/>
      <c r="DC178" s="110"/>
      <c r="DD178" s="110"/>
      <c r="DE178" s="110"/>
      <c r="DF178" s="110"/>
      <c r="DG178" s="110"/>
      <c r="DH178" s="110"/>
      <c r="DI178" s="110"/>
      <c r="DJ178" s="110"/>
      <c r="DK178" s="110"/>
      <c r="DL178" s="110"/>
      <c r="DM178" s="110"/>
      <c r="DN178" s="110"/>
      <c r="DO178" s="110"/>
      <c r="DP178" s="110"/>
      <c r="DQ178" s="110"/>
      <c r="DR178" s="110"/>
      <c r="DS178" s="110"/>
      <c r="DT178" s="110"/>
      <c r="DU178" s="110"/>
      <c r="DV178" s="110"/>
      <c r="DW178" s="110"/>
      <c r="DX178" s="110"/>
      <c r="DY178" s="110"/>
      <c r="DZ178" s="110"/>
      <c r="EA178" s="110"/>
      <c r="EB178" s="110"/>
      <c r="EC178" s="110"/>
      <c r="ED178" s="110"/>
      <c r="EE178" s="110"/>
      <c r="EF178" s="110"/>
      <c r="EG178" s="110"/>
      <c r="EH178" s="110"/>
      <c r="EI178" s="110"/>
      <c r="EJ178" s="110"/>
      <c r="EK178" s="110"/>
      <c r="EL178" s="110"/>
      <c r="EM178" s="110"/>
      <c r="EN178" s="110"/>
      <c r="EO178" s="110"/>
      <c r="EP178" s="113"/>
    </row>
    <row r="179" spans="1:147" s="114" customFormat="1" x14ac:dyDescent="0.25">
      <c r="A179" s="63">
        <v>5</v>
      </c>
      <c r="B179" s="63" t="s">
        <v>113</v>
      </c>
      <c r="C179" s="63">
        <v>3</v>
      </c>
      <c r="D179" s="64" t="s">
        <v>393</v>
      </c>
      <c r="E179" s="64" t="s">
        <v>1067</v>
      </c>
      <c r="F179" s="63" t="s">
        <v>81</v>
      </c>
      <c r="G179" s="65">
        <v>38</v>
      </c>
      <c r="H179" s="64" t="s">
        <v>609</v>
      </c>
      <c r="I179" s="69"/>
      <c r="J179" s="110"/>
      <c r="K179" s="110"/>
      <c r="L179" s="110"/>
      <c r="M179" s="110"/>
      <c r="N179" s="110"/>
      <c r="O179" s="110"/>
      <c r="P179" s="110"/>
      <c r="Q179" s="110"/>
      <c r="R179" s="110"/>
      <c r="S179" s="110"/>
      <c r="T179" s="110"/>
      <c r="U179" s="110"/>
      <c r="V179" s="110"/>
      <c r="W179" s="110"/>
      <c r="X179" s="110"/>
      <c r="Y179" s="110"/>
      <c r="Z179" s="110"/>
      <c r="AA179" s="110"/>
      <c r="AB179" s="110"/>
      <c r="AC179" s="110"/>
      <c r="AD179" s="110"/>
      <c r="AE179" s="110"/>
      <c r="AF179" s="110"/>
      <c r="AG179" s="110"/>
      <c r="AH179" s="110"/>
      <c r="AI179" s="110"/>
      <c r="AJ179" s="110"/>
      <c r="AK179" s="110"/>
      <c r="AL179" s="110"/>
      <c r="AM179" s="110"/>
      <c r="AN179" s="110"/>
      <c r="AO179" s="110"/>
      <c r="AP179" s="110"/>
      <c r="AQ179" s="110"/>
      <c r="AR179" s="110"/>
      <c r="AS179" s="110"/>
      <c r="AT179" s="110"/>
      <c r="AU179" s="110"/>
      <c r="AV179" s="110"/>
      <c r="AW179" s="110"/>
      <c r="AX179" s="110"/>
      <c r="AY179" s="110"/>
      <c r="AZ179" s="110"/>
      <c r="BA179" s="110"/>
      <c r="BB179" s="110"/>
      <c r="BC179" s="110"/>
      <c r="BD179" s="110"/>
      <c r="BE179" s="110"/>
      <c r="BF179" s="110"/>
      <c r="BG179" s="110"/>
      <c r="BH179" s="110"/>
      <c r="BI179" s="110"/>
      <c r="BJ179" s="110"/>
      <c r="BK179" s="110"/>
      <c r="BL179" s="110"/>
      <c r="BM179" s="110"/>
      <c r="BN179" s="110"/>
      <c r="BO179" s="110"/>
      <c r="BP179" s="110"/>
      <c r="BQ179" s="110"/>
      <c r="BR179" s="110"/>
      <c r="BS179" s="110"/>
      <c r="BT179" s="110"/>
      <c r="BU179" s="110"/>
      <c r="BV179" s="110"/>
      <c r="BW179" s="110"/>
      <c r="BX179" s="110"/>
      <c r="BY179" s="110"/>
      <c r="BZ179" s="110"/>
      <c r="CA179" s="110"/>
      <c r="CB179" s="110"/>
      <c r="CC179" s="110"/>
      <c r="CD179" s="110"/>
      <c r="CE179" s="110"/>
      <c r="CF179" s="110"/>
      <c r="CG179" s="110"/>
      <c r="CH179" s="110"/>
      <c r="CI179" s="110"/>
      <c r="CJ179" s="110"/>
      <c r="CK179" s="110"/>
      <c r="CL179" s="110"/>
      <c r="CM179" s="110"/>
      <c r="CN179" s="110"/>
      <c r="CO179" s="110"/>
      <c r="CP179" s="110"/>
      <c r="CQ179" s="110"/>
      <c r="CR179" s="110"/>
      <c r="CS179" s="110"/>
      <c r="CT179" s="110"/>
      <c r="CU179" s="110"/>
      <c r="CV179" s="110"/>
      <c r="CW179" s="110"/>
      <c r="CX179" s="110"/>
      <c r="CY179" s="110"/>
      <c r="CZ179" s="110"/>
      <c r="DA179" s="110"/>
      <c r="DB179" s="110"/>
      <c r="DC179" s="110"/>
      <c r="DD179" s="110"/>
      <c r="DE179" s="110"/>
      <c r="DF179" s="110"/>
      <c r="DG179" s="110"/>
      <c r="DH179" s="110"/>
      <c r="DI179" s="110"/>
      <c r="DJ179" s="110"/>
      <c r="DK179" s="110"/>
      <c r="DL179" s="110"/>
      <c r="DM179" s="110"/>
      <c r="DN179" s="110"/>
      <c r="DO179" s="110"/>
      <c r="DP179" s="110"/>
      <c r="DQ179" s="110"/>
      <c r="DR179" s="110"/>
      <c r="DS179" s="110"/>
      <c r="DT179" s="110"/>
      <c r="DU179" s="110"/>
      <c r="DV179" s="110"/>
      <c r="DW179" s="110"/>
      <c r="DX179" s="110"/>
      <c r="DY179" s="110"/>
      <c r="DZ179" s="110"/>
      <c r="EA179" s="110"/>
      <c r="EB179" s="110"/>
      <c r="EC179" s="110"/>
      <c r="ED179" s="110"/>
      <c r="EE179" s="110"/>
      <c r="EF179" s="110"/>
      <c r="EG179" s="110"/>
      <c r="EH179" s="110"/>
      <c r="EI179" s="110"/>
      <c r="EJ179" s="110"/>
      <c r="EK179" s="110"/>
      <c r="EL179" s="110"/>
      <c r="EM179" s="110"/>
      <c r="EN179" s="110"/>
      <c r="EO179" s="110"/>
      <c r="EP179" s="113"/>
    </row>
    <row r="180" spans="1:147" x14ac:dyDescent="0.25">
      <c r="A180" s="63">
        <v>5</v>
      </c>
      <c r="B180" s="63" t="s">
        <v>113</v>
      </c>
      <c r="C180" s="63">
        <v>3</v>
      </c>
      <c r="D180" s="64" t="s">
        <v>393</v>
      </c>
      <c r="E180" s="64" t="s">
        <v>1069</v>
      </c>
      <c r="F180" s="63" t="s">
        <v>69</v>
      </c>
      <c r="G180" s="65">
        <v>56</v>
      </c>
      <c r="H180" s="64" t="s">
        <v>991</v>
      </c>
      <c r="I180" s="69"/>
      <c r="EP180" s="111"/>
      <c r="EQ180" s="115"/>
    </row>
    <row r="181" spans="1:147" x14ac:dyDescent="0.25">
      <c r="A181" s="63">
        <v>5</v>
      </c>
      <c r="B181" s="63" t="s">
        <v>113</v>
      </c>
      <c r="C181" s="63">
        <v>3</v>
      </c>
      <c r="D181" s="64" t="s">
        <v>393</v>
      </c>
      <c r="E181" s="64" t="s">
        <v>1068</v>
      </c>
      <c r="F181" s="63" t="s">
        <v>81</v>
      </c>
      <c r="G181" s="65">
        <v>50</v>
      </c>
      <c r="H181" s="64" t="s">
        <v>996</v>
      </c>
      <c r="I181" s="69"/>
      <c r="EP181" s="111"/>
      <c r="EQ181" s="115"/>
    </row>
    <row r="182" spans="1:147" s="110" customFormat="1" x14ac:dyDescent="0.25">
      <c r="A182" s="63">
        <v>5</v>
      </c>
      <c r="B182" s="63" t="s">
        <v>113</v>
      </c>
      <c r="C182" s="63">
        <v>3</v>
      </c>
      <c r="D182" s="64" t="s">
        <v>393</v>
      </c>
      <c r="E182" s="64" t="s">
        <v>1070</v>
      </c>
      <c r="F182" s="63" t="s">
        <v>69</v>
      </c>
      <c r="G182" s="65">
        <v>69</v>
      </c>
      <c r="H182" s="64" t="s">
        <v>997</v>
      </c>
      <c r="I182" s="69"/>
      <c r="EP182" s="111"/>
    </row>
    <row r="183" spans="1:147" s="110" customFormat="1" x14ac:dyDescent="0.25">
      <c r="A183" s="63">
        <v>5</v>
      </c>
      <c r="B183" s="63" t="s">
        <v>113</v>
      </c>
      <c r="C183" s="63">
        <v>3</v>
      </c>
      <c r="D183" s="64" t="s">
        <v>393</v>
      </c>
      <c r="E183" s="64" t="s">
        <v>1071</v>
      </c>
      <c r="F183" s="63" t="s">
        <v>69</v>
      </c>
      <c r="G183" s="65">
        <v>53</v>
      </c>
      <c r="H183" s="64" t="s">
        <v>997</v>
      </c>
      <c r="I183" s="69"/>
      <c r="EP183" s="111"/>
    </row>
    <row r="184" spans="1:147" s="110" customFormat="1" ht="31.5" x14ac:dyDescent="0.25">
      <c r="A184" s="63">
        <v>5</v>
      </c>
      <c r="B184" s="63" t="s">
        <v>113</v>
      </c>
      <c r="C184" s="63">
        <v>3</v>
      </c>
      <c r="D184" s="64" t="s">
        <v>393</v>
      </c>
      <c r="E184" s="64" t="s">
        <v>1072</v>
      </c>
      <c r="F184" s="63" t="s">
        <v>81</v>
      </c>
      <c r="G184" s="65">
        <v>151</v>
      </c>
      <c r="H184" s="64" t="s">
        <v>999</v>
      </c>
      <c r="I184" s="69"/>
      <c r="EP184" s="111"/>
    </row>
    <row r="185" spans="1:147" s="110" customFormat="1" x14ac:dyDescent="0.25">
      <c r="A185" s="45">
        <v>5</v>
      </c>
      <c r="B185" s="45" t="s">
        <v>113</v>
      </c>
      <c r="C185" s="45">
        <v>4</v>
      </c>
      <c r="D185" s="52" t="s">
        <v>393</v>
      </c>
      <c r="E185" s="136" t="s">
        <v>1092</v>
      </c>
      <c r="F185" s="51" t="s">
        <v>81</v>
      </c>
      <c r="G185" s="51" t="s">
        <v>1093</v>
      </c>
      <c r="H185" s="52" t="s">
        <v>997</v>
      </c>
      <c r="I185" s="69"/>
      <c r="EP185" s="111"/>
    </row>
    <row r="186" spans="1:147" s="110" customFormat="1" x14ac:dyDescent="0.25">
      <c r="A186" s="45">
        <v>5</v>
      </c>
      <c r="B186" s="45" t="s">
        <v>113</v>
      </c>
      <c r="C186" s="45">
        <v>4</v>
      </c>
      <c r="D186" s="48" t="s">
        <v>393</v>
      </c>
      <c r="E186" s="46" t="s">
        <v>1094</v>
      </c>
      <c r="F186" s="47" t="s">
        <v>81</v>
      </c>
      <c r="G186" s="47" t="s">
        <v>1095</v>
      </c>
      <c r="H186" s="48" t="s">
        <v>618</v>
      </c>
      <c r="I186" s="69"/>
      <c r="EP186" s="111"/>
    </row>
    <row r="187" spans="1:147" s="110" customFormat="1" x14ac:dyDescent="0.25">
      <c r="A187" s="45">
        <v>5</v>
      </c>
      <c r="B187" s="45" t="s">
        <v>113</v>
      </c>
      <c r="C187" s="45">
        <v>4</v>
      </c>
      <c r="D187" s="48" t="s">
        <v>393</v>
      </c>
      <c r="E187" s="46" t="s">
        <v>1096</v>
      </c>
      <c r="F187" s="47" t="s">
        <v>81</v>
      </c>
      <c r="G187" s="47" t="s">
        <v>1097</v>
      </c>
      <c r="H187" s="48" t="s">
        <v>997</v>
      </c>
      <c r="I187" s="69"/>
      <c r="EP187" s="111"/>
    </row>
    <row r="188" spans="1:147" s="110" customFormat="1" x14ac:dyDescent="0.25">
      <c r="A188" s="45">
        <v>5</v>
      </c>
      <c r="B188" s="45" t="s">
        <v>113</v>
      </c>
      <c r="C188" s="45">
        <v>4</v>
      </c>
      <c r="D188" s="48" t="s">
        <v>393</v>
      </c>
      <c r="E188" s="46" t="s">
        <v>1098</v>
      </c>
      <c r="F188" s="47" t="s">
        <v>81</v>
      </c>
      <c r="G188" s="47" t="s">
        <v>1099</v>
      </c>
      <c r="H188" s="48" t="s">
        <v>997</v>
      </c>
      <c r="I188" s="69"/>
      <c r="EP188" s="111"/>
    </row>
    <row r="189" spans="1:147" s="110" customFormat="1" x14ac:dyDescent="0.25">
      <c r="A189" s="45">
        <v>5</v>
      </c>
      <c r="B189" s="45" t="s">
        <v>113</v>
      </c>
      <c r="C189" s="45">
        <v>4</v>
      </c>
      <c r="D189" s="48" t="s">
        <v>1</v>
      </c>
      <c r="E189" s="46" t="s">
        <v>1100</v>
      </c>
      <c r="F189" s="47" t="s">
        <v>81</v>
      </c>
      <c r="G189" s="47">
        <v>265</v>
      </c>
      <c r="H189" s="48" t="s">
        <v>1000</v>
      </c>
      <c r="I189" s="69"/>
      <c r="EP189" s="111"/>
    </row>
    <row r="190" spans="1:147" s="110" customFormat="1" x14ac:dyDescent="0.25">
      <c r="A190" s="45">
        <v>5</v>
      </c>
      <c r="B190" s="45" t="s">
        <v>113</v>
      </c>
      <c r="C190" s="45">
        <v>4</v>
      </c>
      <c r="D190" s="48" t="s">
        <v>0</v>
      </c>
      <c r="E190" s="46" t="s">
        <v>1101</v>
      </c>
      <c r="F190" s="47" t="s">
        <v>81</v>
      </c>
      <c r="G190" s="47" t="s">
        <v>1102</v>
      </c>
      <c r="H190" s="48" t="s">
        <v>1103</v>
      </c>
      <c r="I190" s="69"/>
      <c r="EP190" s="111"/>
    </row>
    <row r="191" spans="1:147" s="110" customFormat="1" x14ac:dyDescent="0.25">
      <c r="A191" s="45">
        <v>5</v>
      </c>
      <c r="B191" s="45" t="s">
        <v>113</v>
      </c>
      <c r="C191" s="45">
        <v>4</v>
      </c>
      <c r="D191" s="48" t="s">
        <v>1</v>
      </c>
      <c r="E191" s="46" t="s">
        <v>1104</v>
      </c>
      <c r="F191" s="47" t="s">
        <v>81</v>
      </c>
      <c r="G191" s="47">
        <v>14</v>
      </c>
      <c r="H191" s="48" t="s">
        <v>618</v>
      </c>
      <c r="I191" s="69"/>
      <c r="EP191" s="111"/>
    </row>
    <row r="192" spans="1:147" s="110" customFormat="1" ht="31.5" x14ac:dyDescent="0.25">
      <c r="A192" s="45">
        <v>5</v>
      </c>
      <c r="B192" s="45" t="s">
        <v>113</v>
      </c>
      <c r="C192" s="45">
        <v>4</v>
      </c>
      <c r="D192" s="52" t="s">
        <v>393</v>
      </c>
      <c r="E192" s="52" t="s">
        <v>1105</v>
      </c>
      <c r="F192" s="51" t="s">
        <v>81</v>
      </c>
      <c r="G192" s="51" t="s">
        <v>1106</v>
      </c>
      <c r="H192" s="52" t="s">
        <v>987</v>
      </c>
      <c r="I192" s="69"/>
      <c r="EP192" s="111"/>
    </row>
    <row r="193" spans="1:146" s="110" customFormat="1" x14ac:dyDescent="0.25">
      <c r="A193" s="45">
        <v>5</v>
      </c>
      <c r="B193" s="45" t="s">
        <v>113</v>
      </c>
      <c r="C193" s="45">
        <v>4</v>
      </c>
      <c r="D193" s="52" t="s">
        <v>393</v>
      </c>
      <c r="E193" s="53" t="s">
        <v>1107</v>
      </c>
      <c r="F193" s="51" t="s">
        <v>81</v>
      </c>
      <c r="G193" s="51" t="s">
        <v>1488</v>
      </c>
      <c r="H193" s="52" t="s">
        <v>991</v>
      </c>
      <c r="I193" s="69"/>
      <c r="EP193" s="111"/>
    </row>
    <row r="194" spans="1:146" s="110" customFormat="1" x14ac:dyDescent="0.25">
      <c r="A194" s="45">
        <v>5</v>
      </c>
      <c r="B194" s="45" t="s">
        <v>113</v>
      </c>
      <c r="C194" s="45">
        <v>4</v>
      </c>
      <c r="D194" s="52" t="s">
        <v>393</v>
      </c>
      <c r="E194" s="53" t="s">
        <v>1108</v>
      </c>
      <c r="F194" s="51" t="s">
        <v>81</v>
      </c>
      <c r="G194" s="51" t="s">
        <v>1109</v>
      </c>
      <c r="H194" s="52" t="s">
        <v>993</v>
      </c>
      <c r="I194" s="69"/>
      <c r="EP194" s="111"/>
    </row>
    <row r="195" spans="1:146" s="110" customFormat="1" x14ac:dyDescent="0.25">
      <c r="A195" s="14">
        <v>6</v>
      </c>
      <c r="B195" s="14" t="s">
        <v>117</v>
      </c>
      <c r="C195" s="14">
        <v>1</v>
      </c>
      <c r="D195" s="19" t="s">
        <v>137</v>
      </c>
      <c r="E195" s="19" t="s">
        <v>138</v>
      </c>
      <c r="F195" s="20" t="s">
        <v>81</v>
      </c>
      <c r="G195" s="20">
        <v>9</v>
      </c>
      <c r="H195" s="19" t="s">
        <v>139</v>
      </c>
      <c r="I195" s="69"/>
      <c r="EP195" s="111"/>
    </row>
    <row r="196" spans="1:146" s="110" customFormat="1" x14ac:dyDescent="0.25">
      <c r="A196" s="14">
        <v>6</v>
      </c>
      <c r="B196" s="14" t="s">
        <v>117</v>
      </c>
      <c r="C196" s="14">
        <v>1</v>
      </c>
      <c r="D196" s="19" t="s">
        <v>137</v>
      </c>
      <c r="E196" s="19" t="s">
        <v>140</v>
      </c>
      <c r="F196" s="20" t="s">
        <v>81</v>
      </c>
      <c r="G196" s="20">
        <v>7</v>
      </c>
      <c r="H196" s="19" t="s">
        <v>141</v>
      </c>
      <c r="I196" s="69"/>
      <c r="EP196" s="111"/>
    </row>
    <row r="197" spans="1:146" s="110" customFormat="1" x14ac:dyDescent="0.25">
      <c r="A197" s="14">
        <v>6</v>
      </c>
      <c r="B197" s="14" t="s">
        <v>117</v>
      </c>
      <c r="C197" s="14">
        <v>1</v>
      </c>
      <c r="D197" s="19" t="s">
        <v>0</v>
      </c>
      <c r="E197" s="19" t="s">
        <v>131</v>
      </c>
      <c r="F197" s="20" t="s">
        <v>81</v>
      </c>
      <c r="G197" s="20">
        <v>5</v>
      </c>
      <c r="H197" s="19" t="s">
        <v>132</v>
      </c>
      <c r="I197" s="69"/>
      <c r="EP197" s="111"/>
    </row>
    <row r="198" spans="1:146" s="110" customFormat="1" ht="31.5" x14ac:dyDescent="0.25">
      <c r="A198" s="14">
        <v>6</v>
      </c>
      <c r="B198" s="14" t="s">
        <v>117</v>
      </c>
      <c r="C198" s="14">
        <v>1</v>
      </c>
      <c r="D198" s="19" t="s">
        <v>142</v>
      </c>
      <c r="E198" s="19" t="s">
        <v>143</v>
      </c>
      <c r="F198" s="20" t="s">
        <v>69</v>
      </c>
      <c r="G198" s="20">
        <v>5</v>
      </c>
      <c r="H198" s="19" t="s">
        <v>144</v>
      </c>
      <c r="I198" s="69"/>
      <c r="EP198" s="111"/>
    </row>
    <row r="199" spans="1:146" s="110" customFormat="1" x14ac:dyDescent="0.25">
      <c r="A199" s="14">
        <v>6</v>
      </c>
      <c r="B199" s="14" t="s">
        <v>117</v>
      </c>
      <c r="C199" s="14">
        <v>1</v>
      </c>
      <c r="D199" s="19" t="s">
        <v>1</v>
      </c>
      <c r="E199" s="19" t="s">
        <v>118</v>
      </c>
      <c r="F199" s="20" t="s">
        <v>81</v>
      </c>
      <c r="G199" s="20">
        <v>39</v>
      </c>
      <c r="H199" s="19" t="s">
        <v>119</v>
      </c>
      <c r="I199" s="69"/>
      <c r="EP199" s="111"/>
    </row>
    <row r="200" spans="1:146" s="110" customFormat="1" x14ac:dyDescent="0.25">
      <c r="A200" s="14">
        <v>6</v>
      </c>
      <c r="B200" s="14" t="s">
        <v>117</v>
      </c>
      <c r="C200" s="14">
        <v>1</v>
      </c>
      <c r="D200" s="19" t="s">
        <v>1</v>
      </c>
      <c r="E200" s="19" t="s">
        <v>120</v>
      </c>
      <c r="F200" s="20" t="s">
        <v>81</v>
      </c>
      <c r="G200" s="20">
        <v>14</v>
      </c>
      <c r="H200" s="19" t="s">
        <v>121</v>
      </c>
      <c r="I200" s="69"/>
      <c r="EP200" s="111"/>
    </row>
    <row r="201" spans="1:146" s="110" customFormat="1" x14ac:dyDescent="0.25">
      <c r="A201" s="14">
        <v>6</v>
      </c>
      <c r="B201" s="14" t="s">
        <v>117</v>
      </c>
      <c r="C201" s="14">
        <v>1</v>
      </c>
      <c r="D201" s="19" t="s">
        <v>1</v>
      </c>
      <c r="E201" s="19" t="s">
        <v>122</v>
      </c>
      <c r="F201" s="20" t="s">
        <v>81</v>
      </c>
      <c r="G201" s="20">
        <v>18</v>
      </c>
      <c r="H201" s="19" t="s">
        <v>121</v>
      </c>
      <c r="I201" s="69"/>
      <c r="EP201" s="111"/>
    </row>
    <row r="202" spans="1:146" s="110" customFormat="1" ht="31.5" x14ac:dyDescent="0.25">
      <c r="A202" s="14">
        <v>6</v>
      </c>
      <c r="B202" s="14" t="s">
        <v>117</v>
      </c>
      <c r="C202" s="14">
        <v>1</v>
      </c>
      <c r="D202" s="145" t="s">
        <v>393</v>
      </c>
      <c r="E202" s="19" t="s">
        <v>123</v>
      </c>
      <c r="F202" s="20" t="s">
        <v>81</v>
      </c>
      <c r="G202" s="20">
        <v>7</v>
      </c>
      <c r="H202" s="19" t="s">
        <v>124</v>
      </c>
      <c r="I202" s="69"/>
      <c r="EP202" s="111"/>
    </row>
    <row r="203" spans="1:146" s="110" customFormat="1" x14ac:dyDescent="0.25">
      <c r="A203" s="14">
        <v>6</v>
      </c>
      <c r="B203" s="14" t="s">
        <v>117</v>
      </c>
      <c r="C203" s="14">
        <v>1</v>
      </c>
      <c r="D203" s="19" t="s">
        <v>1</v>
      </c>
      <c r="E203" s="19" t="s">
        <v>133</v>
      </c>
      <c r="F203" s="20" t="s">
        <v>81</v>
      </c>
      <c r="G203" s="20">
        <v>17</v>
      </c>
      <c r="H203" s="19" t="s">
        <v>134</v>
      </c>
      <c r="I203" s="69"/>
      <c r="EP203" s="111"/>
    </row>
    <row r="204" spans="1:146" s="110" customFormat="1" x14ac:dyDescent="0.25">
      <c r="A204" s="14">
        <v>6</v>
      </c>
      <c r="B204" s="14" t="s">
        <v>117</v>
      </c>
      <c r="C204" s="14">
        <v>1</v>
      </c>
      <c r="D204" s="19" t="s">
        <v>1</v>
      </c>
      <c r="E204" s="19" t="s">
        <v>135</v>
      </c>
      <c r="F204" s="20" t="s">
        <v>81</v>
      </c>
      <c r="G204" s="20">
        <v>11</v>
      </c>
      <c r="H204" s="19" t="s">
        <v>136</v>
      </c>
      <c r="I204" s="69"/>
      <c r="EP204" s="111"/>
    </row>
    <row r="205" spans="1:146" s="110" customFormat="1" x14ac:dyDescent="0.25">
      <c r="A205" s="14">
        <v>6</v>
      </c>
      <c r="B205" s="14" t="s">
        <v>117</v>
      </c>
      <c r="C205" s="14">
        <v>1</v>
      </c>
      <c r="D205" s="19" t="s">
        <v>1</v>
      </c>
      <c r="E205" s="19" t="s">
        <v>145</v>
      </c>
      <c r="F205" s="20" t="s">
        <v>81</v>
      </c>
      <c r="G205" s="20">
        <v>13</v>
      </c>
      <c r="H205" s="19" t="s">
        <v>146</v>
      </c>
      <c r="I205" s="69"/>
      <c r="EP205" s="111"/>
    </row>
    <row r="206" spans="1:146" s="110" customFormat="1" x14ac:dyDescent="0.25">
      <c r="A206" s="14">
        <v>6</v>
      </c>
      <c r="B206" s="14" t="s">
        <v>117</v>
      </c>
      <c r="C206" s="14">
        <v>1</v>
      </c>
      <c r="D206" s="19" t="s">
        <v>1</v>
      </c>
      <c r="E206" s="19" t="s">
        <v>147</v>
      </c>
      <c r="F206" s="20" t="s">
        <v>148</v>
      </c>
      <c r="G206" s="20">
        <v>4</v>
      </c>
      <c r="H206" s="19" t="s">
        <v>149</v>
      </c>
      <c r="I206" s="69"/>
      <c r="EP206" s="111"/>
    </row>
    <row r="207" spans="1:146" s="110" customFormat="1" x14ac:dyDescent="0.25">
      <c r="A207" s="14">
        <v>6</v>
      </c>
      <c r="B207" s="14" t="s">
        <v>117</v>
      </c>
      <c r="C207" s="14">
        <v>1</v>
      </c>
      <c r="D207" s="19" t="s">
        <v>83</v>
      </c>
      <c r="E207" s="19" t="s">
        <v>125</v>
      </c>
      <c r="F207" s="20" t="s">
        <v>81</v>
      </c>
      <c r="G207" s="20">
        <v>26</v>
      </c>
      <c r="H207" s="19" t="s">
        <v>126</v>
      </c>
      <c r="I207" s="69"/>
      <c r="EP207" s="111"/>
    </row>
    <row r="208" spans="1:146" s="110" customFormat="1" x14ac:dyDescent="0.25">
      <c r="A208" s="14">
        <v>6</v>
      </c>
      <c r="B208" s="14" t="s">
        <v>117</v>
      </c>
      <c r="C208" s="14">
        <v>1</v>
      </c>
      <c r="D208" s="19" t="s">
        <v>83</v>
      </c>
      <c r="E208" s="19" t="s">
        <v>127</v>
      </c>
      <c r="F208" s="20" t="s">
        <v>81</v>
      </c>
      <c r="G208" s="20">
        <v>63</v>
      </c>
      <c r="H208" s="19" t="s">
        <v>128</v>
      </c>
      <c r="I208" s="69"/>
      <c r="EP208" s="111"/>
    </row>
    <row r="209" spans="1:146" s="110" customFormat="1" x14ac:dyDescent="0.25">
      <c r="A209" s="14">
        <v>6</v>
      </c>
      <c r="B209" s="14" t="s">
        <v>117</v>
      </c>
      <c r="C209" s="14">
        <v>1</v>
      </c>
      <c r="D209" s="19" t="s">
        <v>83</v>
      </c>
      <c r="E209" s="19" t="s">
        <v>129</v>
      </c>
      <c r="F209" s="20" t="s">
        <v>81</v>
      </c>
      <c r="G209" s="20">
        <v>340</v>
      </c>
      <c r="H209" s="19" t="s">
        <v>130</v>
      </c>
      <c r="I209" s="69"/>
      <c r="EP209" s="111"/>
    </row>
    <row r="210" spans="1:146" s="110" customFormat="1" x14ac:dyDescent="0.25">
      <c r="A210" s="32">
        <v>6</v>
      </c>
      <c r="B210" s="32" t="s">
        <v>117</v>
      </c>
      <c r="C210" s="32">
        <v>2</v>
      </c>
      <c r="D210" s="38" t="s">
        <v>1</v>
      </c>
      <c r="E210" s="38" t="s">
        <v>147</v>
      </c>
      <c r="F210" s="42" t="s">
        <v>69</v>
      </c>
      <c r="G210" s="42">
        <v>38</v>
      </c>
      <c r="H210" s="38" t="s">
        <v>149</v>
      </c>
      <c r="I210" s="69"/>
      <c r="EP210" s="111"/>
    </row>
    <row r="211" spans="1:146" s="110" customFormat="1" x14ac:dyDescent="0.25">
      <c r="A211" s="32">
        <v>6</v>
      </c>
      <c r="B211" s="32" t="s">
        <v>117</v>
      </c>
      <c r="C211" s="32">
        <v>2</v>
      </c>
      <c r="D211" s="38" t="s">
        <v>1</v>
      </c>
      <c r="E211" s="38" t="s">
        <v>421</v>
      </c>
      <c r="F211" s="42" t="s">
        <v>69</v>
      </c>
      <c r="G211" s="42">
        <v>9</v>
      </c>
      <c r="H211" s="38" t="s">
        <v>149</v>
      </c>
      <c r="I211" s="69"/>
      <c r="EP211" s="111"/>
    </row>
    <row r="212" spans="1:146" s="110" customFormat="1" ht="31.5" x14ac:dyDescent="0.25">
      <c r="A212" s="32">
        <v>6</v>
      </c>
      <c r="B212" s="32" t="s">
        <v>117</v>
      </c>
      <c r="C212" s="32">
        <v>2</v>
      </c>
      <c r="D212" s="38" t="s">
        <v>1</v>
      </c>
      <c r="E212" s="38" t="s">
        <v>422</v>
      </c>
      <c r="F212" s="42" t="s">
        <v>81</v>
      </c>
      <c r="G212" s="42">
        <v>1</v>
      </c>
      <c r="H212" s="38" t="s">
        <v>423</v>
      </c>
      <c r="I212" s="69"/>
      <c r="EP212" s="111"/>
    </row>
    <row r="213" spans="1:146" s="110" customFormat="1" x14ac:dyDescent="0.25">
      <c r="A213" s="32">
        <v>6</v>
      </c>
      <c r="B213" s="32" t="s">
        <v>117</v>
      </c>
      <c r="C213" s="32">
        <v>2</v>
      </c>
      <c r="D213" s="38" t="s">
        <v>1</v>
      </c>
      <c r="E213" s="38" t="s">
        <v>424</v>
      </c>
      <c r="F213" s="42" t="s">
        <v>81</v>
      </c>
      <c r="G213" s="42">
        <v>40</v>
      </c>
      <c r="H213" s="38" t="s">
        <v>425</v>
      </c>
      <c r="I213" s="69"/>
      <c r="EP213" s="111"/>
    </row>
    <row r="214" spans="1:146" s="110" customFormat="1" x14ac:dyDescent="0.25">
      <c r="A214" s="32">
        <v>6</v>
      </c>
      <c r="B214" s="32" t="s">
        <v>117</v>
      </c>
      <c r="C214" s="32">
        <v>2</v>
      </c>
      <c r="D214" s="38" t="s">
        <v>1</v>
      </c>
      <c r="E214" s="38" t="s">
        <v>426</v>
      </c>
      <c r="F214" s="42" t="s">
        <v>81</v>
      </c>
      <c r="G214" s="42">
        <v>151</v>
      </c>
      <c r="H214" s="38" t="s">
        <v>427</v>
      </c>
      <c r="I214" s="69"/>
      <c r="EP214" s="111"/>
    </row>
    <row r="215" spans="1:146" s="110" customFormat="1" x14ac:dyDescent="0.25">
      <c r="A215" s="32">
        <v>6</v>
      </c>
      <c r="B215" s="32" t="s">
        <v>117</v>
      </c>
      <c r="C215" s="32">
        <v>2</v>
      </c>
      <c r="D215" s="38" t="s">
        <v>1</v>
      </c>
      <c r="E215" s="38" t="s">
        <v>428</v>
      </c>
      <c r="F215" s="42" t="s">
        <v>69</v>
      </c>
      <c r="G215" s="42">
        <v>2</v>
      </c>
      <c r="H215" s="38" t="s">
        <v>429</v>
      </c>
      <c r="I215" s="69"/>
      <c r="EP215" s="111"/>
    </row>
    <row r="216" spans="1:146" s="110" customFormat="1" x14ac:dyDescent="0.25">
      <c r="A216" s="32">
        <v>6</v>
      </c>
      <c r="B216" s="32" t="s">
        <v>117</v>
      </c>
      <c r="C216" s="32">
        <v>2</v>
      </c>
      <c r="D216" s="38" t="s">
        <v>393</v>
      </c>
      <c r="E216" s="38" t="s">
        <v>430</v>
      </c>
      <c r="F216" s="42" t="s">
        <v>81</v>
      </c>
      <c r="G216" s="42">
        <v>48</v>
      </c>
      <c r="H216" s="38" t="s">
        <v>431</v>
      </c>
      <c r="I216" s="69"/>
      <c r="EP216" s="111"/>
    </row>
    <row r="217" spans="1:146" s="110" customFormat="1" x14ac:dyDescent="0.25">
      <c r="A217" s="32">
        <v>6</v>
      </c>
      <c r="B217" s="32" t="s">
        <v>117</v>
      </c>
      <c r="C217" s="32">
        <v>2</v>
      </c>
      <c r="D217" s="38" t="s">
        <v>393</v>
      </c>
      <c r="E217" s="38" t="s">
        <v>432</v>
      </c>
      <c r="F217" s="42" t="s">
        <v>81</v>
      </c>
      <c r="G217" s="42">
        <v>12</v>
      </c>
      <c r="H217" s="38" t="s">
        <v>136</v>
      </c>
      <c r="I217" s="69"/>
      <c r="EP217" s="111"/>
    </row>
    <row r="218" spans="1:146" s="110" customFormat="1" x14ac:dyDescent="0.25">
      <c r="A218" s="32">
        <v>6</v>
      </c>
      <c r="B218" s="32" t="s">
        <v>117</v>
      </c>
      <c r="C218" s="32">
        <v>2</v>
      </c>
      <c r="D218" s="38" t="s">
        <v>393</v>
      </c>
      <c r="E218" s="38" t="s">
        <v>433</v>
      </c>
      <c r="F218" s="42" t="s">
        <v>81</v>
      </c>
      <c r="G218" s="42">
        <v>1</v>
      </c>
      <c r="H218" s="38" t="s">
        <v>136</v>
      </c>
      <c r="I218" s="69"/>
      <c r="EP218" s="111"/>
    </row>
    <row r="219" spans="1:146" s="110" customFormat="1" x14ac:dyDescent="0.25">
      <c r="A219" s="32">
        <v>6</v>
      </c>
      <c r="B219" s="32" t="s">
        <v>117</v>
      </c>
      <c r="C219" s="32">
        <v>2</v>
      </c>
      <c r="D219" s="38" t="s">
        <v>393</v>
      </c>
      <c r="E219" s="38" t="s">
        <v>434</v>
      </c>
      <c r="F219" s="42" t="s">
        <v>81</v>
      </c>
      <c r="G219" s="42">
        <v>2</v>
      </c>
      <c r="H219" s="38" t="s">
        <v>136</v>
      </c>
      <c r="I219" s="69"/>
      <c r="EP219" s="111"/>
    </row>
    <row r="220" spans="1:146" s="110" customFormat="1" ht="59.25" customHeight="1" x14ac:dyDescent="0.25">
      <c r="A220" s="63">
        <v>6</v>
      </c>
      <c r="B220" s="63" t="s">
        <v>117</v>
      </c>
      <c r="C220" s="63">
        <v>3</v>
      </c>
      <c r="D220" s="64" t="s">
        <v>142</v>
      </c>
      <c r="E220" s="64" t="s">
        <v>739</v>
      </c>
      <c r="F220" s="65" t="s">
        <v>81</v>
      </c>
      <c r="G220" s="65">
        <v>3</v>
      </c>
      <c r="H220" s="64" t="s">
        <v>740</v>
      </c>
      <c r="I220" s="69"/>
      <c r="EP220" s="111"/>
    </row>
    <row r="221" spans="1:146" s="110" customFormat="1" x14ac:dyDescent="0.25">
      <c r="A221" s="63">
        <v>6</v>
      </c>
      <c r="B221" s="63" t="s">
        <v>117</v>
      </c>
      <c r="C221" s="63">
        <v>3</v>
      </c>
      <c r="D221" s="64" t="s">
        <v>1</v>
      </c>
      <c r="E221" s="64" t="s">
        <v>147</v>
      </c>
      <c r="F221" s="65" t="s">
        <v>69</v>
      </c>
      <c r="G221" s="65">
        <v>3</v>
      </c>
      <c r="H221" s="64"/>
      <c r="I221" s="69"/>
      <c r="EP221" s="111"/>
    </row>
    <row r="222" spans="1:146" s="110" customFormat="1" x14ac:dyDescent="0.25">
      <c r="A222" s="63">
        <v>6</v>
      </c>
      <c r="B222" s="63" t="s">
        <v>117</v>
      </c>
      <c r="C222" s="63">
        <v>3</v>
      </c>
      <c r="D222" s="112" t="s">
        <v>1</v>
      </c>
      <c r="E222" s="112" t="s">
        <v>421</v>
      </c>
      <c r="F222" s="117" t="s">
        <v>69</v>
      </c>
      <c r="G222" s="65">
        <v>57</v>
      </c>
      <c r="H222" s="112"/>
      <c r="I222" s="69"/>
      <c r="EP222" s="111"/>
    </row>
    <row r="223" spans="1:146" s="110" customFormat="1" x14ac:dyDescent="0.25">
      <c r="A223" s="63">
        <v>6</v>
      </c>
      <c r="B223" s="63" t="s">
        <v>117</v>
      </c>
      <c r="C223" s="63">
        <v>3</v>
      </c>
      <c r="D223" s="64" t="s">
        <v>1</v>
      </c>
      <c r="E223" s="64" t="s">
        <v>722</v>
      </c>
      <c r="F223" s="65" t="s">
        <v>69</v>
      </c>
      <c r="G223" s="65">
        <v>3</v>
      </c>
      <c r="H223" s="64"/>
      <c r="I223" s="69"/>
      <c r="EP223" s="111"/>
    </row>
    <row r="224" spans="1:146" s="110" customFormat="1" x14ac:dyDescent="0.25">
      <c r="A224" s="63">
        <v>6</v>
      </c>
      <c r="B224" s="63" t="s">
        <v>117</v>
      </c>
      <c r="C224" s="63">
        <v>3</v>
      </c>
      <c r="D224" s="64" t="s">
        <v>1</v>
      </c>
      <c r="E224" s="64" t="s">
        <v>428</v>
      </c>
      <c r="F224" s="65" t="s">
        <v>81</v>
      </c>
      <c r="G224" s="65">
        <v>2</v>
      </c>
      <c r="H224" s="64" t="s">
        <v>723</v>
      </c>
      <c r="I224" s="69"/>
      <c r="EP224" s="111"/>
    </row>
    <row r="225" spans="1:146" s="110" customFormat="1" x14ac:dyDescent="0.25">
      <c r="A225" s="63">
        <v>6</v>
      </c>
      <c r="B225" s="63" t="s">
        <v>117</v>
      </c>
      <c r="C225" s="63">
        <v>3</v>
      </c>
      <c r="D225" s="64" t="s">
        <v>1</v>
      </c>
      <c r="E225" s="64" t="s">
        <v>724</v>
      </c>
      <c r="F225" s="65" t="s">
        <v>69</v>
      </c>
      <c r="G225" s="65">
        <v>2</v>
      </c>
      <c r="H225" s="64" t="s">
        <v>725</v>
      </c>
      <c r="I225" s="69"/>
      <c r="EP225" s="111"/>
    </row>
    <row r="226" spans="1:146" s="110" customFormat="1" x14ac:dyDescent="0.25">
      <c r="A226" s="63">
        <v>6</v>
      </c>
      <c r="B226" s="63" t="s">
        <v>117</v>
      </c>
      <c r="C226" s="63">
        <v>3</v>
      </c>
      <c r="D226" s="64" t="s">
        <v>1</v>
      </c>
      <c r="E226" s="64" t="s">
        <v>726</v>
      </c>
      <c r="F226" s="65" t="s">
        <v>81</v>
      </c>
      <c r="G226" s="65">
        <v>21</v>
      </c>
      <c r="H226" s="64" t="s">
        <v>121</v>
      </c>
      <c r="I226" s="69"/>
      <c r="EP226" s="111"/>
    </row>
    <row r="227" spans="1:146" s="110" customFormat="1" x14ac:dyDescent="0.25">
      <c r="A227" s="63">
        <v>6</v>
      </c>
      <c r="B227" s="63" t="s">
        <v>117</v>
      </c>
      <c r="C227" s="63">
        <v>3</v>
      </c>
      <c r="D227" s="64" t="s">
        <v>1</v>
      </c>
      <c r="E227" s="64" t="s">
        <v>727</v>
      </c>
      <c r="F227" s="65" t="s">
        <v>81</v>
      </c>
      <c r="G227" s="65">
        <v>13</v>
      </c>
      <c r="H227" s="64" t="s">
        <v>425</v>
      </c>
      <c r="I227" s="69"/>
      <c r="EP227" s="111"/>
    </row>
    <row r="228" spans="1:146" s="110" customFormat="1" x14ac:dyDescent="0.25">
      <c r="A228" s="63">
        <v>6</v>
      </c>
      <c r="B228" s="63" t="s">
        <v>117</v>
      </c>
      <c r="C228" s="63">
        <v>3</v>
      </c>
      <c r="D228" s="64" t="s">
        <v>1</v>
      </c>
      <c r="E228" s="64" t="s">
        <v>728</v>
      </c>
      <c r="F228" s="65" t="s">
        <v>81</v>
      </c>
      <c r="G228" s="65">
        <v>21</v>
      </c>
      <c r="H228" s="64" t="s">
        <v>425</v>
      </c>
      <c r="I228" s="69"/>
      <c r="EP228" s="111"/>
    </row>
    <row r="229" spans="1:146" s="110" customFormat="1" ht="31.5" x14ac:dyDescent="0.25">
      <c r="A229" s="63">
        <v>6</v>
      </c>
      <c r="B229" s="63" t="s">
        <v>117</v>
      </c>
      <c r="C229" s="63">
        <v>3</v>
      </c>
      <c r="D229" s="64" t="s">
        <v>1</v>
      </c>
      <c r="E229" s="64" t="s">
        <v>729</v>
      </c>
      <c r="F229" s="65" t="s">
        <v>69</v>
      </c>
      <c r="G229" s="65">
        <v>5</v>
      </c>
      <c r="H229" s="64" t="s">
        <v>730</v>
      </c>
      <c r="I229" s="69"/>
      <c r="EP229" s="111"/>
    </row>
    <row r="230" spans="1:146" s="110" customFormat="1" ht="31.5" x14ac:dyDescent="0.25">
      <c r="A230" s="63">
        <v>6</v>
      </c>
      <c r="B230" s="63" t="s">
        <v>117</v>
      </c>
      <c r="C230" s="63">
        <v>3</v>
      </c>
      <c r="D230" s="64" t="s">
        <v>1</v>
      </c>
      <c r="E230" s="64" t="s">
        <v>731</v>
      </c>
      <c r="F230" s="65" t="s">
        <v>81</v>
      </c>
      <c r="G230" s="65">
        <v>7</v>
      </c>
      <c r="H230" s="64" t="s">
        <v>732</v>
      </c>
      <c r="I230" s="69"/>
      <c r="EP230" s="111"/>
    </row>
    <row r="231" spans="1:146" s="110" customFormat="1" x14ac:dyDescent="0.25">
      <c r="A231" s="63">
        <v>6</v>
      </c>
      <c r="B231" s="63" t="s">
        <v>117</v>
      </c>
      <c r="C231" s="63">
        <v>3</v>
      </c>
      <c r="D231" s="64" t="s">
        <v>1</v>
      </c>
      <c r="E231" s="64" t="s">
        <v>733</v>
      </c>
      <c r="F231" s="65" t="s">
        <v>81</v>
      </c>
      <c r="G231" s="65">
        <v>5</v>
      </c>
      <c r="H231" s="64" t="s">
        <v>734</v>
      </c>
      <c r="I231" s="69"/>
      <c r="EP231" s="111"/>
    </row>
    <row r="232" spans="1:146" s="110" customFormat="1" ht="31.5" x14ac:dyDescent="0.25">
      <c r="A232" s="63">
        <v>6</v>
      </c>
      <c r="B232" s="63" t="s">
        <v>117</v>
      </c>
      <c r="C232" s="63">
        <v>3</v>
      </c>
      <c r="D232" s="64" t="s">
        <v>1</v>
      </c>
      <c r="E232" s="64" t="s">
        <v>735</v>
      </c>
      <c r="F232" s="65" t="s">
        <v>81</v>
      </c>
      <c r="G232" s="65">
        <v>2</v>
      </c>
      <c r="H232" s="64" t="s">
        <v>730</v>
      </c>
      <c r="I232" s="69"/>
      <c r="EP232" s="111"/>
    </row>
    <row r="233" spans="1:146" s="110" customFormat="1" ht="31.5" x14ac:dyDescent="0.25">
      <c r="A233" s="63">
        <v>6</v>
      </c>
      <c r="B233" s="63" t="s">
        <v>117</v>
      </c>
      <c r="C233" s="63">
        <v>3</v>
      </c>
      <c r="D233" s="64" t="s">
        <v>1</v>
      </c>
      <c r="E233" s="64" t="s">
        <v>736</v>
      </c>
      <c r="F233" s="65" t="s">
        <v>81</v>
      </c>
      <c r="G233" s="65">
        <v>7</v>
      </c>
      <c r="H233" s="64" t="s">
        <v>730</v>
      </c>
      <c r="I233" s="69"/>
      <c r="EP233" s="111"/>
    </row>
    <row r="234" spans="1:146" s="110" customFormat="1" x14ac:dyDescent="0.25">
      <c r="A234" s="63">
        <v>6</v>
      </c>
      <c r="B234" s="63" t="s">
        <v>117</v>
      </c>
      <c r="C234" s="63">
        <v>3</v>
      </c>
      <c r="D234" s="64" t="s">
        <v>393</v>
      </c>
      <c r="E234" s="64" t="s">
        <v>737</v>
      </c>
      <c r="F234" s="65" t="s">
        <v>81</v>
      </c>
      <c r="G234" s="65">
        <v>12</v>
      </c>
      <c r="H234" s="64" t="s">
        <v>738</v>
      </c>
      <c r="I234" s="69"/>
      <c r="EP234" s="111"/>
    </row>
    <row r="235" spans="1:146" s="110" customFormat="1" x14ac:dyDescent="0.25">
      <c r="A235" s="45">
        <v>6</v>
      </c>
      <c r="B235" s="45" t="s">
        <v>117</v>
      </c>
      <c r="C235" s="45">
        <v>4</v>
      </c>
      <c r="D235" s="50" t="s">
        <v>1</v>
      </c>
      <c r="E235" s="50" t="s">
        <v>1537</v>
      </c>
      <c r="F235" s="54" t="s">
        <v>69</v>
      </c>
      <c r="G235" s="54">
        <v>6</v>
      </c>
      <c r="H235" s="50" t="s">
        <v>149</v>
      </c>
      <c r="I235" s="69"/>
      <c r="EP235" s="111"/>
    </row>
    <row r="236" spans="1:146" s="110" customFormat="1" x14ac:dyDescent="0.25">
      <c r="A236" s="45">
        <v>6</v>
      </c>
      <c r="B236" s="45" t="s">
        <v>117</v>
      </c>
      <c r="C236" s="153"/>
      <c r="D236" s="50" t="s">
        <v>1</v>
      </c>
      <c r="E236" s="50" t="s">
        <v>421</v>
      </c>
      <c r="F236" s="54" t="s">
        <v>69</v>
      </c>
      <c r="G236" s="54">
        <v>33</v>
      </c>
      <c r="H236" s="50" t="s">
        <v>149</v>
      </c>
      <c r="I236" s="69"/>
      <c r="EP236" s="111"/>
    </row>
    <row r="237" spans="1:146" s="110" customFormat="1" x14ac:dyDescent="0.25">
      <c r="A237" s="45">
        <v>6</v>
      </c>
      <c r="B237" s="45" t="s">
        <v>117</v>
      </c>
      <c r="C237" s="153"/>
      <c r="D237" s="50" t="s">
        <v>1</v>
      </c>
      <c r="E237" s="50" t="s">
        <v>722</v>
      </c>
      <c r="F237" s="54" t="s">
        <v>69</v>
      </c>
      <c r="G237" s="54">
        <v>1</v>
      </c>
      <c r="H237" s="50" t="s">
        <v>149</v>
      </c>
      <c r="I237" s="69"/>
      <c r="EP237" s="111"/>
    </row>
    <row r="238" spans="1:146" s="110" customFormat="1" x14ac:dyDescent="0.25">
      <c r="A238" s="45">
        <v>6</v>
      </c>
      <c r="B238" s="45" t="s">
        <v>117</v>
      </c>
      <c r="C238" s="153"/>
      <c r="D238" s="50" t="s">
        <v>1</v>
      </c>
      <c r="E238" s="50" t="s">
        <v>1538</v>
      </c>
      <c r="F238" s="54" t="s">
        <v>81</v>
      </c>
      <c r="G238" s="54">
        <v>37</v>
      </c>
      <c r="H238" s="50" t="s">
        <v>1539</v>
      </c>
      <c r="I238" s="69"/>
      <c r="EP238" s="111"/>
    </row>
    <row r="239" spans="1:146" s="110" customFormat="1" x14ac:dyDescent="0.25">
      <c r="A239" s="45">
        <v>6</v>
      </c>
      <c r="B239" s="45" t="s">
        <v>117</v>
      </c>
      <c r="C239" s="153"/>
      <c r="D239" s="50" t="s">
        <v>1</v>
      </c>
      <c r="E239" s="50" t="s">
        <v>1540</v>
      </c>
      <c r="F239" s="54" t="s">
        <v>81</v>
      </c>
      <c r="G239" s="54">
        <v>56</v>
      </c>
      <c r="H239" s="50" t="s">
        <v>1541</v>
      </c>
      <c r="I239" s="69"/>
      <c r="EP239" s="111"/>
    </row>
    <row r="240" spans="1:146" s="110" customFormat="1" x14ac:dyDescent="0.25">
      <c r="A240" s="45">
        <v>6</v>
      </c>
      <c r="B240" s="45" t="s">
        <v>117</v>
      </c>
      <c r="C240" s="153"/>
      <c r="D240" s="50" t="s">
        <v>1</v>
      </c>
      <c r="E240" s="50" t="s">
        <v>1542</v>
      </c>
      <c r="F240" s="54" t="s">
        <v>81</v>
      </c>
      <c r="G240" s="54">
        <v>69</v>
      </c>
      <c r="H240" s="50" t="s">
        <v>1543</v>
      </c>
      <c r="I240" s="69"/>
      <c r="EP240" s="111"/>
    </row>
    <row r="241" spans="1:146" s="110" customFormat="1" ht="31.5" x14ac:dyDescent="0.25">
      <c r="A241" s="45">
        <v>6</v>
      </c>
      <c r="B241" s="45" t="s">
        <v>117</v>
      </c>
      <c r="C241" s="153"/>
      <c r="D241" s="50" t="s">
        <v>1</v>
      </c>
      <c r="E241" s="50" t="s">
        <v>1544</v>
      </c>
      <c r="F241" s="54" t="s">
        <v>81</v>
      </c>
      <c r="G241" s="54">
        <v>3</v>
      </c>
      <c r="H241" s="50" t="s">
        <v>730</v>
      </c>
      <c r="I241" s="69"/>
      <c r="EP241" s="111"/>
    </row>
    <row r="242" spans="1:146" s="110" customFormat="1" x14ac:dyDescent="0.25">
      <c r="A242" s="45">
        <v>6</v>
      </c>
      <c r="B242" s="45" t="s">
        <v>117</v>
      </c>
      <c r="C242" s="153"/>
      <c r="D242" s="50" t="s">
        <v>1</v>
      </c>
      <c r="E242" s="50" t="s">
        <v>1545</v>
      </c>
      <c r="F242" s="54" t="s">
        <v>81</v>
      </c>
      <c r="G242" s="54">
        <v>27</v>
      </c>
      <c r="H242" s="50" t="s">
        <v>1546</v>
      </c>
      <c r="I242" s="69"/>
      <c r="EP242" s="111"/>
    </row>
    <row r="243" spans="1:146" s="110" customFormat="1" x14ac:dyDescent="0.25">
      <c r="A243" s="45">
        <v>6</v>
      </c>
      <c r="B243" s="45" t="s">
        <v>117</v>
      </c>
      <c r="C243" s="153"/>
      <c r="D243" s="50" t="s">
        <v>1</v>
      </c>
      <c r="E243" s="50" t="s">
        <v>1547</v>
      </c>
      <c r="F243" s="54" t="s">
        <v>81</v>
      </c>
      <c r="G243" s="54">
        <v>27</v>
      </c>
      <c r="H243" s="50" t="s">
        <v>1548</v>
      </c>
      <c r="I243" s="69"/>
      <c r="EP243" s="111"/>
    </row>
    <row r="244" spans="1:146" s="110" customFormat="1" x14ac:dyDescent="0.25">
      <c r="A244" s="45">
        <v>6</v>
      </c>
      <c r="B244" s="45" t="s">
        <v>117</v>
      </c>
      <c r="C244" s="153"/>
      <c r="D244" s="50" t="s">
        <v>1</v>
      </c>
      <c r="E244" s="50" t="s">
        <v>1549</v>
      </c>
      <c r="F244" s="54" t="s">
        <v>81</v>
      </c>
      <c r="G244" s="54">
        <v>48</v>
      </c>
      <c r="H244" s="50" t="s">
        <v>1550</v>
      </c>
      <c r="I244" s="69"/>
      <c r="EP244" s="111"/>
    </row>
    <row r="245" spans="1:146" s="110" customFormat="1" x14ac:dyDescent="0.25">
      <c r="A245" s="45">
        <v>6</v>
      </c>
      <c r="B245" s="45" t="s">
        <v>117</v>
      </c>
      <c r="C245" s="153"/>
      <c r="D245" s="50" t="s">
        <v>1</v>
      </c>
      <c r="E245" s="50" t="s">
        <v>1551</v>
      </c>
      <c r="F245" s="54" t="s">
        <v>81</v>
      </c>
      <c r="G245" s="54">
        <v>29</v>
      </c>
      <c r="H245" s="50" t="s">
        <v>1550</v>
      </c>
      <c r="I245" s="69"/>
      <c r="EP245" s="111"/>
    </row>
    <row r="246" spans="1:146" s="110" customFormat="1" x14ac:dyDescent="0.25">
      <c r="A246" s="45">
        <v>6</v>
      </c>
      <c r="B246" s="45" t="s">
        <v>117</v>
      </c>
      <c r="C246" s="153"/>
      <c r="D246" s="50" t="s">
        <v>1</v>
      </c>
      <c r="E246" s="50" t="s">
        <v>1552</v>
      </c>
      <c r="F246" s="54" t="s">
        <v>81</v>
      </c>
      <c r="G246" s="54">
        <v>25</v>
      </c>
      <c r="H246" s="50" t="s">
        <v>1553</v>
      </c>
      <c r="I246" s="69"/>
      <c r="EP246" s="111"/>
    </row>
    <row r="247" spans="1:146" s="110" customFormat="1" x14ac:dyDescent="0.25">
      <c r="A247" s="45">
        <v>6</v>
      </c>
      <c r="B247" s="45" t="s">
        <v>117</v>
      </c>
      <c r="C247" s="153"/>
      <c r="D247" s="50" t="s">
        <v>1</v>
      </c>
      <c r="E247" s="50" t="s">
        <v>1554</v>
      </c>
      <c r="F247" s="54" t="s">
        <v>81</v>
      </c>
      <c r="G247" s="54">
        <v>28</v>
      </c>
      <c r="H247" s="50" t="s">
        <v>1555</v>
      </c>
      <c r="I247" s="69"/>
      <c r="EP247" s="111"/>
    </row>
    <row r="248" spans="1:146" s="110" customFormat="1" ht="31.5" x14ac:dyDescent="0.25">
      <c r="A248" s="45">
        <v>6</v>
      </c>
      <c r="B248" s="45" t="s">
        <v>117</v>
      </c>
      <c r="C248" s="153"/>
      <c r="D248" s="50" t="s">
        <v>1</v>
      </c>
      <c r="E248" s="50" t="s">
        <v>1556</v>
      </c>
      <c r="F248" s="54" t="s">
        <v>81</v>
      </c>
      <c r="G248" s="54">
        <v>4</v>
      </c>
      <c r="H248" s="50" t="s">
        <v>730</v>
      </c>
      <c r="I248" s="69"/>
      <c r="EP248" s="111"/>
    </row>
    <row r="249" spans="1:146" s="110" customFormat="1" x14ac:dyDescent="0.25">
      <c r="A249" s="45">
        <v>6</v>
      </c>
      <c r="B249" s="45" t="s">
        <v>117</v>
      </c>
      <c r="C249" s="153"/>
      <c r="D249" s="50" t="s">
        <v>1</v>
      </c>
      <c r="E249" s="50" t="s">
        <v>1557</v>
      </c>
      <c r="F249" s="54" t="s">
        <v>81</v>
      </c>
      <c r="G249" s="54">
        <v>3</v>
      </c>
      <c r="H249" s="50" t="s">
        <v>1550</v>
      </c>
      <c r="I249" s="69"/>
      <c r="EP249" s="111"/>
    </row>
    <row r="250" spans="1:146" s="110" customFormat="1" x14ac:dyDescent="0.25">
      <c r="A250" s="45">
        <v>6</v>
      </c>
      <c r="B250" s="45" t="s">
        <v>117</v>
      </c>
      <c r="C250" s="153"/>
      <c r="D250" s="50" t="s">
        <v>1</v>
      </c>
      <c r="E250" s="50" t="s">
        <v>1558</v>
      </c>
      <c r="F250" s="54" t="s">
        <v>81</v>
      </c>
      <c r="G250" s="54">
        <v>20</v>
      </c>
      <c r="H250" s="50" t="s">
        <v>1559</v>
      </c>
      <c r="I250" s="69"/>
      <c r="EP250" s="111"/>
    </row>
    <row r="251" spans="1:146" s="110" customFormat="1" x14ac:dyDescent="0.25">
      <c r="A251" s="45">
        <v>6</v>
      </c>
      <c r="B251" s="45" t="s">
        <v>117</v>
      </c>
      <c r="C251" s="153"/>
      <c r="D251" s="50" t="s">
        <v>1</v>
      </c>
      <c r="E251" s="50" t="s">
        <v>1560</v>
      </c>
      <c r="F251" s="54" t="s">
        <v>81</v>
      </c>
      <c r="G251" s="54">
        <v>275</v>
      </c>
      <c r="H251" s="50" t="s">
        <v>1550</v>
      </c>
      <c r="I251" s="69"/>
      <c r="EP251" s="111"/>
    </row>
    <row r="252" spans="1:146" s="110" customFormat="1" x14ac:dyDescent="0.25">
      <c r="A252" s="45">
        <v>6</v>
      </c>
      <c r="B252" s="45" t="s">
        <v>117</v>
      </c>
      <c r="C252" s="153"/>
      <c r="D252" s="50" t="s">
        <v>1</v>
      </c>
      <c r="E252" s="50" t="s">
        <v>1561</v>
      </c>
      <c r="F252" s="54" t="s">
        <v>81</v>
      </c>
      <c r="G252" s="54">
        <v>41</v>
      </c>
      <c r="H252" s="50" t="s">
        <v>1550</v>
      </c>
      <c r="I252" s="69"/>
      <c r="EP252" s="111"/>
    </row>
    <row r="253" spans="1:146" s="110" customFormat="1" x14ac:dyDescent="0.25">
      <c r="A253" s="45">
        <v>6</v>
      </c>
      <c r="B253" s="45" t="s">
        <v>117</v>
      </c>
      <c r="C253" s="153"/>
      <c r="D253" s="50" t="s">
        <v>1</v>
      </c>
      <c r="E253" s="50" t="s">
        <v>1562</v>
      </c>
      <c r="F253" s="54" t="s">
        <v>81</v>
      </c>
      <c r="G253" s="54">
        <v>34</v>
      </c>
      <c r="H253" s="50" t="s">
        <v>1563</v>
      </c>
      <c r="I253" s="69"/>
      <c r="EP253" s="111"/>
    </row>
    <row r="254" spans="1:146" s="110" customFormat="1" x14ac:dyDescent="0.25">
      <c r="A254" s="45">
        <v>6</v>
      </c>
      <c r="B254" s="45" t="s">
        <v>117</v>
      </c>
      <c r="C254" s="153"/>
      <c r="D254" s="50" t="s">
        <v>1</v>
      </c>
      <c r="E254" s="50" t="s">
        <v>1564</v>
      </c>
      <c r="F254" s="54" t="s">
        <v>81</v>
      </c>
      <c r="G254" s="54">
        <v>46</v>
      </c>
      <c r="H254" s="50" t="s">
        <v>1550</v>
      </c>
      <c r="I254" s="69"/>
      <c r="EP254" s="111"/>
    </row>
    <row r="255" spans="1:146" s="110" customFormat="1" x14ac:dyDescent="0.25">
      <c r="A255" s="45">
        <v>6</v>
      </c>
      <c r="B255" s="45" t="s">
        <v>117</v>
      </c>
      <c r="C255" s="153"/>
      <c r="D255" s="50" t="s">
        <v>1</v>
      </c>
      <c r="E255" s="50" t="s">
        <v>1565</v>
      </c>
      <c r="F255" s="54" t="s">
        <v>81</v>
      </c>
      <c r="G255" s="54">
        <v>22</v>
      </c>
      <c r="H255" s="50" t="s">
        <v>1550</v>
      </c>
      <c r="I255" s="69"/>
      <c r="EP255" s="111"/>
    </row>
    <row r="256" spans="1:146" s="110" customFormat="1" x14ac:dyDescent="0.25">
      <c r="A256" s="45">
        <v>6</v>
      </c>
      <c r="B256" s="45" t="s">
        <v>117</v>
      </c>
      <c r="C256" s="153"/>
      <c r="D256" s="50" t="s">
        <v>1</v>
      </c>
      <c r="E256" s="50" t="s">
        <v>1566</v>
      </c>
      <c r="F256" s="54" t="s">
        <v>81</v>
      </c>
      <c r="G256" s="54">
        <v>41</v>
      </c>
      <c r="H256" s="50" t="s">
        <v>1567</v>
      </c>
      <c r="I256" s="69"/>
      <c r="EP256" s="111"/>
    </row>
    <row r="257" spans="1:146" s="110" customFormat="1" x14ac:dyDescent="0.25">
      <c r="A257" s="45">
        <v>6</v>
      </c>
      <c r="B257" s="45" t="s">
        <v>117</v>
      </c>
      <c r="C257" s="153"/>
      <c r="D257" s="50" t="s">
        <v>1</v>
      </c>
      <c r="E257" s="50" t="s">
        <v>1568</v>
      </c>
      <c r="F257" s="54" t="s">
        <v>81</v>
      </c>
      <c r="G257" s="54">
        <v>27</v>
      </c>
      <c r="H257" s="50" t="s">
        <v>1569</v>
      </c>
      <c r="I257" s="69"/>
      <c r="EP257" s="111"/>
    </row>
    <row r="258" spans="1:146" s="110" customFormat="1" x14ac:dyDescent="0.25">
      <c r="A258" s="45">
        <v>6</v>
      </c>
      <c r="B258" s="45" t="s">
        <v>117</v>
      </c>
      <c r="C258" s="153"/>
      <c r="D258" s="50" t="s">
        <v>1</v>
      </c>
      <c r="E258" s="50" t="s">
        <v>1570</v>
      </c>
      <c r="F258" s="54" t="s">
        <v>81</v>
      </c>
      <c r="G258" s="54">
        <v>81</v>
      </c>
      <c r="H258" s="50" t="s">
        <v>1546</v>
      </c>
      <c r="I258" s="69"/>
      <c r="EP258" s="111"/>
    </row>
    <row r="259" spans="1:146" s="110" customFormat="1" x14ac:dyDescent="0.25">
      <c r="A259" s="45">
        <v>6</v>
      </c>
      <c r="B259" s="45" t="s">
        <v>117</v>
      </c>
      <c r="C259" s="153"/>
      <c r="D259" s="50" t="s">
        <v>1</v>
      </c>
      <c r="E259" s="50" t="s">
        <v>1571</v>
      </c>
      <c r="F259" s="54" t="s">
        <v>81</v>
      </c>
      <c r="G259" s="54">
        <v>144</v>
      </c>
      <c r="H259" s="50" t="s">
        <v>1550</v>
      </c>
      <c r="I259" s="69"/>
      <c r="EP259" s="111"/>
    </row>
    <row r="260" spans="1:146" s="110" customFormat="1" ht="31.5" x14ac:dyDescent="0.25">
      <c r="A260" s="45">
        <v>6</v>
      </c>
      <c r="B260" s="45" t="s">
        <v>117</v>
      </c>
      <c r="C260" s="45">
        <v>4</v>
      </c>
      <c r="D260" s="50" t="s">
        <v>137</v>
      </c>
      <c r="E260" s="50" t="s">
        <v>1572</v>
      </c>
      <c r="F260" s="54" t="s">
        <v>81</v>
      </c>
      <c r="G260" s="54">
        <v>66</v>
      </c>
      <c r="H260" s="50" t="s">
        <v>1573</v>
      </c>
      <c r="I260" s="69"/>
      <c r="EP260" s="111"/>
    </row>
    <row r="261" spans="1:146" s="110" customFormat="1" x14ac:dyDescent="0.25">
      <c r="A261" s="45">
        <v>6</v>
      </c>
      <c r="B261" s="45" t="s">
        <v>117</v>
      </c>
      <c r="C261" s="45">
        <v>4</v>
      </c>
      <c r="D261" s="50" t="s">
        <v>393</v>
      </c>
      <c r="E261" s="50" t="s">
        <v>1574</v>
      </c>
      <c r="F261" s="54" t="s">
        <v>81</v>
      </c>
      <c r="G261" s="54">
        <v>12</v>
      </c>
      <c r="H261" s="50" t="s">
        <v>738</v>
      </c>
      <c r="I261" s="69"/>
      <c r="EP261" s="111"/>
    </row>
    <row r="262" spans="1:146" s="110" customFormat="1" x14ac:dyDescent="0.25">
      <c r="A262" s="45">
        <v>6</v>
      </c>
      <c r="B262" s="45" t="s">
        <v>117</v>
      </c>
      <c r="C262" s="45">
        <v>4</v>
      </c>
      <c r="D262" s="50" t="s">
        <v>1</v>
      </c>
      <c r="E262" s="50" t="s">
        <v>1575</v>
      </c>
      <c r="F262" s="54" t="s">
        <v>69</v>
      </c>
      <c r="G262" s="54">
        <v>5</v>
      </c>
      <c r="H262" s="50" t="s">
        <v>1576</v>
      </c>
      <c r="I262" s="69"/>
      <c r="EP262" s="111"/>
    </row>
    <row r="263" spans="1:146" s="110" customFormat="1" x14ac:dyDescent="0.25">
      <c r="A263" s="14">
        <v>7</v>
      </c>
      <c r="B263" s="14" t="s">
        <v>31</v>
      </c>
      <c r="C263" s="14">
        <v>1</v>
      </c>
      <c r="D263" s="19" t="s">
        <v>4</v>
      </c>
      <c r="E263" s="19" t="s">
        <v>1577</v>
      </c>
      <c r="F263" s="14" t="s">
        <v>81</v>
      </c>
      <c r="G263" s="20">
        <v>9</v>
      </c>
      <c r="H263" s="19" t="s">
        <v>1578</v>
      </c>
      <c r="I263" s="69"/>
      <c r="EP263" s="111"/>
    </row>
    <row r="264" spans="1:146" s="110" customFormat="1" ht="31.5" x14ac:dyDescent="0.25">
      <c r="A264" s="14">
        <v>7</v>
      </c>
      <c r="B264" s="14" t="s">
        <v>31</v>
      </c>
      <c r="C264" s="14">
        <v>1</v>
      </c>
      <c r="D264" s="19" t="s">
        <v>159</v>
      </c>
      <c r="E264" s="19" t="s">
        <v>160</v>
      </c>
      <c r="F264" s="14" t="s">
        <v>69</v>
      </c>
      <c r="G264" s="20">
        <v>29</v>
      </c>
      <c r="H264" s="19" t="s">
        <v>161</v>
      </c>
      <c r="I264" s="69"/>
      <c r="EP264" s="111"/>
    </row>
    <row r="265" spans="1:146" s="110" customFormat="1" ht="31.5" x14ac:dyDescent="0.25">
      <c r="A265" s="14">
        <v>7</v>
      </c>
      <c r="B265" s="14" t="s">
        <v>31</v>
      </c>
      <c r="C265" s="14">
        <v>1</v>
      </c>
      <c r="D265" s="19" t="s">
        <v>159</v>
      </c>
      <c r="E265" s="19" t="s">
        <v>162</v>
      </c>
      <c r="F265" s="14" t="s">
        <v>69</v>
      </c>
      <c r="G265" s="20">
        <v>24</v>
      </c>
      <c r="H265" s="19" t="s">
        <v>163</v>
      </c>
      <c r="I265" s="69"/>
      <c r="EP265" s="111"/>
    </row>
    <row r="266" spans="1:146" s="110" customFormat="1" ht="31.5" x14ac:dyDescent="0.25">
      <c r="A266" s="14">
        <v>7</v>
      </c>
      <c r="B266" s="14" t="s">
        <v>31</v>
      </c>
      <c r="C266" s="14">
        <v>1</v>
      </c>
      <c r="D266" s="19" t="s">
        <v>1</v>
      </c>
      <c r="E266" s="19" t="s">
        <v>571</v>
      </c>
      <c r="F266" s="14" t="s">
        <v>81</v>
      </c>
      <c r="G266" s="20">
        <v>56</v>
      </c>
      <c r="H266" s="19" t="s">
        <v>155</v>
      </c>
      <c r="I266" s="69"/>
      <c r="EP266" s="111"/>
    </row>
    <row r="267" spans="1:146" s="110" customFormat="1" ht="31.5" x14ac:dyDescent="0.25">
      <c r="A267" s="14">
        <v>7</v>
      </c>
      <c r="B267" s="14" t="s">
        <v>31</v>
      </c>
      <c r="C267" s="14">
        <v>1</v>
      </c>
      <c r="D267" s="19" t="s">
        <v>1</v>
      </c>
      <c r="E267" s="19" t="s">
        <v>156</v>
      </c>
      <c r="F267" s="14" t="s">
        <v>81</v>
      </c>
      <c r="G267" s="20">
        <v>1</v>
      </c>
      <c r="H267" s="19" t="s">
        <v>157</v>
      </c>
      <c r="I267" s="69"/>
      <c r="EP267" s="111"/>
    </row>
    <row r="268" spans="1:146" s="110" customFormat="1" x14ac:dyDescent="0.25">
      <c r="A268" s="14">
        <v>7</v>
      </c>
      <c r="B268" s="14" t="s">
        <v>31</v>
      </c>
      <c r="C268" s="14">
        <v>1</v>
      </c>
      <c r="D268" s="19" t="s">
        <v>1</v>
      </c>
      <c r="E268" s="19" t="s">
        <v>164</v>
      </c>
      <c r="F268" s="14" t="s">
        <v>69</v>
      </c>
      <c r="G268" s="20">
        <v>126</v>
      </c>
      <c r="H268" s="19" t="s">
        <v>165</v>
      </c>
      <c r="I268" s="69"/>
      <c r="EP268" s="111"/>
    </row>
    <row r="269" spans="1:146" s="110" customFormat="1" x14ac:dyDescent="0.25">
      <c r="A269" s="14">
        <v>7</v>
      </c>
      <c r="B269" s="14" t="s">
        <v>31</v>
      </c>
      <c r="C269" s="14">
        <v>1</v>
      </c>
      <c r="D269" s="19" t="s">
        <v>1</v>
      </c>
      <c r="E269" s="19" t="s">
        <v>166</v>
      </c>
      <c r="F269" s="14" t="s">
        <v>69</v>
      </c>
      <c r="G269" s="20">
        <v>444</v>
      </c>
      <c r="H269" s="19" t="s">
        <v>165</v>
      </c>
      <c r="I269" s="69"/>
      <c r="EP269" s="111"/>
    </row>
    <row r="270" spans="1:146" s="110" customFormat="1" x14ac:dyDescent="0.25">
      <c r="A270" s="14">
        <v>7</v>
      </c>
      <c r="B270" s="14" t="s">
        <v>31</v>
      </c>
      <c r="C270" s="14">
        <v>1</v>
      </c>
      <c r="D270" s="19" t="s">
        <v>1</v>
      </c>
      <c r="E270" s="19" t="s">
        <v>167</v>
      </c>
      <c r="F270" s="14" t="s">
        <v>81</v>
      </c>
      <c r="G270" s="20">
        <v>2</v>
      </c>
      <c r="H270" s="19" t="s">
        <v>168</v>
      </c>
      <c r="I270" s="69"/>
      <c r="EP270" s="111"/>
    </row>
    <row r="271" spans="1:146" s="110" customFormat="1" ht="31.5" x14ac:dyDescent="0.25">
      <c r="A271" s="14">
        <v>7</v>
      </c>
      <c r="B271" s="14" t="s">
        <v>31</v>
      </c>
      <c r="C271" s="14">
        <v>1</v>
      </c>
      <c r="D271" s="19" t="s">
        <v>83</v>
      </c>
      <c r="E271" s="19" t="s">
        <v>150</v>
      </c>
      <c r="F271" s="14" t="s">
        <v>81</v>
      </c>
      <c r="G271" s="20">
        <v>62</v>
      </c>
      <c r="H271" s="19" t="s">
        <v>570</v>
      </c>
      <c r="I271" s="69"/>
      <c r="EP271" s="111"/>
    </row>
    <row r="272" spans="1:146" s="110" customFormat="1" x14ac:dyDescent="0.25">
      <c r="A272" s="14">
        <v>7</v>
      </c>
      <c r="B272" s="14" t="s">
        <v>31</v>
      </c>
      <c r="C272" s="14">
        <v>1</v>
      </c>
      <c r="D272" s="19" t="s">
        <v>83</v>
      </c>
      <c r="E272" s="19" t="s">
        <v>151</v>
      </c>
      <c r="F272" s="14" t="s">
        <v>81</v>
      </c>
      <c r="G272" s="20">
        <v>6</v>
      </c>
      <c r="H272" s="19" t="s">
        <v>152</v>
      </c>
      <c r="I272" s="69"/>
      <c r="EP272" s="111"/>
    </row>
    <row r="273" spans="1:146" s="110" customFormat="1" x14ac:dyDescent="0.25">
      <c r="A273" s="14">
        <v>7</v>
      </c>
      <c r="B273" s="14" t="s">
        <v>31</v>
      </c>
      <c r="C273" s="14">
        <v>1</v>
      </c>
      <c r="D273" s="19" t="s">
        <v>83</v>
      </c>
      <c r="E273" s="19" t="s">
        <v>153</v>
      </c>
      <c r="F273" s="14" t="s">
        <v>81</v>
      </c>
      <c r="G273" s="20">
        <v>2</v>
      </c>
      <c r="H273" s="19" t="s">
        <v>154</v>
      </c>
      <c r="I273" s="69"/>
      <c r="EP273" s="111"/>
    </row>
    <row r="274" spans="1:146" s="110" customFormat="1" ht="31.5" x14ac:dyDescent="0.25">
      <c r="A274" s="14">
        <v>7</v>
      </c>
      <c r="B274" s="14" t="s">
        <v>31</v>
      </c>
      <c r="C274" s="14">
        <v>1</v>
      </c>
      <c r="D274" s="19" t="s">
        <v>83</v>
      </c>
      <c r="E274" s="19" t="s">
        <v>572</v>
      </c>
      <c r="F274" s="14" t="s">
        <v>69</v>
      </c>
      <c r="G274" s="20">
        <v>5</v>
      </c>
      <c r="H274" s="19" t="s">
        <v>158</v>
      </c>
      <c r="I274" s="69"/>
      <c r="EP274" s="111"/>
    </row>
    <row r="275" spans="1:146" s="110" customFormat="1" x14ac:dyDescent="0.25">
      <c r="A275" s="32">
        <v>7</v>
      </c>
      <c r="B275" s="32" t="s">
        <v>31</v>
      </c>
      <c r="C275" s="32">
        <v>2</v>
      </c>
      <c r="D275" s="38" t="s">
        <v>1</v>
      </c>
      <c r="E275" s="38" t="s">
        <v>164</v>
      </c>
      <c r="F275" s="32" t="s">
        <v>69</v>
      </c>
      <c r="G275" s="42">
        <v>373</v>
      </c>
      <c r="H275" s="38" t="s">
        <v>165</v>
      </c>
      <c r="I275" s="69"/>
      <c r="EP275" s="111"/>
    </row>
    <row r="276" spans="1:146" s="110" customFormat="1" x14ac:dyDescent="0.25">
      <c r="A276" s="32">
        <v>7</v>
      </c>
      <c r="B276" s="32" t="s">
        <v>31</v>
      </c>
      <c r="C276" s="32">
        <v>2</v>
      </c>
      <c r="D276" s="38" t="s">
        <v>1</v>
      </c>
      <c r="E276" s="38" t="s">
        <v>166</v>
      </c>
      <c r="F276" s="32" t="s">
        <v>69</v>
      </c>
      <c r="G276" s="42">
        <v>215</v>
      </c>
      <c r="H276" s="38" t="s">
        <v>165</v>
      </c>
      <c r="I276" s="69"/>
      <c r="EP276" s="111"/>
    </row>
    <row r="277" spans="1:146" s="110" customFormat="1" ht="31.5" x14ac:dyDescent="0.25">
      <c r="A277" s="63">
        <v>7</v>
      </c>
      <c r="B277" s="63" t="s">
        <v>31</v>
      </c>
      <c r="C277" s="63">
        <v>3</v>
      </c>
      <c r="D277" s="64" t="s">
        <v>159</v>
      </c>
      <c r="E277" s="64" t="s">
        <v>1073</v>
      </c>
      <c r="F277" s="63" t="s">
        <v>69</v>
      </c>
      <c r="G277" s="65">
        <v>33</v>
      </c>
      <c r="H277" s="64" t="s">
        <v>161</v>
      </c>
      <c r="I277" s="69"/>
      <c r="EP277" s="111"/>
    </row>
    <row r="278" spans="1:146" s="110" customFormat="1" x14ac:dyDescent="0.25">
      <c r="A278" s="63">
        <v>7</v>
      </c>
      <c r="B278" s="63" t="s">
        <v>31</v>
      </c>
      <c r="C278" s="63">
        <v>3</v>
      </c>
      <c r="D278" s="64" t="s">
        <v>1</v>
      </c>
      <c r="E278" s="64" t="s">
        <v>164</v>
      </c>
      <c r="F278" s="63" t="s">
        <v>69</v>
      </c>
      <c r="G278" s="65">
        <v>273</v>
      </c>
      <c r="H278" s="64" t="s">
        <v>165</v>
      </c>
      <c r="I278" s="69"/>
      <c r="EP278" s="111"/>
    </row>
    <row r="279" spans="1:146" s="110" customFormat="1" x14ac:dyDescent="0.25">
      <c r="A279" s="63">
        <v>7</v>
      </c>
      <c r="B279" s="63" t="s">
        <v>31</v>
      </c>
      <c r="C279" s="63">
        <v>3</v>
      </c>
      <c r="D279" s="64" t="s">
        <v>1</v>
      </c>
      <c r="E279" s="64" t="s">
        <v>166</v>
      </c>
      <c r="F279" s="63" t="s">
        <v>69</v>
      </c>
      <c r="G279" s="65">
        <v>191</v>
      </c>
      <c r="H279" s="64" t="s">
        <v>165</v>
      </c>
      <c r="I279" s="69"/>
      <c r="EP279" s="111"/>
    </row>
    <row r="280" spans="1:146" s="110" customFormat="1" ht="31.5" x14ac:dyDescent="0.25">
      <c r="A280" s="63">
        <v>7</v>
      </c>
      <c r="B280" s="63" t="s">
        <v>31</v>
      </c>
      <c r="C280" s="63">
        <v>3</v>
      </c>
      <c r="D280" s="64" t="s">
        <v>83</v>
      </c>
      <c r="E280" s="64" t="s">
        <v>741</v>
      </c>
      <c r="F280" s="63" t="s">
        <v>69</v>
      </c>
      <c r="G280" s="65">
        <v>62</v>
      </c>
      <c r="H280" s="64" t="s">
        <v>742</v>
      </c>
      <c r="I280" s="69"/>
      <c r="EP280" s="111"/>
    </row>
    <row r="281" spans="1:146" s="110" customFormat="1" ht="31.5" x14ac:dyDescent="0.25">
      <c r="A281" s="63">
        <v>7</v>
      </c>
      <c r="B281" s="63" t="s">
        <v>31</v>
      </c>
      <c r="C281" s="63">
        <v>3</v>
      </c>
      <c r="D281" s="64" t="s">
        <v>83</v>
      </c>
      <c r="E281" s="64" t="s">
        <v>572</v>
      </c>
      <c r="F281" s="63" t="s">
        <v>69</v>
      </c>
      <c r="G281" s="65">
        <v>4</v>
      </c>
      <c r="H281" s="64" t="s">
        <v>158</v>
      </c>
      <c r="I281" s="56"/>
      <c r="EP281" s="111"/>
    </row>
    <row r="282" spans="1:146" s="110" customFormat="1" x14ac:dyDescent="0.25">
      <c r="A282" s="45">
        <v>7</v>
      </c>
      <c r="B282" s="45" t="s">
        <v>31</v>
      </c>
      <c r="C282" s="45">
        <v>4</v>
      </c>
      <c r="D282" s="50" t="s">
        <v>1</v>
      </c>
      <c r="E282" s="50" t="s">
        <v>164</v>
      </c>
      <c r="F282" s="45" t="s">
        <v>81</v>
      </c>
      <c r="G282" s="54">
        <v>118</v>
      </c>
      <c r="H282" s="50" t="s">
        <v>165</v>
      </c>
      <c r="I282" s="69"/>
      <c r="EP282" s="111"/>
    </row>
    <row r="283" spans="1:146" s="110" customFormat="1" x14ac:dyDescent="0.25">
      <c r="A283" s="45">
        <v>7</v>
      </c>
      <c r="B283" s="45" t="s">
        <v>31</v>
      </c>
      <c r="C283" s="45">
        <v>4</v>
      </c>
      <c r="D283" s="50" t="s">
        <v>1</v>
      </c>
      <c r="E283" s="50" t="s">
        <v>166</v>
      </c>
      <c r="F283" s="45" t="s">
        <v>81</v>
      </c>
      <c r="G283" s="54">
        <v>110</v>
      </c>
      <c r="H283" s="50" t="s">
        <v>165</v>
      </c>
      <c r="I283" s="69"/>
      <c r="EP283" s="111"/>
    </row>
    <row r="284" spans="1:146" s="110" customFormat="1" ht="31.5" x14ac:dyDescent="0.25">
      <c r="A284" s="45">
        <v>7</v>
      </c>
      <c r="B284" s="45" t="s">
        <v>31</v>
      </c>
      <c r="C284" s="45">
        <v>4</v>
      </c>
      <c r="D284" s="50" t="s">
        <v>159</v>
      </c>
      <c r="E284" s="50" t="s">
        <v>160</v>
      </c>
      <c r="F284" s="45" t="s">
        <v>81</v>
      </c>
      <c r="G284" s="54" t="s">
        <v>1110</v>
      </c>
      <c r="H284" s="50" t="s">
        <v>161</v>
      </c>
      <c r="I284" s="69"/>
      <c r="EP284" s="111"/>
    </row>
    <row r="285" spans="1:146" s="110" customFormat="1" ht="31.5" x14ac:dyDescent="0.25">
      <c r="A285" s="45">
        <v>7</v>
      </c>
      <c r="B285" s="45" t="s">
        <v>31</v>
      </c>
      <c r="C285" s="45">
        <v>4</v>
      </c>
      <c r="D285" s="50" t="s">
        <v>83</v>
      </c>
      <c r="E285" s="50" t="s">
        <v>572</v>
      </c>
      <c r="F285" s="45" t="s">
        <v>81</v>
      </c>
      <c r="G285" s="54">
        <v>4</v>
      </c>
      <c r="H285" s="50" t="s">
        <v>158</v>
      </c>
      <c r="I285" s="69"/>
      <c r="EP285" s="111"/>
    </row>
    <row r="286" spans="1:146" s="110" customFormat="1" x14ac:dyDescent="0.25">
      <c r="A286" s="45">
        <v>7</v>
      </c>
      <c r="B286" s="45" t="s">
        <v>31</v>
      </c>
      <c r="C286" s="45">
        <v>4</v>
      </c>
      <c r="D286" s="50" t="s">
        <v>137</v>
      </c>
      <c r="E286" s="50" t="s">
        <v>1489</v>
      </c>
      <c r="F286" s="45" t="s">
        <v>81</v>
      </c>
      <c r="G286" s="54">
        <v>62</v>
      </c>
      <c r="H286" s="50" t="s">
        <v>1111</v>
      </c>
      <c r="I286" s="69"/>
      <c r="EP286" s="111"/>
    </row>
    <row r="287" spans="1:146" s="110" customFormat="1" ht="31.5" x14ac:dyDescent="0.25">
      <c r="A287" s="45">
        <v>7</v>
      </c>
      <c r="B287" s="45" t="s">
        <v>31</v>
      </c>
      <c r="C287" s="45">
        <v>4</v>
      </c>
      <c r="D287" s="50" t="s">
        <v>159</v>
      </c>
      <c r="E287" s="50" t="s">
        <v>1112</v>
      </c>
      <c r="F287" s="45" t="s">
        <v>81</v>
      </c>
      <c r="G287" s="54" t="s">
        <v>1113</v>
      </c>
      <c r="H287" s="50" t="s">
        <v>1114</v>
      </c>
      <c r="I287" s="69"/>
      <c r="EP287" s="111"/>
    </row>
    <row r="288" spans="1:146" s="110" customFormat="1" ht="31.5" x14ac:dyDescent="0.25">
      <c r="A288" s="14">
        <v>8</v>
      </c>
      <c r="B288" s="14" t="s">
        <v>32</v>
      </c>
      <c r="C288" s="14">
        <v>1</v>
      </c>
      <c r="D288" s="19" t="s">
        <v>4</v>
      </c>
      <c r="E288" s="19" t="s">
        <v>176</v>
      </c>
      <c r="F288" s="14" t="s">
        <v>69</v>
      </c>
      <c r="G288" s="20">
        <v>25</v>
      </c>
      <c r="H288" s="19" t="s">
        <v>106</v>
      </c>
      <c r="I288" s="69"/>
      <c r="EP288" s="111"/>
    </row>
    <row r="289" spans="1:146" s="110" customFormat="1" x14ac:dyDescent="0.25">
      <c r="A289" s="14">
        <v>8</v>
      </c>
      <c r="B289" s="14" t="s">
        <v>32</v>
      </c>
      <c r="C289" s="14">
        <v>1</v>
      </c>
      <c r="D289" s="19" t="s">
        <v>0</v>
      </c>
      <c r="E289" s="19" t="s">
        <v>169</v>
      </c>
      <c r="F289" s="14" t="s">
        <v>69</v>
      </c>
      <c r="G289" s="20">
        <v>4</v>
      </c>
      <c r="H289" s="19" t="s">
        <v>106</v>
      </c>
      <c r="I289" s="69"/>
      <c r="EP289" s="111"/>
    </row>
    <row r="290" spans="1:146" s="110" customFormat="1" ht="31.5" x14ac:dyDescent="0.25">
      <c r="A290" s="14">
        <v>8</v>
      </c>
      <c r="B290" s="14" t="s">
        <v>32</v>
      </c>
      <c r="C290" s="14">
        <v>1</v>
      </c>
      <c r="D290" s="19" t="s">
        <v>1</v>
      </c>
      <c r="E290" s="19" t="s">
        <v>170</v>
      </c>
      <c r="F290" s="14" t="s">
        <v>69</v>
      </c>
      <c r="G290" s="20">
        <v>61</v>
      </c>
      <c r="H290" s="19" t="s">
        <v>106</v>
      </c>
      <c r="I290" s="69"/>
      <c r="EP290" s="111"/>
    </row>
    <row r="291" spans="1:146" s="110" customFormat="1" x14ac:dyDescent="0.25">
      <c r="A291" s="14">
        <v>8</v>
      </c>
      <c r="B291" s="14" t="s">
        <v>32</v>
      </c>
      <c r="C291" s="14">
        <v>1</v>
      </c>
      <c r="D291" s="19" t="s">
        <v>1</v>
      </c>
      <c r="E291" s="19" t="s">
        <v>171</v>
      </c>
      <c r="F291" s="14" t="s">
        <v>69</v>
      </c>
      <c r="G291" s="20">
        <v>35</v>
      </c>
      <c r="H291" s="19" t="s">
        <v>106</v>
      </c>
      <c r="I291" s="69"/>
      <c r="EP291" s="111"/>
    </row>
    <row r="292" spans="1:146" s="110" customFormat="1" x14ac:dyDescent="0.25">
      <c r="A292" s="14">
        <v>8</v>
      </c>
      <c r="B292" s="14" t="s">
        <v>32</v>
      </c>
      <c r="C292" s="14">
        <v>1</v>
      </c>
      <c r="D292" s="19" t="s">
        <v>1</v>
      </c>
      <c r="E292" s="19" t="s">
        <v>174</v>
      </c>
      <c r="F292" s="14" t="s">
        <v>69</v>
      </c>
      <c r="G292" s="20">
        <v>87</v>
      </c>
      <c r="H292" s="19" t="s">
        <v>106</v>
      </c>
      <c r="I292" s="69"/>
      <c r="EP292" s="111"/>
    </row>
    <row r="293" spans="1:146" s="110" customFormat="1" x14ac:dyDescent="0.25">
      <c r="A293" s="14">
        <v>8</v>
      </c>
      <c r="B293" s="14" t="s">
        <v>32</v>
      </c>
      <c r="C293" s="14">
        <v>1</v>
      </c>
      <c r="D293" s="19" t="s">
        <v>83</v>
      </c>
      <c r="E293" s="19" t="s">
        <v>172</v>
      </c>
      <c r="F293" s="14" t="s">
        <v>69</v>
      </c>
      <c r="G293" s="20">
        <v>16</v>
      </c>
      <c r="H293" s="19" t="s">
        <v>106</v>
      </c>
      <c r="I293" s="69"/>
      <c r="EP293" s="111"/>
    </row>
    <row r="294" spans="1:146" s="110" customFormat="1" x14ac:dyDescent="0.25">
      <c r="A294" s="14">
        <v>8</v>
      </c>
      <c r="B294" s="14" t="s">
        <v>32</v>
      </c>
      <c r="C294" s="14">
        <v>1</v>
      </c>
      <c r="D294" s="19" t="s">
        <v>83</v>
      </c>
      <c r="E294" s="19" t="s">
        <v>173</v>
      </c>
      <c r="F294" s="14" t="s">
        <v>69</v>
      </c>
      <c r="G294" s="20">
        <v>19</v>
      </c>
      <c r="H294" s="19" t="s">
        <v>106</v>
      </c>
      <c r="I294" s="69"/>
      <c r="EP294" s="111"/>
    </row>
    <row r="295" spans="1:146" s="110" customFormat="1" x14ac:dyDescent="0.25">
      <c r="A295" s="14">
        <v>8</v>
      </c>
      <c r="B295" s="14" t="s">
        <v>32</v>
      </c>
      <c r="C295" s="14">
        <v>1</v>
      </c>
      <c r="D295" s="19" t="s">
        <v>83</v>
      </c>
      <c r="E295" s="19" t="s">
        <v>175</v>
      </c>
      <c r="F295" s="14" t="s">
        <v>69</v>
      </c>
      <c r="G295" s="20">
        <v>208</v>
      </c>
      <c r="H295" s="19" t="s">
        <v>106</v>
      </c>
      <c r="I295" s="69"/>
      <c r="EP295" s="111"/>
    </row>
    <row r="296" spans="1:146" s="110" customFormat="1" x14ac:dyDescent="0.25">
      <c r="A296" s="14">
        <v>8</v>
      </c>
      <c r="B296" s="14" t="s">
        <v>32</v>
      </c>
      <c r="C296" s="14">
        <v>1</v>
      </c>
      <c r="D296" s="19" t="s">
        <v>83</v>
      </c>
      <c r="E296" s="19" t="s">
        <v>177</v>
      </c>
      <c r="F296" s="14" t="s">
        <v>69</v>
      </c>
      <c r="G296" s="20">
        <v>6</v>
      </c>
      <c r="H296" s="19" t="s">
        <v>106</v>
      </c>
      <c r="I296" s="69"/>
      <c r="EP296" s="111"/>
    </row>
    <row r="297" spans="1:146" s="110" customFormat="1" x14ac:dyDescent="0.25">
      <c r="A297" s="32">
        <v>8</v>
      </c>
      <c r="B297" s="32" t="s">
        <v>32</v>
      </c>
      <c r="C297" s="32">
        <v>2</v>
      </c>
      <c r="D297" s="38" t="s">
        <v>0</v>
      </c>
      <c r="E297" s="38" t="s">
        <v>597</v>
      </c>
      <c r="F297" s="32" t="s">
        <v>69</v>
      </c>
      <c r="G297" s="42">
        <v>6</v>
      </c>
      <c r="H297" s="38" t="s">
        <v>106</v>
      </c>
      <c r="I297" s="69"/>
      <c r="EP297" s="111"/>
    </row>
    <row r="298" spans="1:146" s="110" customFormat="1" x14ac:dyDescent="0.25">
      <c r="A298" s="32">
        <v>8</v>
      </c>
      <c r="B298" s="32" t="s">
        <v>32</v>
      </c>
      <c r="C298" s="32">
        <v>2</v>
      </c>
      <c r="D298" s="38" t="s">
        <v>1</v>
      </c>
      <c r="E298" s="38" t="s">
        <v>598</v>
      </c>
      <c r="F298" s="32" t="s">
        <v>69</v>
      </c>
      <c r="G298" s="42">
        <v>2</v>
      </c>
      <c r="H298" s="38" t="s">
        <v>106</v>
      </c>
      <c r="I298" s="69"/>
      <c r="EP298" s="111"/>
    </row>
    <row r="299" spans="1:146" s="110" customFormat="1" x14ac:dyDescent="0.25">
      <c r="A299" s="32">
        <v>8</v>
      </c>
      <c r="B299" s="32" t="s">
        <v>32</v>
      </c>
      <c r="C299" s="32">
        <v>2</v>
      </c>
      <c r="D299" s="38" t="s">
        <v>599</v>
      </c>
      <c r="E299" s="38" t="s">
        <v>600</v>
      </c>
      <c r="F299" s="32" t="s">
        <v>81</v>
      </c>
      <c r="G299" s="42">
        <v>1</v>
      </c>
      <c r="H299" s="38" t="s">
        <v>601</v>
      </c>
      <c r="I299" s="69"/>
      <c r="EP299" s="111"/>
    </row>
    <row r="300" spans="1:146" s="110" customFormat="1" x14ac:dyDescent="0.25">
      <c r="A300" s="32">
        <v>8</v>
      </c>
      <c r="B300" s="32" t="s">
        <v>32</v>
      </c>
      <c r="C300" s="32">
        <v>2</v>
      </c>
      <c r="D300" s="38" t="s">
        <v>1</v>
      </c>
      <c r="E300" s="38" t="s">
        <v>602</v>
      </c>
      <c r="F300" s="32" t="s">
        <v>69</v>
      </c>
      <c r="G300" s="42">
        <v>268</v>
      </c>
      <c r="H300" s="38" t="s">
        <v>106</v>
      </c>
      <c r="I300" s="69"/>
      <c r="EP300" s="111"/>
    </row>
    <row r="301" spans="1:146" s="110" customFormat="1" x14ac:dyDescent="0.25">
      <c r="A301" s="32">
        <v>8</v>
      </c>
      <c r="B301" s="32" t="s">
        <v>32</v>
      </c>
      <c r="C301" s="32">
        <v>2</v>
      </c>
      <c r="D301" s="38" t="s">
        <v>393</v>
      </c>
      <c r="E301" s="38" t="s">
        <v>603</v>
      </c>
      <c r="F301" s="32" t="s">
        <v>69</v>
      </c>
      <c r="G301" s="42">
        <v>31</v>
      </c>
      <c r="H301" s="38" t="s">
        <v>106</v>
      </c>
      <c r="I301" s="69"/>
      <c r="EP301" s="111"/>
    </row>
    <row r="302" spans="1:146" s="110" customFormat="1" x14ac:dyDescent="0.25">
      <c r="A302" s="32">
        <v>8</v>
      </c>
      <c r="B302" s="32" t="s">
        <v>32</v>
      </c>
      <c r="C302" s="32">
        <v>2</v>
      </c>
      <c r="D302" s="38" t="s">
        <v>393</v>
      </c>
      <c r="E302" s="38" t="s">
        <v>604</v>
      </c>
      <c r="F302" s="32" t="s">
        <v>69</v>
      </c>
      <c r="G302" s="42">
        <v>12</v>
      </c>
      <c r="H302" s="38" t="s">
        <v>106</v>
      </c>
      <c r="I302" s="69"/>
      <c r="EP302" s="111"/>
    </row>
    <row r="303" spans="1:146" s="110" customFormat="1" x14ac:dyDescent="0.25">
      <c r="A303" s="32">
        <v>8</v>
      </c>
      <c r="B303" s="32" t="s">
        <v>32</v>
      </c>
      <c r="C303" s="32">
        <v>2</v>
      </c>
      <c r="D303" s="38" t="s">
        <v>393</v>
      </c>
      <c r="E303" s="38" t="s">
        <v>605</v>
      </c>
      <c r="F303" s="32" t="s">
        <v>81</v>
      </c>
      <c r="G303" s="42">
        <v>1</v>
      </c>
      <c r="H303" s="38" t="s">
        <v>106</v>
      </c>
      <c r="I303" s="69"/>
      <c r="EP303" s="111"/>
    </row>
    <row r="304" spans="1:146" s="110" customFormat="1" x14ac:dyDescent="0.25">
      <c r="A304" s="63">
        <v>8</v>
      </c>
      <c r="B304" s="63" t="s">
        <v>32</v>
      </c>
      <c r="C304" s="63">
        <v>3</v>
      </c>
      <c r="D304" s="64" t="s">
        <v>137</v>
      </c>
      <c r="E304" s="64" t="s">
        <v>749</v>
      </c>
      <c r="F304" s="63" t="s">
        <v>81</v>
      </c>
      <c r="G304" s="65">
        <v>1</v>
      </c>
      <c r="H304" s="64" t="s">
        <v>750</v>
      </c>
      <c r="I304" s="69"/>
      <c r="EP304" s="111"/>
    </row>
    <row r="305" spans="1:146" s="110" customFormat="1" x14ac:dyDescent="0.25">
      <c r="A305" s="63">
        <v>8</v>
      </c>
      <c r="B305" s="63" t="s">
        <v>32</v>
      </c>
      <c r="C305" s="63">
        <v>3</v>
      </c>
      <c r="D305" s="64" t="s">
        <v>137</v>
      </c>
      <c r="E305" s="64" t="s">
        <v>751</v>
      </c>
      <c r="F305" s="63" t="s">
        <v>81</v>
      </c>
      <c r="G305" s="65">
        <v>1</v>
      </c>
      <c r="H305" s="64" t="s">
        <v>106</v>
      </c>
      <c r="I305" s="56"/>
      <c r="EP305" s="111"/>
    </row>
    <row r="306" spans="1:146" s="110" customFormat="1" x14ac:dyDescent="0.25">
      <c r="A306" s="63">
        <v>8</v>
      </c>
      <c r="B306" s="63" t="s">
        <v>32</v>
      </c>
      <c r="C306" s="63">
        <v>3</v>
      </c>
      <c r="D306" s="64" t="s">
        <v>0</v>
      </c>
      <c r="E306" s="64" t="s">
        <v>743</v>
      </c>
      <c r="F306" s="63" t="s">
        <v>69</v>
      </c>
      <c r="G306" s="65">
        <v>12</v>
      </c>
      <c r="H306" s="64" t="s">
        <v>106</v>
      </c>
      <c r="I306" s="69"/>
      <c r="EP306" s="111"/>
    </row>
    <row r="307" spans="1:146" s="110" customFormat="1" x14ac:dyDescent="0.25">
      <c r="A307" s="63">
        <v>8</v>
      </c>
      <c r="B307" s="63" t="s">
        <v>32</v>
      </c>
      <c r="C307" s="63">
        <v>3</v>
      </c>
      <c r="D307" s="64" t="s">
        <v>1</v>
      </c>
      <c r="E307" s="64" t="s">
        <v>744</v>
      </c>
      <c r="F307" s="63" t="s">
        <v>81</v>
      </c>
      <c r="G307" s="65">
        <v>292</v>
      </c>
      <c r="H307" s="64" t="s">
        <v>106</v>
      </c>
      <c r="I307" s="69"/>
      <c r="EP307" s="111"/>
    </row>
    <row r="308" spans="1:146" s="110" customFormat="1" x14ac:dyDescent="0.25">
      <c r="A308" s="63">
        <v>8</v>
      </c>
      <c r="B308" s="63" t="s">
        <v>32</v>
      </c>
      <c r="C308" s="63">
        <v>3</v>
      </c>
      <c r="D308" s="64" t="s">
        <v>393</v>
      </c>
      <c r="E308" s="64" t="s">
        <v>745</v>
      </c>
      <c r="F308" s="63" t="s">
        <v>746</v>
      </c>
      <c r="G308" s="65">
        <v>29</v>
      </c>
      <c r="H308" s="64" t="s">
        <v>106</v>
      </c>
      <c r="I308" s="69"/>
      <c r="EP308" s="111"/>
    </row>
    <row r="309" spans="1:146" s="110" customFormat="1" x14ac:dyDescent="0.25">
      <c r="A309" s="63">
        <v>8</v>
      </c>
      <c r="B309" s="63" t="s">
        <v>32</v>
      </c>
      <c r="C309" s="63">
        <v>3</v>
      </c>
      <c r="D309" s="64" t="s">
        <v>393</v>
      </c>
      <c r="E309" s="64" t="s">
        <v>747</v>
      </c>
      <c r="F309" s="63" t="s">
        <v>81</v>
      </c>
      <c r="G309" s="65">
        <v>10</v>
      </c>
      <c r="H309" s="64" t="s">
        <v>106</v>
      </c>
      <c r="I309" s="69"/>
      <c r="EP309" s="111"/>
    </row>
    <row r="310" spans="1:146" s="110" customFormat="1" x14ac:dyDescent="0.25">
      <c r="A310" s="63">
        <v>8</v>
      </c>
      <c r="B310" s="63" t="s">
        <v>32</v>
      </c>
      <c r="C310" s="63">
        <v>3</v>
      </c>
      <c r="D310" s="64" t="s">
        <v>393</v>
      </c>
      <c r="E310" s="64" t="s">
        <v>748</v>
      </c>
      <c r="F310" s="63" t="s">
        <v>81</v>
      </c>
      <c r="G310" s="65">
        <v>22</v>
      </c>
      <c r="H310" s="64" t="s">
        <v>106</v>
      </c>
      <c r="I310" s="69"/>
      <c r="EP310" s="111"/>
    </row>
    <row r="311" spans="1:146" s="110" customFormat="1" x14ac:dyDescent="0.25">
      <c r="A311" s="45">
        <v>8</v>
      </c>
      <c r="B311" s="45" t="s">
        <v>32</v>
      </c>
      <c r="C311" s="45">
        <v>4</v>
      </c>
      <c r="D311" s="50" t="s">
        <v>0</v>
      </c>
      <c r="E311" s="50" t="s">
        <v>1115</v>
      </c>
      <c r="F311" s="45" t="s">
        <v>81</v>
      </c>
      <c r="G311" s="54">
        <v>11</v>
      </c>
      <c r="H311" s="50" t="s">
        <v>106</v>
      </c>
      <c r="I311" s="69"/>
      <c r="EP311" s="111"/>
    </row>
    <row r="312" spans="1:146" s="110" customFormat="1" x14ac:dyDescent="0.25">
      <c r="A312" s="45">
        <v>8</v>
      </c>
      <c r="B312" s="45" t="s">
        <v>32</v>
      </c>
      <c r="C312" s="45">
        <v>4</v>
      </c>
      <c r="D312" s="50" t="s">
        <v>1</v>
      </c>
      <c r="E312" s="50" t="s">
        <v>1116</v>
      </c>
      <c r="F312" s="45" t="s">
        <v>81</v>
      </c>
      <c r="G312" s="54">
        <v>333</v>
      </c>
      <c r="H312" s="50" t="s">
        <v>106</v>
      </c>
      <c r="I312" s="69"/>
      <c r="EP312" s="111"/>
    </row>
    <row r="313" spans="1:146" s="110" customFormat="1" x14ac:dyDescent="0.25">
      <c r="A313" s="45">
        <v>8</v>
      </c>
      <c r="B313" s="45" t="s">
        <v>32</v>
      </c>
      <c r="C313" s="45">
        <v>4</v>
      </c>
      <c r="D313" s="50" t="s">
        <v>393</v>
      </c>
      <c r="E313" s="50" t="s">
        <v>1117</v>
      </c>
      <c r="F313" s="45" t="s">
        <v>81</v>
      </c>
      <c r="G313" s="54">
        <v>19</v>
      </c>
      <c r="H313" s="50" t="s">
        <v>106</v>
      </c>
      <c r="I313" s="69"/>
      <c r="EP313" s="111"/>
    </row>
    <row r="314" spans="1:146" s="110" customFormat="1" x14ac:dyDescent="0.25">
      <c r="A314" s="45">
        <v>8</v>
      </c>
      <c r="B314" s="45" t="s">
        <v>32</v>
      </c>
      <c r="C314" s="45">
        <v>4</v>
      </c>
      <c r="D314" s="50" t="s">
        <v>393</v>
      </c>
      <c r="E314" s="50" t="s">
        <v>1118</v>
      </c>
      <c r="F314" s="45" t="s">
        <v>69</v>
      </c>
      <c r="G314" s="54">
        <v>13</v>
      </c>
      <c r="H314" s="50" t="s">
        <v>106</v>
      </c>
      <c r="I314" s="69"/>
      <c r="EP314" s="111"/>
    </row>
    <row r="315" spans="1:146" s="110" customFormat="1" x14ac:dyDescent="0.25">
      <c r="A315" s="45">
        <v>8</v>
      </c>
      <c r="B315" s="45" t="s">
        <v>32</v>
      </c>
      <c r="C315" s="45">
        <v>4</v>
      </c>
      <c r="D315" s="50" t="s">
        <v>393</v>
      </c>
      <c r="E315" s="50" t="s">
        <v>1119</v>
      </c>
      <c r="F315" s="45" t="s">
        <v>69</v>
      </c>
      <c r="G315" s="54">
        <v>28</v>
      </c>
      <c r="H315" s="50" t="s">
        <v>106</v>
      </c>
      <c r="I315" s="69"/>
      <c r="EP315" s="111"/>
    </row>
    <row r="316" spans="1:146" s="110" customFormat="1" x14ac:dyDescent="0.25">
      <c r="A316" s="45">
        <v>8</v>
      </c>
      <c r="B316" s="45" t="s">
        <v>32</v>
      </c>
      <c r="C316" s="45">
        <v>4</v>
      </c>
      <c r="D316" s="50" t="s">
        <v>137</v>
      </c>
      <c r="E316" s="50" t="s">
        <v>751</v>
      </c>
      <c r="F316" s="45" t="s">
        <v>81</v>
      </c>
      <c r="G316" s="54">
        <v>1</v>
      </c>
      <c r="H316" s="50" t="s">
        <v>106</v>
      </c>
      <c r="I316" s="69"/>
      <c r="EP316" s="111"/>
    </row>
    <row r="317" spans="1:146" s="110" customFormat="1" ht="63" x14ac:dyDescent="0.25">
      <c r="A317" s="14">
        <v>9</v>
      </c>
      <c r="B317" s="14" t="s">
        <v>33</v>
      </c>
      <c r="C317" s="14">
        <v>1</v>
      </c>
      <c r="D317" s="19" t="s">
        <v>0</v>
      </c>
      <c r="E317" s="19" t="s">
        <v>187</v>
      </c>
      <c r="F317" s="14" t="s">
        <v>81</v>
      </c>
      <c r="G317" s="20">
        <v>1</v>
      </c>
      <c r="H317" s="19" t="s">
        <v>188</v>
      </c>
      <c r="I317" s="69"/>
      <c r="EP317" s="111"/>
    </row>
    <row r="318" spans="1:146" s="110" customFormat="1" ht="47.25" x14ac:dyDescent="0.25">
      <c r="A318" s="14">
        <v>9</v>
      </c>
      <c r="B318" s="14" t="s">
        <v>33</v>
      </c>
      <c r="C318" s="14">
        <v>1</v>
      </c>
      <c r="D318" s="19" t="s">
        <v>1</v>
      </c>
      <c r="E318" s="19" t="s">
        <v>181</v>
      </c>
      <c r="F318" s="14" t="s">
        <v>69</v>
      </c>
      <c r="G318" s="20">
        <v>1</v>
      </c>
      <c r="H318" s="19" t="s">
        <v>182</v>
      </c>
      <c r="I318" s="69"/>
      <c r="EP318" s="111"/>
    </row>
    <row r="319" spans="1:146" s="110" customFormat="1" ht="31.5" x14ac:dyDescent="0.25">
      <c r="A319" s="14">
        <v>9</v>
      </c>
      <c r="B319" s="14" t="s">
        <v>33</v>
      </c>
      <c r="C319" s="14">
        <v>1</v>
      </c>
      <c r="D319" s="19" t="s">
        <v>1</v>
      </c>
      <c r="E319" s="19" t="s">
        <v>185</v>
      </c>
      <c r="F319" s="14" t="s">
        <v>69</v>
      </c>
      <c r="G319" s="20">
        <v>4</v>
      </c>
      <c r="H319" s="19" t="s">
        <v>186</v>
      </c>
      <c r="I319" s="69"/>
      <c r="EP319" s="111"/>
    </row>
    <row r="320" spans="1:146" s="110" customFormat="1" ht="31.5" x14ac:dyDescent="0.25">
      <c r="A320" s="14">
        <v>9</v>
      </c>
      <c r="B320" s="14" t="s">
        <v>33</v>
      </c>
      <c r="C320" s="14">
        <v>1</v>
      </c>
      <c r="D320" s="19" t="s">
        <v>83</v>
      </c>
      <c r="E320" s="19" t="s">
        <v>178</v>
      </c>
      <c r="F320" s="14" t="s">
        <v>69</v>
      </c>
      <c r="G320" s="20" t="s">
        <v>179</v>
      </c>
      <c r="H320" s="19" t="s">
        <v>180</v>
      </c>
      <c r="I320" s="69"/>
      <c r="EP320" s="111"/>
    </row>
    <row r="321" spans="1:146" s="110" customFormat="1" ht="63" x14ac:dyDescent="0.25">
      <c r="A321" s="14">
        <v>9</v>
      </c>
      <c r="B321" s="14" t="s">
        <v>33</v>
      </c>
      <c r="C321" s="14">
        <v>1</v>
      </c>
      <c r="D321" s="19" t="s">
        <v>83</v>
      </c>
      <c r="E321" s="19" t="s">
        <v>183</v>
      </c>
      <c r="F321" s="14" t="s">
        <v>69</v>
      </c>
      <c r="G321" s="20">
        <v>48</v>
      </c>
      <c r="H321" s="19" t="s">
        <v>184</v>
      </c>
      <c r="I321" s="69"/>
      <c r="EP321" s="111"/>
    </row>
    <row r="322" spans="1:146" s="110" customFormat="1" x14ac:dyDescent="0.25">
      <c r="A322" s="32">
        <v>9</v>
      </c>
      <c r="B322" s="32" t="s">
        <v>33</v>
      </c>
      <c r="C322" s="32">
        <v>2</v>
      </c>
      <c r="D322" s="146" t="s">
        <v>393</v>
      </c>
      <c r="E322" s="38" t="s">
        <v>435</v>
      </c>
      <c r="F322" s="32" t="s">
        <v>69</v>
      </c>
      <c r="G322" s="42">
        <v>4</v>
      </c>
      <c r="H322" s="38" t="s">
        <v>577</v>
      </c>
      <c r="I322" s="69"/>
      <c r="EP322" s="111"/>
    </row>
    <row r="323" spans="1:146" s="110" customFormat="1" x14ac:dyDescent="0.25">
      <c r="A323" s="32">
        <v>9</v>
      </c>
      <c r="B323" s="32" t="s">
        <v>33</v>
      </c>
      <c r="C323" s="32">
        <v>2</v>
      </c>
      <c r="D323" s="38" t="s">
        <v>1</v>
      </c>
      <c r="E323" s="38" t="s">
        <v>439</v>
      </c>
      <c r="F323" s="32" t="s">
        <v>69</v>
      </c>
      <c r="G323" s="42">
        <v>1</v>
      </c>
      <c r="H323" s="38" t="s">
        <v>440</v>
      </c>
      <c r="I323" s="69"/>
      <c r="EP323" s="111"/>
    </row>
    <row r="324" spans="1:146" s="110" customFormat="1" ht="63" x14ac:dyDescent="0.25">
      <c r="A324" s="32">
        <v>9</v>
      </c>
      <c r="B324" s="32" t="s">
        <v>33</v>
      </c>
      <c r="C324" s="32">
        <v>2</v>
      </c>
      <c r="D324" s="38" t="s">
        <v>393</v>
      </c>
      <c r="E324" s="38" t="s">
        <v>649</v>
      </c>
      <c r="F324" s="32" t="s">
        <v>69</v>
      </c>
      <c r="G324" s="42">
        <v>17</v>
      </c>
      <c r="H324" s="38" t="s">
        <v>576</v>
      </c>
      <c r="I324" s="69"/>
      <c r="EP324" s="111"/>
    </row>
    <row r="325" spans="1:146" s="110" customFormat="1" ht="47.25" x14ac:dyDescent="0.25">
      <c r="A325" s="32">
        <v>9</v>
      </c>
      <c r="B325" s="32" t="s">
        <v>33</v>
      </c>
      <c r="C325" s="32">
        <v>2</v>
      </c>
      <c r="D325" s="38" t="s">
        <v>393</v>
      </c>
      <c r="E325" s="38" t="s">
        <v>650</v>
      </c>
      <c r="F325" s="32" t="s">
        <v>69</v>
      </c>
      <c r="G325" s="42">
        <v>2</v>
      </c>
      <c r="H325" s="38" t="s">
        <v>436</v>
      </c>
      <c r="I325" s="69"/>
      <c r="EP325" s="111"/>
    </row>
    <row r="326" spans="1:146" s="110" customFormat="1" ht="31.5" x14ac:dyDescent="0.25">
      <c r="A326" s="32">
        <v>9</v>
      </c>
      <c r="B326" s="32" t="s">
        <v>33</v>
      </c>
      <c r="C326" s="32">
        <v>2</v>
      </c>
      <c r="D326" s="38" t="s">
        <v>393</v>
      </c>
      <c r="E326" s="38" t="s">
        <v>437</v>
      </c>
      <c r="F326" s="32" t="s">
        <v>69</v>
      </c>
      <c r="G326" s="42">
        <v>1</v>
      </c>
      <c r="H326" s="38" t="s">
        <v>438</v>
      </c>
      <c r="I326" s="69"/>
      <c r="EP326" s="111"/>
    </row>
    <row r="327" spans="1:146" s="110" customFormat="1" x14ac:dyDescent="0.25">
      <c r="A327" s="63">
        <v>9</v>
      </c>
      <c r="B327" s="63" t="s">
        <v>33</v>
      </c>
      <c r="C327" s="63">
        <v>3</v>
      </c>
      <c r="D327" s="64" t="s">
        <v>1</v>
      </c>
      <c r="E327" s="64" t="s">
        <v>756</v>
      </c>
      <c r="F327" s="63" t="s">
        <v>69</v>
      </c>
      <c r="G327" s="65">
        <v>1</v>
      </c>
      <c r="H327" s="64" t="s">
        <v>757</v>
      </c>
      <c r="I327" s="69"/>
      <c r="EP327" s="111"/>
    </row>
    <row r="328" spans="1:146" s="110" customFormat="1" ht="31.5" x14ac:dyDescent="0.25">
      <c r="A328" s="63">
        <v>9</v>
      </c>
      <c r="B328" s="63" t="s">
        <v>33</v>
      </c>
      <c r="C328" s="63">
        <v>3</v>
      </c>
      <c r="D328" s="64" t="s">
        <v>1</v>
      </c>
      <c r="E328" s="64" t="s">
        <v>758</v>
      </c>
      <c r="F328" s="63" t="s">
        <v>81</v>
      </c>
      <c r="G328" s="65">
        <v>25</v>
      </c>
      <c r="H328" s="64" t="s">
        <v>759</v>
      </c>
      <c r="I328" s="69"/>
      <c r="EP328" s="111"/>
    </row>
    <row r="329" spans="1:146" s="110" customFormat="1" ht="31.5" x14ac:dyDescent="0.25">
      <c r="A329" s="63">
        <v>9</v>
      </c>
      <c r="B329" s="63" t="s">
        <v>33</v>
      </c>
      <c r="C329" s="63">
        <v>3</v>
      </c>
      <c r="D329" s="64" t="s">
        <v>1</v>
      </c>
      <c r="E329" s="64" t="s">
        <v>760</v>
      </c>
      <c r="F329" s="63" t="s">
        <v>69</v>
      </c>
      <c r="G329" s="65">
        <v>22</v>
      </c>
      <c r="H329" s="64" t="s">
        <v>761</v>
      </c>
      <c r="I329" s="69"/>
      <c r="EP329" s="111"/>
    </row>
    <row r="330" spans="1:146" s="110" customFormat="1" ht="63" x14ac:dyDescent="0.25">
      <c r="A330" s="63">
        <v>9</v>
      </c>
      <c r="B330" s="63" t="s">
        <v>33</v>
      </c>
      <c r="C330" s="63">
        <v>3</v>
      </c>
      <c r="D330" s="64" t="s">
        <v>393</v>
      </c>
      <c r="E330" s="64" t="s">
        <v>1055</v>
      </c>
      <c r="F330" s="63" t="s">
        <v>69</v>
      </c>
      <c r="G330" s="65">
        <v>12</v>
      </c>
      <c r="H330" s="64" t="s">
        <v>752</v>
      </c>
      <c r="I330" s="69"/>
      <c r="EP330" s="111"/>
    </row>
    <row r="331" spans="1:146" s="110" customFormat="1" x14ac:dyDescent="0.25">
      <c r="A331" s="63">
        <v>9</v>
      </c>
      <c r="B331" s="63" t="s">
        <v>33</v>
      </c>
      <c r="C331" s="63">
        <v>3</v>
      </c>
      <c r="D331" s="64" t="s">
        <v>393</v>
      </c>
      <c r="E331" s="64" t="s">
        <v>435</v>
      </c>
      <c r="F331" s="63" t="s">
        <v>69</v>
      </c>
      <c r="G331" s="65">
        <v>4</v>
      </c>
      <c r="H331" s="64" t="s">
        <v>753</v>
      </c>
      <c r="I331" s="69"/>
      <c r="EP331" s="111"/>
    </row>
    <row r="332" spans="1:146" s="110" customFormat="1" x14ac:dyDescent="0.25">
      <c r="A332" s="63">
        <v>9</v>
      </c>
      <c r="B332" s="63" t="s">
        <v>33</v>
      </c>
      <c r="C332" s="63">
        <v>3</v>
      </c>
      <c r="D332" s="64" t="s">
        <v>393</v>
      </c>
      <c r="E332" s="64" t="s">
        <v>754</v>
      </c>
      <c r="F332" s="63" t="s">
        <v>69</v>
      </c>
      <c r="G332" s="65">
        <v>9</v>
      </c>
      <c r="H332" s="64" t="s">
        <v>755</v>
      </c>
      <c r="I332" s="69"/>
      <c r="EP332" s="111"/>
    </row>
    <row r="333" spans="1:146" s="110" customFormat="1" ht="31.5" x14ac:dyDescent="0.25">
      <c r="A333" s="63">
        <v>9</v>
      </c>
      <c r="B333" s="63" t="s">
        <v>33</v>
      </c>
      <c r="C333" s="63">
        <v>3</v>
      </c>
      <c r="D333" s="64" t="s">
        <v>393</v>
      </c>
      <c r="E333" s="64" t="s">
        <v>762</v>
      </c>
      <c r="F333" s="63" t="s">
        <v>81</v>
      </c>
      <c r="G333" s="65">
        <v>1</v>
      </c>
      <c r="H333" s="64" t="s">
        <v>763</v>
      </c>
      <c r="I333" s="56"/>
      <c r="EP333" s="111"/>
    </row>
    <row r="334" spans="1:146" s="110" customFormat="1" ht="63" x14ac:dyDescent="0.25">
      <c r="A334" s="45">
        <v>9</v>
      </c>
      <c r="B334" s="45" t="s">
        <v>33</v>
      </c>
      <c r="C334" s="45">
        <v>4</v>
      </c>
      <c r="D334" s="50" t="s">
        <v>393</v>
      </c>
      <c r="E334" s="50" t="s">
        <v>1120</v>
      </c>
      <c r="F334" s="45" t="s">
        <v>69</v>
      </c>
      <c r="G334" s="54" t="s">
        <v>1121</v>
      </c>
      <c r="H334" s="50" t="s">
        <v>1122</v>
      </c>
      <c r="I334" s="69"/>
      <c r="EP334" s="111"/>
    </row>
    <row r="335" spans="1:146" s="110" customFormat="1" x14ac:dyDescent="0.25">
      <c r="A335" s="45">
        <v>9</v>
      </c>
      <c r="B335" s="45" t="s">
        <v>33</v>
      </c>
      <c r="C335" s="45">
        <v>4</v>
      </c>
      <c r="D335" s="50" t="s">
        <v>393</v>
      </c>
      <c r="E335" s="50" t="s">
        <v>435</v>
      </c>
      <c r="F335" s="45" t="s">
        <v>69</v>
      </c>
      <c r="G335" s="54">
        <v>4</v>
      </c>
      <c r="H335" s="50" t="s">
        <v>753</v>
      </c>
      <c r="I335" s="69"/>
      <c r="EP335" s="111"/>
    </row>
    <row r="336" spans="1:146" s="110" customFormat="1" ht="78.75" x14ac:dyDescent="0.25">
      <c r="A336" s="45">
        <v>9</v>
      </c>
      <c r="B336" s="45" t="s">
        <v>33</v>
      </c>
      <c r="C336" s="45">
        <v>4</v>
      </c>
      <c r="D336" s="50" t="s">
        <v>393</v>
      </c>
      <c r="E336" s="50" t="s">
        <v>1123</v>
      </c>
      <c r="F336" s="45" t="s">
        <v>81</v>
      </c>
      <c r="G336" s="54" t="s">
        <v>1124</v>
      </c>
      <c r="H336" s="50" t="s">
        <v>1490</v>
      </c>
      <c r="I336" s="69"/>
      <c r="EP336" s="111"/>
    </row>
    <row r="337" spans="1:146" s="110" customFormat="1" ht="126" x14ac:dyDescent="0.25">
      <c r="A337" s="45">
        <v>9</v>
      </c>
      <c r="B337" s="45" t="s">
        <v>33</v>
      </c>
      <c r="C337" s="45">
        <v>4</v>
      </c>
      <c r="D337" s="50" t="s">
        <v>1</v>
      </c>
      <c r="E337" s="50" t="s">
        <v>1125</v>
      </c>
      <c r="F337" s="45" t="s">
        <v>81</v>
      </c>
      <c r="G337" s="54" t="s">
        <v>1126</v>
      </c>
      <c r="H337" s="50" t="s">
        <v>1127</v>
      </c>
      <c r="I337" s="69"/>
      <c r="EP337" s="111"/>
    </row>
    <row r="338" spans="1:146" s="110" customFormat="1" ht="31.5" x14ac:dyDescent="0.25">
      <c r="A338" s="45">
        <v>9</v>
      </c>
      <c r="B338" s="45" t="s">
        <v>33</v>
      </c>
      <c r="C338" s="45">
        <v>4</v>
      </c>
      <c r="D338" s="50" t="s">
        <v>1</v>
      </c>
      <c r="E338" s="50" t="s">
        <v>1128</v>
      </c>
      <c r="F338" s="45" t="s">
        <v>81</v>
      </c>
      <c r="G338" s="54" t="s">
        <v>1129</v>
      </c>
      <c r="H338" s="50" t="s">
        <v>1130</v>
      </c>
      <c r="I338" s="69"/>
      <c r="EP338" s="111"/>
    </row>
    <row r="339" spans="1:146" s="110" customFormat="1" ht="63" x14ac:dyDescent="0.25">
      <c r="A339" s="45">
        <v>9</v>
      </c>
      <c r="B339" s="45" t="s">
        <v>33</v>
      </c>
      <c r="C339" s="45">
        <v>4</v>
      </c>
      <c r="D339" s="50" t="s">
        <v>393</v>
      </c>
      <c r="E339" s="50" t="s">
        <v>1131</v>
      </c>
      <c r="F339" s="45" t="s">
        <v>81</v>
      </c>
      <c r="G339" s="54" t="s">
        <v>1132</v>
      </c>
      <c r="H339" s="50" t="s">
        <v>1133</v>
      </c>
      <c r="I339" s="69"/>
      <c r="EP339" s="111"/>
    </row>
    <row r="340" spans="1:146" s="110" customFormat="1" ht="47.25" x14ac:dyDescent="0.25">
      <c r="A340" s="45">
        <v>9</v>
      </c>
      <c r="B340" s="45" t="s">
        <v>33</v>
      </c>
      <c r="C340" s="45">
        <v>4</v>
      </c>
      <c r="D340" s="50" t="s">
        <v>142</v>
      </c>
      <c r="E340" s="50" t="s">
        <v>1134</v>
      </c>
      <c r="F340" s="45" t="s">
        <v>81</v>
      </c>
      <c r="G340" s="54" t="s">
        <v>1135</v>
      </c>
      <c r="H340" s="50" t="s">
        <v>1136</v>
      </c>
      <c r="I340" s="69"/>
      <c r="EP340" s="111"/>
    </row>
    <row r="341" spans="1:146" s="110" customFormat="1" ht="31.5" x14ac:dyDescent="0.25">
      <c r="A341" s="45">
        <v>9</v>
      </c>
      <c r="B341" s="45" t="s">
        <v>33</v>
      </c>
      <c r="C341" s="45">
        <v>4</v>
      </c>
      <c r="D341" s="50" t="s">
        <v>142</v>
      </c>
      <c r="E341" s="50" t="s">
        <v>1137</v>
      </c>
      <c r="F341" s="45" t="s">
        <v>81</v>
      </c>
      <c r="G341" s="54">
        <v>4</v>
      </c>
      <c r="H341" s="50" t="s">
        <v>1491</v>
      </c>
      <c r="I341" s="69"/>
      <c r="EP341" s="111"/>
    </row>
    <row r="342" spans="1:146" s="110" customFormat="1" ht="78.75" x14ac:dyDescent="0.25">
      <c r="A342" s="14">
        <v>10</v>
      </c>
      <c r="B342" s="14" t="s">
        <v>34</v>
      </c>
      <c r="C342" s="14">
        <v>1</v>
      </c>
      <c r="D342" s="19" t="s">
        <v>1</v>
      </c>
      <c r="E342" s="19" t="s">
        <v>189</v>
      </c>
      <c r="F342" s="14" t="s">
        <v>81</v>
      </c>
      <c r="G342" s="20">
        <v>170</v>
      </c>
      <c r="H342" s="19" t="s">
        <v>190</v>
      </c>
      <c r="I342" s="69"/>
      <c r="EP342" s="111"/>
    </row>
    <row r="343" spans="1:146" s="110" customFormat="1" x14ac:dyDescent="0.25">
      <c r="A343" s="14">
        <v>10</v>
      </c>
      <c r="B343" s="14" t="s">
        <v>34</v>
      </c>
      <c r="C343" s="14">
        <v>1</v>
      </c>
      <c r="D343" s="19" t="s">
        <v>83</v>
      </c>
      <c r="E343" s="19" t="s">
        <v>191</v>
      </c>
      <c r="F343" s="14" t="s">
        <v>69</v>
      </c>
      <c r="G343" s="20">
        <v>3</v>
      </c>
      <c r="H343" s="19" t="s">
        <v>192</v>
      </c>
      <c r="I343" s="69"/>
      <c r="EP343" s="111"/>
    </row>
    <row r="344" spans="1:146" s="110" customFormat="1" ht="31.5" x14ac:dyDescent="0.25">
      <c r="A344" s="32">
        <v>10</v>
      </c>
      <c r="B344" s="32" t="s">
        <v>34</v>
      </c>
      <c r="C344" s="32">
        <v>2</v>
      </c>
      <c r="D344" s="38" t="s">
        <v>142</v>
      </c>
      <c r="E344" s="38" t="s">
        <v>443</v>
      </c>
      <c r="F344" s="32" t="s">
        <v>69</v>
      </c>
      <c r="G344" s="42">
        <v>1</v>
      </c>
      <c r="H344" s="38" t="s">
        <v>444</v>
      </c>
      <c r="I344" s="69"/>
      <c r="EP344" s="111"/>
    </row>
    <row r="345" spans="1:146" s="110" customFormat="1" ht="31.5" x14ac:dyDescent="0.25">
      <c r="A345" s="32">
        <v>10</v>
      </c>
      <c r="B345" s="32" t="s">
        <v>34</v>
      </c>
      <c r="C345" s="32">
        <v>2</v>
      </c>
      <c r="D345" s="38" t="s">
        <v>1</v>
      </c>
      <c r="E345" s="38" t="s">
        <v>578</v>
      </c>
      <c r="F345" s="32" t="s">
        <v>81</v>
      </c>
      <c r="G345" s="42">
        <v>85</v>
      </c>
      <c r="H345" s="38" t="s">
        <v>441</v>
      </c>
      <c r="I345" s="69"/>
      <c r="EP345" s="111"/>
    </row>
    <row r="346" spans="1:146" s="110" customFormat="1" x14ac:dyDescent="0.25">
      <c r="A346" s="32">
        <v>10</v>
      </c>
      <c r="B346" s="32" t="s">
        <v>34</v>
      </c>
      <c r="C346" s="32">
        <v>2</v>
      </c>
      <c r="D346" s="38" t="s">
        <v>1</v>
      </c>
      <c r="E346" s="38" t="s">
        <v>442</v>
      </c>
      <c r="F346" s="32" t="s">
        <v>81</v>
      </c>
      <c r="G346" s="42">
        <v>22</v>
      </c>
      <c r="H346" s="38"/>
      <c r="I346" s="69"/>
      <c r="EP346" s="111"/>
    </row>
    <row r="347" spans="1:146" s="110" customFormat="1" ht="94.5" x14ac:dyDescent="0.25">
      <c r="A347" s="63">
        <v>10</v>
      </c>
      <c r="B347" s="63" t="s">
        <v>34</v>
      </c>
      <c r="C347" s="63">
        <v>3</v>
      </c>
      <c r="D347" s="64" t="s">
        <v>1</v>
      </c>
      <c r="E347" s="64" t="s">
        <v>1005</v>
      </c>
      <c r="F347" s="63" t="s">
        <v>81</v>
      </c>
      <c r="G347" s="65">
        <v>37</v>
      </c>
      <c r="H347" s="64" t="s">
        <v>1006</v>
      </c>
      <c r="I347" s="56"/>
      <c r="EP347" s="111"/>
    </row>
    <row r="348" spans="1:146" s="110" customFormat="1" ht="31.5" x14ac:dyDescent="0.25">
      <c r="A348" s="63">
        <v>10</v>
      </c>
      <c r="B348" s="63" t="s">
        <v>34</v>
      </c>
      <c r="C348" s="63">
        <v>3</v>
      </c>
      <c r="D348" s="64" t="s">
        <v>1</v>
      </c>
      <c r="E348" s="64" t="s">
        <v>1007</v>
      </c>
      <c r="F348" s="63" t="s">
        <v>81</v>
      </c>
      <c r="G348" s="65">
        <v>59</v>
      </c>
      <c r="H348" s="64" t="s">
        <v>1008</v>
      </c>
      <c r="I348" s="56"/>
      <c r="EP348" s="111"/>
    </row>
    <row r="349" spans="1:146" s="110" customFormat="1" ht="31.5" x14ac:dyDescent="0.25">
      <c r="A349" s="63">
        <v>10</v>
      </c>
      <c r="B349" s="63" t="s">
        <v>34</v>
      </c>
      <c r="C349" s="63">
        <v>3</v>
      </c>
      <c r="D349" s="64" t="s">
        <v>1</v>
      </c>
      <c r="E349" s="64" t="s">
        <v>1009</v>
      </c>
      <c r="F349" s="63" t="s">
        <v>81</v>
      </c>
      <c r="G349" s="65">
        <v>30</v>
      </c>
      <c r="H349" s="64" t="s">
        <v>1010</v>
      </c>
      <c r="I349" s="56"/>
      <c r="EP349" s="111"/>
    </row>
    <row r="350" spans="1:146" s="110" customFormat="1" ht="31.5" x14ac:dyDescent="0.25">
      <c r="A350" s="63">
        <v>10</v>
      </c>
      <c r="B350" s="63" t="s">
        <v>34</v>
      </c>
      <c r="C350" s="63">
        <v>3</v>
      </c>
      <c r="D350" s="64" t="s">
        <v>1</v>
      </c>
      <c r="E350" s="64" t="s">
        <v>1011</v>
      </c>
      <c r="F350" s="63" t="s">
        <v>81</v>
      </c>
      <c r="G350" s="65">
        <v>227</v>
      </c>
      <c r="H350" s="64" t="s">
        <v>441</v>
      </c>
      <c r="I350" s="56"/>
      <c r="EP350" s="111"/>
    </row>
    <row r="351" spans="1:146" s="110" customFormat="1" x14ac:dyDescent="0.25">
      <c r="A351" s="63">
        <v>10</v>
      </c>
      <c r="B351" s="63" t="s">
        <v>34</v>
      </c>
      <c r="C351" s="63">
        <v>3</v>
      </c>
      <c r="D351" s="64" t="s">
        <v>393</v>
      </c>
      <c r="E351" s="64" t="s">
        <v>1012</v>
      </c>
      <c r="F351" s="63" t="s">
        <v>69</v>
      </c>
      <c r="G351" s="65">
        <v>6</v>
      </c>
      <c r="H351" s="64"/>
      <c r="I351" s="56"/>
      <c r="EP351" s="111"/>
    </row>
    <row r="352" spans="1:146" s="110" customFormat="1" ht="47.25" x14ac:dyDescent="0.25">
      <c r="A352" s="45">
        <v>10</v>
      </c>
      <c r="B352" s="45" t="s">
        <v>34</v>
      </c>
      <c r="C352" s="45">
        <v>4</v>
      </c>
      <c r="D352" s="50" t="s">
        <v>393</v>
      </c>
      <c r="E352" s="50" t="s">
        <v>1599</v>
      </c>
      <c r="F352" s="45" t="s">
        <v>81</v>
      </c>
      <c r="G352" s="54">
        <v>6</v>
      </c>
      <c r="H352" s="50" t="s">
        <v>1600</v>
      </c>
      <c r="I352" s="69"/>
      <c r="EP352" s="111"/>
    </row>
    <row r="353" spans="1:146" s="110" customFormat="1" ht="94.5" x14ac:dyDescent="0.25">
      <c r="A353" s="45">
        <v>10</v>
      </c>
      <c r="B353" s="45" t="s">
        <v>34</v>
      </c>
      <c r="C353" s="45">
        <v>4</v>
      </c>
      <c r="D353" s="50" t="s">
        <v>1</v>
      </c>
      <c r="E353" s="50" t="s">
        <v>1601</v>
      </c>
      <c r="F353" s="45" t="s">
        <v>81</v>
      </c>
      <c r="G353" s="54">
        <v>21</v>
      </c>
      <c r="H353" s="50" t="s">
        <v>1006</v>
      </c>
      <c r="I353" s="69"/>
      <c r="EP353" s="111"/>
    </row>
    <row r="354" spans="1:146" s="110" customFormat="1" ht="47.25" x14ac:dyDescent="0.25">
      <c r="A354" s="45">
        <v>10</v>
      </c>
      <c r="B354" s="45" t="s">
        <v>34</v>
      </c>
      <c r="C354" s="45">
        <v>4</v>
      </c>
      <c r="D354" s="50" t="s">
        <v>142</v>
      </c>
      <c r="E354" s="50" t="s">
        <v>1602</v>
      </c>
      <c r="F354" s="45" t="s">
        <v>81</v>
      </c>
      <c r="G354" s="54">
        <v>1</v>
      </c>
      <c r="H354" s="50" t="s">
        <v>1603</v>
      </c>
      <c r="I354" s="69"/>
      <c r="EP354" s="111"/>
    </row>
    <row r="355" spans="1:146" s="110" customFormat="1" ht="31.5" x14ac:dyDescent="0.25">
      <c r="A355" s="45">
        <v>10</v>
      </c>
      <c r="B355" s="45" t="s">
        <v>34</v>
      </c>
      <c r="C355" s="45">
        <v>4</v>
      </c>
      <c r="D355" s="50" t="s">
        <v>1</v>
      </c>
      <c r="E355" s="50" t="s">
        <v>1604</v>
      </c>
      <c r="F355" s="45" t="s">
        <v>81</v>
      </c>
      <c r="G355" s="54">
        <v>5</v>
      </c>
      <c r="H355" s="50" t="s">
        <v>1605</v>
      </c>
      <c r="I355" s="69"/>
      <c r="EP355" s="111"/>
    </row>
    <row r="356" spans="1:146" s="110" customFormat="1" ht="63" x14ac:dyDescent="0.25">
      <c r="A356" s="45">
        <v>10</v>
      </c>
      <c r="B356" s="45" t="s">
        <v>34</v>
      </c>
      <c r="C356" s="45">
        <v>4</v>
      </c>
      <c r="D356" s="50" t="s">
        <v>1</v>
      </c>
      <c r="E356" s="50" t="s">
        <v>1606</v>
      </c>
      <c r="F356" s="45" t="s">
        <v>81</v>
      </c>
      <c r="G356" s="54">
        <v>325</v>
      </c>
      <c r="H356" s="50" t="s">
        <v>1607</v>
      </c>
      <c r="I356" s="69"/>
      <c r="EP356" s="111"/>
    </row>
    <row r="357" spans="1:146" s="110" customFormat="1" ht="31.5" x14ac:dyDescent="0.25">
      <c r="A357" s="45">
        <v>10</v>
      </c>
      <c r="B357" s="45" t="s">
        <v>34</v>
      </c>
      <c r="C357" s="45">
        <v>4</v>
      </c>
      <c r="D357" s="50" t="s">
        <v>1</v>
      </c>
      <c r="E357" s="50" t="s">
        <v>1608</v>
      </c>
      <c r="F357" s="45" t="s">
        <v>81</v>
      </c>
      <c r="G357" s="54">
        <v>188</v>
      </c>
      <c r="H357" s="50" t="s">
        <v>1609</v>
      </c>
      <c r="I357" s="69"/>
      <c r="EP357" s="111"/>
    </row>
    <row r="358" spans="1:146" s="110" customFormat="1" ht="47.25" x14ac:dyDescent="0.25">
      <c r="A358" s="45">
        <v>10</v>
      </c>
      <c r="B358" s="45" t="s">
        <v>34</v>
      </c>
      <c r="C358" s="45">
        <v>4</v>
      </c>
      <c r="D358" s="50" t="s">
        <v>393</v>
      </c>
      <c r="E358" s="50" t="s">
        <v>1610</v>
      </c>
      <c r="F358" s="45" t="s">
        <v>81</v>
      </c>
      <c r="G358" s="54">
        <v>3</v>
      </c>
      <c r="H358" s="50" t="s">
        <v>1611</v>
      </c>
      <c r="I358" s="69"/>
      <c r="EP358" s="111"/>
    </row>
    <row r="359" spans="1:146" s="110" customFormat="1" ht="47.25" x14ac:dyDescent="0.25">
      <c r="A359" s="45">
        <v>10</v>
      </c>
      <c r="B359" s="45" t="s">
        <v>34</v>
      </c>
      <c r="C359" s="45">
        <v>4</v>
      </c>
      <c r="D359" s="50" t="s">
        <v>393</v>
      </c>
      <c r="E359" s="50" t="s">
        <v>1612</v>
      </c>
      <c r="F359" s="45" t="s">
        <v>81</v>
      </c>
      <c r="G359" s="54">
        <v>3</v>
      </c>
      <c r="H359" s="50" t="s">
        <v>1613</v>
      </c>
      <c r="I359" s="69"/>
      <c r="EP359" s="111"/>
    </row>
    <row r="360" spans="1:146" s="110" customFormat="1" ht="31.5" x14ac:dyDescent="0.25">
      <c r="A360" s="45">
        <v>10</v>
      </c>
      <c r="B360" s="45" t="s">
        <v>34</v>
      </c>
      <c r="C360" s="45">
        <v>4</v>
      </c>
      <c r="D360" s="50" t="s">
        <v>393</v>
      </c>
      <c r="E360" s="50" t="s">
        <v>1614</v>
      </c>
      <c r="F360" s="45" t="s">
        <v>81</v>
      </c>
      <c r="G360" s="54">
        <v>3</v>
      </c>
      <c r="H360" s="50" t="s">
        <v>1615</v>
      </c>
      <c r="I360" s="69"/>
      <c r="EP360" s="111"/>
    </row>
    <row r="361" spans="1:146" s="110" customFormat="1" ht="31.5" x14ac:dyDescent="0.25">
      <c r="A361" s="14">
        <v>11</v>
      </c>
      <c r="B361" s="14" t="s">
        <v>35</v>
      </c>
      <c r="C361" s="14">
        <v>1</v>
      </c>
      <c r="D361" s="19" t="s">
        <v>142</v>
      </c>
      <c r="E361" s="19" t="s">
        <v>201</v>
      </c>
      <c r="F361" s="14" t="s">
        <v>81</v>
      </c>
      <c r="G361" s="20">
        <v>1</v>
      </c>
      <c r="H361" s="19" t="s">
        <v>202</v>
      </c>
      <c r="I361" s="69"/>
      <c r="EP361" s="111"/>
    </row>
    <row r="362" spans="1:146" s="110" customFormat="1" ht="31.5" x14ac:dyDescent="0.25">
      <c r="A362" s="14">
        <v>11</v>
      </c>
      <c r="B362" s="14" t="s">
        <v>35</v>
      </c>
      <c r="C362" s="14">
        <v>1</v>
      </c>
      <c r="D362" s="19" t="s">
        <v>1</v>
      </c>
      <c r="E362" s="19" t="s">
        <v>197</v>
      </c>
      <c r="F362" s="14" t="s">
        <v>81</v>
      </c>
      <c r="G362" s="20">
        <v>462</v>
      </c>
      <c r="H362" s="19" t="s">
        <v>198</v>
      </c>
      <c r="I362" s="69"/>
      <c r="EP362" s="111"/>
    </row>
    <row r="363" spans="1:146" s="110" customFormat="1" x14ac:dyDescent="0.25">
      <c r="A363" s="14">
        <v>11</v>
      </c>
      <c r="B363" s="14" t="s">
        <v>35</v>
      </c>
      <c r="C363" s="14">
        <v>1</v>
      </c>
      <c r="D363" s="19" t="s">
        <v>1</v>
      </c>
      <c r="E363" s="19" t="s">
        <v>199</v>
      </c>
      <c r="F363" s="14" t="s">
        <v>81</v>
      </c>
      <c r="G363" s="20">
        <v>1</v>
      </c>
      <c r="H363" s="19" t="s">
        <v>200</v>
      </c>
      <c r="I363" s="69"/>
      <c r="EP363" s="111"/>
    </row>
    <row r="364" spans="1:146" s="110" customFormat="1" ht="31.5" x14ac:dyDescent="0.25">
      <c r="A364" s="14">
        <v>11</v>
      </c>
      <c r="B364" s="14" t="s">
        <v>35</v>
      </c>
      <c r="C364" s="14">
        <v>1</v>
      </c>
      <c r="D364" s="19" t="s">
        <v>83</v>
      </c>
      <c r="E364" s="19" t="s">
        <v>193</v>
      </c>
      <c r="F364" s="14" t="s">
        <v>69</v>
      </c>
      <c r="G364" s="20">
        <v>2.5</v>
      </c>
      <c r="H364" s="19" t="s">
        <v>194</v>
      </c>
      <c r="I364" s="69"/>
      <c r="EP364" s="111"/>
    </row>
    <row r="365" spans="1:146" s="110" customFormat="1" ht="31.5" x14ac:dyDescent="0.25">
      <c r="A365" s="14">
        <v>11</v>
      </c>
      <c r="B365" s="14" t="s">
        <v>35</v>
      </c>
      <c r="C365" s="14">
        <v>1</v>
      </c>
      <c r="D365" s="19" t="s">
        <v>83</v>
      </c>
      <c r="E365" s="19" t="s">
        <v>195</v>
      </c>
      <c r="F365" s="14" t="s">
        <v>69</v>
      </c>
      <c r="G365" s="20">
        <v>6</v>
      </c>
      <c r="H365" s="19" t="s">
        <v>196</v>
      </c>
      <c r="I365" s="69"/>
      <c r="EP365" s="111"/>
    </row>
    <row r="366" spans="1:146" s="110" customFormat="1" ht="104.25" customHeight="1" x14ac:dyDescent="0.25">
      <c r="A366" s="32">
        <v>11</v>
      </c>
      <c r="B366" s="32" t="s">
        <v>35</v>
      </c>
      <c r="C366" s="32">
        <v>2</v>
      </c>
      <c r="D366" s="38" t="s">
        <v>142</v>
      </c>
      <c r="E366" s="38" t="s">
        <v>445</v>
      </c>
      <c r="F366" s="32" t="s">
        <v>81</v>
      </c>
      <c r="G366" s="42">
        <v>1</v>
      </c>
      <c r="H366" s="38" t="s">
        <v>202</v>
      </c>
      <c r="I366" s="69"/>
      <c r="EP366" s="111"/>
    </row>
    <row r="367" spans="1:146" s="110" customFormat="1" ht="87.75" customHeight="1" x14ac:dyDescent="0.25">
      <c r="A367" s="32">
        <v>11</v>
      </c>
      <c r="B367" s="32" t="s">
        <v>35</v>
      </c>
      <c r="C367" s="32">
        <v>2</v>
      </c>
      <c r="D367" s="38" t="s">
        <v>1</v>
      </c>
      <c r="E367" s="38" t="s">
        <v>199</v>
      </c>
      <c r="F367" s="32" t="s">
        <v>81</v>
      </c>
      <c r="G367" s="42">
        <v>1</v>
      </c>
      <c r="H367" s="38" t="s">
        <v>200</v>
      </c>
      <c r="I367" s="69"/>
      <c r="EP367" s="111"/>
    </row>
    <row r="368" spans="1:146" s="110" customFormat="1" x14ac:dyDescent="0.25">
      <c r="A368" s="32">
        <v>11</v>
      </c>
      <c r="B368" s="32" t="s">
        <v>35</v>
      </c>
      <c r="C368" s="32">
        <v>2</v>
      </c>
      <c r="D368" s="38" t="s">
        <v>393</v>
      </c>
      <c r="E368" s="38" t="s">
        <v>446</v>
      </c>
      <c r="F368" s="32" t="s">
        <v>69</v>
      </c>
      <c r="G368" s="42">
        <v>2.5</v>
      </c>
      <c r="H368" s="38" t="s">
        <v>447</v>
      </c>
      <c r="I368" s="69"/>
      <c r="EP368" s="111"/>
    </row>
    <row r="369" spans="1:146" s="110" customFormat="1" x14ac:dyDescent="0.25">
      <c r="A369" s="32">
        <v>11</v>
      </c>
      <c r="B369" s="32" t="s">
        <v>35</v>
      </c>
      <c r="C369" s="32">
        <v>2</v>
      </c>
      <c r="D369" s="38" t="s">
        <v>393</v>
      </c>
      <c r="E369" s="38" t="s">
        <v>651</v>
      </c>
      <c r="F369" s="32" t="s">
        <v>69</v>
      </c>
      <c r="G369" s="42">
        <v>3</v>
      </c>
      <c r="H369" s="38" t="s">
        <v>448</v>
      </c>
      <c r="I369" s="69"/>
      <c r="EP369" s="111"/>
    </row>
    <row r="370" spans="1:146" s="110" customFormat="1" x14ac:dyDescent="0.25">
      <c r="A370" s="63">
        <v>11</v>
      </c>
      <c r="B370" s="63" t="s">
        <v>35</v>
      </c>
      <c r="C370" s="63">
        <v>3</v>
      </c>
      <c r="D370" s="64" t="s">
        <v>137</v>
      </c>
      <c r="E370" s="64" t="s">
        <v>770</v>
      </c>
      <c r="F370" s="63" t="s">
        <v>69</v>
      </c>
      <c r="G370" s="65">
        <v>135</v>
      </c>
      <c r="H370" s="64" t="s">
        <v>771</v>
      </c>
      <c r="I370" s="69"/>
      <c r="EP370" s="111"/>
    </row>
    <row r="371" spans="1:146" s="110" customFormat="1" ht="31.5" x14ac:dyDescent="0.25">
      <c r="A371" s="63">
        <v>11</v>
      </c>
      <c r="B371" s="63" t="s">
        <v>35</v>
      </c>
      <c r="C371" s="63">
        <v>3</v>
      </c>
      <c r="D371" s="64" t="s">
        <v>142</v>
      </c>
      <c r="E371" s="64" t="s">
        <v>1074</v>
      </c>
      <c r="F371" s="63" t="s">
        <v>81</v>
      </c>
      <c r="G371" s="65">
        <v>2</v>
      </c>
      <c r="H371" s="64" t="s">
        <v>202</v>
      </c>
      <c r="I371" s="56"/>
      <c r="EP371" s="111"/>
    </row>
    <row r="372" spans="1:146" s="110" customFormat="1" ht="31.5" x14ac:dyDescent="0.25">
      <c r="A372" s="63">
        <v>11</v>
      </c>
      <c r="B372" s="63" t="s">
        <v>35</v>
      </c>
      <c r="C372" s="63">
        <v>3</v>
      </c>
      <c r="D372" s="64" t="s">
        <v>1</v>
      </c>
      <c r="E372" s="64" t="s">
        <v>764</v>
      </c>
      <c r="F372" s="63" t="s">
        <v>81</v>
      </c>
      <c r="G372" s="65">
        <v>265</v>
      </c>
      <c r="H372" s="64" t="s">
        <v>765</v>
      </c>
      <c r="I372" s="69"/>
      <c r="EP372" s="111"/>
    </row>
    <row r="373" spans="1:146" s="110" customFormat="1" x14ac:dyDescent="0.25">
      <c r="A373" s="63">
        <v>11</v>
      </c>
      <c r="B373" s="63" t="s">
        <v>35</v>
      </c>
      <c r="C373" s="63">
        <v>3</v>
      </c>
      <c r="D373" s="64" t="s">
        <v>393</v>
      </c>
      <c r="E373" s="64" t="s">
        <v>766</v>
      </c>
      <c r="F373" s="63" t="s">
        <v>69</v>
      </c>
      <c r="G373" s="65">
        <v>2.5</v>
      </c>
      <c r="H373" s="64" t="s">
        <v>447</v>
      </c>
      <c r="I373" s="69"/>
      <c r="EP373" s="111"/>
    </row>
    <row r="374" spans="1:146" s="110" customFormat="1" x14ac:dyDescent="0.25">
      <c r="A374" s="63">
        <v>11</v>
      </c>
      <c r="B374" s="63" t="s">
        <v>35</v>
      </c>
      <c r="C374" s="63">
        <v>3</v>
      </c>
      <c r="D374" s="64" t="s">
        <v>393</v>
      </c>
      <c r="E374" s="64" t="s">
        <v>651</v>
      </c>
      <c r="F374" s="63" t="s">
        <v>69</v>
      </c>
      <c r="G374" s="65">
        <v>3</v>
      </c>
      <c r="H374" s="64" t="s">
        <v>767</v>
      </c>
      <c r="I374" s="69"/>
      <c r="EP374" s="111"/>
    </row>
    <row r="375" spans="1:146" s="110" customFormat="1" x14ac:dyDescent="0.25">
      <c r="A375" s="63">
        <v>11</v>
      </c>
      <c r="B375" s="63" t="s">
        <v>35</v>
      </c>
      <c r="C375" s="63">
        <v>3</v>
      </c>
      <c r="D375" s="64" t="s">
        <v>393</v>
      </c>
      <c r="E375" s="64" t="s">
        <v>768</v>
      </c>
      <c r="F375" s="63" t="s">
        <v>69</v>
      </c>
      <c r="G375" s="65">
        <v>63</v>
      </c>
      <c r="H375" s="64" t="s">
        <v>769</v>
      </c>
      <c r="I375" s="69"/>
      <c r="EP375" s="111"/>
    </row>
    <row r="376" spans="1:146" s="110" customFormat="1" ht="31.5" x14ac:dyDescent="0.25">
      <c r="A376" s="45">
        <v>11</v>
      </c>
      <c r="B376" s="45" t="s">
        <v>35</v>
      </c>
      <c r="C376" s="45">
        <v>4</v>
      </c>
      <c r="D376" s="50" t="s">
        <v>1</v>
      </c>
      <c r="E376" s="50" t="s">
        <v>1138</v>
      </c>
      <c r="F376" s="45" t="s">
        <v>81</v>
      </c>
      <c r="G376" s="54">
        <v>668</v>
      </c>
      <c r="H376" s="50" t="s">
        <v>1139</v>
      </c>
      <c r="I376" s="69"/>
      <c r="EP376" s="111"/>
    </row>
    <row r="377" spans="1:146" s="110" customFormat="1" x14ac:dyDescent="0.25">
      <c r="A377" s="45">
        <v>11</v>
      </c>
      <c r="B377" s="45" t="s">
        <v>35</v>
      </c>
      <c r="C377" s="45">
        <v>4</v>
      </c>
      <c r="D377" s="50" t="s">
        <v>393</v>
      </c>
      <c r="E377" s="50" t="s">
        <v>1492</v>
      </c>
      <c r="F377" s="45" t="s">
        <v>81</v>
      </c>
      <c r="G377" s="54" t="s">
        <v>1140</v>
      </c>
      <c r="H377" s="50" t="s">
        <v>1141</v>
      </c>
      <c r="I377" s="69"/>
      <c r="EP377" s="111"/>
    </row>
    <row r="378" spans="1:146" s="110" customFormat="1" ht="31.5" x14ac:dyDescent="0.25">
      <c r="A378" s="45">
        <v>11</v>
      </c>
      <c r="B378" s="45" t="s">
        <v>35</v>
      </c>
      <c r="C378" s="45">
        <v>4</v>
      </c>
      <c r="D378" s="50" t="s">
        <v>137</v>
      </c>
      <c r="E378" s="50" t="s">
        <v>1142</v>
      </c>
      <c r="F378" s="45" t="s">
        <v>81</v>
      </c>
      <c r="G378" s="54">
        <v>51</v>
      </c>
      <c r="H378" s="50" t="s">
        <v>1143</v>
      </c>
      <c r="I378" s="69"/>
      <c r="EP378" s="111"/>
    </row>
    <row r="379" spans="1:146" s="110" customFormat="1" ht="31.5" x14ac:dyDescent="0.25">
      <c r="A379" s="14">
        <v>12</v>
      </c>
      <c r="B379" s="14" t="s">
        <v>36</v>
      </c>
      <c r="C379" s="14">
        <v>1</v>
      </c>
      <c r="D379" s="19" t="s">
        <v>1</v>
      </c>
      <c r="E379" s="19" t="s">
        <v>203</v>
      </c>
      <c r="F379" s="14" t="s">
        <v>81</v>
      </c>
      <c r="G379" s="20">
        <v>34</v>
      </c>
      <c r="H379" s="19" t="s">
        <v>204</v>
      </c>
      <c r="I379" s="69"/>
      <c r="EP379" s="111"/>
    </row>
    <row r="380" spans="1:146" s="110" customFormat="1" ht="31.5" x14ac:dyDescent="0.25">
      <c r="A380" s="32">
        <v>12</v>
      </c>
      <c r="B380" s="32" t="s">
        <v>36</v>
      </c>
      <c r="C380" s="32">
        <v>2</v>
      </c>
      <c r="D380" s="38" t="s">
        <v>1</v>
      </c>
      <c r="E380" s="38" t="s">
        <v>579</v>
      </c>
      <c r="F380" s="32" t="s">
        <v>81</v>
      </c>
      <c r="G380" s="42">
        <v>58</v>
      </c>
      <c r="H380" s="38" t="s">
        <v>204</v>
      </c>
      <c r="I380" s="69"/>
      <c r="EP380" s="111"/>
    </row>
    <row r="381" spans="1:146" s="110" customFormat="1" ht="63" x14ac:dyDescent="0.25">
      <c r="A381" s="32">
        <v>12</v>
      </c>
      <c r="B381" s="32" t="s">
        <v>36</v>
      </c>
      <c r="C381" s="32">
        <v>2</v>
      </c>
      <c r="D381" s="38" t="s">
        <v>1</v>
      </c>
      <c r="E381" s="38" t="s">
        <v>580</v>
      </c>
      <c r="F381" s="32" t="s">
        <v>81</v>
      </c>
      <c r="G381" s="42">
        <v>130</v>
      </c>
      <c r="H381" s="38" t="s">
        <v>204</v>
      </c>
      <c r="I381" s="69"/>
      <c r="EP381" s="111"/>
    </row>
    <row r="382" spans="1:146" s="110" customFormat="1" ht="31.5" x14ac:dyDescent="0.25">
      <c r="A382" s="63">
        <v>12</v>
      </c>
      <c r="B382" s="63" t="s">
        <v>36</v>
      </c>
      <c r="C382" s="63">
        <v>3</v>
      </c>
      <c r="D382" s="64" t="s">
        <v>1</v>
      </c>
      <c r="E382" s="64" t="s">
        <v>772</v>
      </c>
      <c r="F382" s="63" t="s">
        <v>81</v>
      </c>
      <c r="G382" s="65">
        <v>26</v>
      </c>
      <c r="H382" s="64" t="s">
        <v>204</v>
      </c>
      <c r="I382" s="69"/>
      <c r="EP382" s="111"/>
    </row>
    <row r="383" spans="1:146" s="110" customFormat="1" ht="31.5" x14ac:dyDescent="0.25">
      <c r="A383" s="63">
        <v>12</v>
      </c>
      <c r="B383" s="63" t="s">
        <v>36</v>
      </c>
      <c r="C383" s="63">
        <v>3</v>
      </c>
      <c r="D383" s="109" t="s">
        <v>1</v>
      </c>
      <c r="E383" s="66" t="s">
        <v>1036</v>
      </c>
      <c r="F383" s="67" t="s">
        <v>81</v>
      </c>
      <c r="G383" s="67">
        <v>61</v>
      </c>
      <c r="H383" s="109" t="s">
        <v>204</v>
      </c>
      <c r="I383" s="69"/>
      <c r="EP383" s="111"/>
    </row>
    <row r="384" spans="1:146" s="110" customFormat="1" x14ac:dyDescent="0.25">
      <c r="A384" s="63">
        <v>12</v>
      </c>
      <c r="B384" s="63" t="s">
        <v>36</v>
      </c>
      <c r="C384" s="63">
        <v>3</v>
      </c>
      <c r="D384" s="64" t="s">
        <v>393</v>
      </c>
      <c r="E384" s="64" t="s">
        <v>773</v>
      </c>
      <c r="F384" s="63" t="s">
        <v>81</v>
      </c>
      <c r="G384" s="65">
        <v>1</v>
      </c>
      <c r="H384" s="64" t="s">
        <v>774</v>
      </c>
      <c r="I384" s="56"/>
      <c r="EP384" s="111"/>
    </row>
    <row r="385" spans="1:146" s="110" customFormat="1" ht="94.5" x14ac:dyDescent="0.25">
      <c r="A385" s="45">
        <v>12</v>
      </c>
      <c r="B385" s="45" t="s">
        <v>36</v>
      </c>
      <c r="C385" s="45">
        <v>4</v>
      </c>
      <c r="D385" s="50" t="s">
        <v>0</v>
      </c>
      <c r="E385" s="50" t="s">
        <v>1144</v>
      </c>
      <c r="F385" s="45" t="s">
        <v>69</v>
      </c>
      <c r="G385" s="54" t="s">
        <v>1145</v>
      </c>
      <c r="H385" s="50" t="s">
        <v>1146</v>
      </c>
      <c r="I385" s="69"/>
      <c r="EP385" s="111"/>
    </row>
    <row r="386" spans="1:146" s="110" customFormat="1" ht="126" x14ac:dyDescent="0.25">
      <c r="A386" s="45">
        <v>12</v>
      </c>
      <c r="B386" s="45" t="s">
        <v>36</v>
      </c>
      <c r="C386" s="45">
        <v>4</v>
      </c>
      <c r="D386" s="50" t="s">
        <v>0</v>
      </c>
      <c r="E386" s="50" t="s">
        <v>1493</v>
      </c>
      <c r="F386" s="45" t="s">
        <v>69</v>
      </c>
      <c r="G386" s="54" t="s">
        <v>1147</v>
      </c>
      <c r="H386" s="50" t="s">
        <v>1148</v>
      </c>
      <c r="I386" s="69"/>
      <c r="EP386" s="111"/>
    </row>
    <row r="387" spans="1:146" s="110" customFormat="1" ht="110.25" x14ac:dyDescent="0.25">
      <c r="A387" s="45">
        <v>12</v>
      </c>
      <c r="B387" s="45" t="s">
        <v>36</v>
      </c>
      <c r="C387" s="45">
        <v>4</v>
      </c>
      <c r="D387" s="50" t="s">
        <v>393</v>
      </c>
      <c r="E387" s="50" t="s">
        <v>1149</v>
      </c>
      <c r="F387" s="45" t="s">
        <v>69</v>
      </c>
      <c r="G387" s="54" t="s">
        <v>1150</v>
      </c>
      <c r="H387" s="50" t="s">
        <v>1151</v>
      </c>
      <c r="I387" s="69"/>
      <c r="EP387" s="111"/>
    </row>
    <row r="388" spans="1:146" s="110" customFormat="1" ht="94.5" x14ac:dyDescent="0.25">
      <c r="A388" s="45">
        <v>12</v>
      </c>
      <c r="B388" s="45" t="s">
        <v>36</v>
      </c>
      <c r="C388" s="45">
        <v>4</v>
      </c>
      <c r="D388" s="50" t="s">
        <v>393</v>
      </c>
      <c r="E388" s="50" t="s">
        <v>1152</v>
      </c>
      <c r="F388" s="45" t="s">
        <v>69</v>
      </c>
      <c r="G388" s="54" t="s">
        <v>1153</v>
      </c>
      <c r="H388" s="50" t="s">
        <v>1154</v>
      </c>
      <c r="I388" s="69"/>
      <c r="EP388" s="111"/>
    </row>
    <row r="389" spans="1:146" s="110" customFormat="1" ht="31.5" x14ac:dyDescent="0.25">
      <c r="A389" s="45">
        <v>12</v>
      </c>
      <c r="B389" s="45" t="s">
        <v>36</v>
      </c>
      <c r="C389" s="45">
        <v>4</v>
      </c>
      <c r="D389" s="50" t="s">
        <v>0</v>
      </c>
      <c r="E389" s="50" t="s">
        <v>1155</v>
      </c>
      <c r="F389" s="45" t="s">
        <v>248</v>
      </c>
      <c r="G389" s="54" t="s">
        <v>106</v>
      </c>
      <c r="H389" s="50" t="s">
        <v>1156</v>
      </c>
      <c r="I389" s="69"/>
      <c r="EP389" s="111"/>
    </row>
    <row r="390" spans="1:146" s="110" customFormat="1" ht="47.25" x14ac:dyDescent="0.25">
      <c r="A390" s="45">
        <v>12</v>
      </c>
      <c r="B390" s="45" t="s">
        <v>36</v>
      </c>
      <c r="C390" s="45">
        <v>4</v>
      </c>
      <c r="D390" s="50" t="s">
        <v>0</v>
      </c>
      <c r="E390" s="50" t="s">
        <v>1157</v>
      </c>
      <c r="F390" s="45" t="s">
        <v>81</v>
      </c>
      <c r="G390" s="54" t="s">
        <v>1158</v>
      </c>
      <c r="H390" s="50" t="s">
        <v>1159</v>
      </c>
      <c r="I390" s="69"/>
      <c r="EP390" s="111"/>
    </row>
    <row r="391" spans="1:146" s="110" customFormat="1" ht="31.5" x14ac:dyDescent="0.25">
      <c r="A391" s="45">
        <v>12</v>
      </c>
      <c r="B391" s="45" t="s">
        <v>36</v>
      </c>
      <c r="C391" s="45">
        <v>4</v>
      </c>
      <c r="D391" s="50" t="s">
        <v>1</v>
      </c>
      <c r="E391" s="50" t="s">
        <v>1160</v>
      </c>
      <c r="F391" s="45" t="s">
        <v>248</v>
      </c>
      <c r="G391" s="54" t="s">
        <v>106</v>
      </c>
      <c r="H391" s="50" t="s">
        <v>1161</v>
      </c>
      <c r="I391" s="69"/>
      <c r="EP391" s="111"/>
    </row>
    <row r="392" spans="1:146" s="110" customFormat="1" ht="283.5" x14ac:dyDescent="0.25">
      <c r="A392" s="45">
        <v>12</v>
      </c>
      <c r="B392" s="45" t="s">
        <v>36</v>
      </c>
      <c r="C392" s="45">
        <v>4</v>
      </c>
      <c r="D392" s="50" t="s">
        <v>4</v>
      </c>
      <c r="E392" s="50" t="s">
        <v>1494</v>
      </c>
      <c r="F392" s="45" t="s">
        <v>81</v>
      </c>
      <c r="G392" s="54" t="s">
        <v>1162</v>
      </c>
      <c r="H392" s="50" t="s">
        <v>1163</v>
      </c>
      <c r="I392" s="69"/>
      <c r="EP392" s="111"/>
    </row>
    <row r="393" spans="1:146" s="110" customFormat="1" x14ac:dyDescent="0.25">
      <c r="A393" s="45">
        <v>12</v>
      </c>
      <c r="B393" s="45" t="s">
        <v>36</v>
      </c>
      <c r="C393" s="45">
        <v>4</v>
      </c>
      <c r="D393" s="50" t="s">
        <v>393</v>
      </c>
      <c r="E393" s="50" t="s">
        <v>773</v>
      </c>
      <c r="F393" s="45" t="s">
        <v>81</v>
      </c>
      <c r="G393" s="54" t="s">
        <v>1164</v>
      </c>
      <c r="H393" s="50" t="s">
        <v>774</v>
      </c>
      <c r="I393" s="69"/>
      <c r="EP393" s="111"/>
    </row>
    <row r="394" spans="1:146" s="110" customFormat="1" x14ac:dyDescent="0.25">
      <c r="A394" s="14">
        <v>13</v>
      </c>
      <c r="B394" s="14" t="s">
        <v>37</v>
      </c>
      <c r="C394" s="14">
        <v>1</v>
      </c>
      <c r="D394" s="19" t="s">
        <v>137</v>
      </c>
      <c r="E394" s="15" t="s">
        <v>205</v>
      </c>
      <c r="F394" s="14" t="s">
        <v>81</v>
      </c>
      <c r="G394" s="20">
        <v>18</v>
      </c>
      <c r="H394" s="19" t="s">
        <v>206</v>
      </c>
      <c r="I394" s="69"/>
      <c r="EP394" s="111"/>
    </row>
    <row r="395" spans="1:146" s="110" customFormat="1" ht="63" x14ac:dyDescent="0.25">
      <c r="A395" s="14">
        <v>13</v>
      </c>
      <c r="B395" s="14" t="s">
        <v>37</v>
      </c>
      <c r="C395" s="14">
        <v>1</v>
      </c>
      <c r="D395" s="19" t="s">
        <v>137</v>
      </c>
      <c r="E395" s="15" t="s">
        <v>209</v>
      </c>
      <c r="F395" s="14" t="s">
        <v>81</v>
      </c>
      <c r="G395" s="20">
        <v>22</v>
      </c>
      <c r="H395" s="19" t="s">
        <v>208</v>
      </c>
      <c r="I395" s="69"/>
      <c r="EP395" s="111"/>
    </row>
    <row r="396" spans="1:146" s="110" customFormat="1" x14ac:dyDescent="0.25">
      <c r="A396" s="14">
        <v>13</v>
      </c>
      <c r="B396" s="14" t="s">
        <v>37</v>
      </c>
      <c r="C396" s="14">
        <v>1</v>
      </c>
      <c r="D396" s="19" t="s">
        <v>137</v>
      </c>
      <c r="E396" s="15" t="s">
        <v>221</v>
      </c>
      <c r="F396" s="14" t="s">
        <v>81</v>
      </c>
      <c r="G396" s="20">
        <v>9</v>
      </c>
      <c r="H396" s="19" t="s">
        <v>220</v>
      </c>
      <c r="I396" s="69"/>
      <c r="EP396" s="111"/>
    </row>
    <row r="397" spans="1:146" s="110" customFormat="1" ht="94.5" x14ac:dyDescent="0.25">
      <c r="A397" s="14">
        <v>13</v>
      </c>
      <c r="B397" s="14" t="s">
        <v>37</v>
      </c>
      <c r="C397" s="14">
        <v>1</v>
      </c>
      <c r="D397" s="19" t="s">
        <v>0</v>
      </c>
      <c r="E397" s="19" t="s">
        <v>216</v>
      </c>
      <c r="F397" s="14" t="s">
        <v>81</v>
      </c>
      <c r="G397" s="20">
        <v>5</v>
      </c>
      <c r="H397" s="19" t="s">
        <v>217</v>
      </c>
      <c r="I397" s="69"/>
      <c r="EP397" s="111"/>
    </row>
    <row r="398" spans="1:146" s="110" customFormat="1" ht="31.5" x14ac:dyDescent="0.25">
      <c r="A398" s="14">
        <v>13</v>
      </c>
      <c r="B398" s="14" t="s">
        <v>37</v>
      </c>
      <c r="C398" s="14">
        <v>1</v>
      </c>
      <c r="D398" s="19" t="s">
        <v>0</v>
      </c>
      <c r="E398" s="19" t="s">
        <v>219</v>
      </c>
      <c r="F398" s="14" t="s">
        <v>81</v>
      </c>
      <c r="G398" s="20">
        <v>70</v>
      </c>
      <c r="H398" s="19" t="s">
        <v>220</v>
      </c>
      <c r="I398" s="69"/>
      <c r="EP398" s="111"/>
    </row>
    <row r="399" spans="1:146" s="110" customFormat="1" ht="63" x14ac:dyDescent="0.25">
      <c r="A399" s="14">
        <v>13</v>
      </c>
      <c r="B399" s="14" t="s">
        <v>37</v>
      </c>
      <c r="C399" s="14">
        <v>1</v>
      </c>
      <c r="D399" s="19" t="s">
        <v>1</v>
      </c>
      <c r="E399" s="15" t="s">
        <v>207</v>
      </c>
      <c r="F399" s="14" t="s">
        <v>81</v>
      </c>
      <c r="G399" s="20">
        <v>20</v>
      </c>
      <c r="H399" s="19" t="s">
        <v>208</v>
      </c>
      <c r="I399" s="69"/>
      <c r="EP399" s="111"/>
    </row>
    <row r="400" spans="1:146" s="110" customFormat="1" ht="63" x14ac:dyDescent="0.25">
      <c r="A400" s="14">
        <v>13</v>
      </c>
      <c r="B400" s="14" t="s">
        <v>37</v>
      </c>
      <c r="C400" s="14">
        <v>1</v>
      </c>
      <c r="D400" s="19" t="s">
        <v>1</v>
      </c>
      <c r="E400" s="15" t="s">
        <v>210</v>
      </c>
      <c r="F400" s="14" t="s">
        <v>81</v>
      </c>
      <c r="G400" s="20">
        <v>23</v>
      </c>
      <c r="H400" s="19" t="s">
        <v>208</v>
      </c>
      <c r="I400" s="69"/>
      <c r="EP400" s="111"/>
    </row>
    <row r="401" spans="1:146" s="110" customFormat="1" ht="63" x14ac:dyDescent="0.25">
      <c r="A401" s="14">
        <v>13</v>
      </c>
      <c r="B401" s="14" t="s">
        <v>37</v>
      </c>
      <c r="C401" s="14">
        <v>1</v>
      </c>
      <c r="D401" s="19" t="s">
        <v>1</v>
      </c>
      <c r="E401" s="15" t="s">
        <v>211</v>
      </c>
      <c r="F401" s="14" t="s">
        <v>81</v>
      </c>
      <c r="G401" s="20">
        <v>30</v>
      </c>
      <c r="H401" s="19" t="s">
        <v>208</v>
      </c>
      <c r="I401" s="69"/>
      <c r="EP401" s="111"/>
    </row>
    <row r="402" spans="1:146" s="110" customFormat="1" x14ac:dyDescent="0.25">
      <c r="A402" s="14">
        <v>13</v>
      </c>
      <c r="B402" s="14" t="s">
        <v>37</v>
      </c>
      <c r="C402" s="14">
        <v>1</v>
      </c>
      <c r="D402" s="19" t="s">
        <v>1</v>
      </c>
      <c r="E402" s="15" t="s">
        <v>212</v>
      </c>
      <c r="F402" s="14" t="s">
        <v>81</v>
      </c>
      <c r="G402" s="20">
        <v>33</v>
      </c>
      <c r="H402" s="19" t="s">
        <v>213</v>
      </c>
      <c r="I402" s="69"/>
      <c r="EP402" s="111"/>
    </row>
    <row r="403" spans="1:146" s="110" customFormat="1" ht="47.25" x14ac:dyDescent="0.25">
      <c r="A403" s="14">
        <v>13</v>
      </c>
      <c r="B403" s="14" t="s">
        <v>37</v>
      </c>
      <c r="C403" s="14">
        <v>1</v>
      </c>
      <c r="D403" s="19" t="s">
        <v>1</v>
      </c>
      <c r="E403" s="15" t="s">
        <v>214</v>
      </c>
      <c r="F403" s="14" t="s">
        <v>81</v>
      </c>
      <c r="G403" s="20">
        <v>36</v>
      </c>
      <c r="H403" s="19" t="s">
        <v>215</v>
      </c>
      <c r="I403" s="69"/>
      <c r="EP403" s="111"/>
    </row>
    <row r="404" spans="1:146" s="110" customFormat="1" x14ac:dyDescent="0.25">
      <c r="A404" s="14">
        <v>13</v>
      </c>
      <c r="B404" s="14" t="s">
        <v>37</v>
      </c>
      <c r="C404" s="14">
        <v>1</v>
      </c>
      <c r="D404" s="19" t="s">
        <v>1</v>
      </c>
      <c r="E404" s="15" t="s">
        <v>218</v>
      </c>
      <c r="F404" s="14" t="s">
        <v>81</v>
      </c>
      <c r="G404" s="20">
        <v>56</v>
      </c>
      <c r="H404" s="19" t="s">
        <v>217</v>
      </c>
      <c r="I404" s="69"/>
      <c r="EP404" s="111"/>
    </row>
    <row r="405" spans="1:146" s="110" customFormat="1" ht="47.25" x14ac:dyDescent="0.25">
      <c r="A405" s="32">
        <v>13</v>
      </c>
      <c r="B405" s="32" t="s">
        <v>37</v>
      </c>
      <c r="C405" s="32">
        <v>2</v>
      </c>
      <c r="D405" s="38" t="s">
        <v>137</v>
      </c>
      <c r="E405" s="38" t="s">
        <v>622</v>
      </c>
      <c r="F405" s="32" t="s">
        <v>81</v>
      </c>
      <c r="G405" s="42">
        <v>20</v>
      </c>
      <c r="H405" s="38" t="s">
        <v>628</v>
      </c>
      <c r="I405" s="69"/>
      <c r="EP405" s="111"/>
    </row>
    <row r="406" spans="1:146" s="110" customFormat="1" ht="47.25" x14ac:dyDescent="0.25">
      <c r="A406" s="32">
        <v>13</v>
      </c>
      <c r="B406" s="32" t="s">
        <v>37</v>
      </c>
      <c r="C406" s="32">
        <v>2</v>
      </c>
      <c r="D406" s="38" t="s">
        <v>137</v>
      </c>
      <c r="E406" s="38" t="s">
        <v>623</v>
      </c>
      <c r="F406" s="32" t="s">
        <v>81</v>
      </c>
      <c r="G406" s="42">
        <v>22</v>
      </c>
      <c r="H406" s="38" t="s">
        <v>629</v>
      </c>
      <c r="I406" s="69"/>
      <c r="EP406" s="111"/>
    </row>
    <row r="407" spans="1:146" s="110" customFormat="1" ht="63" x14ac:dyDescent="0.25">
      <c r="A407" s="32">
        <v>13</v>
      </c>
      <c r="B407" s="32" t="s">
        <v>37</v>
      </c>
      <c r="C407" s="32">
        <v>2</v>
      </c>
      <c r="D407" s="38" t="s">
        <v>137</v>
      </c>
      <c r="E407" s="38" t="s">
        <v>623</v>
      </c>
      <c r="F407" s="32" t="s">
        <v>81</v>
      </c>
      <c r="G407" s="42">
        <v>22</v>
      </c>
      <c r="H407" s="38" t="s">
        <v>630</v>
      </c>
      <c r="I407" s="69"/>
      <c r="EP407" s="111"/>
    </row>
    <row r="408" spans="1:146" s="110" customFormat="1" ht="126" x14ac:dyDescent="0.25">
      <c r="A408" s="32">
        <v>13</v>
      </c>
      <c r="B408" s="32" t="s">
        <v>37</v>
      </c>
      <c r="C408" s="32">
        <v>2</v>
      </c>
      <c r="D408" s="38" t="s">
        <v>0</v>
      </c>
      <c r="E408" s="38" t="s">
        <v>652</v>
      </c>
      <c r="F408" s="32" t="s">
        <v>81</v>
      </c>
      <c r="G408" s="42">
        <v>4</v>
      </c>
      <c r="H408" s="38" t="s">
        <v>627</v>
      </c>
      <c r="I408" s="69"/>
      <c r="EP408" s="111"/>
    </row>
    <row r="409" spans="1:146" s="110" customFormat="1" ht="47.25" x14ac:dyDescent="0.25">
      <c r="A409" s="32">
        <v>13</v>
      </c>
      <c r="B409" s="32" t="s">
        <v>37</v>
      </c>
      <c r="C409" s="32">
        <v>2</v>
      </c>
      <c r="D409" s="38" t="s">
        <v>1</v>
      </c>
      <c r="E409" s="38" t="s">
        <v>653</v>
      </c>
      <c r="F409" s="32" t="s">
        <v>81</v>
      </c>
      <c r="G409" s="42">
        <v>30</v>
      </c>
      <c r="H409" s="38" t="s">
        <v>215</v>
      </c>
      <c r="I409" s="69"/>
      <c r="EP409" s="111"/>
    </row>
    <row r="410" spans="1:146" s="110" customFormat="1" ht="47.25" x14ac:dyDescent="0.25">
      <c r="A410" s="32">
        <v>13</v>
      </c>
      <c r="B410" s="32" t="s">
        <v>37</v>
      </c>
      <c r="C410" s="32">
        <v>2</v>
      </c>
      <c r="D410" s="38" t="s">
        <v>1</v>
      </c>
      <c r="E410" s="38" t="s">
        <v>653</v>
      </c>
      <c r="F410" s="32" t="s">
        <v>81</v>
      </c>
      <c r="G410" s="42">
        <v>30</v>
      </c>
      <c r="H410" s="38" t="s">
        <v>624</v>
      </c>
      <c r="I410" s="69"/>
      <c r="EP410" s="111"/>
    </row>
    <row r="411" spans="1:146" s="110" customFormat="1" ht="47.25" x14ac:dyDescent="0.25">
      <c r="A411" s="32">
        <v>13</v>
      </c>
      <c r="B411" s="32" t="s">
        <v>37</v>
      </c>
      <c r="C411" s="32">
        <v>2</v>
      </c>
      <c r="D411" s="38" t="s">
        <v>1</v>
      </c>
      <c r="E411" s="38" t="s">
        <v>654</v>
      </c>
      <c r="F411" s="32" t="s">
        <v>81</v>
      </c>
      <c r="G411" s="42">
        <v>28</v>
      </c>
      <c r="H411" s="38" t="s">
        <v>215</v>
      </c>
      <c r="I411" s="69"/>
      <c r="EP411" s="111"/>
    </row>
    <row r="412" spans="1:146" s="110" customFormat="1" ht="31.5" x14ac:dyDescent="0.25">
      <c r="A412" s="32">
        <v>13</v>
      </c>
      <c r="B412" s="32" t="s">
        <v>37</v>
      </c>
      <c r="C412" s="32">
        <v>2</v>
      </c>
      <c r="D412" s="38" t="s">
        <v>1</v>
      </c>
      <c r="E412" s="38" t="s">
        <v>655</v>
      </c>
      <c r="F412" s="32" t="s">
        <v>81</v>
      </c>
      <c r="G412" s="42">
        <v>22</v>
      </c>
      <c r="H412" s="38" t="s">
        <v>625</v>
      </c>
      <c r="I412" s="69"/>
      <c r="EP412" s="111"/>
    </row>
    <row r="413" spans="1:146" s="110" customFormat="1" ht="31.5" x14ac:dyDescent="0.25">
      <c r="A413" s="32">
        <v>13</v>
      </c>
      <c r="B413" s="32" t="s">
        <v>37</v>
      </c>
      <c r="C413" s="32">
        <v>2</v>
      </c>
      <c r="D413" s="38" t="s">
        <v>1</v>
      </c>
      <c r="E413" s="38" t="s">
        <v>656</v>
      </c>
      <c r="F413" s="32" t="s">
        <v>81</v>
      </c>
      <c r="G413" s="42">
        <v>15</v>
      </c>
      <c r="H413" s="38" t="s">
        <v>625</v>
      </c>
      <c r="I413" s="69"/>
      <c r="EP413" s="111"/>
    </row>
    <row r="414" spans="1:146" s="110" customFormat="1" ht="31.5" x14ac:dyDescent="0.25">
      <c r="A414" s="32">
        <v>13</v>
      </c>
      <c r="B414" s="32" t="s">
        <v>37</v>
      </c>
      <c r="C414" s="32">
        <v>2</v>
      </c>
      <c r="D414" s="38" t="s">
        <v>1</v>
      </c>
      <c r="E414" s="38" t="s">
        <v>657</v>
      </c>
      <c r="F414" s="32" t="s">
        <v>81</v>
      </c>
      <c r="G414" s="42">
        <v>45</v>
      </c>
      <c r="H414" s="38" t="s">
        <v>625</v>
      </c>
      <c r="I414" s="69"/>
      <c r="EP414" s="111"/>
    </row>
    <row r="415" spans="1:146" s="110" customFormat="1" ht="47.25" x14ac:dyDescent="0.25">
      <c r="A415" s="32">
        <v>13</v>
      </c>
      <c r="B415" s="32" t="s">
        <v>37</v>
      </c>
      <c r="C415" s="32">
        <v>2</v>
      </c>
      <c r="D415" s="38" t="s">
        <v>1</v>
      </c>
      <c r="E415" s="38" t="s">
        <v>658</v>
      </c>
      <c r="F415" s="32" t="s">
        <v>81</v>
      </c>
      <c r="G415" s="42">
        <v>40</v>
      </c>
      <c r="H415" s="38" t="s">
        <v>625</v>
      </c>
      <c r="I415" s="69"/>
      <c r="EP415" s="111"/>
    </row>
    <row r="416" spans="1:146" s="110" customFormat="1" ht="31.5" x14ac:dyDescent="0.25">
      <c r="A416" s="32">
        <v>13</v>
      </c>
      <c r="B416" s="32" t="s">
        <v>37</v>
      </c>
      <c r="C416" s="32">
        <v>2</v>
      </c>
      <c r="D416" s="38" t="s">
        <v>393</v>
      </c>
      <c r="E416" s="38" t="s">
        <v>659</v>
      </c>
      <c r="F416" s="32" t="s">
        <v>81</v>
      </c>
      <c r="G416" s="42">
        <v>2</v>
      </c>
      <c r="H416" s="38" t="s">
        <v>626</v>
      </c>
      <c r="I416" s="69"/>
      <c r="EP416" s="111"/>
    </row>
    <row r="417" spans="1:146" s="110" customFormat="1" x14ac:dyDescent="0.25">
      <c r="A417" s="63">
        <v>13</v>
      </c>
      <c r="B417" s="63" t="s">
        <v>37</v>
      </c>
      <c r="C417" s="63">
        <v>3</v>
      </c>
      <c r="D417" s="64" t="s">
        <v>137</v>
      </c>
      <c r="E417" s="64" t="s">
        <v>1037</v>
      </c>
      <c r="F417" s="63" t="s">
        <v>81</v>
      </c>
      <c r="G417" s="65">
        <v>21</v>
      </c>
      <c r="H417" s="64" t="s">
        <v>778</v>
      </c>
      <c r="I417" s="69"/>
      <c r="EP417" s="111"/>
    </row>
    <row r="418" spans="1:146" s="110" customFormat="1" x14ac:dyDescent="0.25">
      <c r="A418" s="63">
        <v>13</v>
      </c>
      <c r="B418" s="63" t="s">
        <v>37</v>
      </c>
      <c r="C418" s="63">
        <v>3</v>
      </c>
      <c r="D418" s="64" t="s">
        <v>137</v>
      </c>
      <c r="E418" s="64" t="s">
        <v>1037</v>
      </c>
      <c r="F418" s="63" t="s">
        <v>81</v>
      </c>
      <c r="G418" s="65">
        <v>23</v>
      </c>
      <c r="H418" s="64" t="s">
        <v>778</v>
      </c>
      <c r="I418" s="69"/>
      <c r="EP418" s="111"/>
    </row>
    <row r="419" spans="1:146" s="110" customFormat="1" x14ac:dyDescent="0.25">
      <c r="A419" s="63">
        <v>13</v>
      </c>
      <c r="B419" s="63" t="s">
        <v>37</v>
      </c>
      <c r="C419" s="63">
        <v>3</v>
      </c>
      <c r="D419" s="64" t="s">
        <v>137</v>
      </c>
      <c r="E419" s="64" t="s">
        <v>1037</v>
      </c>
      <c r="F419" s="63" t="s">
        <v>81</v>
      </c>
      <c r="G419" s="65">
        <v>27</v>
      </c>
      <c r="H419" s="64" t="s">
        <v>778</v>
      </c>
      <c r="I419" s="69"/>
      <c r="EP419" s="111"/>
    </row>
    <row r="420" spans="1:146" s="110" customFormat="1" ht="63" x14ac:dyDescent="0.25">
      <c r="A420" s="63">
        <v>13</v>
      </c>
      <c r="B420" s="63" t="s">
        <v>37</v>
      </c>
      <c r="C420" s="63">
        <v>3</v>
      </c>
      <c r="D420" s="64" t="s">
        <v>0</v>
      </c>
      <c r="E420" s="64" t="s">
        <v>775</v>
      </c>
      <c r="F420" s="63" t="s">
        <v>81</v>
      </c>
      <c r="G420" s="65">
        <v>76</v>
      </c>
      <c r="H420" s="64" t="s">
        <v>776</v>
      </c>
      <c r="I420" s="69"/>
      <c r="EP420" s="111"/>
    </row>
    <row r="421" spans="1:146" s="110" customFormat="1" ht="63" x14ac:dyDescent="0.25">
      <c r="A421" s="63">
        <v>13</v>
      </c>
      <c r="B421" s="63" t="s">
        <v>37</v>
      </c>
      <c r="C421" s="63">
        <v>3</v>
      </c>
      <c r="D421" s="64" t="s">
        <v>0</v>
      </c>
      <c r="E421" s="64" t="s">
        <v>777</v>
      </c>
      <c r="F421" s="63" t="s">
        <v>81</v>
      </c>
      <c r="G421" s="65">
        <v>69</v>
      </c>
      <c r="H421" s="64" t="s">
        <v>776</v>
      </c>
      <c r="I421" s="69"/>
      <c r="EP421" s="111"/>
    </row>
    <row r="422" spans="1:146" s="110" customFormat="1" x14ac:dyDescent="0.25">
      <c r="A422" s="63">
        <v>13</v>
      </c>
      <c r="B422" s="63" t="s">
        <v>37</v>
      </c>
      <c r="C422" s="63">
        <v>3</v>
      </c>
      <c r="D422" s="64" t="s">
        <v>1</v>
      </c>
      <c r="E422" s="64" t="s">
        <v>1046</v>
      </c>
      <c r="F422" s="63" t="s">
        <v>81</v>
      </c>
      <c r="G422" s="65">
        <v>9</v>
      </c>
      <c r="H422" s="64" t="s">
        <v>779</v>
      </c>
      <c r="I422" s="69"/>
      <c r="EP422" s="111"/>
    </row>
    <row r="423" spans="1:146" s="110" customFormat="1" ht="31.5" x14ac:dyDescent="0.25">
      <c r="A423" s="63">
        <v>13</v>
      </c>
      <c r="B423" s="63" t="s">
        <v>37</v>
      </c>
      <c r="C423" s="63">
        <v>3</v>
      </c>
      <c r="D423" s="64" t="s">
        <v>1</v>
      </c>
      <c r="E423" s="64" t="s">
        <v>1047</v>
      </c>
      <c r="F423" s="63" t="s">
        <v>81</v>
      </c>
      <c r="G423" s="65">
        <v>183</v>
      </c>
      <c r="H423" s="64" t="s">
        <v>780</v>
      </c>
      <c r="I423" s="69"/>
      <c r="EP423" s="111"/>
    </row>
    <row r="424" spans="1:146" s="110" customFormat="1" ht="47.25" x14ac:dyDescent="0.25">
      <c r="A424" s="63">
        <v>13</v>
      </c>
      <c r="B424" s="63" t="s">
        <v>37</v>
      </c>
      <c r="C424" s="63">
        <v>3</v>
      </c>
      <c r="D424" s="64" t="s">
        <v>1</v>
      </c>
      <c r="E424" s="64" t="s">
        <v>1048</v>
      </c>
      <c r="F424" s="63" t="s">
        <v>81</v>
      </c>
      <c r="G424" s="65">
        <v>24</v>
      </c>
      <c r="H424" s="64" t="s">
        <v>215</v>
      </c>
      <c r="I424" s="69"/>
      <c r="EP424" s="111"/>
    </row>
    <row r="425" spans="1:146" s="110" customFormat="1" ht="47.25" x14ac:dyDescent="0.25">
      <c r="A425" s="63">
        <v>13</v>
      </c>
      <c r="B425" s="63" t="s">
        <v>37</v>
      </c>
      <c r="C425" s="63">
        <v>3</v>
      </c>
      <c r="D425" s="64" t="s">
        <v>1</v>
      </c>
      <c r="E425" s="64" t="s">
        <v>1049</v>
      </c>
      <c r="F425" s="63" t="s">
        <v>81</v>
      </c>
      <c r="G425" s="65">
        <v>23</v>
      </c>
      <c r="H425" s="64" t="s">
        <v>215</v>
      </c>
      <c r="I425" s="69"/>
      <c r="EP425" s="111"/>
    </row>
    <row r="426" spans="1:146" s="110" customFormat="1" ht="47.25" x14ac:dyDescent="0.25">
      <c r="A426" s="63">
        <v>13</v>
      </c>
      <c r="B426" s="63" t="s">
        <v>37</v>
      </c>
      <c r="C426" s="63">
        <v>3</v>
      </c>
      <c r="D426" s="64" t="s">
        <v>1</v>
      </c>
      <c r="E426" s="64" t="s">
        <v>1048</v>
      </c>
      <c r="F426" s="63" t="s">
        <v>81</v>
      </c>
      <c r="G426" s="65">
        <v>24</v>
      </c>
      <c r="H426" s="64" t="s">
        <v>215</v>
      </c>
      <c r="I426" s="69"/>
      <c r="EP426" s="111"/>
    </row>
    <row r="427" spans="1:146" s="110" customFormat="1" x14ac:dyDescent="0.25">
      <c r="A427" s="63">
        <v>13</v>
      </c>
      <c r="B427" s="63" t="s">
        <v>37</v>
      </c>
      <c r="C427" s="63">
        <v>3</v>
      </c>
      <c r="D427" s="64" t="s">
        <v>1</v>
      </c>
      <c r="E427" s="64" t="s">
        <v>1050</v>
      </c>
      <c r="F427" s="63" t="s">
        <v>81</v>
      </c>
      <c r="G427" s="65">
        <v>15</v>
      </c>
      <c r="H427" s="64" t="s">
        <v>781</v>
      </c>
      <c r="I427" s="69"/>
      <c r="EP427" s="111"/>
    </row>
    <row r="428" spans="1:146" s="110" customFormat="1" x14ac:dyDescent="0.25">
      <c r="A428" s="63">
        <v>13</v>
      </c>
      <c r="B428" s="63" t="s">
        <v>37</v>
      </c>
      <c r="C428" s="63">
        <v>3</v>
      </c>
      <c r="D428" s="64" t="s">
        <v>1</v>
      </c>
      <c r="E428" s="64" t="s">
        <v>1051</v>
      </c>
      <c r="F428" s="63" t="s">
        <v>81</v>
      </c>
      <c r="G428" s="65">
        <v>10</v>
      </c>
      <c r="H428" s="64" t="s">
        <v>781</v>
      </c>
      <c r="I428" s="69"/>
      <c r="EP428" s="111"/>
    </row>
    <row r="429" spans="1:146" s="110" customFormat="1" x14ac:dyDescent="0.25">
      <c r="A429" s="63">
        <v>13</v>
      </c>
      <c r="B429" s="63" t="s">
        <v>37</v>
      </c>
      <c r="C429" s="63">
        <v>3</v>
      </c>
      <c r="D429" s="64" t="s">
        <v>1</v>
      </c>
      <c r="E429" s="64" t="s">
        <v>1052</v>
      </c>
      <c r="F429" s="63" t="s">
        <v>81</v>
      </c>
      <c r="G429" s="65">
        <v>15</v>
      </c>
      <c r="H429" s="64" t="s">
        <v>782</v>
      </c>
      <c r="I429" s="69"/>
      <c r="EP429" s="111"/>
    </row>
    <row r="430" spans="1:146" s="110" customFormat="1" ht="31.5" x14ac:dyDescent="0.25">
      <c r="A430" s="63">
        <v>13</v>
      </c>
      <c r="B430" s="63" t="s">
        <v>37</v>
      </c>
      <c r="C430" s="63">
        <v>3</v>
      </c>
      <c r="D430" s="64" t="s">
        <v>393</v>
      </c>
      <c r="E430" s="64" t="s">
        <v>1053</v>
      </c>
      <c r="F430" s="63" t="s">
        <v>81</v>
      </c>
      <c r="G430" s="65">
        <v>14</v>
      </c>
      <c r="H430" s="64" t="s">
        <v>783</v>
      </c>
      <c r="I430" s="69"/>
      <c r="EP430" s="111"/>
    </row>
    <row r="431" spans="1:146" s="110" customFormat="1" ht="31.5" x14ac:dyDescent="0.25">
      <c r="A431" s="63">
        <v>13</v>
      </c>
      <c r="B431" s="63" t="s">
        <v>37</v>
      </c>
      <c r="C431" s="63">
        <v>3</v>
      </c>
      <c r="D431" s="64" t="s">
        <v>393</v>
      </c>
      <c r="E431" s="64" t="s">
        <v>1054</v>
      </c>
      <c r="F431" s="63" t="s">
        <v>81</v>
      </c>
      <c r="G431" s="65">
        <v>6</v>
      </c>
      <c r="H431" s="64" t="s">
        <v>782</v>
      </c>
      <c r="I431" s="56"/>
      <c r="EP431" s="111"/>
    </row>
    <row r="432" spans="1:146" s="110" customFormat="1" ht="47.25" x14ac:dyDescent="0.25">
      <c r="A432" s="45">
        <v>13</v>
      </c>
      <c r="B432" s="45" t="s">
        <v>37</v>
      </c>
      <c r="C432" s="45">
        <v>4</v>
      </c>
      <c r="D432" s="50" t="s">
        <v>0</v>
      </c>
      <c r="E432" s="50" t="s">
        <v>1579</v>
      </c>
      <c r="F432" s="45" t="s">
        <v>81</v>
      </c>
      <c r="G432" s="54" t="s">
        <v>1580</v>
      </c>
      <c r="H432" s="50" t="s">
        <v>206</v>
      </c>
      <c r="I432" s="69"/>
      <c r="EP432" s="111"/>
    </row>
    <row r="433" spans="1:146" s="110" customFormat="1" ht="78.75" x14ac:dyDescent="0.25">
      <c r="A433" s="45">
        <v>13</v>
      </c>
      <c r="B433" s="45" t="s">
        <v>37</v>
      </c>
      <c r="C433" s="45">
        <v>4</v>
      </c>
      <c r="D433" s="50" t="s">
        <v>0</v>
      </c>
      <c r="E433" s="50" t="s">
        <v>1581</v>
      </c>
      <c r="F433" s="45" t="s">
        <v>81</v>
      </c>
      <c r="G433" s="54" t="s">
        <v>1582</v>
      </c>
      <c r="H433" s="50" t="s">
        <v>1583</v>
      </c>
      <c r="I433" s="69"/>
      <c r="EP433" s="111"/>
    </row>
    <row r="434" spans="1:146" s="110" customFormat="1" ht="63" x14ac:dyDescent="0.25">
      <c r="A434" s="45">
        <v>13</v>
      </c>
      <c r="B434" s="45" t="s">
        <v>37</v>
      </c>
      <c r="C434" s="45">
        <v>4</v>
      </c>
      <c r="D434" s="50" t="s">
        <v>137</v>
      </c>
      <c r="E434" s="50" t="s">
        <v>1584</v>
      </c>
      <c r="F434" s="45" t="s">
        <v>81</v>
      </c>
      <c r="G434" s="54" t="s">
        <v>1585</v>
      </c>
      <c r="H434" s="50" t="s">
        <v>208</v>
      </c>
      <c r="I434" s="69"/>
      <c r="EP434" s="111"/>
    </row>
    <row r="435" spans="1:146" s="110" customFormat="1" ht="63" x14ac:dyDescent="0.25">
      <c r="A435" s="45">
        <v>13</v>
      </c>
      <c r="B435" s="45" t="s">
        <v>37</v>
      </c>
      <c r="C435" s="45">
        <v>4</v>
      </c>
      <c r="D435" s="50" t="s">
        <v>137</v>
      </c>
      <c r="E435" s="50" t="s">
        <v>1584</v>
      </c>
      <c r="F435" s="45" t="s">
        <v>81</v>
      </c>
      <c r="G435" s="54" t="s">
        <v>1586</v>
      </c>
      <c r="H435" s="50" t="s">
        <v>208</v>
      </c>
      <c r="I435" s="69"/>
      <c r="EP435" s="111"/>
    </row>
    <row r="436" spans="1:146" s="110" customFormat="1" ht="63" x14ac:dyDescent="0.25">
      <c r="A436" s="45">
        <v>13</v>
      </c>
      <c r="B436" s="45" t="s">
        <v>37</v>
      </c>
      <c r="C436" s="45">
        <v>4</v>
      </c>
      <c r="D436" s="50" t="s">
        <v>137</v>
      </c>
      <c r="E436" s="50" t="s">
        <v>1584</v>
      </c>
      <c r="F436" s="45" t="s">
        <v>81</v>
      </c>
      <c r="G436" s="54" t="s">
        <v>1587</v>
      </c>
      <c r="H436" s="50" t="s">
        <v>208</v>
      </c>
      <c r="I436" s="69"/>
      <c r="EP436" s="111"/>
    </row>
    <row r="437" spans="1:146" s="110" customFormat="1" x14ac:dyDescent="0.25">
      <c r="A437" s="45">
        <v>13</v>
      </c>
      <c r="B437" s="45" t="s">
        <v>37</v>
      </c>
      <c r="C437" s="45">
        <v>4</v>
      </c>
      <c r="D437" s="50" t="s">
        <v>1</v>
      </c>
      <c r="E437" s="50" t="s">
        <v>1588</v>
      </c>
      <c r="F437" s="45" t="s">
        <v>81</v>
      </c>
      <c r="G437" s="54" t="s">
        <v>1589</v>
      </c>
      <c r="H437" s="50" t="s">
        <v>213</v>
      </c>
      <c r="I437" s="69"/>
      <c r="EP437" s="111"/>
    </row>
    <row r="438" spans="1:146" s="110" customFormat="1" ht="47.25" x14ac:dyDescent="0.25">
      <c r="A438" s="45">
        <v>13</v>
      </c>
      <c r="B438" s="45" t="s">
        <v>37</v>
      </c>
      <c r="C438" s="45">
        <v>4</v>
      </c>
      <c r="D438" s="50" t="s">
        <v>1</v>
      </c>
      <c r="E438" s="50" t="s">
        <v>1590</v>
      </c>
      <c r="F438" s="45" t="s">
        <v>81</v>
      </c>
      <c r="G438" s="54" t="s">
        <v>1591</v>
      </c>
      <c r="H438" s="50" t="s">
        <v>215</v>
      </c>
      <c r="I438" s="69"/>
      <c r="EP438" s="111"/>
    </row>
    <row r="439" spans="1:146" s="110" customFormat="1" ht="47.25" x14ac:dyDescent="0.25">
      <c r="A439" s="45">
        <v>13</v>
      </c>
      <c r="B439" s="45" t="s">
        <v>37</v>
      </c>
      <c r="C439" s="45">
        <v>4</v>
      </c>
      <c r="D439" s="50" t="s">
        <v>1</v>
      </c>
      <c r="E439" s="50" t="s">
        <v>1592</v>
      </c>
      <c r="F439" s="45" t="s">
        <v>81</v>
      </c>
      <c r="G439" s="54" t="s">
        <v>1593</v>
      </c>
      <c r="H439" s="50" t="s">
        <v>217</v>
      </c>
      <c r="I439" s="69"/>
      <c r="EP439" s="111"/>
    </row>
    <row r="440" spans="1:146" s="110" customFormat="1" ht="31.5" x14ac:dyDescent="0.25">
      <c r="A440" s="45">
        <v>13</v>
      </c>
      <c r="B440" s="45" t="s">
        <v>37</v>
      </c>
      <c r="C440" s="45">
        <v>4</v>
      </c>
      <c r="D440" s="50" t="s">
        <v>1</v>
      </c>
      <c r="E440" s="50" t="s">
        <v>1592</v>
      </c>
      <c r="F440" s="45" t="s">
        <v>81</v>
      </c>
      <c r="G440" s="54" t="s">
        <v>1594</v>
      </c>
      <c r="H440" s="50" t="s">
        <v>217</v>
      </c>
      <c r="I440" s="69"/>
      <c r="EP440" s="111"/>
    </row>
    <row r="441" spans="1:146" s="110" customFormat="1" x14ac:dyDescent="0.25">
      <c r="A441" s="45">
        <v>13</v>
      </c>
      <c r="B441" s="45" t="s">
        <v>37</v>
      </c>
      <c r="C441" s="45">
        <v>4</v>
      </c>
      <c r="D441" s="50" t="s">
        <v>1</v>
      </c>
      <c r="E441" s="50" t="s">
        <v>1595</v>
      </c>
      <c r="F441" s="45" t="s">
        <v>81</v>
      </c>
      <c r="G441" s="54" t="s">
        <v>1596</v>
      </c>
      <c r="H441" s="50" t="s">
        <v>220</v>
      </c>
      <c r="I441" s="69"/>
      <c r="EP441" s="111"/>
    </row>
    <row r="442" spans="1:146" s="110" customFormat="1" x14ac:dyDescent="0.25">
      <c r="A442" s="45">
        <v>13</v>
      </c>
      <c r="B442" s="45" t="s">
        <v>37</v>
      </c>
      <c r="C442" s="45">
        <v>4</v>
      </c>
      <c r="D442" s="50" t="s">
        <v>1</v>
      </c>
      <c r="E442" s="50" t="s">
        <v>1597</v>
      </c>
      <c r="F442" s="45" t="s">
        <v>81</v>
      </c>
      <c r="G442" s="54" t="s">
        <v>1598</v>
      </c>
      <c r="H442" s="50" t="s">
        <v>220</v>
      </c>
      <c r="I442" s="69"/>
      <c r="EP442" s="111"/>
    </row>
    <row r="443" spans="1:146" s="110" customFormat="1" ht="63" x14ac:dyDescent="0.25">
      <c r="A443" s="14">
        <v>14</v>
      </c>
      <c r="B443" s="14" t="s">
        <v>38</v>
      </c>
      <c r="C443" s="14">
        <v>1</v>
      </c>
      <c r="D443" s="21" t="s">
        <v>137</v>
      </c>
      <c r="E443" s="22" t="s">
        <v>222</v>
      </c>
      <c r="F443" s="23" t="s">
        <v>81</v>
      </c>
      <c r="G443" s="24">
        <v>120</v>
      </c>
      <c r="H443" s="22" t="s">
        <v>223</v>
      </c>
      <c r="I443" s="69"/>
      <c r="EP443" s="111"/>
    </row>
    <row r="444" spans="1:146" s="110" customFormat="1" ht="47.25" x14ac:dyDescent="0.25">
      <c r="A444" s="14">
        <v>14</v>
      </c>
      <c r="B444" s="14" t="s">
        <v>38</v>
      </c>
      <c r="C444" s="14">
        <v>1</v>
      </c>
      <c r="D444" s="21" t="s">
        <v>1</v>
      </c>
      <c r="E444" s="22" t="s">
        <v>234</v>
      </c>
      <c r="F444" s="23" t="s">
        <v>69</v>
      </c>
      <c r="G444" s="24">
        <v>448</v>
      </c>
      <c r="H444" s="22" t="s">
        <v>235</v>
      </c>
      <c r="I444" s="69"/>
      <c r="EP444" s="111"/>
    </row>
    <row r="445" spans="1:146" s="110" customFormat="1" ht="63" x14ac:dyDescent="0.25">
      <c r="A445" s="14">
        <v>14</v>
      </c>
      <c r="B445" s="14" t="s">
        <v>38</v>
      </c>
      <c r="C445" s="14">
        <v>1</v>
      </c>
      <c r="D445" s="16" t="s">
        <v>83</v>
      </c>
      <c r="E445" s="16" t="s">
        <v>224</v>
      </c>
      <c r="F445" s="18" t="s">
        <v>69</v>
      </c>
      <c r="G445" s="17">
        <v>2</v>
      </c>
      <c r="H445" s="16" t="s">
        <v>225</v>
      </c>
      <c r="I445" s="69"/>
      <c r="EP445" s="111"/>
    </row>
    <row r="446" spans="1:146" s="110" customFormat="1" ht="63" x14ac:dyDescent="0.25">
      <c r="A446" s="14">
        <v>14</v>
      </c>
      <c r="B446" s="14" t="s">
        <v>38</v>
      </c>
      <c r="C446" s="14">
        <v>1</v>
      </c>
      <c r="D446" s="16" t="s">
        <v>83</v>
      </c>
      <c r="E446" s="16" t="s">
        <v>226</v>
      </c>
      <c r="F446" s="18" t="s">
        <v>69</v>
      </c>
      <c r="G446" s="17">
        <v>20</v>
      </c>
      <c r="H446" s="16" t="s">
        <v>227</v>
      </c>
      <c r="I446" s="69"/>
      <c r="EP446" s="111"/>
    </row>
    <row r="447" spans="1:146" s="110" customFormat="1" ht="78.75" x14ac:dyDescent="0.25">
      <c r="A447" s="14">
        <v>14</v>
      </c>
      <c r="B447" s="14" t="s">
        <v>38</v>
      </c>
      <c r="C447" s="14">
        <v>1</v>
      </c>
      <c r="D447" s="16" t="s">
        <v>83</v>
      </c>
      <c r="E447" s="16" t="s">
        <v>228</v>
      </c>
      <c r="F447" s="18" t="s">
        <v>69</v>
      </c>
      <c r="G447" s="17">
        <v>21</v>
      </c>
      <c r="H447" s="16" t="s">
        <v>229</v>
      </c>
      <c r="I447" s="69"/>
      <c r="EP447" s="111"/>
    </row>
    <row r="448" spans="1:146" s="110" customFormat="1" ht="75.75" customHeight="1" x14ac:dyDescent="0.25">
      <c r="A448" s="14">
        <v>14</v>
      </c>
      <c r="B448" s="14" t="s">
        <v>38</v>
      </c>
      <c r="C448" s="14">
        <v>1</v>
      </c>
      <c r="D448" s="21" t="s">
        <v>83</v>
      </c>
      <c r="E448" s="22" t="s">
        <v>230</v>
      </c>
      <c r="F448" s="23" t="s">
        <v>69</v>
      </c>
      <c r="G448" s="24">
        <v>138</v>
      </c>
      <c r="H448" s="22" t="s">
        <v>231</v>
      </c>
      <c r="I448" s="69"/>
      <c r="EP448" s="111"/>
    </row>
    <row r="449" spans="1:146" s="110" customFormat="1" ht="63" x14ac:dyDescent="0.25">
      <c r="A449" s="14">
        <v>14</v>
      </c>
      <c r="B449" s="14" t="s">
        <v>38</v>
      </c>
      <c r="C449" s="14">
        <v>1</v>
      </c>
      <c r="D449" s="21" t="s">
        <v>83</v>
      </c>
      <c r="E449" s="22" t="s">
        <v>232</v>
      </c>
      <c r="F449" s="23" t="s">
        <v>69</v>
      </c>
      <c r="G449" s="24">
        <v>1</v>
      </c>
      <c r="H449" s="22" t="s">
        <v>233</v>
      </c>
      <c r="I449" s="69"/>
      <c r="EP449" s="111"/>
    </row>
    <row r="450" spans="1:146" s="110" customFormat="1" ht="78.75" x14ac:dyDescent="0.25">
      <c r="A450" s="32">
        <v>14</v>
      </c>
      <c r="B450" s="32" t="s">
        <v>38</v>
      </c>
      <c r="C450" s="32">
        <v>2</v>
      </c>
      <c r="D450" s="37" t="s">
        <v>4</v>
      </c>
      <c r="E450" s="35" t="s">
        <v>452</v>
      </c>
      <c r="F450" s="36" t="s">
        <v>69</v>
      </c>
      <c r="G450" s="36">
        <v>5</v>
      </c>
      <c r="H450" s="37" t="s">
        <v>225</v>
      </c>
      <c r="I450" s="69"/>
      <c r="EP450" s="111"/>
    </row>
    <row r="451" spans="1:146" s="110" customFormat="1" ht="63" x14ac:dyDescent="0.25">
      <c r="A451" s="32">
        <v>14</v>
      </c>
      <c r="B451" s="32" t="s">
        <v>38</v>
      </c>
      <c r="C451" s="32">
        <v>2</v>
      </c>
      <c r="D451" s="41" t="s">
        <v>137</v>
      </c>
      <c r="E451" s="41" t="s">
        <v>449</v>
      </c>
      <c r="F451" s="40" t="s">
        <v>69</v>
      </c>
      <c r="G451" s="40">
        <v>83</v>
      </c>
      <c r="H451" s="41" t="s">
        <v>450</v>
      </c>
      <c r="I451" s="69"/>
      <c r="EP451" s="111"/>
    </row>
    <row r="452" spans="1:146" s="110" customFormat="1" ht="78.75" x14ac:dyDescent="0.25">
      <c r="A452" s="32">
        <v>14</v>
      </c>
      <c r="B452" s="32" t="s">
        <v>38</v>
      </c>
      <c r="C452" s="32">
        <v>2</v>
      </c>
      <c r="D452" s="37" t="s">
        <v>137</v>
      </c>
      <c r="E452" s="35" t="s">
        <v>581</v>
      </c>
      <c r="F452" s="36" t="s">
        <v>69</v>
      </c>
      <c r="G452" s="36">
        <v>50</v>
      </c>
      <c r="H452" s="37" t="s">
        <v>451</v>
      </c>
      <c r="I452" s="69"/>
      <c r="EP452" s="111"/>
    </row>
    <row r="453" spans="1:146" s="110" customFormat="1" ht="47.25" x14ac:dyDescent="0.25">
      <c r="A453" s="32">
        <v>14</v>
      </c>
      <c r="B453" s="32" t="s">
        <v>38</v>
      </c>
      <c r="C453" s="32">
        <v>2</v>
      </c>
      <c r="D453" s="37" t="s">
        <v>1</v>
      </c>
      <c r="E453" s="35" t="s">
        <v>584</v>
      </c>
      <c r="F453" s="36" t="s">
        <v>69</v>
      </c>
      <c r="G453" s="36">
        <v>836</v>
      </c>
      <c r="H453" s="37" t="s">
        <v>235</v>
      </c>
      <c r="I453" s="69"/>
      <c r="EP453" s="111"/>
    </row>
    <row r="454" spans="1:146" s="110" customFormat="1" ht="47.25" x14ac:dyDescent="0.25">
      <c r="A454" s="32">
        <v>14</v>
      </c>
      <c r="B454" s="32" t="s">
        <v>38</v>
      </c>
      <c r="C454" s="32">
        <v>2</v>
      </c>
      <c r="D454" s="37" t="s">
        <v>1</v>
      </c>
      <c r="E454" s="35" t="s">
        <v>455</v>
      </c>
      <c r="F454" s="36" t="s">
        <v>69</v>
      </c>
      <c r="G454" s="36">
        <v>321</v>
      </c>
      <c r="H454" s="37" t="s">
        <v>456</v>
      </c>
      <c r="I454" s="69"/>
      <c r="EP454" s="111"/>
    </row>
    <row r="455" spans="1:146" s="110" customFormat="1" ht="78.75" x14ac:dyDescent="0.25">
      <c r="A455" s="32">
        <v>14</v>
      </c>
      <c r="B455" s="32" t="s">
        <v>38</v>
      </c>
      <c r="C455" s="32">
        <v>2</v>
      </c>
      <c r="D455" s="37" t="s">
        <v>1</v>
      </c>
      <c r="E455" s="35" t="s">
        <v>457</v>
      </c>
      <c r="F455" s="36" t="s">
        <v>69</v>
      </c>
      <c r="G455" s="36">
        <v>225</v>
      </c>
      <c r="H455" s="37" t="s">
        <v>458</v>
      </c>
      <c r="I455" s="69"/>
      <c r="EP455" s="111"/>
    </row>
    <row r="456" spans="1:146" s="110" customFormat="1" ht="94.5" x14ac:dyDescent="0.25">
      <c r="A456" s="32">
        <v>14</v>
      </c>
      <c r="B456" s="32" t="s">
        <v>38</v>
      </c>
      <c r="C456" s="32">
        <v>2</v>
      </c>
      <c r="D456" s="37" t="s">
        <v>1</v>
      </c>
      <c r="E456" s="35" t="s">
        <v>459</v>
      </c>
      <c r="F456" s="36" t="s">
        <v>69</v>
      </c>
      <c r="G456" s="36">
        <v>33</v>
      </c>
      <c r="H456" s="37" t="s">
        <v>456</v>
      </c>
      <c r="I456" s="69"/>
      <c r="EP456" s="111"/>
    </row>
    <row r="457" spans="1:146" s="110" customFormat="1" ht="63" x14ac:dyDescent="0.25">
      <c r="A457" s="32">
        <v>14</v>
      </c>
      <c r="B457" s="32" t="s">
        <v>38</v>
      </c>
      <c r="C457" s="32">
        <v>2</v>
      </c>
      <c r="D457" s="37" t="s">
        <v>393</v>
      </c>
      <c r="E457" s="35" t="s">
        <v>453</v>
      </c>
      <c r="F457" s="36" t="s">
        <v>69</v>
      </c>
      <c r="G457" s="36">
        <v>29</v>
      </c>
      <c r="H457" s="37" t="s">
        <v>227</v>
      </c>
      <c r="I457" s="69"/>
      <c r="EP457" s="111"/>
    </row>
    <row r="458" spans="1:146" s="110" customFormat="1" ht="78.75" x14ac:dyDescent="0.25">
      <c r="A458" s="32">
        <v>14</v>
      </c>
      <c r="B458" s="32" t="s">
        <v>38</v>
      </c>
      <c r="C458" s="32">
        <v>2</v>
      </c>
      <c r="D458" s="37" t="s">
        <v>393</v>
      </c>
      <c r="E458" s="35" t="s">
        <v>582</v>
      </c>
      <c r="F458" s="36" t="s">
        <v>69</v>
      </c>
      <c r="G458" s="36">
        <v>80</v>
      </c>
      <c r="H458" s="37" t="s">
        <v>229</v>
      </c>
      <c r="I458" s="69"/>
      <c r="EP458" s="111"/>
    </row>
    <row r="459" spans="1:146" s="110" customFormat="1" ht="78.75" x14ac:dyDescent="0.25">
      <c r="A459" s="32">
        <v>14</v>
      </c>
      <c r="B459" s="32" t="s">
        <v>38</v>
      </c>
      <c r="C459" s="32">
        <v>2</v>
      </c>
      <c r="D459" s="37" t="s">
        <v>393</v>
      </c>
      <c r="E459" s="35" t="s">
        <v>583</v>
      </c>
      <c r="F459" s="36" t="s">
        <v>81</v>
      </c>
      <c r="G459" s="36" t="s">
        <v>93</v>
      </c>
      <c r="H459" s="37" t="s">
        <v>454</v>
      </c>
      <c r="I459" s="69"/>
      <c r="EP459" s="111"/>
    </row>
    <row r="460" spans="1:146" s="110" customFormat="1" ht="78.75" x14ac:dyDescent="0.25">
      <c r="A460" s="32">
        <v>14</v>
      </c>
      <c r="B460" s="32" t="s">
        <v>38</v>
      </c>
      <c r="C460" s="32">
        <v>2</v>
      </c>
      <c r="D460" s="37" t="s">
        <v>393</v>
      </c>
      <c r="E460" s="35" t="s">
        <v>660</v>
      </c>
      <c r="F460" s="36" t="s">
        <v>69</v>
      </c>
      <c r="G460" s="36">
        <v>43</v>
      </c>
      <c r="H460" s="37" t="s">
        <v>460</v>
      </c>
      <c r="I460" s="69"/>
      <c r="EP460" s="111"/>
    </row>
    <row r="461" spans="1:146" s="110" customFormat="1" ht="47.25" x14ac:dyDescent="0.25">
      <c r="A461" s="63">
        <v>14</v>
      </c>
      <c r="B461" s="63" t="s">
        <v>38</v>
      </c>
      <c r="C461" s="63">
        <v>3</v>
      </c>
      <c r="D461" s="109" t="s">
        <v>4</v>
      </c>
      <c r="E461" s="66" t="s">
        <v>1027</v>
      </c>
      <c r="F461" s="67" t="s">
        <v>69</v>
      </c>
      <c r="G461" s="67">
        <v>7</v>
      </c>
      <c r="H461" s="109" t="s">
        <v>225</v>
      </c>
      <c r="I461" s="69"/>
      <c r="EP461" s="111"/>
    </row>
    <row r="462" spans="1:146" s="110" customFormat="1" ht="63" x14ac:dyDescent="0.25">
      <c r="A462" s="63">
        <v>14</v>
      </c>
      <c r="B462" s="63" t="s">
        <v>38</v>
      </c>
      <c r="C462" s="63">
        <v>3</v>
      </c>
      <c r="D462" s="109" t="s">
        <v>137</v>
      </c>
      <c r="E462" s="66" t="s">
        <v>784</v>
      </c>
      <c r="F462" s="67" t="s">
        <v>69</v>
      </c>
      <c r="G462" s="67">
        <v>112</v>
      </c>
      <c r="H462" s="109" t="s">
        <v>450</v>
      </c>
      <c r="I462" s="69"/>
      <c r="EP462" s="111"/>
    </row>
    <row r="463" spans="1:146" s="110" customFormat="1" ht="47.25" x14ac:dyDescent="0.25">
      <c r="A463" s="63">
        <v>14</v>
      </c>
      <c r="B463" s="63" t="s">
        <v>38</v>
      </c>
      <c r="C463" s="63">
        <v>3</v>
      </c>
      <c r="D463" s="109" t="s">
        <v>1</v>
      </c>
      <c r="E463" s="66" t="s">
        <v>1495</v>
      </c>
      <c r="F463" s="67" t="s">
        <v>69</v>
      </c>
      <c r="G463" s="67">
        <v>641</v>
      </c>
      <c r="H463" s="109" t="s">
        <v>235</v>
      </c>
      <c r="I463" s="69"/>
      <c r="EP463" s="111"/>
    </row>
    <row r="464" spans="1:146" s="110" customFormat="1" ht="47.25" x14ac:dyDescent="0.25">
      <c r="A464" s="63">
        <v>14</v>
      </c>
      <c r="B464" s="63" t="s">
        <v>38</v>
      </c>
      <c r="C464" s="63">
        <v>3</v>
      </c>
      <c r="D464" s="109" t="s">
        <v>1</v>
      </c>
      <c r="E464" s="66" t="s">
        <v>1028</v>
      </c>
      <c r="F464" s="67" t="s">
        <v>69</v>
      </c>
      <c r="G464" s="67">
        <v>505</v>
      </c>
      <c r="H464" s="109" t="s">
        <v>456</v>
      </c>
      <c r="I464" s="69"/>
      <c r="EP464" s="111"/>
    </row>
    <row r="465" spans="1:146" s="110" customFormat="1" ht="78.75" x14ac:dyDescent="0.25">
      <c r="A465" s="63">
        <v>14</v>
      </c>
      <c r="B465" s="63" t="s">
        <v>38</v>
      </c>
      <c r="C465" s="63">
        <v>3</v>
      </c>
      <c r="D465" s="109" t="s">
        <v>1</v>
      </c>
      <c r="E465" s="66" t="s">
        <v>789</v>
      </c>
      <c r="F465" s="67" t="s">
        <v>69</v>
      </c>
      <c r="G465" s="67">
        <v>21</v>
      </c>
      <c r="H465" s="109" t="s">
        <v>790</v>
      </c>
      <c r="I465" s="69"/>
      <c r="EP465" s="111"/>
    </row>
    <row r="466" spans="1:146" s="110" customFormat="1" ht="63" x14ac:dyDescent="0.25">
      <c r="A466" s="63">
        <v>14</v>
      </c>
      <c r="B466" s="63" t="s">
        <v>38</v>
      </c>
      <c r="C466" s="63">
        <v>3</v>
      </c>
      <c r="D466" s="109" t="s">
        <v>393</v>
      </c>
      <c r="E466" s="66" t="s">
        <v>785</v>
      </c>
      <c r="F466" s="67"/>
      <c r="G466" s="67">
        <v>5</v>
      </c>
      <c r="H466" s="109"/>
      <c r="I466" s="69"/>
      <c r="EP466" s="111"/>
    </row>
    <row r="467" spans="1:146" s="110" customFormat="1" ht="110.25" x14ac:dyDescent="0.25">
      <c r="A467" s="63">
        <v>14</v>
      </c>
      <c r="B467" s="63" t="s">
        <v>38</v>
      </c>
      <c r="C467" s="63">
        <v>3</v>
      </c>
      <c r="D467" s="109" t="s">
        <v>393</v>
      </c>
      <c r="E467" s="66" t="s">
        <v>786</v>
      </c>
      <c r="F467" s="67" t="s">
        <v>69</v>
      </c>
      <c r="G467" s="67">
        <v>83</v>
      </c>
      <c r="H467" s="109" t="s">
        <v>229</v>
      </c>
      <c r="I467" s="69"/>
      <c r="EP467" s="111"/>
    </row>
    <row r="468" spans="1:146" s="110" customFormat="1" ht="78.75" x14ac:dyDescent="0.25">
      <c r="A468" s="63">
        <v>14</v>
      </c>
      <c r="B468" s="63" t="s">
        <v>38</v>
      </c>
      <c r="C468" s="63">
        <v>3</v>
      </c>
      <c r="D468" s="109" t="s">
        <v>393</v>
      </c>
      <c r="E468" s="66" t="s">
        <v>787</v>
      </c>
      <c r="F468" s="67" t="s">
        <v>69</v>
      </c>
      <c r="G468" s="67">
        <v>48</v>
      </c>
      <c r="H468" s="109" t="s">
        <v>788</v>
      </c>
      <c r="I468" s="69"/>
      <c r="EP468" s="111"/>
    </row>
    <row r="469" spans="1:146" s="110" customFormat="1" ht="78.75" x14ac:dyDescent="0.25">
      <c r="A469" s="63">
        <v>14</v>
      </c>
      <c r="B469" s="63" t="s">
        <v>38</v>
      </c>
      <c r="C469" s="63">
        <v>3</v>
      </c>
      <c r="D469" s="109" t="s">
        <v>393</v>
      </c>
      <c r="E469" s="66" t="s">
        <v>1029</v>
      </c>
      <c r="F469" s="67" t="s">
        <v>69</v>
      </c>
      <c r="G469" s="67">
        <v>9</v>
      </c>
      <c r="H469" s="109" t="s">
        <v>460</v>
      </c>
      <c r="I469" s="69"/>
      <c r="EP469" s="111"/>
    </row>
    <row r="470" spans="1:146" s="110" customFormat="1" ht="126" x14ac:dyDescent="0.25">
      <c r="A470" s="63">
        <v>14</v>
      </c>
      <c r="B470" s="63" t="s">
        <v>38</v>
      </c>
      <c r="C470" s="63">
        <v>3</v>
      </c>
      <c r="D470" s="109" t="s">
        <v>393</v>
      </c>
      <c r="E470" s="66" t="s">
        <v>791</v>
      </c>
      <c r="F470" s="67" t="s">
        <v>69</v>
      </c>
      <c r="G470" s="67">
        <v>189</v>
      </c>
      <c r="H470" s="109" t="s">
        <v>792</v>
      </c>
      <c r="I470" s="69"/>
      <c r="EP470" s="111"/>
    </row>
    <row r="471" spans="1:146" s="110" customFormat="1" ht="63" x14ac:dyDescent="0.25">
      <c r="A471" s="63">
        <v>14</v>
      </c>
      <c r="B471" s="63" t="s">
        <v>38</v>
      </c>
      <c r="C471" s="63">
        <v>3</v>
      </c>
      <c r="D471" s="109" t="s">
        <v>393</v>
      </c>
      <c r="E471" s="66" t="s">
        <v>793</v>
      </c>
      <c r="F471" s="67" t="s">
        <v>69</v>
      </c>
      <c r="G471" s="67" t="s">
        <v>794</v>
      </c>
      <c r="H471" s="109" t="s">
        <v>233</v>
      </c>
      <c r="I471" s="56"/>
      <c r="EP471" s="111"/>
    </row>
    <row r="472" spans="1:146" s="110" customFormat="1" ht="157.5" x14ac:dyDescent="0.25">
      <c r="A472" s="45">
        <v>14</v>
      </c>
      <c r="B472" s="45" t="s">
        <v>38</v>
      </c>
      <c r="C472" s="45">
        <v>4</v>
      </c>
      <c r="D472" s="52" t="s">
        <v>137</v>
      </c>
      <c r="E472" s="52" t="s">
        <v>1165</v>
      </c>
      <c r="F472" s="51" t="s">
        <v>69</v>
      </c>
      <c r="G472" s="51">
        <v>187</v>
      </c>
      <c r="H472" s="52" t="s">
        <v>1496</v>
      </c>
      <c r="I472" s="69"/>
      <c r="EP472" s="111"/>
    </row>
    <row r="473" spans="1:146" s="110" customFormat="1" ht="157.5" x14ac:dyDescent="0.25">
      <c r="A473" s="45">
        <v>14</v>
      </c>
      <c r="B473" s="45" t="s">
        <v>38</v>
      </c>
      <c r="C473" s="45">
        <v>4</v>
      </c>
      <c r="D473" s="48" t="s">
        <v>4</v>
      </c>
      <c r="E473" s="46" t="s">
        <v>1497</v>
      </c>
      <c r="F473" s="47" t="s">
        <v>81</v>
      </c>
      <c r="G473" s="47" t="s">
        <v>1166</v>
      </c>
      <c r="H473" s="48" t="s">
        <v>1498</v>
      </c>
      <c r="I473" s="69"/>
      <c r="EP473" s="111"/>
    </row>
    <row r="474" spans="1:146" s="110" customFormat="1" ht="94.5" x14ac:dyDescent="0.25">
      <c r="A474" s="45">
        <v>14</v>
      </c>
      <c r="B474" s="45" t="s">
        <v>38</v>
      </c>
      <c r="C474" s="45">
        <v>4</v>
      </c>
      <c r="D474" s="48" t="s">
        <v>393</v>
      </c>
      <c r="E474" s="46" t="s">
        <v>1499</v>
      </c>
      <c r="F474" s="47" t="s">
        <v>81</v>
      </c>
      <c r="G474" s="47" t="s">
        <v>1167</v>
      </c>
      <c r="H474" s="48" t="s">
        <v>1168</v>
      </c>
      <c r="I474" s="69"/>
      <c r="EP474" s="111"/>
    </row>
    <row r="475" spans="1:146" s="110" customFormat="1" ht="126" x14ac:dyDescent="0.25">
      <c r="A475" s="45">
        <v>14</v>
      </c>
      <c r="B475" s="45" t="s">
        <v>38</v>
      </c>
      <c r="C475" s="45">
        <v>4</v>
      </c>
      <c r="D475" s="48" t="s">
        <v>393</v>
      </c>
      <c r="E475" s="46" t="s">
        <v>1500</v>
      </c>
      <c r="F475" s="47" t="s">
        <v>81</v>
      </c>
      <c r="G475" s="47" t="s">
        <v>1169</v>
      </c>
      <c r="H475" s="48" t="s">
        <v>1501</v>
      </c>
      <c r="I475" s="69"/>
      <c r="EP475" s="111"/>
    </row>
    <row r="476" spans="1:146" s="110" customFormat="1" ht="157.5" x14ac:dyDescent="0.25">
      <c r="A476" s="45">
        <v>14</v>
      </c>
      <c r="B476" s="45" t="s">
        <v>38</v>
      </c>
      <c r="C476" s="45">
        <v>4</v>
      </c>
      <c r="D476" s="48" t="s">
        <v>1</v>
      </c>
      <c r="E476" s="46" t="s">
        <v>584</v>
      </c>
      <c r="F476" s="47" t="s">
        <v>81</v>
      </c>
      <c r="G476" s="47" t="s">
        <v>1170</v>
      </c>
      <c r="H476" s="48" t="s">
        <v>1502</v>
      </c>
      <c r="I476" s="69"/>
      <c r="EP476" s="111"/>
    </row>
    <row r="477" spans="1:146" s="110" customFormat="1" ht="141.75" x14ac:dyDescent="0.25">
      <c r="A477" s="45">
        <v>14</v>
      </c>
      <c r="B477" s="45" t="s">
        <v>38</v>
      </c>
      <c r="C477" s="45">
        <v>4</v>
      </c>
      <c r="D477" s="48" t="s">
        <v>1</v>
      </c>
      <c r="E477" s="46" t="s">
        <v>1171</v>
      </c>
      <c r="F477" s="47" t="s">
        <v>81</v>
      </c>
      <c r="G477" s="47" t="s">
        <v>1172</v>
      </c>
      <c r="H477" s="48" t="s">
        <v>1503</v>
      </c>
      <c r="I477" s="69"/>
      <c r="EP477" s="111"/>
    </row>
    <row r="478" spans="1:146" s="110" customFormat="1" ht="78.75" x14ac:dyDescent="0.25">
      <c r="A478" s="45">
        <v>14</v>
      </c>
      <c r="B478" s="45" t="s">
        <v>38</v>
      </c>
      <c r="C478" s="45">
        <v>4</v>
      </c>
      <c r="D478" s="48" t="s">
        <v>1</v>
      </c>
      <c r="E478" s="46" t="s">
        <v>1173</v>
      </c>
      <c r="F478" s="47" t="s">
        <v>81</v>
      </c>
      <c r="G478" s="47" t="s">
        <v>1174</v>
      </c>
      <c r="H478" s="48" t="s">
        <v>1175</v>
      </c>
      <c r="I478" s="69"/>
      <c r="EP478" s="111"/>
    </row>
    <row r="479" spans="1:146" s="110" customFormat="1" ht="78.75" x14ac:dyDescent="0.25">
      <c r="A479" s="45">
        <v>14</v>
      </c>
      <c r="B479" s="45" t="s">
        <v>38</v>
      </c>
      <c r="C479" s="45">
        <v>4</v>
      </c>
      <c r="D479" s="48" t="s">
        <v>393</v>
      </c>
      <c r="E479" s="46" t="s">
        <v>1176</v>
      </c>
      <c r="F479" s="47" t="s">
        <v>81</v>
      </c>
      <c r="G479" s="47" t="s">
        <v>1177</v>
      </c>
      <c r="H479" s="48" t="s">
        <v>1178</v>
      </c>
      <c r="I479" s="69"/>
      <c r="EP479" s="111"/>
    </row>
    <row r="480" spans="1:146" s="110" customFormat="1" ht="141.75" x14ac:dyDescent="0.25">
      <c r="A480" s="45">
        <v>14</v>
      </c>
      <c r="B480" s="45" t="s">
        <v>38</v>
      </c>
      <c r="C480" s="45">
        <v>4</v>
      </c>
      <c r="D480" s="48" t="s">
        <v>1</v>
      </c>
      <c r="E480" s="46" t="s">
        <v>1179</v>
      </c>
      <c r="F480" s="47" t="s">
        <v>81</v>
      </c>
      <c r="G480" s="47" t="s">
        <v>1180</v>
      </c>
      <c r="H480" s="48" t="s">
        <v>1504</v>
      </c>
      <c r="I480" s="69"/>
      <c r="EP480" s="111"/>
    </row>
    <row r="481" spans="1:146" s="110" customFormat="1" ht="78.75" x14ac:dyDescent="0.25">
      <c r="A481" s="45">
        <v>14</v>
      </c>
      <c r="B481" s="45" t="s">
        <v>38</v>
      </c>
      <c r="C481" s="45">
        <v>4</v>
      </c>
      <c r="D481" s="48" t="s">
        <v>1</v>
      </c>
      <c r="E481" s="46" t="s">
        <v>1505</v>
      </c>
      <c r="F481" s="47" t="s">
        <v>81</v>
      </c>
      <c r="G481" s="47" t="s">
        <v>1181</v>
      </c>
      <c r="H481" s="48" t="s">
        <v>1506</v>
      </c>
      <c r="I481" s="69"/>
      <c r="EP481" s="111"/>
    </row>
    <row r="482" spans="1:146" s="110" customFormat="1" ht="63" x14ac:dyDescent="0.25">
      <c r="A482" s="45">
        <v>14</v>
      </c>
      <c r="B482" s="45" t="s">
        <v>38</v>
      </c>
      <c r="C482" s="45">
        <v>4</v>
      </c>
      <c r="D482" s="48" t="s">
        <v>393</v>
      </c>
      <c r="E482" s="46" t="s">
        <v>1507</v>
      </c>
      <c r="F482" s="47" t="s">
        <v>69</v>
      </c>
      <c r="G482" s="47" t="s">
        <v>1182</v>
      </c>
      <c r="H482" s="48" t="s">
        <v>1183</v>
      </c>
      <c r="I482" s="69"/>
      <c r="EP482" s="111"/>
    </row>
    <row r="483" spans="1:146" s="110" customFormat="1" ht="110.25" x14ac:dyDescent="0.25">
      <c r="A483" s="45">
        <v>14</v>
      </c>
      <c r="B483" s="45" t="s">
        <v>38</v>
      </c>
      <c r="C483" s="45">
        <v>4</v>
      </c>
      <c r="D483" s="48" t="s">
        <v>393</v>
      </c>
      <c r="E483" s="46" t="s">
        <v>1508</v>
      </c>
      <c r="F483" s="47" t="s">
        <v>81</v>
      </c>
      <c r="G483" s="47" t="s">
        <v>1184</v>
      </c>
      <c r="H483" s="48" t="s">
        <v>1185</v>
      </c>
      <c r="I483" s="69"/>
      <c r="EP483" s="111"/>
    </row>
    <row r="484" spans="1:146" s="110" customFormat="1" ht="126" x14ac:dyDescent="0.25">
      <c r="A484" s="45">
        <v>14</v>
      </c>
      <c r="B484" s="45" t="s">
        <v>38</v>
      </c>
      <c r="C484" s="45">
        <v>4</v>
      </c>
      <c r="D484" s="48" t="s">
        <v>1</v>
      </c>
      <c r="E484" s="46" t="s">
        <v>1509</v>
      </c>
      <c r="F484" s="47" t="s">
        <v>81</v>
      </c>
      <c r="G484" s="47" t="s">
        <v>1186</v>
      </c>
      <c r="H484" s="48" t="s">
        <v>1187</v>
      </c>
      <c r="I484" s="69"/>
      <c r="EP484" s="111"/>
    </row>
    <row r="485" spans="1:146" s="110" customFormat="1" ht="126" x14ac:dyDescent="0.25">
      <c r="A485" s="45">
        <v>14</v>
      </c>
      <c r="B485" s="45" t="s">
        <v>38</v>
      </c>
      <c r="C485" s="45">
        <v>4</v>
      </c>
      <c r="D485" s="48" t="s">
        <v>142</v>
      </c>
      <c r="E485" s="46" t="s">
        <v>1510</v>
      </c>
      <c r="F485" s="47" t="s">
        <v>81</v>
      </c>
      <c r="G485" s="47" t="s">
        <v>1188</v>
      </c>
      <c r="H485" s="48" t="s">
        <v>1189</v>
      </c>
      <c r="I485" s="69"/>
      <c r="EP485" s="111"/>
    </row>
    <row r="486" spans="1:146" s="110" customFormat="1" ht="157.5" x14ac:dyDescent="0.25">
      <c r="A486" s="45">
        <v>14</v>
      </c>
      <c r="B486" s="45" t="s">
        <v>38</v>
      </c>
      <c r="C486" s="45">
        <v>4</v>
      </c>
      <c r="D486" s="48" t="s">
        <v>393</v>
      </c>
      <c r="E486" s="46" t="s">
        <v>1190</v>
      </c>
      <c r="F486" s="47" t="s">
        <v>81</v>
      </c>
      <c r="G486" s="47">
        <v>13</v>
      </c>
      <c r="H486" s="48" t="s">
        <v>1191</v>
      </c>
      <c r="I486" s="69"/>
      <c r="EP486" s="111"/>
    </row>
    <row r="487" spans="1:146" s="110" customFormat="1" ht="126" x14ac:dyDescent="0.25">
      <c r="A487" s="45">
        <v>14</v>
      </c>
      <c r="B487" s="45" t="s">
        <v>38</v>
      </c>
      <c r="C487" s="45">
        <v>4</v>
      </c>
      <c r="D487" s="48" t="s">
        <v>137</v>
      </c>
      <c r="E487" s="46" t="s">
        <v>1511</v>
      </c>
      <c r="F487" s="47" t="s">
        <v>69</v>
      </c>
      <c r="G487" s="47" t="s">
        <v>1192</v>
      </c>
      <c r="H487" s="48" t="s">
        <v>1193</v>
      </c>
      <c r="I487" s="69"/>
      <c r="EP487" s="111"/>
    </row>
    <row r="488" spans="1:146" s="110" customFormat="1" ht="141.75" x14ac:dyDescent="0.25">
      <c r="A488" s="45">
        <v>14</v>
      </c>
      <c r="B488" s="45" t="s">
        <v>38</v>
      </c>
      <c r="C488" s="45">
        <v>4</v>
      </c>
      <c r="D488" s="48" t="s">
        <v>1</v>
      </c>
      <c r="E488" s="46" t="s">
        <v>1512</v>
      </c>
      <c r="F488" s="47" t="s">
        <v>81</v>
      </c>
      <c r="G488" s="47" t="s">
        <v>1194</v>
      </c>
      <c r="H488" s="48" t="s">
        <v>1513</v>
      </c>
      <c r="I488" s="69"/>
      <c r="EP488" s="111"/>
    </row>
    <row r="489" spans="1:146" s="110" customFormat="1" x14ac:dyDescent="0.25">
      <c r="A489" s="14">
        <v>15</v>
      </c>
      <c r="B489" s="14" t="s">
        <v>39</v>
      </c>
      <c r="C489" s="14">
        <v>1</v>
      </c>
      <c r="D489" s="19" t="s">
        <v>1</v>
      </c>
      <c r="E489" s="19" t="s">
        <v>240</v>
      </c>
      <c r="F489" s="14" t="s">
        <v>69</v>
      </c>
      <c r="G489" s="20">
        <v>44</v>
      </c>
      <c r="H489" s="19" t="s">
        <v>106</v>
      </c>
      <c r="I489" s="69"/>
      <c r="EP489" s="111"/>
    </row>
    <row r="490" spans="1:146" s="110" customFormat="1" ht="31.5" x14ac:dyDescent="0.25">
      <c r="A490" s="14">
        <v>15</v>
      </c>
      <c r="B490" s="14" t="s">
        <v>39</v>
      </c>
      <c r="C490" s="14">
        <v>1</v>
      </c>
      <c r="D490" s="19" t="s">
        <v>83</v>
      </c>
      <c r="E490" s="19" t="s">
        <v>236</v>
      </c>
      <c r="F490" s="14" t="s">
        <v>69</v>
      </c>
      <c r="G490" s="20">
        <v>14</v>
      </c>
      <c r="H490" s="19" t="s">
        <v>237</v>
      </c>
      <c r="I490" s="69"/>
      <c r="EP490" s="111"/>
    </row>
    <row r="491" spans="1:146" s="110" customFormat="1" ht="47.25" x14ac:dyDescent="0.25">
      <c r="A491" s="14">
        <v>15</v>
      </c>
      <c r="B491" s="14" t="s">
        <v>39</v>
      </c>
      <c r="C491" s="14">
        <v>1</v>
      </c>
      <c r="D491" s="19" t="s">
        <v>83</v>
      </c>
      <c r="E491" s="19" t="s">
        <v>238</v>
      </c>
      <c r="F491" s="14" t="s">
        <v>69</v>
      </c>
      <c r="G491" s="20">
        <v>105</v>
      </c>
      <c r="H491" s="19" t="s">
        <v>239</v>
      </c>
      <c r="I491" s="69"/>
      <c r="EP491" s="111"/>
    </row>
    <row r="492" spans="1:146" s="110" customFormat="1" ht="31.5" x14ac:dyDescent="0.25">
      <c r="A492" s="32">
        <v>15</v>
      </c>
      <c r="B492" s="32" t="s">
        <v>39</v>
      </c>
      <c r="C492" s="32">
        <v>2</v>
      </c>
      <c r="D492" s="38" t="s">
        <v>137</v>
      </c>
      <c r="E492" s="38" t="s">
        <v>462</v>
      </c>
      <c r="F492" s="32" t="s">
        <v>81</v>
      </c>
      <c r="G492" s="42">
        <v>128</v>
      </c>
      <c r="H492" s="38" t="s">
        <v>585</v>
      </c>
      <c r="I492" s="69"/>
      <c r="EP492" s="111"/>
    </row>
    <row r="493" spans="1:146" s="110" customFormat="1" x14ac:dyDescent="0.25">
      <c r="A493" s="32">
        <v>15</v>
      </c>
      <c r="B493" s="32" t="s">
        <v>39</v>
      </c>
      <c r="C493" s="32">
        <v>2</v>
      </c>
      <c r="D493" s="38" t="s">
        <v>1</v>
      </c>
      <c r="E493" s="38" t="s">
        <v>240</v>
      </c>
      <c r="F493" s="32" t="s">
        <v>69</v>
      </c>
      <c r="G493" s="42">
        <v>44</v>
      </c>
      <c r="H493" s="38" t="s">
        <v>461</v>
      </c>
      <c r="I493" s="69"/>
      <c r="EP493" s="111"/>
    </row>
    <row r="494" spans="1:146" s="110" customFormat="1" ht="47.25" x14ac:dyDescent="0.25">
      <c r="A494" s="32">
        <v>15</v>
      </c>
      <c r="B494" s="32" t="s">
        <v>39</v>
      </c>
      <c r="C494" s="32">
        <v>2</v>
      </c>
      <c r="D494" s="38" t="s">
        <v>393</v>
      </c>
      <c r="E494" s="38" t="s">
        <v>463</v>
      </c>
      <c r="F494" s="32" t="s">
        <v>69</v>
      </c>
      <c r="G494" s="42">
        <v>177</v>
      </c>
      <c r="H494" s="38" t="s">
        <v>464</v>
      </c>
      <c r="I494" s="69"/>
      <c r="EP494" s="111"/>
    </row>
    <row r="495" spans="1:146" s="110" customFormat="1" ht="63" x14ac:dyDescent="0.25">
      <c r="A495" s="32">
        <v>15</v>
      </c>
      <c r="B495" s="32" t="s">
        <v>39</v>
      </c>
      <c r="C495" s="32">
        <v>2</v>
      </c>
      <c r="D495" s="38" t="s">
        <v>393</v>
      </c>
      <c r="E495" s="38" t="s">
        <v>465</v>
      </c>
      <c r="F495" s="32" t="s">
        <v>69</v>
      </c>
      <c r="G495" s="42">
        <v>10</v>
      </c>
      <c r="H495" s="38" t="s">
        <v>466</v>
      </c>
      <c r="I495" s="69"/>
      <c r="EP495" s="111"/>
    </row>
    <row r="496" spans="1:146" s="110" customFormat="1" x14ac:dyDescent="0.25">
      <c r="A496" s="63">
        <v>15</v>
      </c>
      <c r="B496" s="63" t="s">
        <v>39</v>
      </c>
      <c r="C496" s="63">
        <v>3</v>
      </c>
      <c r="D496" s="64" t="s">
        <v>1</v>
      </c>
      <c r="E496" s="64" t="s">
        <v>240</v>
      </c>
      <c r="F496" s="63" t="s">
        <v>69</v>
      </c>
      <c r="G496" s="65">
        <v>44</v>
      </c>
      <c r="H496" s="64" t="s">
        <v>795</v>
      </c>
      <c r="I496" s="69"/>
      <c r="EP496" s="111"/>
    </row>
    <row r="497" spans="1:146" s="110" customFormat="1" ht="31.5" x14ac:dyDescent="0.25">
      <c r="A497" s="63">
        <v>15</v>
      </c>
      <c r="B497" s="63" t="s">
        <v>39</v>
      </c>
      <c r="C497" s="63">
        <v>3</v>
      </c>
      <c r="D497" s="64" t="s">
        <v>1</v>
      </c>
      <c r="E497" s="64" t="s">
        <v>798</v>
      </c>
      <c r="F497" s="63" t="s">
        <v>81</v>
      </c>
      <c r="G497" s="65">
        <v>72</v>
      </c>
      <c r="H497" s="64" t="s">
        <v>799</v>
      </c>
      <c r="I497" s="69"/>
      <c r="EP497" s="111"/>
    </row>
    <row r="498" spans="1:146" s="110" customFormat="1" ht="47.25" x14ac:dyDescent="0.25">
      <c r="A498" s="63">
        <v>15</v>
      </c>
      <c r="B498" s="63" t="s">
        <v>39</v>
      </c>
      <c r="C498" s="63">
        <v>3</v>
      </c>
      <c r="D498" s="64" t="s">
        <v>393</v>
      </c>
      <c r="E498" s="64" t="s">
        <v>463</v>
      </c>
      <c r="F498" s="63" t="s">
        <v>69</v>
      </c>
      <c r="G498" s="65">
        <v>198</v>
      </c>
      <c r="H498" s="64" t="s">
        <v>796</v>
      </c>
      <c r="I498" s="69"/>
      <c r="EP498" s="111"/>
    </row>
    <row r="499" spans="1:146" s="110" customFormat="1" ht="63" x14ac:dyDescent="0.25">
      <c r="A499" s="63">
        <v>15</v>
      </c>
      <c r="B499" s="63" t="s">
        <v>39</v>
      </c>
      <c r="C499" s="63">
        <v>3</v>
      </c>
      <c r="D499" s="64" t="s">
        <v>393</v>
      </c>
      <c r="E499" s="64" t="s">
        <v>465</v>
      </c>
      <c r="F499" s="63" t="s">
        <v>69</v>
      </c>
      <c r="G499" s="65">
        <v>11</v>
      </c>
      <c r="H499" s="64" t="s">
        <v>797</v>
      </c>
      <c r="I499" s="69"/>
      <c r="EP499" s="111"/>
    </row>
    <row r="500" spans="1:146" s="110" customFormat="1" ht="47.25" x14ac:dyDescent="0.25">
      <c r="A500" s="63">
        <v>15</v>
      </c>
      <c r="B500" s="63" t="s">
        <v>39</v>
      </c>
      <c r="C500" s="63">
        <v>3</v>
      </c>
      <c r="D500" s="64" t="s">
        <v>393</v>
      </c>
      <c r="E500" s="64" t="s">
        <v>800</v>
      </c>
      <c r="F500" s="63" t="s">
        <v>69</v>
      </c>
      <c r="G500" s="65">
        <v>0</v>
      </c>
      <c r="H500" s="64" t="s">
        <v>801</v>
      </c>
      <c r="I500" s="56"/>
      <c r="EP500" s="111"/>
    </row>
    <row r="501" spans="1:146" s="110" customFormat="1" ht="110.25" x14ac:dyDescent="0.25">
      <c r="A501" s="45">
        <v>15</v>
      </c>
      <c r="B501" s="45" t="s">
        <v>39</v>
      </c>
      <c r="C501" s="45">
        <v>4</v>
      </c>
      <c r="D501" s="50" t="s">
        <v>1</v>
      </c>
      <c r="E501" s="50" t="s">
        <v>1195</v>
      </c>
      <c r="F501" s="45" t="s">
        <v>81</v>
      </c>
      <c r="G501" s="54">
        <v>33</v>
      </c>
      <c r="H501" s="50" t="s">
        <v>1196</v>
      </c>
      <c r="I501" s="69"/>
      <c r="EP501" s="111"/>
    </row>
    <row r="502" spans="1:146" s="110" customFormat="1" ht="47.25" x14ac:dyDescent="0.25">
      <c r="A502" s="45">
        <v>15</v>
      </c>
      <c r="B502" s="45" t="s">
        <v>39</v>
      </c>
      <c r="C502" s="45">
        <v>4</v>
      </c>
      <c r="D502" s="50" t="s">
        <v>393</v>
      </c>
      <c r="E502" s="50" t="s">
        <v>1197</v>
      </c>
      <c r="F502" s="45" t="s">
        <v>69</v>
      </c>
      <c r="G502" s="54">
        <v>200</v>
      </c>
      <c r="H502" s="50" t="s">
        <v>1198</v>
      </c>
      <c r="I502" s="69"/>
      <c r="EP502" s="111"/>
    </row>
    <row r="503" spans="1:146" s="110" customFormat="1" ht="47.25" x14ac:dyDescent="0.25">
      <c r="A503" s="45">
        <v>15</v>
      </c>
      <c r="B503" s="45" t="s">
        <v>39</v>
      </c>
      <c r="C503" s="45">
        <v>4</v>
      </c>
      <c r="D503" s="50" t="s">
        <v>1</v>
      </c>
      <c r="E503" s="50" t="s">
        <v>1199</v>
      </c>
      <c r="F503" s="45" t="s">
        <v>81</v>
      </c>
      <c r="G503" s="54">
        <v>28</v>
      </c>
      <c r="H503" s="50" t="s">
        <v>1200</v>
      </c>
      <c r="I503" s="69"/>
      <c r="EP503" s="111"/>
    </row>
    <row r="504" spans="1:146" s="110" customFormat="1" ht="63" x14ac:dyDescent="0.25">
      <c r="A504" s="45">
        <v>15</v>
      </c>
      <c r="B504" s="45" t="s">
        <v>39</v>
      </c>
      <c r="C504" s="45">
        <v>4</v>
      </c>
      <c r="D504" s="50" t="s">
        <v>393</v>
      </c>
      <c r="E504" s="50" t="s">
        <v>465</v>
      </c>
      <c r="F504" s="45" t="s">
        <v>69</v>
      </c>
      <c r="G504" s="54">
        <v>11</v>
      </c>
      <c r="H504" s="50" t="s">
        <v>1201</v>
      </c>
      <c r="I504" s="69"/>
      <c r="EP504" s="111"/>
    </row>
    <row r="505" spans="1:146" s="110" customFormat="1" ht="31.5" x14ac:dyDescent="0.25">
      <c r="A505" s="45">
        <v>15</v>
      </c>
      <c r="B505" s="45" t="s">
        <v>39</v>
      </c>
      <c r="C505" s="45">
        <v>4</v>
      </c>
      <c r="D505" s="50" t="s">
        <v>1</v>
      </c>
      <c r="E505" s="50" t="s">
        <v>1202</v>
      </c>
      <c r="F505" s="45" t="s">
        <v>81</v>
      </c>
      <c r="G505" s="54">
        <v>14</v>
      </c>
      <c r="H505" s="50" t="s">
        <v>1203</v>
      </c>
      <c r="I505" s="69"/>
      <c r="EP505" s="111"/>
    </row>
    <row r="506" spans="1:146" s="110" customFormat="1" ht="47.25" x14ac:dyDescent="0.25">
      <c r="A506" s="45">
        <v>15</v>
      </c>
      <c r="B506" s="45" t="s">
        <v>39</v>
      </c>
      <c r="C506" s="45">
        <v>4</v>
      </c>
      <c r="D506" s="50" t="s">
        <v>1</v>
      </c>
      <c r="E506" s="50" t="s">
        <v>1204</v>
      </c>
      <c r="F506" s="45" t="s">
        <v>81</v>
      </c>
      <c r="G506" s="54">
        <v>70</v>
      </c>
      <c r="H506" s="50" t="s">
        <v>1205</v>
      </c>
      <c r="I506" s="69"/>
      <c r="EP506" s="111"/>
    </row>
    <row r="507" spans="1:146" s="110" customFormat="1" ht="47.25" x14ac:dyDescent="0.25">
      <c r="A507" s="45">
        <v>15</v>
      </c>
      <c r="B507" s="45" t="s">
        <v>39</v>
      </c>
      <c r="C507" s="45">
        <v>4</v>
      </c>
      <c r="D507" s="50" t="s">
        <v>142</v>
      </c>
      <c r="E507" s="50" t="s">
        <v>1206</v>
      </c>
      <c r="F507" s="45" t="s">
        <v>69</v>
      </c>
      <c r="G507" s="54">
        <v>30</v>
      </c>
      <c r="H507" s="50" t="s">
        <v>1207</v>
      </c>
      <c r="I507" s="69"/>
      <c r="EP507" s="111"/>
    </row>
    <row r="508" spans="1:146" s="110" customFormat="1" ht="31.5" x14ac:dyDescent="0.25">
      <c r="A508" s="45">
        <v>15</v>
      </c>
      <c r="B508" s="45" t="s">
        <v>39</v>
      </c>
      <c r="C508" s="45">
        <v>4</v>
      </c>
      <c r="D508" s="50" t="s">
        <v>1</v>
      </c>
      <c r="E508" s="50" t="s">
        <v>1208</v>
      </c>
      <c r="F508" s="45" t="s">
        <v>81</v>
      </c>
      <c r="G508" s="54">
        <v>85</v>
      </c>
      <c r="H508" s="50" t="s">
        <v>1209</v>
      </c>
      <c r="I508" s="69"/>
      <c r="EP508" s="111"/>
    </row>
    <row r="509" spans="1:146" s="110" customFormat="1" ht="47.25" x14ac:dyDescent="0.25">
      <c r="A509" s="45">
        <v>15</v>
      </c>
      <c r="B509" s="45" t="s">
        <v>39</v>
      </c>
      <c r="C509" s="45">
        <v>4</v>
      </c>
      <c r="D509" s="50" t="s">
        <v>393</v>
      </c>
      <c r="E509" s="50" t="s">
        <v>1210</v>
      </c>
      <c r="F509" s="45" t="s">
        <v>81</v>
      </c>
      <c r="G509" s="54">
        <v>93</v>
      </c>
      <c r="H509" s="50" t="s">
        <v>1514</v>
      </c>
      <c r="I509" s="69"/>
      <c r="EP509" s="111"/>
    </row>
    <row r="510" spans="1:146" s="110" customFormat="1" x14ac:dyDescent="0.25">
      <c r="A510" s="14">
        <v>16</v>
      </c>
      <c r="B510" s="14" t="s">
        <v>40</v>
      </c>
      <c r="C510" s="14">
        <v>1</v>
      </c>
      <c r="D510" s="19" t="s">
        <v>4</v>
      </c>
      <c r="E510" s="19" t="s">
        <v>249</v>
      </c>
      <c r="F510" s="14" t="s">
        <v>69</v>
      </c>
      <c r="G510" s="20">
        <v>3</v>
      </c>
      <c r="H510" s="19" t="s">
        <v>106</v>
      </c>
      <c r="I510" s="69"/>
      <c r="EP510" s="111"/>
    </row>
    <row r="511" spans="1:146" s="110" customFormat="1" ht="47.25" x14ac:dyDescent="0.25">
      <c r="A511" s="14">
        <v>16</v>
      </c>
      <c r="B511" s="14" t="s">
        <v>40</v>
      </c>
      <c r="C511" s="14">
        <v>1</v>
      </c>
      <c r="D511" s="19" t="s">
        <v>1</v>
      </c>
      <c r="E511" s="19" t="s">
        <v>241</v>
      </c>
      <c r="F511" s="14" t="s">
        <v>81</v>
      </c>
      <c r="G511" s="20">
        <v>19</v>
      </c>
      <c r="H511" s="19" t="s">
        <v>242</v>
      </c>
      <c r="I511" s="69"/>
      <c r="EP511" s="111"/>
    </row>
    <row r="512" spans="1:146" s="110" customFormat="1" ht="47.25" x14ac:dyDescent="0.25">
      <c r="A512" s="14">
        <v>16</v>
      </c>
      <c r="B512" s="14" t="s">
        <v>40</v>
      </c>
      <c r="C512" s="14">
        <v>1</v>
      </c>
      <c r="D512" s="19" t="s">
        <v>1</v>
      </c>
      <c r="E512" s="19" t="s">
        <v>243</v>
      </c>
      <c r="F512" s="14" t="s">
        <v>81</v>
      </c>
      <c r="G512" s="20">
        <v>29</v>
      </c>
      <c r="H512" s="19" t="s">
        <v>244</v>
      </c>
      <c r="I512" s="69"/>
      <c r="EP512" s="111"/>
    </row>
    <row r="513" spans="1:146" s="110" customFormat="1" ht="31.5" x14ac:dyDescent="0.25">
      <c r="A513" s="14">
        <v>16</v>
      </c>
      <c r="B513" s="14" t="s">
        <v>40</v>
      </c>
      <c r="C513" s="14">
        <v>1</v>
      </c>
      <c r="D513" s="19" t="s">
        <v>83</v>
      </c>
      <c r="E513" s="19" t="s">
        <v>245</v>
      </c>
      <c r="F513" s="14" t="s">
        <v>69</v>
      </c>
      <c r="G513" s="20">
        <v>28</v>
      </c>
      <c r="H513" s="19" t="s">
        <v>246</v>
      </c>
      <c r="I513" s="69"/>
      <c r="EP513" s="111"/>
    </row>
    <row r="514" spans="1:146" s="110" customFormat="1" x14ac:dyDescent="0.25">
      <c r="A514" s="14">
        <v>16</v>
      </c>
      <c r="B514" s="14" t="s">
        <v>40</v>
      </c>
      <c r="C514" s="14">
        <v>1</v>
      </c>
      <c r="D514" s="19" t="s">
        <v>83</v>
      </c>
      <c r="E514" s="19" t="s">
        <v>247</v>
      </c>
      <c r="F514" s="14" t="s">
        <v>248</v>
      </c>
      <c r="G514" s="20">
        <v>16</v>
      </c>
      <c r="H514" s="19" t="s">
        <v>106</v>
      </c>
      <c r="I514" s="69"/>
      <c r="EP514" s="111"/>
    </row>
    <row r="515" spans="1:146" s="110" customFormat="1" x14ac:dyDescent="0.25">
      <c r="A515" s="32">
        <v>16</v>
      </c>
      <c r="B515" s="32" t="s">
        <v>40</v>
      </c>
      <c r="C515" s="32">
        <v>2</v>
      </c>
      <c r="D515" s="38" t="s">
        <v>0</v>
      </c>
      <c r="E515" s="38" t="s">
        <v>468</v>
      </c>
      <c r="F515" s="32" t="s">
        <v>81</v>
      </c>
      <c r="G515" s="42">
        <v>1</v>
      </c>
      <c r="H515" s="38" t="s">
        <v>469</v>
      </c>
      <c r="I515" s="69"/>
      <c r="EP515" s="111"/>
    </row>
    <row r="516" spans="1:146" s="110" customFormat="1" ht="31.5" x14ac:dyDescent="0.25">
      <c r="A516" s="32">
        <v>16</v>
      </c>
      <c r="B516" s="32" t="s">
        <v>40</v>
      </c>
      <c r="C516" s="32">
        <v>2</v>
      </c>
      <c r="D516" s="38" t="s">
        <v>142</v>
      </c>
      <c r="E516" s="38" t="s">
        <v>693</v>
      </c>
      <c r="F516" s="32" t="s">
        <v>81</v>
      </c>
      <c r="G516" s="42">
        <v>29</v>
      </c>
      <c r="H516" s="38" t="s">
        <v>471</v>
      </c>
      <c r="I516" s="69"/>
      <c r="EP516" s="111"/>
    </row>
    <row r="517" spans="1:146" s="110" customFormat="1" x14ac:dyDescent="0.25">
      <c r="A517" s="32">
        <v>16</v>
      </c>
      <c r="B517" s="32" t="s">
        <v>40</v>
      </c>
      <c r="C517" s="32">
        <v>2</v>
      </c>
      <c r="D517" s="38" t="s">
        <v>1</v>
      </c>
      <c r="E517" s="38" t="s">
        <v>661</v>
      </c>
      <c r="F517" s="32" t="s">
        <v>81</v>
      </c>
      <c r="G517" s="42">
        <v>14</v>
      </c>
      <c r="H517" s="38" t="s">
        <v>467</v>
      </c>
      <c r="I517" s="69"/>
      <c r="EP517" s="111"/>
    </row>
    <row r="518" spans="1:146" s="110" customFormat="1" x14ac:dyDescent="0.25">
      <c r="A518" s="32">
        <v>16</v>
      </c>
      <c r="B518" s="32" t="s">
        <v>40</v>
      </c>
      <c r="C518" s="32">
        <v>2</v>
      </c>
      <c r="D518" s="38" t="s">
        <v>1</v>
      </c>
      <c r="E518" s="38" t="s">
        <v>472</v>
      </c>
      <c r="F518" s="32" t="s">
        <v>81</v>
      </c>
      <c r="G518" s="42">
        <v>1</v>
      </c>
      <c r="H518" s="38" t="s">
        <v>473</v>
      </c>
      <c r="I518" s="69"/>
      <c r="EP518" s="111"/>
    </row>
    <row r="519" spans="1:146" s="110" customFormat="1" x14ac:dyDescent="0.25">
      <c r="A519" s="32">
        <v>16</v>
      </c>
      <c r="B519" s="32" t="s">
        <v>40</v>
      </c>
      <c r="C519" s="32">
        <v>2</v>
      </c>
      <c r="D519" s="38" t="s">
        <v>1</v>
      </c>
      <c r="E519" s="38" t="s">
        <v>474</v>
      </c>
      <c r="F519" s="32" t="s">
        <v>81</v>
      </c>
      <c r="G519" s="42">
        <v>1</v>
      </c>
      <c r="H519" s="38" t="s">
        <v>475</v>
      </c>
      <c r="I519" s="69"/>
      <c r="EP519" s="111"/>
    </row>
    <row r="520" spans="1:146" s="110" customFormat="1" ht="31.5" x14ac:dyDescent="0.25">
      <c r="A520" s="32">
        <v>16</v>
      </c>
      <c r="B520" s="32" t="s">
        <v>40</v>
      </c>
      <c r="C520" s="32">
        <v>2</v>
      </c>
      <c r="D520" s="38" t="s">
        <v>393</v>
      </c>
      <c r="E520" s="38" t="s">
        <v>662</v>
      </c>
      <c r="F520" s="32" t="s">
        <v>69</v>
      </c>
      <c r="G520" s="42">
        <v>13</v>
      </c>
      <c r="H520" s="38" t="s">
        <v>470</v>
      </c>
      <c r="I520" s="69"/>
      <c r="EP520" s="111"/>
    </row>
    <row r="521" spans="1:146" s="110" customFormat="1" x14ac:dyDescent="0.25">
      <c r="A521" s="63">
        <v>16</v>
      </c>
      <c r="B521" s="63" t="s">
        <v>40</v>
      </c>
      <c r="C521" s="63">
        <v>3</v>
      </c>
      <c r="D521" s="64" t="s">
        <v>137</v>
      </c>
      <c r="E521" s="64" t="s">
        <v>1017</v>
      </c>
      <c r="F521" s="63" t="s">
        <v>81</v>
      </c>
      <c r="G521" s="65">
        <v>5</v>
      </c>
      <c r="H521" s="64" t="s">
        <v>808</v>
      </c>
      <c r="I521" s="69"/>
      <c r="EP521" s="111"/>
    </row>
    <row r="522" spans="1:146" s="110" customFormat="1" ht="31.5" x14ac:dyDescent="0.25">
      <c r="A522" s="63">
        <v>16</v>
      </c>
      <c r="B522" s="63" t="s">
        <v>40</v>
      </c>
      <c r="C522" s="63">
        <v>3</v>
      </c>
      <c r="D522" s="64" t="s">
        <v>137</v>
      </c>
      <c r="E522" s="64" t="s">
        <v>1018</v>
      </c>
      <c r="F522" s="63" t="s">
        <v>81</v>
      </c>
      <c r="G522" s="65">
        <v>5</v>
      </c>
      <c r="H522" s="64" t="s">
        <v>811</v>
      </c>
      <c r="I522" s="56"/>
      <c r="EP522" s="111"/>
    </row>
    <row r="523" spans="1:146" s="110" customFormat="1" ht="31.5" x14ac:dyDescent="0.25">
      <c r="A523" s="63">
        <v>16</v>
      </c>
      <c r="B523" s="63" t="s">
        <v>40</v>
      </c>
      <c r="C523" s="63">
        <v>3</v>
      </c>
      <c r="D523" s="64" t="s">
        <v>0</v>
      </c>
      <c r="E523" s="64" t="s">
        <v>1019</v>
      </c>
      <c r="F523" s="63" t="s">
        <v>81</v>
      </c>
      <c r="G523" s="65">
        <v>5</v>
      </c>
      <c r="H523" s="64" t="s">
        <v>802</v>
      </c>
      <c r="I523" s="69"/>
      <c r="EP523" s="111"/>
    </row>
    <row r="524" spans="1:146" s="110" customFormat="1" ht="31.5" x14ac:dyDescent="0.25">
      <c r="A524" s="63">
        <v>16</v>
      </c>
      <c r="B524" s="63" t="s">
        <v>40</v>
      </c>
      <c r="C524" s="63">
        <v>3</v>
      </c>
      <c r="D524" s="64" t="s">
        <v>1</v>
      </c>
      <c r="E524" s="64" t="s">
        <v>803</v>
      </c>
      <c r="F524" s="63" t="s">
        <v>81</v>
      </c>
      <c r="G524" s="65">
        <v>1</v>
      </c>
      <c r="H524" s="64" t="s">
        <v>804</v>
      </c>
      <c r="I524" s="69"/>
      <c r="EP524" s="111"/>
    </row>
    <row r="525" spans="1:146" s="110" customFormat="1" ht="31.5" x14ac:dyDescent="0.25">
      <c r="A525" s="63">
        <v>16</v>
      </c>
      <c r="B525" s="63" t="s">
        <v>40</v>
      </c>
      <c r="C525" s="63">
        <v>3</v>
      </c>
      <c r="D525" s="64" t="s">
        <v>1</v>
      </c>
      <c r="E525" s="64" t="s">
        <v>1020</v>
      </c>
      <c r="F525" s="63" t="s">
        <v>81</v>
      </c>
      <c r="G525" s="65">
        <v>75</v>
      </c>
      <c r="H525" s="64" t="s">
        <v>805</v>
      </c>
      <c r="I525" s="69"/>
      <c r="EP525" s="111"/>
    </row>
    <row r="526" spans="1:146" s="111" customFormat="1" ht="31.5" x14ac:dyDescent="0.25">
      <c r="A526" s="63">
        <v>16</v>
      </c>
      <c r="B526" s="63" t="s">
        <v>40</v>
      </c>
      <c r="C526" s="63">
        <v>3</v>
      </c>
      <c r="D526" s="64" t="s">
        <v>1</v>
      </c>
      <c r="E526" s="64" t="s">
        <v>1021</v>
      </c>
      <c r="F526" s="63" t="s">
        <v>81</v>
      </c>
      <c r="G526" s="65">
        <v>43</v>
      </c>
      <c r="H526" s="64" t="s">
        <v>806</v>
      </c>
      <c r="I526" s="69"/>
      <c r="J526" s="110"/>
      <c r="K526" s="110"/>
      <c r="L526" s="110"/>
      <c r="M526" s="110"/>
      <c r="N526" s="110"/>
      <c r="O526" s="110"/>
      <c r="P526" s="110"/>
      <c r="Q526" s="110"/>
      <c r="R526" s="110"/>
      <c r="S526" s="110"/>
      <c r="T526" s="110"/>
      <c r="U526" s="110"/>
      <c r="V526" s="110"/>
      <c r="W526" s="110"/>
      <c r="X526" s="110"/>
      <c r="Y526" s="110"/>
      <c r="Z526" s="110"/>
      <c r="AA526" s="110"/>
      <c r="AB526" s="110"/>
      <c r="AC526" s="110"/>
      <c r="AD526" s="110"/>
      <c r="AE526" s="110"/>
      <c r="AF526" s="110"/>
      <c r="AG526" s="110"/>
      <c r="AH526" s="110"/>
      <c r="AI526" s="110"/>
      <c r="AJ526" s="110"/>
      <c r="AK526" s="110"/>
      <c r="AL526" s="110"/>
      <c r="AM526" s="110"/>
      <c r="AN526" s="110"/>
      <c r="AO526" s="110"/>
      <c r="AP526" s="110"/>
      <c r="AQ526" s="110"/>
      <c r="AR526" s="110"/>
      <c r="AS526" s="110"/>
      <c r="AT526" s="110"/>
      <c r="AU526" s="110"/>
      <c r="AV526" s="110"/>
      <c r="AW526" s="110"/>
      <c r="AX526" s="110"/>
      <c r="AY526" s="110"/>
      <c r="AZ526" s="110"/>
      <c r="BA526" s="110"/>
      <c r="BB526" s="110"/>
      <c r="BC526" s="110"/>
      <c r="BD526" s="110"/>
      <c r="BE526" s="110"/>
      <c r="BF526" s="110"/>
      <c r="BG526" s="110"/>
      <c r="BH526" s="110"/>
      <c r="BI526" s="110"/>
      <c r="BJ526" s="110"/>
      <c r="BK526" s="110"/>
      <c r="BL526" s="110"/>
      <c r="BM526" s="110"/>
      <c r="BN526" s="110"/>
      <c r="BO526" s="110"/>
      <c r="BP526" s="110"/>
      <c r="BQ526" s="110"/>
      <c r="BR526" s="110"/>
      <c r="BS526" s="110"/>
      <c r="BT526" s="110"/>
      <c r="BU526" s="110"/>
      <c r="BV526" s="110"/>
      <c r="BW526" s="110"/>
      <c r="BX526" s="110"/>
      <c r="BY526" s="110"/>
      <c r="BZ526" s="110"/>
      <c r="CA526" s="110"/>
      <c r="CB526" s="110"/>
      <c r="CC526" s="110"/>
      <c r="CD526" s="110"/>
      <c r="CE526" s="110"/>
      <c r="CF526" s="110"/>
      <c r="CG526" s="110"/>
      <c r="CH526" s="110"/>
      <c r="CI526" s="110"/>
      <c r="CJ526" s="110"/>
      <c r="CK526" s="110"/>
      <c r="CL526" s="110"/>
      <c r="CM526" s="110"/>
      <c r="CN526" s="110"/>
      <c r="CO526" s="110"/>
      <c r="CP526" s="110"/>
      <c r="CQ526" s="110"/>
      <c r="CR526" s="110"/>
      <c r="CS526" s="110"/>
      <c r="CT526" s="110"/>
      <c r="CU526" s="110"/>
      <c r="CV526" s="110"/>
      <c r="CW526" s="110"/>
      <c r="CX526" s="110"/>
      <c r="CY526" s="110"/>
      <c r="CZ526" s="110"/>
      <c r="DA526" s="110"/>
      <c r="DB526" s="110"/>
      <c r="DC526" s="110"/>
      <c r="DD526" s="110"/>
      <c r="DE526" s="110"/>
      <c r="DF526" s="110"/>
      <c r="DG526" s="110"/>
      <c r="DH526" s="110"/>
      <c r="DI526" s="110"/>
      <c r="DJ526" s="110"/>
      <c r="DK526" s="110"/>
      <c r="DL526" s="110"/>
      <c r="DM526" s="110"/>
      <c r="DN526" s="110"/>
      <c r="DO526" s="110"/>
      <c r="DP526" s="110"/>
      <c r="DQ526" s="110"/>
      <c r="DR526" s="110"/>
      <c r="DS526" s="110"/>
      <c r="DT526" s="110"/>
      <c r="DU526" s="110"/>
      <c r="DV526" s="110"/>
      <c r="DW526" s="110"/>
      <c r="DX526" s="110"/>
      <c r="DY526" s="110"/>
      <c r="DZ526" s="110"/>
      <c r="EA526" s="110"/>
      <c r="EB526" s="110"/>
      <c r="EC526" s="110"/>
      <c r="ED526" s="110"/>
      <c r="EE526" s="110"/>
      <c r="EF526" s="110"/>
      <c r="EG526" s="110"/>
      <c r="EH526" s="110"/>
      <c r="EI526" s="110"/>
      <c r="EJ526" s="110"/>
      <c r="EK526" s="110"/>
      <c r="EL526" s="110"/>
      <c r="EM526" s="110"/>
      <c r="EN526" s="110"/>
      <c r="EO526" s="110"/>
    </row>
    <row r="527" spans="1:146" s="111" customFormat="1" ht="31.5" x14ac:dyDescent="0.25">
      <c r="A527" s="63">
        <v>16</v>
      </c>
      <c r="B527" s="63" t="s">
        <v>40</v>
      </c>
      <c r="C527" s="63">
        <v>3</v>
      </c>
      <c r="D527" s="64" t="s">
        <v>1</v>
      </c>
      <c r="E527" s="64" t="s">
        <v>1022</v>
      </c>
      <c r="F527" s="63" t="s">
        <v>81</v>
      </c>
      <c r="G527" s="65">
        <v>40</v>
      </c>
      <c r="H527" s="64" t="s">
        <v>807</v>
      </c>
      <c r="I527" s="69"/>
      <c r="J527" s="110"/>
      <c r="K527" s="110"/>
      <c r="L527" s="110"/>
      <c r="M527" s="110"/>
      <c r="N527" s="110"/>
      <c r="O527" s="110"/>
      <c r="P527" s="110"/>
      <c r="Q527" s="110"/>
      <c r="R527" s="110"/>
      <c r="S527" s="110"/>
      <c r="T527" s="110"/>
      <c r="U527" s="110"/>
      <c r="V527" s="110"/>
      <c r="W527" s="110"/>
      <c r="X527" s="110"/>
      <c r="Y527" s="110"/>
      <c r="Z527" s="110"/>
      <c r="AA527" s="110"/>
      <c r="AB527" s="110"/>
      <c r="AC527" s="110"/>
      <c r="AD527" s="110"/>
      <c r="AE527" s="110"/>
      <c r="AF527" s="110"/>
      <c r="AG527" s="110"/>
      <c r="AH527" s="110"/>
      <c r="AI527" s="110"/>
      <c r="AJ527" s="110"/>
      <c r="AK527" s="110"/>
      <c r="AL527" s="110"/>
      <c r="AM527" s="110"/>
      <c r="AN527" s="110"/>
      <c r="AO527" s="110"/>
      <c r="AP527" s="110"/>
      <c r="AQ527" s="110"/>
      <c r="AR527" s="110"/>
      <c r="AS527" s="110"/>
      <c r="AT527" s="110"/>
      <c r="AU527" s="110"/>
      <c r="AV527" s="110"/>
      <c r="AW527" s="110"/>
      <c r="AX527" s="110"/>
      <c r="AY527" s="110"/>
      <c r="AZ527" s="110"/>
      <c r="BA527" s="110"/>
      <c r="BB527" s="110"/>
      <c r="BC527" s="110"/>
      <c r="BD527" s="110"/>
      <c r="BE527" s="110"/>
      <c r="BF527" s="110"/>
      <c r="BG527" s="110"/>
      <c r="BH527" s="110"/>
      <c r="BI527" s="110"/>
      <c r="BJ527" s="110"/>
      <c r="BK527" s="110"/>
      <c r="BL527" s="110"/>
      <c r="BM527" s="110"/>
      <c r="BN527" s="110"/>
      <c r="BO527" s="110"/>
      <c r="BP527" s="110"/>
      <c r="BQ527" s="110"/>
      <c r="BR527" s="110"/>
      <c r="BS527" s="110"/>
      <c r="BT527" s="110"/>
      <c r="BU527" s="110"/>
      <c r="BV527" s="110"/>
      <c r="BW527" s="110"/>
      <c r="BX527" s="110"/>
      <c r="BY527" s="110"/>
      <c r="BZ527" s="110"/>
      <c r="CA527" s="110"/>
      <c r="CB527" s="110"/>
      <c r="CC527" s="110"/>
      <c r="CD527" s="110"/>
      <c r="CE527" s="110"/>
      <c r="CF527" s="110"/>
      <c r="CG527" s="110"/>
      <c r="CH527" s="110"/>
      <c r="CI527" s="110"/>
      <c r="CJ527" s="110"/>
      <c r="CK527" s="110"/>
      <c r="CL527" s="110"/>
      <c r="CM527" s="110"/>
      <c r="CN527" s="110"/>
      <c r="CO527" s="110"/>
      <c r="CP527" s="110"/>
      <c r="CQ527" s="110"/>
      <c r="CR527" s="110"/>
      <c r="CS527" s="110"/>
      <c r="CT527" s="110"/>
      <c r="CU527" s="110"/>
      <c r="CV527" s="110"/>
      <c r="CW527" s="110"/>
      <c r="CX527" s="110"/>
      <c r="CY527" s="110"/>
      <c r="CZ527" s="110"/>
      <c r="DA527" s="110"/>
      <c r="DB527" s="110"/>
      <c r="DC527" s="110"/>
      <c r="DD527" s="110"/>
      <c r="DE527" s="110"/>
      <c r="DF527" s="110"/>
      <c r="DG527" s="110"/>
      <c r="DH527" s="110"/>
      <c r="DI527" s="110"/>
      <c r="DJ527" s="110"/>
      <c r="DK527" s="110"/>
      <c r="DL527" s="110"/>
      <c r="DM527" s="110"/>
      <c r="DN527" s="110"/>
      <c r="DO527" s="110"/>
      <c r="DP527" s="110"/>
      <c r="DQ527" s="110"/>
      <c r="DR527" s="110"/>
      <c r="DS527" s="110"/>
      <c r="DT527" s="110"/>
      <c r="DU527" s="110"/>
      <c r="DV527" s="110"/>
      <c r="DW527" s="110"/>
      <c r="DX527" s="110"/>
      <c r="DY527" s="110"/>
      <c r="DZ527" s="110"/>
      <c r="EA527" s="110"/>
      <c r="EB527" s="110"/>
      <c r="EC527" s="110"/>
      <c r="ED527" s="110"/>
      <c r="EE527" s="110"/>
      <c r="EF527" s="110"/>
      <c r="EG527" s="110"/>
      <c r="EH527" s="110"/>
      <c r="EI527" s="110"/>
      <c r="EJ527" s="110"/>
      <c r="EK527" s="110"/>
      <c r="EL527" s="110"/>
      <c r="EM527" s="110"/>
      <c r="EN527" s="110"/>
      <c r="EO527" s="110"/>
    </row>
    <row r="528" spans="1:146" s="111" customFormat="1" ht="31.5" x14ac:dyDescent="0.25">
      <c r="A528" s="63">
        <v>16</v>
      </c>
      <c r="B528" s="63" t="s">
        <v>40</v>
      </c>
      <c r="C528" s="63">
        <v>3</v>
      </c>
      <c r="D528" s="64" t="s">
        <v>1</v>
      </c>
      <c r="E528" s="64" t="s">
        <v>1023</v>
      </c>
      <c r="F528" s="63" t="s">
        <v>69</v>
      </c>
      <c r="G528" s="65">
        <v>31</v>
      </c>
      <c r="H528" s="64" t="s">
        <v>809</v>
      </c>
      <c r="I528" s="69"/>
      <c r="J528" s="110"/>
      <c r="K528" s="110"/>
      <c r="L528" s="110"/>
      <c r="M528" s="110"/>
      <c r="N528" s="110"/>
      <c r="O528" s="110"/>
      <c r="P528" s="110"/>
      <c r="Q528" s="110"/>
      <c r="R528" s="110"/>
      <c r="S528" s="110"/>
      <c r="T528" s="110"/>
      <c r="U528" s="110"/>
      <c r="V528" s="110"/>
      <c r="W528" s="110"/>
      <c r="X528" s="110"/>
      <c r="Y528" s="110"/>
      <c r="Z528" s="110"/>
      <c r="AA528" s="110"/>
      <c r="AB528" s="110"/>
      <c r="AC528" s="110"/>
      <c r="AD528" s="110"/>
      <c r="AE528" s="110"/>
      <c r="AF528" s="110"/>
      <c r="AG528" s="110"/>
      <c r="AH528" s="110"/>
      <c r="AI528" s="110"/>
      <c r="AJ528" s="110"/>
      <c r="AK528" s="110"/>
      <c r="AL528" s="110"/>
      <c r="AM528" s="110"/>
      <c r="AN528" s="110"/>
      <c r="AO528" s="110"/>
      <c r="AP528" s="110"/>
      <c r="AQ528" s="110"/>
      <c r="AR528" s="110"/>
      <c r="AS528" s="110"/>
      <c r="AT528" s="110"/>
      <c r="AU528" s="110"/>
      <c r="AV528" s="110"/>
      <c r="AW528" s="110"/>
      <c r="AX528" s="110"/>
      <c r="AY528" s="110"/>
      <c r="AZ528" s="110"/>
      <c r="BA528" s="110"/>
      <c r="BB528" s="110"/>
      <c r="BC528" s="110"/>
      <c r="BD528" s="110"/>
      <c r="BE528" s="110"/>
      <c r="BF528" s="110"/>
      <c r="BG528" s="110"/>
      <c r="BH528" s="110"/>
      <c r="BI528" s="110"/>
      <c r="BJ528" s="110"/>
      <c r="BK528" s="110"/>
      <c r="BL528" s="110"/>
      <c r="BM528" s="110"/>
      <c r="BN528" s="110"/>
      <c r="BO528" s="110"/>
      <c r="BP528" s="110"/>
      <c r="BQ528" s="110"/>
      <c r="BR528" s="110"/>
      <c r="BS528" s="110"/>
      <c r="BT528" s="110"/>
      <c r="BU528" s="110"/>
      <c r="BV528" s="110"/>
      <c r="BW528" s="110"/>
      <c r="BX528" s="110"/>
      <c r="BY528" s="110"/>
      <c r="BZ528" s="110"/>
      <c r="CA528" s="110"/>
      <c r="CB528" s="110"/>
      <c r="CC528" s="110"/>
      <c r="CD528" s="110"/>
      <c r="CE528" s="110"/>
      <c r="CF528" s="110"/>
      <c r="CG528" s="110"/>
      <c r="CH528" s="110"/>
      <c r="CI528" s="110"/>
      <c r="CJ528" s="110"/>
      <c r="CK528" s="110"/>
      <c r="CL528" s="110"/>
      <c r="CM528" s="110"/>
      <c r="CN528" s="110"/>
      <c r="CO528" s="110"/>
      <c r="CP528" s="110"/>
      <c r="CQ528" s="110"/>
      <c r="CR528" s="110"/>
      <c r="CS528" s="110"/>
      <c r="CT528" s="110"/>
      <c r="CU528" s="110"/>
      <c r="CV528" s="110"/>
      <c r="CW528" s="110"/>
      <c r="CX528" s="110"/>
      <c r="CY528" s="110"/>
      <c r="CZ528" s="110"/>
      <c r="DA528" s="110"/>
      <c r="DB528" s="110"/>
      <c r="DC528" s="110"/>
      <c r="DD528" s="110"/>
      <c r="DE528" s="110"/>
      <c r="DF528" s="110"/>
      <c r="DG528" s="110"/>
      <c r="DH528" s="110"/>
      <c r="DI528" s="110"/>
      <c r="DJ528" s="110"/>
      <c r="DK528" s="110"/>
      <c r="DL528" s="110"/>
      <c r="DM528" s="110"/>
      <c r="DN528" s="110"/>
      <c r="DO528" s="110"/>
      <c r="DP528" s="110"/>
      <c r="DQ528" s="110"/>
      <c r="DR528" s="110"/>
      <c r="DS528" s="110"/>
      <c r="DT528" s="110"/>
      <c r="DU528" s="110"/>
      <c r="DV528" s="110"/>
      <c r="DW528" s="110"/>
      <c r="DX528" s="110"/>
      <c r="DY528" s="110"/>
      <c r="DZ528" s="110"/>
      <c r="EA528" s="110"/>
      <c r="EB528" s="110"/>
      <c r="EC528" s="110"/>
      <c r="ED528" s="110"/>
      <c r="EE528" s="110"/>
      <c r="EF528" s="110"/>
      <c r="EG528" s="110"/>
      <c r="EH528" s="110"/>
      <c r="EI528" s="110"/>
      <c r="EJ528" s="110"/>
      <c r="EK528" s="110"/>
      <c r="EL528" s="110"/>
      <c r="EM528" s="110"/>
      <c r="EN528" s="110"/>
      <c r="EO528" s="110"/>
    </row>
    <row r="529" spans="1:145" s="111" customFormat="1" x14ac:dyDescent="0.25">
      <c r="A529" s="63">
        <v>16</v>
      </c>
      <c r="B529" s="63" t="s">
        <v>40</v>
      </c>
      <c r="C529" s="63">
        <v>3</v>
      </c>
      <c r="D529" s="64" t="s">
        <v>393</v>
      </c>
      <c r="E529" s="64" t="s">
        <v>1024</v>
      </c>
      <c r="F529" s="63" t="s">
        <v>69</v>
      </c>
      <c r="G529" s="65">
        <v>1</v>
      </c>
      <c r="H529" s="64" t="s">
        <v>810</v>
      </c>
      <c r="I529" s="69"/>
      <c r="J529" s="110"/>
      <c r="K529" s="110"/>
      <c r="L529" s="110"/>
      <c r="M529" s="110"/>
      <c r="N529" s="110"/>
      <c r="O529" s="110"/>
      <c r="P529" s="110"/>
      <c r="Q529" s="110"/>
      <c r="R529" s="110"/>
      <c r="S529" s="110"/>
      <c r="T529" s="110"/>
      <c r="U529" s="110"/>
      <c r="V529" s="110"/>
      <c r="W529" s="110"/>
      <c r="X529" s="110"/>
      <c r="Y529" s="110"/>
      <c r="Z529" s="110"/>
      <c r="AA529" s="110"/>
      <c r="AB529" s="110"/>
      <c r="AC529" s="110"/>
      <c r="AD529" s="110"/>
      <c r="AE529" s="110"/>
      <c r="AF529" s="110"/>
      <c r="AG529" s="110"/>
      <c r="AH529" s="110"/>
      <c r="AI529" s="110"/>
      <c r="AJ529" s="110"/>
      <c r="AK529" s="110"/>
      <c r="AL529" s="110"/>
      <c r="AM529" s="110"/>
      <c r="AN529" s="110"/>
      <c r="AO529" s="110"/>
      <c r="AP529" s="110"/>
      <c r="AQ529" s="110"/>
      <c r="AR529" s="110"/>
      <c r="AS529" s="110"/>
      <c r="AT529" s="110"/>
      <c r="AU529" s="110"/>
      <c r="AV529" s="110"/>
      <c r="AW529" s="110"/>
      <c r="AX529" s="110"/>
      <c r="AY529" s="110"/>
      <c r="AZ529" s="110"/>
      <c r="BA529" s="110"/>
      <c r="BB529" s="110"/>
      <c r="BC529" s="110"/>
      <c r="BD529" s="110"/>
      <c r="BE529" s="110"/>
      <c r="BF529" s="110"/>
      <c r="BG529" s="110"/>
      <c r="BH529" s="110"/>
      <c r="BI529" s="110"/>
      <c r="BJ529" s="110"/>
      <c r="BK529" s="110"/>
      <c r="BL529" s="110"/>
      <c r="BM529" s="110"/>
      <c r="BN529" s="110"/>
      <c r="BO529" s="110"/>
      <c r="BP529" s="110"/>
      <c r="BQ529" s="110"/>
      <c r="BR529" s="110"/>
      <c r="BS529" s="110"/>
      <c r="BT529" s="110"/>
      <c r="BU529" s="110"/>
      <c r="BV529" s="110"/>
      <c r="BW529" s="110"/>
      <c r="BX529" s="110"/>
      <c r="BY529" s="110"/>
      <c r="BZ529" s="110"/>
      <c r="CA529" s="110"/>
      <c r="CB529" s="110"/>
      <c r="CC529" s="110"/>
      <c r="CD529" s="110"/>
      <c r="CE529" s="110"/>
      <c r="CF529" s="110"/>
      <c r="CG529" s="110"/>
      <c r="CH529" s="110"/>
      <c r="CI529" s="110"/>
      <c r="CJ529" s="110"/>
      <c r="CK529" s="110"/>
      <c r="CL529" s="110"/>
      <c r="CM529" s="110"/>
      <c r="CN529" s="110"/>
      <c r="CO529" s="110"/>
      <c r="CP529" s="110"/>
      <c r="CQ529" s="110"/>
      <c r="CR529" s="110"/>
      <c r="CS529" s="110"/>
      <c r="CT529" s="110"/>
      <c r="CU529" s="110"/>
      <c r="CV529" s="110"/>
      <c r="CW529" s="110"/>
      <c r="CX529" s="110"/>
      <c r="CY529" s="110"/>
      <c r="CZ529" s="110"/>
      <c r="DA529" s="110"/>
      <c r="DB529" s="110"/>
      <c r="DC529" s="110"/>
      <c r="DD529" s="110"/>
      <c r="DE529" s="110"/>
      <c r="DF529" s="110"/>
      <c r="DG529" s="110"/>
      <c r="DH529" s="110"/>
      <c r="DI529" s="110"/>
      <c r="DJ529" s="110"/>
      <c r="DK529" s="110"/>
      <c r="DL529" s="110"/>
      <c r="DM529" s="110"/>
      <c r="DN529" s="110"/>
      <c r="DO529" s="110"/>
      <c r="DP529" s="110"/>
      <c r="DQ529" s="110"/>
      <c r="DR529" s="110"/>
      <c r="DS529" s="110"/>
      <c r="DT529" s="110"/>
      <c r="DU529" s="110"/>
      <c r="DV529" s="110"/>
      <c r="DW529" s="110"/>
      <c r="DX529" s="110"/>
      <c r="DY529" s="110"/>
      <c r="DZ529" s="110"/>
      <c r="EA529" s="110"/>
      <c r="EB529" s="110"/>
      <c r="EC529" s="110"/>
      <c r="ED529" s="110"/>
      <c r="EE529" s="110"/>
      <c r="EF529" s="110"/>
      <c r="EG529" s="110"/>
      <c r="EH529" s="110"/>
      <c r="EI529" s="110"/>
      <c r="EJ529" s="110"/>
      <c r="EK529" s="110"/>
      <c r="EL529" s="110"/>
      <c r="EM529" s="110"/>
      <c r="EN529" s="110"/>
      <c r="EO529" s="110"/>
    </row>
    <row r="530" spans="1:145" s="111" customFormat="1" ht="31.5" x14ac:dyDescent="0.25">
      <c r="A530" s="45">
        <v>16</v>
      </c>
      <c r="B530" s="45" t="s">
        <v>40</v>
      </c>
      <c r="C530" s="45">
        <v>4</v>
      </c>
      <c r="D530" s="50" t="s">
        <v>1</v>
      </c>
      <c r="E530" s="50" t="s">
        <v>1211</v>
      </c>
      <c r="F530" s="45" t="s">
        <v>81</v>
      </c>
      <c r="G530" s="54" t="s">
        <v>1212</v>
      </c>
      <c r="H530" s="50" t="s">
        <v>809</v>
      </c>
      <c r="I530" s="69"/>
      <c r="J530" s="110"/>
      <c r="K530" s="110"/>
      <c r="L530" s="110"/>
      <c r="M530" s="110"/>
      <c r="N530" s="110"/>
      <c r="O530" s="110"/>
      <c r="P530" s="110"/>
      <c r="Q530" s="110"/>
      <c r="R530" s="110"/>
      <c r="S530" s="110"/>
      <c r="T530" s="110"/>
      <c r="U530" s="110"/>
      <c r="V530" s="110"/>
      <c r="W530" s="110"/>
      <c r="X530" s="110"/>
      <c r="Y530" s="110"/>
      <c r="Z530" s="110"/>
      <c r="AA530" s="110"/>
      <c r="AB530" s="110"/>
      <c r="AC530" s="110"/>
      <c r="AD530" s="110"/>
      <c r="AE530" s="110"/>
      <c r="AF530" s="110"/>
      <c r="AG530" s="110"/>
      <c r="AH530" s="110"/>
      <c r="AI530" s="110"/>
      <c r="AJ530" s="110"/>
      <c r="AK530" s="110"/>
      <c r="AL530" s="110"/>
      <c r="AM530" s="110"/>
      <c r="AN530" s="110"/>
      <c r="AO530" s="110"/>
      <c r="AP530" s="110"/>
      <c r="AQ530" s="110"/>
      <c r="AR530" s="110"/>
      <c r="AS530" s="110"/>
      <c r="AT530" s="110"/>
      <c r="AU530" s="110"/>
      <c r="AV530" s="110"/>
      <c r="AW530" s="110"/>
      <c r="AX530" s="110"/>
      <c r="AY530" s="110"/>
      <c r="AZ530" s="110"/>
      <c r="BA530" s="110"/>
      <c r="BB530" s="110"/>
      <c r="BC530" s="110"/>
      <c r="BD530" s="110"/>
      <c r="BE530" s="110"/>
      <c r="BF530" s="110"/>
      <c r="BG530" s="110"/>
      <c r="BH530" s="110"/>
      <c r="BI530" s="110"/>
      <c r="BJ530" s="110"/>
      <c r="BK530" s="110"/>
      <c r="BL530" s="110"/>
      <c r="BM530" s="110"/>
      <c r="BN530" s="110"/>
      <c r="BO530" s="110"/>
      <c r="BP530" s="110"/>
      <c r="BQ530" s="110"/>
      <c r="BR530" s="110"/>
      <c r="BS530" s="110"/>
      <c r="BT530" s="110"/>
      <c r="BU530" s="110"/>
      <c r="BV530" s="110"/>
      <c r="BW530" s="110"/>
      <c r="BX530" s="110"/>
      <c r="BY530" s="110"/>
      <c r="BZ530" s="110"/>
      <c r="CA530" s="110"/>
      <c r="CB530" s="110"/>
      <c r="CC530" s="110"/>
      <c r="CD530" s="110"/>
      <c r="CE530" s="110"/>
      <c r="CF530" s="110"/>
      <c r="CG530" s="110"/>
      <c r="CH530" s="110"/>
      <c r="CI530" s="110"/>
      <c r="CJ530" s="110"/>
      <c r="CK530" s="110"/>
      <c r="CL530" s="110"/>
      <c r="CM530" s="110"/>
      <c r="CN530" s="110"/>
      <c r="CO530" s="110"/>
      <c r="CP530" s="110"/>
      <c r="CQ530" s="110"/>
      <c r="CR530" s="110"/>
      <c r="CS530" s="110"/>
      <c r="CT530" s="110"/>
      <c r="CU530" s="110"/>
      <c r="CV530" s="110"/>
      <c r="CW530" s="110"/>
      <c r="CX530" s="110"/>
      <c r="CY530" s="110"/>
      <c r="CZ530" s="110"/>
      <c r="DA530" s="110"/>
      <c r="DB530" s="110"/>
      <c r="DC530" s="110"/>
      <c r="DD530" s="110"/>
      <c r="DE530" s="110"/>
      <c r="DF530" s="110"/>
      <c r="DG530" s="110"/>
      <c r="DH530" s="110"/>
      <c r="DI530" s="110"/>
      <c r="DJ530" s="110"/>
      <c r="DK530" s="110"/>
      <c r="DL530" s="110"/>
      <c r="DM530" s="110"/>
      <c r="DN530" s="110"/>
      <c r="DO530" s="110"/>
      <c r="DP530" s="110"/>
      <c r="DQ530" s="110"/>
      <c r="DR530" s="110"/>
      <c r="DS530" s="110"/>
      <c r="DT530" s="110"/>
      <c r="DU530" s="110"/>
      <c r="DV530" s="110"/>
      <c r="DW530" s="110"/>
      <c r="DX530" s="110"/>
      <c r="DY530" s="110"/>
      <c r="DZ530" s="110"/>
      <c r="EA530" s="110"/>
      <c r="EB530" s="110"/>
      <c r="EC530" s="110"/>
      <c r="ED530" s="110"/>
      <c r="EE530" s="110"/>
      <c r="EF530" s="110"/>
      <c r="EG530" s="110"/>
      <c r="EH530" s="110"/>
      <c r="EI530" s="110"/>
      <c r="EJ530" s="110"/>
      <c r="EK530" s="110"/>
      <c r="EL530" s="110"/>
      <c r="EM530" s="110"/>
      <c r="EN530" s="110"/>
      <c r="EO530" s="110"/>
    </row>
    <row r="531" spans="1:145" s="111" customFormat="1" ht="31.5" x14ac:dyDescent="0.25">
      <c r="A531" s="45">
        <v>16</v>
      </c>
      <c r="B531" s="45" t="s">
        <v>40</v>
      </c>
      <c r="C531" s="45">
        <v>4</v>
      </c>
      <c r="D531" s="50" t="s">
        <v>393</v>
      </c>
      <c r="E531" s="50" t="s">
        <v>1213</v>
      </c>
      <c r="F531" s="45" t="s">
        <v>81</v>
      </c>
      <c r="G531" s="54" t="s">
        <v>1214</v>
      </c>
      <c r="H531" s="50"/>
      <c r="I531" s="69"/>
      <c r="J531" s="110"/>
      <c r="K531" s="110"/>
      <c r="L531" s="110"/>
      <c r="M531" s="110"/>
      <c r="N531" s="110"/>
      <c r="O531" s="110"/>
      <c r="P531" s="110"/>
      <c r="Q531" s="110"/>
      <c r="R531" s="110"/>
      <c r="S531" s="110"/>
      <c r="T531" s="110"/>
      <c r="U531" s="110"/>
      <c r="V531" s="110"/>
      <c r="W531" s="110"/>
      <c r="X531" s="110"/>
      <c r="Y531" s="110"/>
      <c r="Z531" s="110"/>
      <c r="AA531" s="110"/>
      <c r="AB531" s="110"/>
      <c r="AC531" s="110"/>
      <c r="AD531" s="110"/>
      <c r="AE531" s="110"/>
      <c r="AF531" s="110"/>
      <c r="AG531" s="110"/>
      <c r="AH531" s="110"/>
      <c r="AI531" s="110"/>
      <c r="AJ531" s="110"/>
      <c r="AK531" s="110"/>
      <c r="AL531" s="110"/>
      <c r="AM531" s="110"/>
      <c r="AN531" s="110"/>
      <c r="AO531" s="110"/>
      <c r="AP531" s="110"/>
      <c r="AQ531" s="110"/>
      <c r="AR531" s="110"/>
      <c r="AS531" s="110"/>
      <c r="AT531" s="110"/>
      <c r="AU531" s="110"/>
      <c r="AV531" s="110"/>
      <c r="AW531" s="110"/>
      <c r="AX531" s="110"/>
      <c r="AY531" s="110"/>
      <c r="AZ531" s="110"/>
      <c r="BA531" s="110"/>
      <c r="BB531" s="110"/>
      <c r="BC531" s="110"/>
      <c r="BD531" s="110"/>
      <c r="BE531" s="110"/>
      <c r="BF531" s="110"/>
      <c r="BG531" s="110"/>
      <c r="BH531" s="110"/>
      <c r="BI531" s="110"/>
      <c r="BJ531" s="110"/>
      <c r="BK531" s="110"/>
      <c r="BL531" s="110"/>
      <c r="BM531" s="110"/>
      <c r="BN531" s="110"/>
      <c r="BO531" s="110"/>
      <c r="BP531" s="110"/>
      <c r="BQ531" s="110"/>
      <c r="BR531" s="110"/>
      <c r="BS531" s="110"/>
      <c r="BT531" s="110"/>
      <c r="BU531" s="110"/>
      <c r="BV531" s="110"/>
      <c r="BW531" s="110"/>
      <c r="BX531" s="110"/>
      <c r="BY531" s="110"/>
      <c r="BZ531" s="110"/>
      <c r="CA531" s="110"/>
      <c r="CB531" s="110"/>
      <c r="CC531" s="110"/>
      <c r="CD531" s="110"/>
      <c r="CE531" s="110"/>
      <c r="CF531" s="110"/>
      <c r="CG531" s="110"/>
      <c r="CH531" s="110"/>
      <c r="CI531" s="110"/>
      <c r="CJ531" s="110"/>
      <c r="CK531" s="110"/>
      <c r="CL531" s="110"/>
      <c r="CM531" s="110"/>
      <c r="CN531" s="110"/>
      <c r="CO531" s="110"/>
      <c r="CP531" s="110"/>
      <c r="CQ531" s="110"/>
      <c r="CR531" s="110"/>
      <c r="CS531" s="110"/>
      <c r="CT531" s="110"/>
      <c r="CU531" s="110"/>
      <c r="CV531" s="110"/>
      <c r="CW531" s="110"/>
      <c r="CX531" s="110"/>
      <c r="CY531" s="110"/>
      <c r="CZ531" s="110"/>
      <c r="DA531" s="110"/>
      <c r="DB531" s="110"/>
      <c r="DC531" s="110"/>
      <c r="DD531" s="110"/>
      <c r="DE531" s="110"/>
      <c r="DF531" s="110"/>
      <c r="DG531" s="110"/>
      <c r="DH531" s="110"/>
      <c r="DI531" s="110"/>
      <c r="DJ531" s="110"/>
      <c r="DK531" s="110"/>
      <c r="DL531" s="110"/>
      <c r="DM531" s="110"/>
      <c r="DN531" s="110"/>
      <c r="DO531" s="110"/>
      <c r="DP531" s="110"/>
      <c r="DQ531" s="110"/>
      <c r="DR531" s="110"/>
      <c r="DS531" s="110"/>
      <c r="DT531" s="110"/>
      <c r="DU531" s="110"/>
      <c r="DV531" s="110"/>
      <c r="DW531" s="110"/>
      <c r="DX531" s="110"/>
      <c r="DY531" s="110"/>
      <c r="DZ531" s="110"/>
      <c r="EA531" s="110"/>
      <c r="EB531" s="110"/>
      <c r="EC531" s="110"/>
      <c r="ED531" s="110"/>
      <c r="EE531" s="110"/>
      <c r="EF531" s="110"/>
      <c r="EG531" s="110"/>
      <c r="EH531" s="110"/>
      <c r="EI531" s="110"/>
      <c r="EJ531" s="110"/>
      <c r="EK531" s="110"/>
      <c r="EL531" s="110"/>
      <c r="EM531" s="110"/>
      <c r="EN531" s="110"/>
      <c r="EO531" s="110"/>
    </row>
    <row r="532" spans="1:145" s="111" customFormat="1" ht="31.5" x14ac:dyDescent="0.25">
      <c r="A532" s="45">
        <v>16</v>
      </c>
      <c r="B532" s="45" t="s">
        <v>40</v>
      </c>
      <c r="C532" s="45">
        <v>4</v>
      </c>
      <c r="D532" s="50" t="s">
        <v>393</v>
      </c>
      <c r="E532" s="50" t="s">
        <v>1215</v>
      </c>
      <c r="F532" s="45" t="s">
        <v>81</v>
      </c>
      <c r="G532" s="54" t="s">
        <v>1216</v>
      </c>
      <c r="H532" s="50"/>
      <c r="I532" s="69"/>
      <c r="J532" s="110"/>
      <c r="K532" s="110"/>
      <c r="L532" s="110"/>
      <c r="M532" s="110"/>
      <c r="N532" s="110"/>
      <c r="O532" s="110"/>
      <c r="P532" s="110"/>
      <c r="Q532" s="110"/>
      <c r="R532" s="110"/>
      <c r="S532" s="110"/>
      <c r="T532" s="110"/>
      <c r="U532" s="110"/>
      <c r="V532" s="110"/>
      <c r="W532" s="110"/>
      <c r="X532" s="110"/>
      <c r="Y532" s="110"/>
      <c r="Z532" s="110"/>
      <c r="AA532" s="110"/>
      <c r="AB532" s="110"/>
      <c r="AC532" s="110"/>
      <c r="AD532" s="110"/>
      <c r="AE532" s="110"/>
      <c r="AF532" s="110"/>
      <c r="AG532" s="110"/>
      <c r="AH532" s="110"/>
      <c r="AI532" s="110"/>
      <c r="AJ532" s="110"/>
      <c r="AK532" s="110"/>
      <c r="AL532" s="110"/>
      <c r="AM532" s="110"/>
      <c r="AN532" s="110"/>
      <c r="AO532" s="110"/>
      <c r="AP532" s="110"/>
      <c r="AQ532" s="110"/>
      <c r="AR532" s="110"/>
      <c r="AS532" s="110"/>
      <c r="AT532" s="110"/>
      <c r="AU532" s="110"/>
      <c r="AV532" s="110"/>
      <c r="AW532" s="110"/>
      <c r="AX532" s="110"/>
      <c r="AY532" s="110"/>
      <c r="AZ532" s="110"/>
      <c r="BA532" s="110"/>
      <c r="BB532" s="110"/>
      <c r="BC532" s="110"/>
      <c r="BD532" s="110"/>
      <c r="BE532" s="110"/>
      <c r="BF532" s="110"/>
      <c r="BG532" s="110"/>
      <c r="BH532" s="110"/>
      <c r="BI532" s="110"/>
      <c r="BJ532" s="110"/>
      <c r="BK532" s="110"/>
      <c r="BL532" s="110"/>
      <c r="BM532" s="110"/>
      <c r="BN532" s="110"/>
      <c r="BO532" s="110"/>
      <c r="BP532" s="110"/>
      <c r="BQ532" s="110"/>
      <c r="BR532" s="110"/>
      <c r="BS532" s="110"/>
      <c r="BT532" s="110"/>
      <c r="BU532" s="110"/>
      <c r="BV532" s="110"/>
      <c r="BW532" s="110"/>
      <c r="BX532" s="110"/>
      <c r="BY532" s="110"/>
      <c r="BZ532" s="110"/>
      <c r="CA532" s="110"/>
      <c r="CB532" s="110"/>
      <c r="CC532" s="110"/>
      <c r="CD532" s="110"/>
      <c r="CE532" s="110"/>
      <c r="CF532" s="110"/>
      <c r="CG532" s="110"/>
      <c r="CH532" s="110"/>
      <c r="CI532" s="110"/>
      <c r="CJ532" s="110"/>
      <c r="CK532" s="110"/>
      <c r="CL532" s="110"/>
      <c r="CM532" s="110"/>
      <c r="CN532" s="110"/>
      <c r="CO532" s="110"/>
      <c r="CP532" s="110"/>
      <c r="CQ532" s="110"/>
      <c r="CR532" s="110"/>
      <c r="CS532" s="110"/>
      <c r="CT532" s="110"/>
      <c r="CU532" s="110"/>
      <c r="CV532" s="110"/>
      <c r="CW532" s="110"/>
      <c r="CX532" s="110"/>
      <c r="CY532" s="110"/>
      <c r="CZ532" s="110"/>
      <c r="DA532" s="110"/>
      <c r="DB532" s="110"/>
      <c r="DC532" s="110"/>
      <c r="DD532" s="110"/>
      <c r="DE532" s="110"/>
      <c r="DF532" s="110"/>
      <c r="DG532" s="110"/>
      <c r="DH532" s="110"/>
      <c r="DI532" s="110"/>
      <c r="DJ532" s="110"/>
      <c r="DK532" s="110"/>
      <c r="DL532" s="110"/>
      <c r="DM532" s="110"/>
      <c r="DN532" s="110"/>
      <c r="DO532" s="110"/>
      <c r="DP532" s="110"/>
      <c r="DQ532" s="110"/>
      <c r="DR532" s="110"/>
      <c r="DS532" s="110"/>
      <c r="DT532" s="110"/>
      <c r="DU532" s="110"/>
      <c r="DV532" s="110"/>
      <c r="DW532" s="110"/>
      <c r="DX532" s="110"/>
      <c r="DY532" s="110"/>
      <c r="DZ532" s="110"/>
      <c r="EA532" s="110"/>
      <c r="EB532" s="110"/>
      <c r="EC532" s="110"/>
      <c r="ED532" s="110"/>
      <c r="EE532" s="110"/>
      <c r="EF532" s="110"/>
      <c r="EG532" s="110"/>
      <c r="EH532" s="110"/>
      <c r="EI532" s="110"/>
      <c r="EJ532" s="110"/>
      <c r="EK532" s="110"/>
      <c r="EL532" s="110"/>
      <c r="EM532" s="110"/>
      <c r="EN532" s="110"/>
      <c r="EO532" s="110"/>
    </row>
    <row r="533" spans="1:145" s="111" customFormat="1" ht="47.25" x14ac:dyDescent="0.25">
      <c r="A533" s="45">
        <v>16</v>
      </c>
      <c r="B533" s="45" t="s">
        <v>40</v>
      </c>
      <c r="C533" s="45">
        <v>4</v>
      </c>
      <c r="D533" s="50" t="s">
        <v>1</v>
      </c>
      <c r="E533" s="50" t="s">
        <v>1217</v>
      </c>
      <c r="F533" s="45" t="s">
        <v>81</v>
      </c>
      <c r="G533" s="54" t="s">
        <v>1218</v>
      </c>
      <c r="H533" s="50" t="s">
        <v>1219</v>
      </c>
      <c r="I533" s="69"/>
      <c r="J533" s="110"/>
      <c r="K533" s="110"/>
      <c r="L533" s="110"/>
      <c r="M533" s="110"/>
      <c r="N533" s="110"/>
      <c r="O533" s="110"/>
      <c r="P533" s="110"/>
      <c r="Q533" s="110"/>
      <c r="R533" s="110"/>
      <c r="S533" s="110"/>
      <c r="T533" s="110"/>
      <c r="U533" s="110"/>
      <c r="V533" s="110"/>
      <c r="W533" s="110"/>
      <c r="X533" s="110"/>
      <c r="Y533" s="110"/>
      <c r="Z533" s="110"/>
      <c r="AA533" s="110"/>
      <c r="AB533" s="110"/>
      <c r="AC533" s="110"/>
      <c r="AD533" s="110"/>
      <c r="AE533" s="110"/>
      <c r="AF533" s="110"/>
      <c r="AG533" s="110"/>
      <c r="AH533" s="110"/>
      <c r="AI533" s="110"/>
      <c r="AJ533" s="110"/>
      <c r="AK533" s="110"/>
      <c r="AL533" s="110"/>
      <c r="AM533" s="110"/>
      <c r="AN533" s="110"/>
      <c r="AO533" s="110"/>
      <c r="AP533" s="110"/>
      <c r="AQ533" s="110"/>
      <c r="AR533" s="110"/>
      <c r="AS533" s="110"/>
      <c r="AT533" s="110"/>
      <c r="AU533" s="110"/>
      <c r="AV533" s="110"/>
      <c r="AW533" s="110"/>
      <c r="AX533" s="110"/>
      <c r="AY533" s="110"/>
      <c r="AZ533" s="110"/>
      <c r="BA533" s="110"/>
      <c r="BB533" s="110"/>
      <c r="BC533" s="110"/>
      <c r="BD533" s="110"/>
      <c r="BE533" s="110"/>
      <c r="BF533" s="110"/>
      <c r="BG533" s="110"/>
      <c r="BH533" s="110"/>
      <c r="BI533" s="110"/>
      <c r="BJ533" s="110"/>
      <c r="BK533" s="110"/>
      <c r="BL533" s="110"/>
      <c r="BM533" s="110"/>
      <c r="BN533" s="110"/>
      <c r="BO533" s="110"/>
      <c r="BP533" s="110"/>
      <c r="BQ533" s="110"/>
      <c r="BR533" s="110"/>
      <c r="BS533" s="110"/>
      <c r="BT533" s="110"/>
      <c r="BU533" s="110"/>
      <c r="BV533" s="110"/>
      <c r="BW533" s="110"/>
      <c r="BX533" s="110"/>
      <c r="BY533" s="110"/>
      <c r="BZ533" s="110"/>
      <c r="CA533" s="110"/>
      <c r="CB533" s="110"/>
      <c r="CC533" s="110"/>
      <c r="CD533" s="110"/>
      <c r="CE533" s="110"/>
      <c r="CF533" s="110"/>
      <c r="CG533" s="110"/>
      <c r="CH533" s="110"/>
      <c r="CI533" s="110"/>
      <c r="CJ533" s="110"/>
      <c r="CK533" s="110"/>
      <c r="CL533" s="110"/>
      <c r="CM533" s="110"/>
      <c r="CN533" s="110"/>
      <c r="CO533" s="110"/>
      <c r="CP533" s="110"/>
      <c r="CQ533" s="110"/>
      <c r="CR533" s="110"/>
      <c r="CS533" s="110"/>
      <c r="CT533" s="110"/>
      <c r="CU533" s="110"/>
      <c r="CV533" s="110"/>
      <c r="CW533" s="110"/>
      <c r="CX533" s="110"/>
      <c r="CY533" s="110"/>
      <c r="CZ533" s="110"/>
      <c r="DA533" s="110"/>
      <c r="DB533" s="110"/>
      <c r="DC533" s="110"/>
      <c r="DD533" s="110"/>
      <c r="DE533" s="110"/>
      <c r="DF533" s="110"/>
      <c r="DG533" s="110"/>
      <c r="DH533" s="110"/>
      <c r="DI533" s="110"/>
      <c r="DJ533" s="110"/>
      <c r="DK533" s="110"/>
      <c r="DL533" s="110"/>
      <c r="DM533" s="110"/>
      <c r="DN533" s="110"/>
      <c r="DO533" s="110"/>
      <c r="DP533" s="110"/>
      <c r="DQ533" s="110"/>
      <c r="DR533" s="110"/>
      <c r="DS533" s="110"/>
      <c r="DT533" s="110"/>
      <c r="DU533" s="110"/>
      <c r="DV533" s="110"/>
      <c r="DW533" s="110"/>
      <c r="DX533" s="110"/>
      <c r="DY533" s="110"/>
      <c r="DZ533" s="110"/>
      <c r="EA533" s="110"/>
      <c r="EB533" s="110"/>
      <c r="EC533" s="110"/>
      <c r="ED533" s="110"/>
      <c r="EE533" s="110"/>
      <c r="EF533" s="110"/>
      <c r="EG533" s="110"/>
      <c r="EH533" s="110"/>
      <c r="EI533" s="110"/>
      <c r="EJ533" s="110"/>
      <c r="EK533" s="110"/>
      <c r="EL533" s="110"/>
      <c r="EM533" s="110"/>
      <c r="EN533" s="110"/>
      <c r="EO533" s="110"/>
    </row>
    <row r="534" spans="1:145" s="111" customFormat="1" ht="31.5" x14ac:dyDescent="0.25">
      <c r="A534" s="45">
        <v>16</v>
      </c>
      <c r="B534" s="45" t="s">
        <v>40</v>
      </c>
      <c r="C534" s="45">
        <v>4</v>
      </c>
      <c r="D534" s="50" t="s">
        <v>1</v>
      </c>
      <c r="E534" s="50" t="s">
        <v>1220</v>
      </c>
      <c r="F534" s="45" t="s">
        <v>81</v>
      </c>
      <c r="G534" s="54" t="s">
        <v>1221</v>
      </c>
      <c r="H534" s="50" t="s">
        <v>1222</v>
      </c>
      <c r="I534" s="69"/>
      <c r="J534" s="110"/>
      <c r="K534" s="110"/>
      <c r="L534" s="110"/>
      <c r="M534" s="110"/>
      <c r="N534" s="110"/>
      <c r="O534" s="110"/>
      <c r="P534" s="110"/>
      <c r="Q534" s="110"/>
      <c r="R534" s="110"/>
      <c r="S534" s="110"/>
      <c r="T534" s="110"/>
      <c r="U534" s="110"/>
      <c r="V534" s="110"/>
      <c r="W534" s="110"/>
      <c r="X534" s="110"/>
      <c r="Y534" s="110"/>
      <c r="Z534" s="110"/>
      <c r="AA534" s="110"/>
      <c r="AB534" s="110"/>
      <c r="AC534" s="110"/>
      <c r="AD534" s="110"/>
      <c r="AE534" s="110"/>
      <c r="AF534" s="110"/>
      <c r="AG534" s="110"/>
      <c r="AH534" s="110"/>
      <c r="AI534" s="110"/>
      <c r="AJ534" s="110"/>
      <c r="AK534" s="110"/>
      <c r="AL534" s="110"/>
      <c r="AM534" s="110"/>
      <c r="AN534" s="110"/>
      <c r="AO534" s="110"/>
      <c r="AP534" s="110"/>
      <c r="AQ534" s="110"/>
      <c r="AR534" s="110"/>
      <c r="AS534" s="110"/>
      <c r="AT534" s="110"/>
      <c r="AU534" s="110"/>
      <c r="AV534" s="110"/>
      <c r="AW534" s="110"/>
      <c r="AX534" s="110"/>
      <c r="AY534" s="110"/>
      <c r="AZ534" s="110"/>
      <c r="BA534" s="110"/>
      <c r="BB534" s="110"/>
      <c r="BC534" s="110"/>
      <c r="BD534" s="110"/>
      <c r="BE534" s="110"/>
      <c r="BF534" s="110"/>
      <c r="BG534" s="110"/>
      <c r="BH534" s="110"/>
      <c r="BI534" s="110"/>
      <c r="BJ534" s="110"/>
      <c r="BK534" s="110"/>
      <c r="BL534" s="110"/>
      <c r="BM534" s="110"/>
      <c r="BN534" s="110"/>
      <c r="BO534" s="110"/>
      <c r="BP534" s="110"/>
      <c r="BQ534" s="110"/>
      <c r="BR534" s="110"/>
      <c r="BS534" s="110"/>
      <c r="BT534" s="110"/>
      <c r="BU534" s="110"/>
      <c r="BV534" s="110"/>
      <c r="BW534" s="110"/>
      <c r="BX534" s="110"/>
      <c r="BY534" s="110"/>
      <c r="BZ534" s="110"/>
      <c r="CA534" s="110"/>
      <c r="CB534" s="110"/>
      <c r="CC534" s="110"/>
      <c r="CD534" s="110"/>
      <c r="CE534" s="110"/>
      <c r="CF534" s="110"/>
      <c r="CG534" s="110"/>
      <c r="CH534" s="110"/>
      <c r="CI534" s="110"/>
      <c r="CJ534" s="110"/>
      <c r="CK534" s="110"/>
      <c r="CL534" s="110"/>
      <c r="CM534" s="110"/>
      <c r="CN534" s="110"/>
      <c r="CO534" s="110"/>
      <c r="CP534" s="110"/>
      <c r="CQ534" s="110"/>
      <c r="CR534" s="110"/>
      <c r="CS534" s="110"/>
      <c r="CT534" s="110"/>
      <c r="CU534" s="110"/>
      <c r="CV534" s="110"/>
      <c r="CW534" s="110"/>
      <c r="CX534" s="110"/>
      <c r="CY534" s="110"/>
      <c r="CZ534" s="110"/>
      <c r="DA534" s="110"/>
      <c r="DB534" s="110"/>
      <c r="DC534" s="110"/>
      <c r="DD534" s="110"/>
      <c r="DE534" s="110"/>
      <c r="DF534" s="110"/>
      <c r="DG534" s="110"/>
      <c r="DH534" s="110"/>
      <c r="DI534" s="110"/>
      <c r="DJ534" s="110"/>
      <c r="DK534" s="110"/>
      <c r="DL534" s="110"/>
      <c r="DM534" s="110"/>
      <c r="DN534" s="110"/>
      <c r="DO534" s="110"/>
      <c r="DP534" s="110"/>
      <c r="DQ534" s="110"/>
      <c r="DR534" s="110"/>
      <c r="DS534" s="110"/>
      <c r="DT534" s="110"/>
      <c r="DU534" s="110"/>
      <c r="DV534" s="110"/>
      <c r="DW534" s="110"/>
      <c r="DX534" s="110"/>
      <c r="DY534" s="110"/>
      <c r="DZ534" s="110"/>
      <c r="EA534" s="110"/>
      <c r="EB534" s="110"/>
      <c r="EC534" s="110"/>
      <c r="ED534" s="110"/>
      <c r="EE534" s="110"/>
      <c r="EF534" s="110"/>
      <c r="EG534" s="110"/>
      <c r="EH534" s="110"/>
      <c r="EI534" s="110"/>
      <c r="EJ534" s="110"/>
      <c r="EK534" s="110"/>
      <c r="EL534" s="110"/>
      <c r="EM534" s="110"/>
      <c r="EN534" s="110"/>
      <c r="EO534" s="110"/>
    </row>
    <row r="535" spans="1:145" s="111" customFormat="1" ht="31.5" x14ac:dyDescent="0.25">
      <c r="A535" s="45">
        <v>16</v>
      </c>
      <c r="B535" s="45" t="s">
        <v>40</v>
      </c>
      <c r="C535" s="45">
        <v>4</v>
      </c>
      <c r="D535" s="50" t="s">
        <v>1</v>
      </c>
      <c r="E535" s="50" t="s">
        <v>1223</v>
      </c>
      <c r="F535" s="45" t="s">
        <v>81</v>
      </c>
      <c r="G535" s="54" t="s">
        <v>1224</v>
      </c>
      <c r="H535" s="50" t="s">
        <v>1225</v>
      </c>
      <c r="I535" s="69"/>
      <c r="J535" s="110"/>
      <c r="K535" s="110"/>
      <c r="L535" s="110"/>
      <c r="M535" s="110"/>
      <c r="N535" s="110"/>
      <c r="O535" s="110"/>
      <c r="P535" s="110"/>
      <c r="Q535" s="110"/>
      <c r="R535" s="110"/>
      <c r="S535" s="110"/>
      <c r="T535" s="110"/>
      <c r="U535" s="110"/>
      <c r="V535" s="110"/>
      <c r="W535" s="110"/>
      <c r="X535" s="110"/>
      <c r="Y535" s="110"/>
      <c r="Z535" s="110"/>
      <c r="AA535" s="110"/>
      <c r="AB535" s="110"/>
      <c r="AC535" s="110"/>
      <c r="AD535" s="110"/>
      <c r="AE535" s="110"/>
      <c r="AF535" s="110"/>
      <c r="AG535" s="110"/>
      <c r="AH535" s="110"/>
      <c r="AI535" s="110"/>
      <c r="AJ535" s="110"/>
      <c r="AK535" s="110"/>
      <c r="AL535" s="110"/>
      <c r="AM535" s="110"/>
      <c r="AN535" s="110"/>
      <c r="AO535" s="110"/>
      <c r="AP535" s="110"/>
      <c r="AQ535" s="110"/>
      <c r="AR535" s="110"/>
      <c r="AS535" s="110"/>
      <c r="AT535" s="110"/>
      <c r="AU535" s="110"/>
      <c r="AV535" s="110"/>
      <c r="AW535" s="110"/>
      <c r="AX535" s="110"/>
      <c r="AY535" s="110"/>
      <c r="AZ535" s="110"/>
      <c r="BA535" s="110"/>
      <c r="BB535" s="110"/>
      <c r="BC535" s="110"/>
      <c r="BD535" s="110"/>
      <c r="BE535" s="110"/>
      <c r="BF535" s="110"/>
      <c r="BG535" s="110"/>
      <c r="BH535" s="110"/>
      <c r="BI535" s="110"/>
      <c r="BJ535" s="110"/>
      <c r="BK535" s="110"/>
      <c r="BL535" s="110"/>
      <c r="BM535" s="110"/>
      <c r="BN535" s="110"/>
      <c r="BO535" s="110"/>
      <c r="BP535" s="110"/>
      <c r="BQ535" s="110"/>
      <c r="BR535" s="110"/>
      <c r="BS535" s="110"/>
      <c r="BT535" s="110"/>
      <c r="BU535" s="110"/>
      <c r="BV535" s="110"/>
      <c r="BW535" s="110"/>
      <c r="BX535" s="110"/>
      <c r="BY535" s="110"/>
      <c r="BZ535" s="110"/>
      <c r="CA535" s="110"/>
      <c r="CB535" s="110"/>
      <c r="CC535" s="110"/>
      <c r="CD535" s="110"/>
      <c r="CE535" s="110"/>
      <c r="CF535" s="110"/>
      <c r="CG535" s="110"/>
      <c r="CH535" s="110"/>
      <c r="CI535" s="110"/>
      <c r="CJ535" s="110"/>
      <c r="CK535" s="110"/>
      <c r="CL535" s="110"/>
      <c r="CM535" s="110"/>
      <c r="CN535" s="110"/>
      <c r="CO535" s="110"/>
      <c r="CP535" s="110"/>
      <c r="CQ535" s="110"/>
      <c r="CR535" s="110"/>
      <c r="CS535" s="110"/>
      <c r="CT535" s="110"/>
      <c r="CU535" s="110"/>
      <c r="CV535" s="110"/>
      <c r="CW535" s="110"/>
      <c r="CX535" s="110"/>
      <c r="CY535" s="110"/>
      <c r="CZ535" s="110"/>
      <c r="DA535" s="110"/>
      <c r="DB535" s="110"/>
      <c r="DC535" s="110"/>
      <c r="DD535" s="110"/>
      <c r="DE535" s="110"/>
      <c r="DF535" s="110"/>
      <c r="DG535" s="110"/>
      <c r="DH535" s="110"/>
      <c r="DI535" s="110"/>
      <c r="DJ535" s="110"/>
      <c r="DK535" s="110"/>
      <c r="DL535" s="110"/>
      <c r="DM535" s="110"/>
      <c r="DN535" s="110"/>
      <c r="DO535" s="110"/>
      <c r="DP535" s="110"/>
      <c r="DQ535" s="110"/>
      <c r="DR535" s="110"/>
      <c r="DS535" s="110"/>
      <c r="DT535" s="110"/>
      <c r="DU535" s="110"/>
      <c r="DV535" s="110"/>
      <c r="DW535" s="110"/>
      <c r="DX535" s="110"/>
      <c r="DY535" s="110"/>
      <c r="DZ535" s="110"/>
      <c r="EA535" s="110"/>
      <c r="EB535" s="110"/>
      <c r="EC535" s="110"/>
      <c r="ED535" s="110"/>
      <c r="EE535" s="110"/>
      <c r="EF535" s="110"/>
      <c r="EG535" s="110"/>
      <c r="EH535" s="110"/>
      <c r="EI535" s="110"/>
      <c r="EJ535" s="110"/>
      <c r="EK535" s="110"/>
      <c r="EL535" s="110"/>
      <c r="EM535" s="110"/>
      <c r="EN535" s="110"/>
      <c r="EO535" s="110"/>
    </row>
    <row r="536" spans="1:145" s="111" customFormat="1" ht="31.5" x14ac:dyDescent="0.25">
      <c r="A536" s="45">
        <v>16</v>
      </c>
      <c r="B536" s="45" t="s">
        <v>40</v>
      </c>
      <c r="C536" s="45">
        <v>4</v>
      </c>
      <c r="D536" s="50" t="s">
        <v>1</v>
      </c>
      <c r="E536" s="50" t="s">
        <v>1226</v>
      </c>
      <c r="F536" s="45" t="s">
        <v>81</v>
      </c>
      <c r="G536" s="54" t="s">
        <v>1227</v>
      </c>
      <c r="H536" s="50" t="s">
        <v>1228</v>
      </c>
      <c r="I536" s="69"/>
      <c r="J536" s="110"/>
      <c r="K536" s="110"/>
      <c r="L536" s="110"/>
      <c r="M536" s="110"/>
      <c r="N536" s="110"/>
      <c r="O536" s="110"/>
      <c r="P536" s="110"/>
      <c r="Q536" s="110"/>
      <c r="R536" s="110"/>
      <c r="S536" s="110"/>
      <c r="T536" s="110"/>
      <c r="U536" s="110"/>
      <c r="V536" s="110"/>
      <c r="W536" s="110"/>
      <c r="X536" s="110"/>
      <c r="Y536" s="110"/>
      <c r="Z536" s="110"/>
      <c r="AA536" s="110"/>
      <c r="AB536" s="110"/>
      <c r="AC536" s="110"/>
      <c r="AD536" s="110"/>
      <c r="AE536" s="110"/>
      <c r="AF536" s="110"/>
      <c r="AG536" s="110"/>
      <c r="AH536" s="110"/>
      <c r="AI536" s="110"/>
      <c r="AJ536" s="110"/>
      <c r="AK536" s="110"/>
      <c r="AL536" s="110"/>
      <c r="AM536" s="110"/>
      <c r="AN536" s="110"/>
      <c r="AO536" s="110"/>
      <c r="AP536" s="110"/>
      <c r="AQ536" s="110"/>
      <c r="AR536" s="110"/>
      <c r="AS536" s="110"/>
      <c r="AT536" s="110"/>
      <c r="AU536" s="110"/>
      <c r="AV536" s="110"/>
      <c r="AW536" s="110"/>
      <c r="AX536" s="110"/>
      <c r="AY536" s="110"/>
      <c r="AZ536" s="110"/>
      <c r="BA536" s="110"/>
      <c r="BB536" s="110"/>
      <c r="BC536" s="110"/>
      <c r="BD536" s="110"/>
      <c r="BE536" s="110"/>
      <c r="BF536" s="110"/>
      <c r="BG536" s="110"/>
      <c r="BH536" s="110"/>
      <c r="BI536" s="110"/>
      <c r="BJ536" s="110"/>
      <c r="BK536" s="110"/>
      <c r="BL536" s="110"/>
      <c r="BM536" s="110"/>
      <c r="BN536" s="110"/>
      <c r="BO536" s="110"/>
      <c r="BP536" s="110"/>
      <c r="BQ536" s="110"/>
      <c r="BR536" s="110"/>
      <c r="BS536" s="110"/>
      <c r="BT536" s="110"/>
      <c r="BU536" s="110"/>
      <c r="BV536" s="110"/>
      <c r="BW536" s="110"/>
      <c r="BX536" s="110"/>
      <c r="BY536" s="110"/>
      <c r="BZ536" s="110"/>
      <c r="CA536" s="110"/>
      <c r="CB536" s="110"/>
      <c r="CC536" s="110"/>
      <c r="CD536" s="110"/>
      <c r="CE536" s="110"/>
      <c r="CF536" s="110"/>
      <c r="CG536" s="110"/>
      <c r="CH536" s="110"/>
      <c r="CI536" s="110"/>
      <c r="CJ536" s="110"/>
      <c r="CK536" s="110"/>
      <c r="CL536" s="110"/>
      <c r="CM536" s="110"/>
      <c r="CN536" s="110"/>
      <c r="CO536" s="110"/>
      <c r="CP536" s="110"/>
      <c r="CQ536" s="110"/>
      <c r="CR536" s="110"/>
      <c r="CS536" s="110"/>
      <c r="CT536" s="110"/>
      <c r="CU536" s="110"/>
      <c r="CV536" s="110"/>
      <c r="CW536" s="110"/>
      <c r="CX536" s="110"/>
      <c r="CY536" s="110"/>
      <c r="CZ536" s="110"/>
      <c r="DA536" s="110"/>
      <c r="DB536" s="110"/>
      <c r="DC536" s="110"/>
      <c r="DD536" s="110"/>
      <c r="DE536" s="110"/>
      <c r="DF536" s="110"/>
      <c r="DG536" s="110"/>
      <c r="DH536" s="110"/>
      <c r="DI536" s="110"/>
      <c r="DJ536" s="110"/>
      <c r="DK536" s="110"/>
      <c r="DL536" s="110"/>
      <c r="DM536" s="110"/>
      <c r="DN536" s="110"/>
      <c r="DO536" s="110"/>
      <c r="DP536" s="110"/>
      <c r="DQ536" s="110"/>
      <c r="DR536" s="110"/>
      <c r="DS536" s="110"/>
      <c r="DT536" s="110"/>
      <c r="DU536" s="110"/>
      <c r="DV536" s="110"/>
      <c r="DW536" s="110"/>
      <c r="DX536" s="110"/>
      <c r="DY536" s="110"/>
      <c r="DZ536" s="110"/>
      <c r="EA536" s="110"/>
      <c r="EB536" s="110"/>
      <c r="EC536" s="110"/>
      <c r="ED536" s="110"/>
      <c r="EE536" s="110"/>
      <c r="EF536" s="110"/>
      <c r="EG536" s="110"/>
      <c r="EH536" s="110"/>
      <c r="EI536" s="110"/>
      <c r="EJ536" s="110"/>
      <c r="EK536" s="110"/>
      <c r="EL536" s="110"/>
      <c r="EM536" s="110"/>
      <c r="EN536" s="110"/>
      <c r="EO536" s="110"/>
    </row>
    <row r="537" spans="1:145" s="111" customFormat="1" ht="31.5" x14ac:dyDescent="0.25">
      <c r="A537" s="45">
        <v>16</v>
      </c>
      <c r="B537" s="45" t="s">
        <v>40</v>
      </c>
      <c r="C537" s="45">
        <v>4</v>
      </c>
      <c r="D537" s="50" t="s">
        <v>1</v>
      </c>
      <c r="E537" s="50" t="s">
        <v>1229</v>
      </c>
      <c r="F537" s="45" t="s">
        <v>81</v>
      </c>
      <c r="G537" s="54" t="s">
        <v>1230</v>
      </c>
      <c r="H537" s="50" t="s">
        <v>804</v>
      </c>
      <c r="I537" s="69"/>
      <c r="J537" s="110"/>
      <c r="K537" s="110"/>
      <c r="L537" s="110"/>
      <c r="M537" s="110"/>
      <c r="N537" s="110"/>
      <c r="O537" s="110"/>
      <c r="P537" s="110"/>
      <c r="Q537" s="110"/>
      <c r="R537" s="110"/>
      <c r="S537" s="110"/>
      <c r="T537" s="110"/>
      <c r="U537" s="110"/>
      <c r="V537" s="110"/>
      <c r="W537" s="110"/>
      <c r="X537" s="110"/>
      <c r="Y537" s="110"/>
      <c r="Z537" s="110"/>
      <c r="AA537" s="110"/>
      <c r="AB537" s="110"/>
      <c r="AC537" s="110"/>
      <c r="AD537" s="110"/>
      <c r="AE537" s="110"/>
      <c r="AF537" s="110"/>
      <c r="AG537" s="110"/>
      <c r="AH537" s="110"/>
      <c r="AI537" s="110"/>
      <c r="AJ537" s="110"/>
      <c r="AK537" s="110"/>
      <c r="AL537" s="110"/>
      <c r="AM537" s="110"/>
      <c r="AN537" s="110"/>
      <c r="AO537" s="110"/>
      <c r="AP537" s="110"/>
      <c r="AQ537" s="110"/>
      <c r="AR537" s="110"/>
      <c r="AS537" s="110"/>
      <c r="AT537" s="110"/>
      <c r="AU537" s="110"/>
      <c r="AV537" s="110"/>
      <c r="AW537" s="110"/>
      <c r="AX537" s="110"/>
      <c r="AY537" s="110"/>
      <c r="AZ537" s="110"/>
      <c r="BA537" s="110"/>
      <c r="BB537" s="110"/>
      <c r="BC537" s="110"/>
      <c r="BD537" s="110"/>
      <c r="BE537" s="110"/>
      <c r="BF537" s="110"/>
      <c r="BG537" s="110"/>
      <c r="BH537" s="110"/>
      <c r="BI537" s="110"/>
      <c r="BJ537" s="110"/>
      <c r="BK537" s="110"/>
      <c r="BL537" s="110"/>
      <c r="BM537" s="110"/>
      <c r="BN537" s="110"/>
      <c r="BO537" s="110"/>
      <c r="BP537" s="110"/>
      <c r="BQ537" s="110"/>
      <c r="BR537" s="110"/>
      <c r="BS537" s="110"/>
      <c r="BT537" s="110"/>
      <c r="BU537" s="110"/>
      <c r="BV537" s="110"/>
      <c r="BW537" s="110"/>
      <c r="BX537" s="110"/>
      <c r="BY537" s="110"/>
      <c r="BZ537" s="110"/>
      <c r="CA537" s="110"/>
      <c r="CB537" s="110"/>
      <c r="CC537" s="110"/>
      <c r="CD537" s="110"/>
      <c r="CE537" s="110"/>
      <c r="CF537" s="110"/>
      <c r="CG537" s="110"/>
      <c r="CH537" s="110"/>
      <c r="CI537" s="110"/>
      <c r="CJ537" s="110"/>
      <c r="CK537" s="110"/>
      <c r="CL537" s="110"/>
      <c r="CM537" s="110"/>
      <c r="CN537" s="110"/>
      <c r="CO537" s="110"/>
      <c r="CP537" s="110"/>
      <c r="CQ537" s="110"/>
      <c r="CR537" s="110"/>
      <c r="CS537" s="110"/>
      <c r="CT537" s="110"/>
      <c r="CU537" s="110"/>
      <c r="CV537" s="110"/>
      <c r="CW537" s="110"/>
      <c r="CX537" s="110"/>
      <c r="CY537" s="110"/>
      <c r="CZ537" s="110"/>
      <c r="DA537" s="110"/>
      <c r="DB537" s="110"/>
      <c r="DC537" s="110"/>
      <c r="DD537" s="110"/>
      <c r="DE537" s="110"/>
      <c r="DF537" s="110"/>
      <c r="DG537" s="110"/>
      <c r="DH537" s="110"/>
      <c r="DI537" s="110"/>
      <c r="DJ537" s="110"/>
      <c r="DK537" s="110"/>
      <c r="DL537" s="110"/>
      <c r="DM537" s="110"/>
      <c r="DN537" s="110"/>
      <c r="DO537" s="110"/>
      <c r="DP537" s="110"/>
      <c r="DQ537" s="110"/>
      <c r="DR537" s="110"/>
      <c r="DS537" s="110"/>
      <c r="DT537" s="110"/>
      <c r="DU537" s="110"/>
      <c r="DV537" s="110"/>
      <c r="DW537" s="110"/>
      <c r="DX537" s="110"/>
      <c r="DY537" s="110"/>
      <c r="DZ537" s="110"/>
      <c r="EA537" s="110"/>
      <c r="EB537" s="110"/>
      <c r="EC537" s="110"/>
      <c r="ED537" s="110"/>
      <c r="EE537" s="110"/>
      <c r="EF537" s="110"/>
      <c r="EG537" s="110"/>
      <c r="EH537" s="110"/>
      <c r="EI537" s="110"/>
      <c r="EJ537" s="110"/>
      <c r="EK537" s="110"/>
      <c r="EL537" s="110"/>
      <c r="EM537" s="110"/>
      <c r="EN537" s="110"/>
      <c r="EO537" s="110"/>
    </row>
    <row r="538" spans="1:145" s="111" customFormat="1" ht="31.5" x14ac:dyDescent="0.25">
      <c r="A538" s="45">
        <v>16</v>
      </c>
      <c r="B538" s="45" t="s">
        <v>40</v>
      </c>
      <c r="C538" s="45">
        <v>4</v>
      </c>
      <c r="D538" s="50" t="s">
        <v>393</v>
      </c>
      <c r="E538" s="50" t="s">
        <v>1231</v>
      </c>
      <c r="F538" s="45" t="s">
        <v>69</v>
      </c>
      <c r="G538" s="54" t="s">
        <v>1232</v>
      </c>
      <c r="H538" s="50" t="s">
        <v>810</v>
      </c>
      <c r="I538" s="69"/>
      <c r="J538" s="110"/>
      <c r="K538" s="110"/>
      <c r="L538" s="110"/>
      <c r="M538" s="110"/>
      <c r="N538" s="110"/>
      <c r="O538" s="110"/>
      <c r="P538" s="110"/>
      <c r="Q538" s="110"/>
      <c r="R538" s="110"/>
      <c r="S538" s="110"/>
      <c r="T538" s="110"/>
      <c r="U538" s="110"/>
      <c r="V538" s="110"/>
      <c r="W538" s="110"/>
      <c r="X538" s="110"/>
      <c r="Y538" s="110"/>
      <c r="Z538" s="110"/>
      <c r="AA538" s="110"/>
      <c r="AB538" s="110"/>
      <c r="AC538" s="110"/>
      <c r="AD538" s="110"/>
      <c r="AE538" s="110"/>
      <c r="AF538" s="110"/>
      <c r="AG538" s="110"/>
      <c r="AH538" s="110"/>
      <c r="AI538" s="110"/>
      <c r="AJ538" s="110"/>
      <c r="AK538" s="110"/>
      <c r="AL538" s="110"/>
      <c r="AM538" s="110"/>
      <c r="AN538" s="110"/>
      <c r="AO538" s="110"/>
      <c r="AP538" s="110"/>
      <c r="AQ538" s="110"/>
      <c r="AR538" s="110"/>
      <c r="AS538" s="110"/>
      <c r="AT538" s="110"/>
      <c r="AU538" s="110"/>
      <c r="AV538" s="110"/>
      <c r="AW538" s="110"/>
      <c r="AX538" s="110"/>
      <c r="AY538" s="110"/>
      <c r="AZ538" s="110"/>
      <c r="BA538" s="110"/>
      <c r="BB538" s="110"/>
      <c r="BC538" s="110"/>
      <c r="BD538" s="110"/>
      <c r="BE538" s="110"/>
      <c r="BF538" s="110"/>
      <c r="BG538" s="110"/>
      <c r="BH538" s="110"/>
      <c r="BI538" s="110"/>
      <c r="BJ538" s="110"/>
      <c r="BK538" s="110"/>
      <c r="BL538" s="110"/>
      <c r="BM538" s="110"/>
      <c r="BN538" s="110"/>
      <c r="BO538" s="110"/>
      <c r="BP538" s="110"/>
      <c r="BQ538" s="110"/>
      <c r="BR538" s="110"/>
      <c r="BS538" s="110"/>
      <c r="BT538" s="110"/>
      <c r="BU538" s="110"/>
      <c r="BV538" s="110"/>
      <c r="BW538" s="110"/>
      <c r="BX538" s="110"/>
      <c r="BY538" s="110"/>
      <c r="BZ538" s="110"/>
      <c r="CA538" s="110"/>
      <c r="CB538" s="110"/>
      <c r="CC538" s="110"/>
      <c r="CD538" s="110"/>
      <c r="CE538" s="110"/>
      <c r="CF538" s="110"/>
      <c r="CG538" s="110"/>
      <c r="CH538" s="110"/>
      <c r="CI538" s="110"/>
      <c r="CJ538" s="110"/>
      <c r="CK538" s="110"/>
      <c r="CL538" s="110"/>
      <c r="CM538" s="110"/>
      <c r="CN538" s="110"/>
      <c r="CO538" s="110"/>
      <c r="CP538" s="110"/>
      <c r="CQ538" s="110"/>
      <c r="CR538" s="110"/>
      <c r="CS538" s="110"/>
      <c r="CT538" s="110"/>
      <c r="CU538" s="110"/>
      <c r="CV538" s="110"/>
      <c r="CW538" s="110"/>
      <c r="CX538" s="110"/>
      <c r="CY538" s="110"/>
      <c r="CZ538" s="110"/>
      <c r="DA538" s="110"/>
      <c r="DB538" s="110"/>
      <c r="DC538" s="110"/>
      <c r="DD538" s="110"/>
      <c r="DE538" s="110"/>
      <c r="DF538" s="110"/>
      <c r="DG538" s="110"/>
      <c r="DH538" s="110"/>
      <c r="DI538" s="110"/>
      <c r="DJ538" s="110"/>
      <c r="DK538" s="110"/>
      <c r="DL538" s="110"/>
      <c r="DM538" s="110"/>
      <c r="DN538" s="110"/>
      <c r="DO538" s="110"/>
      <c r="DP538" s="110"/>
      <c r="DQ538" s="110"/>
      <c r="DR538" s="110"/>
      <c r="DS538" s="110"/>
      <c r="DT538" s="110"/>
      <c r="DU538" s="110"/>
      <c r="DV538" s="110"/>
      <c r="DW538" s="110"/>
      <c r="DX538" s="110"/>
      <c r="DY538" s="110"/>
      <c r="DZ538" s="110"/>
      <c r="EA538" s="110"/>
      <c r="EB538" s="110"/>
      <c r="EC538" s="110"/>
      <c r="ED538" s="110"/>
      <c r="EE538" s="110"/>
      <c r="EF538" s="110"/>
      <c r="EG538" s="110"/>
      <c r="EH538" s="110"/>
      <c r="EI538" s="110"/>
      <c r="EJ538" s="110"/>
      <c r="EK538" s="110"/>
      <c r="EL538" s="110"/>
      <c r="EM538" s="110"/>
      <c r="EN538" s="110"/>
      <c r="EO538" s="110"/>
    </row>
    <row r="539" spans="1:145" s="111" customFormat="1" ht="31.5" x14ac:dyDescent="0.25">
      <c r="A539" s="45">
        <v>16</v>
      </c>
      <c r="B539" s="45" t="s">
        <v>40</v>
      </c>
      <c r="C539" s="45">
        <v>4</v>
      </c>
      <c r="D539" s="50" t="s">
        <v>0</v>
      </c>
      <c r="E539" s="50" t="s">
        <v>1233</v>
      </c>
      <c r="F539" s="45" t="s">
        <v>69</v>
      </c>
      <c r="G539" s="54" t="s">
        <v>1234</v>
      </c>
      <c r="H539" s="50" t="s">
        <v>1235</v>
      </c>
      <c r="I539" s="69"/>
      <c r="J539" s="110"/>
      <c r="K539" s="110"/>
      <c r="L539" s="110"/>
      <c r="M539" s="110"/>
      <c r="N539" s="110"/>
      <c r="O539" s="110"/>
      <c r="P539" s="110"/>
      <c r="Q539" s="110"/>
      <c r="R539" s="110"/>
      <c r="S539" s="110"/>
      <c r="T539" s="110"/>
      <c r="U539" s="110"/>
      <c r="V539" s="110"/>
      <c r="W539" s="110"/>
      <c r="X539" s="110"/>
      <c r="Y539" s="110"/>
      <c r="Z539" s="110"/>
      <c r="AA539" s="110"/>
      <c r="AB539" s="110"/>
      <c r="AC539" s="110"/>
      <c r="AD539" s="110"/>
      <c r="AE539" s="110"/>
      <c r="AF539" s="110"/>
      <c r="AG539" s="110"/>
      <c r="AH539" s="110"/>
      <c r="AI539" s="110"/>
      <c r="AJ539" s="110"/>
      <c r="AK539" s="110"/>
      <c r="AL539" s="110"/>
      <c r="AM539" s="110"/>
      <c r="AN539" s="110"/>
      <c r="AO539" s="110"/>
      <c r="AP539" s="110"/>
      <c r="AQ539" s="110"/>
      <c r="AR539" s="110"/>
      <c r="AS539" s="110"/>
      <c r="AT539" s="110"/>
      <c r="AU539" s="110"/>
      <c r="AV539" s="110"/>
      <c r="AW539" s="110"/>
      <c r="AX539" s="110"/>
      <c r="AY539" s="110"/>
      <c r="AZ539" s="110"/>
      <c r="BA539" s="110"/>
      <c r="BB539" s="110"/>
      <c r="BC539" s="110"/>
      <c r="BD539" s="110"/>
      <c r="BE539" s="110"/>
      <c r="BF539" s="110"/>
      <c r="BG539" s="110"/>
      <c r="BH539" s="110"/>
      <c r="BI539" s="110"/>
      <c r="BJ539" s="110"/>
      <c r="BK539" s="110"/>
      <c r="BL539" s="110"/>
      <c r="BM539" s="110"/>
      <c r="BN539" s="110"/>
      <c r="BO539" s="110"/>
      <c r="BP539" s="110"/>
      <c r="BQ539" s="110"/>
      <c r="BR539" s="110"/>
      <c r="BS539" s="110"/>
      <c r="BT539" s="110"/>
      <c r="BU539" s="110"/>
      <c r="BV539" s="110"/>
      <c r="BW539" s="110"/>
      <c r="BX539" s="110"/>
      <c r="BY539" s="110"/>
      <c r="BZ539" s="110"/>
      <c r="CA539" s="110"/>
      <c r="CB539" s="110"/>
      <c r="CC539" s="110"/>
      <c r="CD539" s="110"/>
      <c r="CE539" s="110"/>
      <c r="CF539" s="110"/>
      <c r="CG539" s="110"/>
      <c r="CH539" s="110"/>
      <c r="CI539" s="110"/>
      <c r="CJ539" s="110"/>
      <c r="CK539" s="110"/>
      <c r="CL539" s="110"/>
      <c r="CM539" s="110"/>
      <c r="CN539" s="110"/>
      <c r="CO539" s="110"/>
      <c r="CP539" s="110"/>
      <c r="CQ539" s="110"/>
      <c r="CR539" s="110"/>
      <c r="CS539" s="110"/>
      <c r="CT539" s="110"/>
      <c r="CU539" s="110"/>
      <c r="CV539" s="110"/>
      <c r="CW539" s="110"/>
      <c r="CX539" s="110"/>
      <c r="CY539" s="110"/>
      <c r="CZ539" s="110"/>
      <c r="DA539" s="110"/>
      <c r="DB539" s="110"/>
      <c r="DC539" s="110"/>
      <c r="DD539" s="110"/>
      <c r="DE539" s="110"/>
      <c r="DF539" s="110"/>
      <c r="DG539" s="110"/>
      <c r="DH539" s="110"/>
      <c r="DI539" s="110"/>
      <c r="DJ539" s="110"/>
      <c r="DK539" s="110"/>
      <c r="DL539" s="110"/>
      <c r="DM539" s="110"/>
      <c r="DN539" s="110"/>
      <c r="DO539" s="110"/>
      <c r="DP539" s="110"/>
      <c r="DQ539" s="110"/>
      <c r="DR539" s="110"/>
      <c r="DS539" s="110"/>
      <c r="DT539" s="110"/>
      <c r="DU539" s="110"/>
      <c r="DV539" s="110"/>
      <c r="DW539" s="110"/>
      <c r="DX539" s="110"/>
      <c r="DY539" s="110"/>
      <c r="DZ539" s="110"/>
      <c r="EA539" s="110"/>
      <c r="EB539" s="110"/>
      <c r="EC539" s="110"/>
      <c r="ED539" s="110"/>
      <c r="EE539" s="110"/>
      <c r="EF539" s="110"/>
      <c r="EG539" s="110"/>
      <c r="EH539" s="110"/>
      <c r="EI539" s="110"/>
      <c r="EJ539" s="110"/>
      <c r="EK539" s="110"/>
      <c r="EL539" s="110"/>
      <c r="EM539" s="110"/>
      <c r="EN539" s="110"/>
      <c r="EO539" s="110"/>
    </row>
    <row r="540" spans="1:145" s="111" customFormat="1" ht="31.5" x14ac:dyDescent="0.25">
      <c r="A540" s="45">
        <v>16</v>
      </c>
      <c r="B540" s="45" t="s">
        <v>40</v>
      </c>
      <c r="C540" s="45">
        <v>4</v>
      </c>
      <c r="D540" s="50" t="s">
        <v>137</v>
      </c>
      <c r="E540" s="50" t="s">
        <v>1236</v>
      </c>
      <c r="F540" s="45" t="s">
        <v>69</v>
      </c>
      <c r="G540" s="54" t="s">
        <v>1237</v>
      </c>
      <c r="H540" s="50" t="s">
        <v>1238</v>
      </c>
      <c r="I540" s="69"/>
      <c r="J540" s="110"/>
      <c r="K540" s="110"/>
      <c r="L540" s="110"/>
      <c r="M540" s="110"/>
      <c r="N540" s="110"/>
      <c r="O540" s="110"/>
      <c r="P540" s="110"/>
      <c r="Q540" s="110"/>
      <c r="R540" s="110"/>
      <c r="S540" s="110"/>
      <c r="T540" s="110"/>
      <c r="U540" s="110"/>
      <c r="V540" s="110"/>
      <c r="W540" s="110"/>
      <c r="X540" s="110"/>
      <c r="Y540" s="110"/>
      <c r="Z540" s="110"/>
      <c r="AA540" s="110"/>
      <c r="AB540" s="110"/>
      <c r="AC540" s="110"/>
      <c r="AD540" s="110"/>
      <c r="AE540" s="110"/>
      <c r="AF540" s="110"/>
      <c r="AG540" s="110"/>
      <c r="AH540" s="110"/>
      <c r="AI540" s="110"/>
      <c r="AJ540" s="110"/>
      <c r="AK540" s="110"/>
      <c r="AL540" s="110"/>
      <c r="AM540" s="110"/>
      <c r="AN540" s="110"/>
      <c r="AO540" s="110"/>
      <c r="AP540" s="110"/>
      <c r="AQ540" s="110"/>
      <c r="AR540" s="110"/>
      <c r="AS540" s="110"/>
      <c r="AT540" s="110"/>
      <c r="AU540" s="110"/>
      <c r="AV540" s="110"/>
      <c r="AW540" s="110"/>
      <c r="AX540" s="110"/>
      <c r="AY540" s="110"/>
      <c r="AZ540" s="110"/>
      <c r="BA540" s="110"/>
      <c r="BB540" s="110"/>
      <c r="BC540" s="110"/>
      <c r="BD540" s="110"/>
      <c r="BE540" s="110"/>
      <c r="BF540" s="110"/>
      <c r="BG540" s="110"/>
      <c r="BH540" s="110"/>
      <c r="BI540" s="110"/>
      <c r="BJ540" s="110"/>
      <c r="BK540" s="110"/>
      <c r="BL540" s="110"/>
      <c r="BM540" s="110"/>
      <c r="BN540" s="110"/>
      <c r="BO540" s="110"/>
      <c r="BP540" s="110"/>
      <c r="BQ540" s="110"/>
      <c r="BR540" s="110"/>
      <c r="BS540" s="110"/>
      <c r="BT540" s="110"/>
      <c r="BU540" s="110"/>
      <c r="BV540" s="110"/>
      <c r="BW540" s="110"/>
      <c r="BX540" s="110"/>
      <c r="BY540" s="110"/>
      <c r="BZ540" s="110"/>
      <c r="CA540" s="110"/>
      <c r="CB540" s="110"/>
      <c r="CC540" s="110"/>
      <c r="CD540" s="110"/>
      <c r="CE540" s="110"/>
      <c r="CF540" s="110"/>
      <c r="CG540" s="110"/>
      <c r="CH540" s="110"/>
      <c r="CI540" s="110"/>
      <c r="CJ540" s="110"/>
      <c r="CK540" s="110"/>
      <c r="CL540" s="110"/>
      <c r="CM540" s="110"/>
      <c r="CN540" s="110"/>
      <c r="CO540" s="110"/>
      <c r="CP540" s="110"/>
      <c r="CQ540" s="110"/>
      <c r="CR540" s="110"/>
      <c r="CS540" s="110"/>
      <c r="CT540" s="110"/>
      <c r="CU540" s="110"/>
      <c r="CV540" s="110"/>
      <c r="CW540" s="110"/>
      <c r="CX540" s="110"/>
      <c r="CY540" s="110"/>
      <c r="CZ540" s="110"/>
      <c r="DA540" s="110"/>
      <c r="DB540" s="110"/>
      <c r="DC540" s="110"/>
      <c r="DD540" s="110"/>
      <c r="DE540" s="110"/>
      <c r="DF540" s="110"/>
      <c r="DG540" s="110"/>
      <c r="DH540" s="110"/>
      <c r="DI540" s="110"/>
      <c r="DJ540" s="110"/>
      <c r="DK540" s="110"/>
      <c r="DL540" s="110"/>
      <c r="DM540" s="110"/>
      <c r="DN540" s="110"/>
      <c r="DO540" s="110"/>
      <c r="DP540" s="110"/>
      <c r="DQ540" s="110"/>
      <c r="DR540" s="110"/>
      <c r="DS540" s="110"/>
      <c r="DT540" s="110"/>
      <c r="DU540" s="110"/>
      <c r="DV540" s="110"/>
      <c r="DW540" s="110"/>
      <c r="DX540" s="110"/>
      <c r="DY540" s="110"/>
      <c r="DZ540" s="110"/>
      <c r="EA540" s="110"/>
      <c r="EB540" s="110"/>
      <c r="EC540" s="110"/>
      <c r="ED540" s="110"/>
      <c r="EE540" s="110"/>
      <c r="EF540" s="110"/>
      <c r="EG540" s="110"/>
      <c r="EH540" s="110"/>
      <c r="EI540" s="110"/>
      <c r="EJ540" s="110"/>
      <c r="EK540" s="110"/>
      <c r="EL540" s="110"/>
      <c r="EM540" s="110"/>
      <c r="EN540" s="110"/>
      <c r="EO540" s="110"/>
    </row>
    <row r="541" spans="1:145" s="111" customFormat="1" ht="47.25" x14ac:dyDescent="0.25">
      <c r="A541" s="45">
        <v>16</v>
      </c>
      <c r="B541" s="45" t="s">
        <v>40</v>
      </c>
      <c r="C541" s="45">
        <v>4</v>
      </c>
      <c r="D541" s="50" t="s">
        <v>137</v>
      </c>
      <c r="E541" s="50" t="s">
        <v>1239</v>
      </c>
      <c r="F541" s="45" t="s">
        <v>69</v>
      </c>
      <c r="G541" s="54" t="s">
        <v>1237</v>
      </c>
      <c r="H541" s="50" t="s">
        <v>1238</v>
      </c>
      <c r="I541" s="69"/>
      <c r="J541" s="110"/>
      <c r="K541" s="110"/>
      <c r="L541" s="110"/>
      <c r="M541" s="110"/>
      <c r="N541" s="110"/>
      <c r="O541" s="110"/>
      <c r="P541" s="110"/>
      <c r="Q541" s="110"/>
      <c r="R541" s="110"/>
      <c r="S541" s="110"/>
      <c r="T541" s="110"/>
      <c r="U541" s="110"/>
      <c r="V541" s="110"/>
      <c r="W541" s="110"/>
      <c r="X541" s="110"/>
      <c r="Y541" s="110"/>
      <c r="Z541" s="110"/>
      <c r="AA541" s="110"/>
      <c r="AB541" s="110"/>
      <c r="AC541" s="110"/>
      <c r="AD541" s="110"/>
      <c r="AE541" s="110"/>
      <c r="AF541" s="110"/>
      <c r="AG541" s="110"/>
      <c r="AH541" s="110"/>
      <c r="AI541" s="110"/>
      <c r="AJ541" s="110"/>
      <c r="AK541" s="110"/>
      <c r="AL541" s="110"/>
      <c r="AM541" s="110"/>
      <c r="AN541" s="110"/>
      <c r="AO541" s="110"/>
      <c r="AP541" s="110"/>
      <c r="AQ541" s="110"/>
      <c r="AR541" s="110"/>
      <c r="AS541" s="110"/>
      <c r="AT541" s="110"/>
      <c r="AU541" s="110"/>
      <c r="AV541" s="110"/>
      <c r="AW541" s="110"/>
      <c r="AX541" s="110"/>
      <c r="AY541" s="110"/>
      <c r="AZ541" s="110"/>
      <c r="BA541" s="110"/>
      <c r="BB541" s="110"/>
      <c r="BC541" s="110"/>
      <c r="BD541" s="110"/>
      <c r="BE541" s="110"/>
      <c r="BF541" s="110"/>
      <c r="BG541" s="110"/>
      <c r="BH541" s="110"/>
      <c r="BI541" s="110"/>
      <c r="BJ541" s="110"/>
      <c r="BK541" s="110"/>
      <c r="BL541" s="110"/>
      <c r="BM541" s="110"/>
      <c r="BN541" s="110"/>
      <c r="BO541" s="110"/>
      <c r="BP541" s="110"/>
      <c r="BQ541" s="110"/>
      <c r="BR541" s="110"/>
      <c r="BS541" s="110"/>
      <c r="BT541" s="110"/>
      <c r="BU541" s="110"/>
      <c r="BV541" s="110"/>
      <c r="BW541" s="110"/>
      <c r="BX541" s="110"/>
      <c r="BY541" s="110"/>
      <c r="BZ541" s="110"/>
      <c r="CA541" s="110"/>
      <c r="CB541" s="110"/>
      <c r="CC541" s="110"/>
      <c r="CD541" s="110"/>
      <c r="CE541" s="110"/>
      <c r="CF541" s="110"/>
      <c r="CG541" s="110"/>
      <c r="CH541" s="110"/>
      <c r="CI541" s="110"/>
      <c r="CJ541" s="110"/>
      <c r="CK541" s="110"/>
      <c r="CL541" s="110"/>
      <c r="CM541" s="110"/>
      <c r="CN541" s="110"/>
      <c r="CO541" s="110"/>
      <c r="CP541" s="110"/>
      <c r="CQ541" s="110"/>
      <c r="CR541" s="110"/>
      <c r="CS541" s="110"/>
      <c r="CT541" s="110"/>
      <c r="CU541" s="110"/>
      <c r="CV541" s="110"/>
      <c r="CW541" s="110"/>
      <c r="CX541" s="110"/>
      <c r="CY541" s="110"/>
      <c r="CZ541" s="110"/>
      <c r="DA541" s="110"/>
      <c r="DB541" s="110"/>
      <c r="DC541" s="110"/>
      <c r="DD541" s="110"/>
      <c r="DE541" s="110"/>
      <c r="DF541" s="110"/>
      <c r="DG541" s="110"/>
      <c r="DH541" s="110"/>
      <c r="DI541" s="110"/>
      <c r="DJ541" s="110"/>
      <c r="DK541" s="110"/>
      <c r="DL541" s="110"/>
      <c r="DM541" s="110"/>
      <c r="DN541" s="110"/>
      <c r="DO541" s="110"/>
      <c r="DP541" s="110"/>
      <c r="DQ541" s="110"/>
      <c r="DR541" s="110"/>
      <c r="DS541" s="110"/>
      <c r="DT541" s="110"/>
      <c r="DU541" s="110"/>
      <c r="DV541" s="110"/>
      <c r="DW541" s="110"/>
      <c r="DX541" s="110"/>
      <c r="DY541" s="110"/>
      <c r="DZ541" s="110"/>
      <c r="EA541" s="110"/>
      <c r="EB541" s="110"/>
      <c r="EC541" s="110"/>
      <c r="ED541" s="110"/>
      <c r="EE541" s="110"/>
      <c r="EF541" s="110"/>
      <c r="EG541" s="110"/>
      <c r="EH541" s="110"/>
      <c r="EI541" s="110"/>
      <c r="EJ541" s="110"/>
      <c r="EK541" s="110"/>
      <c r="EL541" s="110"/>
      <c r="EM541" s="110"/>
      <c r="EN541" s="110"/>
      <c r="EO541" s="110"/>
    </row>
    <row r="542" spans="1:145" s="111" customFormat="1" ht="47.25" x14ac:dyDescent="0.25">
      <c r="A542" s="45">
        <v>16</v>
      </c>
      <c r="B542" s="45" t="s">
        <v>40</v>
      </c>
      <c r="C542" s="45">
        <v>4</v>
      </c>
      <c r="D542" s="50" t="s">
        <v>137</v>
      </c>
      <c r="E542" s="50" t="s">
        <v>1240</v>
      </c>
      <c r="F542" s="45" t="s">
        <v>69</v>
      </c>
      <c r="G542" s="54" t="s">
        <v>1237</v>
      </c>
      <c r="H542" s="50" t="s">
        <v>1238</v>
      </c>
      <c r="I542" s="69"/>
      <c r="J542" s="110"/>
      <c r="K542" s="110"/>
      <c r="L542" s="110"/>
      <c r="M542" s="110"/>
      <c r="N542" s="110"/>
      <c r="O542" s="110"/>
      <c r="P542" s="110"/>
      <c r="Q542" s="110"/>
      <c r="R542" s="110"/>
      <c r="S542" s="110"/>
      <c r="T542" s="110"/>
      <c r="U542" s="110"/>
      <c r="V542" s="110"/>
      <c r="W542" s="110"/>
      <c r="X542" s="110"/>
      <c r="Y542" s="110"/>
      <c r="Z542" s="110"/>
      <c r="AA542" s="110"/>
      <c r="AB542" s="110"/>
      <c r="AC542" s="110"/>
      <c r="AD542" s="110"/>
      <c r="AE542" s="110"/>
      <c r="AF542" s="110"/>
      <c r="AG542" s="110"/>
      <c r="AH542" s="110"/>
      <c r="AI542" s="110"/>
      <c r="AJ542" s="110"/>
      <c r="AK542" s="110"/>
      <c r="AL542" s="110"/>
      <c r="AM542" s="110"/>
      <c r="AN542" s="110"/>
      <c r="AO542" s="110"/>
      <c r="AP542" s="110"/>
      <c r="AQ542" s="110"/>
      <c r="AR542" s="110"/>
      <c r="AS542" s="110"/>
      <c r="AT542" s="110"/>
      <c r="AU542" s="110"/>
      <c r="AV542" s="110"/>
      <c r="AW542" s="110"/>
      <c r="AX542" s="110"/>
      <c r="AY542" s="110"/>
      <c r="AZ542" s="110"/>
      <c r="BA542" s="110"/>
      <c r="BB542" s="110"/>
      <c r="BC542" s="110"/>
      <c r="BD542" s="110"/>
      <c r="BE542" s="110"/>
      <c r="BF542" s="110"/>
      <c r="BG542" s="110"/>
      <c r="BH542" s="110"/>
      <c r="BI542" s="110"/>
      <c r="BJ542" s="110"/>
      <c r="BK542" s="110"/>
      <c r="BL542" s="110"/>
      <c r="BM542" s="110"/>
      <c r="BN542" s="110"/>
      <c r="BO542" s="110"/>
      <c r="BP542" s="110"/>
      <c r="BQ542" s="110"/>
      <c r="BR542" s="110"/>
      <c r="BS542" s="110"/>
      <c r="BT542" s="110"/>
      <c r="BU542" s="110"/>
      <c r="BV542" s="110"/>
      <c r="BW542" s="110"/>
      <c r="BX542" s="110"/>
      <c r="BY542" s="110"/>
      <c r="BZ542" s="110"/>
      <c r="CA542" s="110"/>
      <c r="CB542" s="110"/>
      <c r="CC542" s="110"/>
      <c r="CD542" s="110"/>
      <c r="CE542" s="110"/>
      <c r="CF542" s="110"/>
      <c r="CG542" s="110"/>
      <c r="CH542" s="110"/>
      <c r="CI542" s="110"/>
      <c r="CJ542" s="110"/>
      <c r="CK542" s="110"/>
      <c r="CL542" s="110"/>
      <c r="CM542" s="110"/>
      <c r="CN542" s="110"/>
      <c r="CO542" s="110"/>
      <c r="CP542" s="110"/>
      <c r="CQ542" s="110"/>
      <c r="CR542" s="110"/>
      <c r="CS542" s="110"/>
      <c r="CT542" s="110"/>
      <c r="CU542" s="110"/>
      <c r="CV542" s="110"/>
      <c r="CW542" s="110"/>
      <c r="CX542" s="110"/>
      <c r="CY542" s="110"/>
      <c r="CZ542" s="110"/>
      <c r="DA542" s="110"/>
      <c r="DB542" s="110"/>
      <c r="DC542" s="110"/>
      <c r="DD542" s="110"/>
      <c r="DE542" s="110"/>
      <c r="DF542" s="110"/>
      <c r="DG542" s="110"/>
      <c r="DH542" s="110"/>
      <c r="DI542" s="110"/>
      <c r="DJ542" s="110"/>
      <c r="DK542" s="110"/>
      <c r="DL542" s="110"/>
      <c r="DM542" s="110"/>
      <c r="DN542" s="110"/>
      <c r="DO542" s="110"/>
      <c r="DP542" s="110"/>
      <c r="DQ542" s="110"/>
      <c r="DR542" s="110"/>
      <c r="DS542" s="110"/>
      <c r="DT542" s="110"/>
      <c r="DU542" s="110"/>
      <c r="DV542" s="110"/>
      <c r="DW542" s="110"/>
      <c r="DX542" s="110"/>
      <c r="DY542" s="110"/>
      <c r="DZ542" s="110"/>
      <c r="EA542" s="110"/>
      <c r="EB542" s="110"/>
      <c r="EC542" s="110"/>
      <c r="ED542" s="110"/>
      <c r="EE542" s="110"/>
      <c r="EF542" s="110"/>
      <c r="EG542" s="110"/>
      <c r="EH542" s="110"/>
      <c r="EI542" s="110"/>
      <c r="EJ542" s="110"/>
      <c r="EK542" s="110"/>
      <c r="EL542" s="110"/>
      <c r="EM542" s="110"/>
      <c r="EN542" s="110"/>
      <c r="EO542" s="110"/>
    </row>
    <row r="543" spans="1:145" s="111" customFormat="1" ht="47.25" x14ac:dyDescent="0.25">
      <c r="A543" s="45">
        <v>16</v>
      </c>
      <c r="B543" s="45" t="s">
        <v>40</v>
      </c>
      <c r="C543" s="45">
        <v>4</v>
      </c>
      <c r="D543" s="50" t="s">
        <v>137</v>
      </c>
      <c r="E543" s="50" t="s">
        <v>1241</v>
      </c>
      <c r="F543" s="45" t="s">
        <v>69</v>
      </c>
      <c r="G543" s="54" t="s">
        <v>1242</v>
      </c>
      <c r="H543" s="50" t="s">
        <v>1238</v>
      </c>
      <c r="I543" s="69"/>
      <c r="J543" s="110"/>
      <c r="K543" s="110"/>
      <c r="L543" s="110"/>
      <c r="M543" s="110"/>
      <c r="N543" s="110"/>
      <c r="O543" s="110"/>
      <c r="P543" s="110"/>
      <c r="Q543" s="110"/>
      <c r="R543" s="110"/>
      <c r="S543" s="110"/>
      <c r="T543" s="110"/>
      <c r="U543" s="110"/>
      <c r="V543" s="110"/>
      <c r="W543" s="110"/>
      <c r="X543" s="110"/>
      <c r="Y543" s="110"/>
      <c r="Z543" s="110"/>
      <c r="AA543" s="110"/>
      <c r="AB543" s="110"/>
      <c r="AC543" s="110"/>
      <c r="AD543" s="110"/>
      <c r="AE543" s="110"/>
      <c r="AF543" s="110"/>
      <c r="AG543" s="110"/>
      <c r="AH543" s="110"/>
      <c r="AI543" s="110"/>
      <c r="AJ543" s="110"/>
      <c r="AK543" s="110"/>
      <c r="AL543" s="110"/>
      <c r="AM543" s="110"/>
      <c r="AN543" s="110"/>
      <c r="AO543" s="110"/>
      <c r="AP543" s="110"/>
      <c r="AQ543" s="110"/>
      <c r="AR543" s="110"/>
      <c r="AS543" s="110"/>
      <c r="AT543" s="110"/>
      <c r="AU543" s="110"/>
      <c r="AV543" s="110"/>
      <c r="AW543" s="110"/>
      <c r="AX543" s="110"/>
      <c r="AY543" s="110"/>
      <c r="AZ543" s="110"/>
      <c r="BA543" s="110"/>
      <c r="BB543" s="110"/>
      <c r="BC543" s="110"/>
      <c r="BD543" s="110"/>
      <c r="BE543" s="110"/>
      <c r="BF543" s="110"/>
      <c r="BG543" s="110"/>
      <c r="BH543" s="110"/>
      <c r="BI543" s="110"/>
      <c r="BJ543" s="110"/>
      <c r="BK543" s="110"/>
      <c r="BL543" s="110"/>
      <c r="BM543" s="110"/>
      <c r="BN543" s="110"/>
      <c r="BO543" s="110"/>
      <c r="BP543" s="110"/>
      <c r="BQ543" s="110"/>
      <c r="BR543" s="110"/>
      <c r="BS543" s="110"/>
      <c r="BT543" s="110"/>
      <c r="BU543" s="110"/>
      <c r="BV543" s="110"/>
      <c r="BW543" s="110"/>
      <c r="BX543" s="110"/>
      <c r="BY543" s="110"/>
      <c r="BZ543" s="110"/>
      <c r="CA543" s="110"/>
      <c r="CB543" s="110"/>
      <c r="CC543" s="110"/>
      <c r="CD543" s="110"/>
      <c r="CE543" s="110"/>
      <c r="CF543" s="110"/>
      <c r="CG543" s="110"/>
      <c r="CH543" s="110"/>
      <c r="CI543" s="110"/>
      <c r="CJ543" s="110"/>
      <c r="CK543" s="110"/>
      <c r="CL543" s="110"/>
      <c r="CM543" s="110"/>
      <c r="CN543" s="110"/>
      <c r="CO543" s="110"/>
      <c r="CP543" s="110"/>
      <c r="CQ543" s="110"/>
      <c r="CR543" s="110"/>
      <c r="CS543" s="110"/>
      <c r="CT543" s="110"/>
      <c r="CU543" s="110"/>
      <c r="CV543" s="110"/>
      <c r="CW543" s="110"/>
      <c r="CX543" s="110"/>
      <c r="CY543" s="110"/>
      <c r="CZ543" s="110"/>
      <c r="DA543" s="110"/>
      <c r="DB543" s="110"/>
      <c r="DC543" s="110"/>
      <c r="DD543" s="110"/>
      <c r="DE543" s="110"/>
      <c r="DF543" s="110"/>
      <c r="DG543" s="110"/>
      <c r="DH543" s="110"/>
      <c r="DI543" s="110"/>
      <c r="DJ543" s="110"/>
      <c r="DK543" s="110"/>
      <c r="DL543" s="110"/>
      <c r="DM543" s="110"/>
      <c r="DN543" s="110"/>
      <c r="DO543" s="110"/>
      <c r="DP543" s="110"/>
      <c r="DQ543" s="110"/>
      <c r="DR543" s="110"/>
      <c r="DS543" s="110"/>
      <c r="DT543" s="110"/>
      <c r="DU543" s="110"/>
      <c r="DV543" s="110"/>
      <c r="DW543" s="110"/>
      <c r="DX543" s="110"/>
      <c r="DY543" s="110"/>
      <c r="DZ543" s="110"/>
      <c r="EA543" s="110"/>
      <c r="EB543" s="110"/>
      <c r="EC543" s="110"/>
      <c r="ED543" s="110"/>
      <c r="EE543" s="110"/>
      <c r="EF543" s="110"/>
      <c r="EG543" s="110"/>
      <c r="EH543" s="110"/>
      <c r="EI543" s="110"/>
      <c r="EJ543" s="110"/>
      <c r="EK543" s="110"/>
      <c r="EL543" s="110"/>
      <c r="EM543" s="110"/>
      <c r="EN543" s="110"/>
      <c r="EO543" s="110"/>
    </row>
    <row r="544" spans="1:145" s="111" customFormat="1" x14ac:dyDescent="0.25">
      <c r="A544" s="14">
        <v>17</v>
      </c>
      <c r="B544" s="14" t="s">
        <v>41</v>
      </c>
      <c r="C544" s="14">
        <v>1</v>
      </c>
      <c r="D544" s="25" t="s">
        <v>137</v>
      </c>
      <c r="E544" s="25" t="s">
        <v>252</v>
      </c>
      <c r="F544" s="26" t="s">
        <v>81</v>
      </c>
      <c r="G544" s="26">
        <v>27</v>
      </c>
      <c r="H544" s="25" t="s">
        <v>253</v>
      </c>
      <c r="I544" s="69"/>
      <c r="J544" s="110"/>
      <c r="K544" s="110"/>
      <c r="L544" s="110"/>
      <c r="M544" s="110"/>
      <c r="N544" s="110"/>
      <c r="O544" s="110"/>
      <c r="P544" s="110"/>
      <c r="Q544" s="110"/>
      <c r="R544" s="110"/>
      <c r="S544" s="110"/>
      <c r="T544" s="110"/>
      <c r="U544" s="110"/>
      <c r="V544" s="110"/>
      <c r="W544" s="110"/>
      <c r="X544" s="110"/>
      <c r="Y544" s="110"/>
      <c r="Z544" s="110"/>
      <c r="AA544" s="110"/>
      <c r="AB544" s="110"/>
      <c r="AC544" s="110"/>
      <c r="AD544" s="110"/>
      <c r="AE544" s="110"/>
      <c r="AF544" s="110"/>
      <c r="AG544" s="110"/>
      <c r="AH544" s="110"/>
      <c r="AI544" s="110"/>
      <c r="AJ544" s="110"/>
      <c r="AK544" s="110"/>
      <c r="AL544" s="110"/>
      <c r="AM544" s="110"/>
      <c r="AN544" s="110"/>
      <c r="AO544" s="110"/>
      <c r="AP544" s="110"/>
      <c r="AQ544" s="110"/>
      <c r="AR544" s="110"/>
      <c r="AS544" s="110"/>
      <c r="AT544" s="110"/>
      <c r="AU544" s="110"/>
      <c r="AV544" s="110"/>
      <c r="AW544" s="110"/>
      <c r="AX544" s="110"/>
      <c r="AY544" s="110"/>
      <c r="AZ544" s="110"/>
      <c r="BA544" s="110"/>
      <c r="BB544" s="110"/>
      <c r="BC544" s="110"/>
      <c r="BD544" s="110"/>
      <c r="BE544" s="110"/>
      <c r="BF544" s="110"/>
      <c r="BG544" s="110"/>
      <c r="BH544" s="110"/>
      <c r="BI544" s="110"/>
      <c r="BJ544" s="110"/>
      <c r="BK544" s="110"/>
      <c r="BL544" s="110"/>
      <c r="BM544" s="110"/>
      <c r="BN544" s="110"/>
      <c r="BO544" s="110"/>
      <c r="BP544" s="110"/>
      <c r="BQ544" s="110"/>
      <c r="BR544" s="110"/>
      <c r="BS544" s="110"/>
      <c r="BT544" s="110"/>
      <c r="BU544" s="110"/>
      <c r="BV544" s="110"/>
      <c r="BW544" s="110"/>
      <c r="BX544" s="110"/>
      <c r="BY544" s="110"/>
      <c r="BZ544" s="110"/>
      <c r="CA544" s="110"/>
      <c r="CB544" s="110"/>
      <c r="CC544" s="110"/>
      <c r="CD544" s="110"/>
      <c r="CE544" s="110"/>
      <c r="CF544" s="110"/>
      <c r="CG544" s="110"/>
      <c r="CH544" s="110"/>
      <c r="CI544" s="110"/>
      <c r="CJ544" s="110"/>
      <c r="CK544" s="110"/>
      <c r="CL544" s="110"/>
      <c r="CM544" s="110"/>
      <c r="CN544" s="110"/>
      <c r="CO544" s="110"/>
      <c r="CP544" s="110"/>
      <c r="CQ544" s="110"/>
      <c r="CR544" s="110"/>
      <c r="CS544" s="110"/>
      <c r="CT544" s="110"/>
      <c r="CU544" s="110"/>
      <c r="CV544" s="110"/>
      <c r="CW544" s="110"/>
      <c r="CX544" s="110"/>
      <c r="CY544" s="110"/>
      <c r="CZ544" s="110"/>
      <c r="DA544" s="110"/>
      <c r="DB544" s="110"/>
      <c r="DC544" s="110"/>
      <c r="DD544" s="110"/>
      <c r="DE544" s="110"/>
      <c r="DF544" s="110"/>
      <c r="DG544" s="110"/>
      <c r="DH544" s="110"/>
      <c r="DI544" s="110"/>
      <c r="DJ544" s="110"/>
      <c r="DK544" s="110"/>
      <c r="DL544" s="110"/>
      <c r="DM544" s="110"/>
      <c r="DN544" s="110"/>
      <c r="DO544" s="110"/>
      <c r="DP544" s="110"/>
      <c r="DQ544" s="110"/>
      <c r="DR544" s="110"/>
      <c r="DS544" s="110"/>
      <c r="DT544" s="110"/>
      <c r="DU544" s="110"/>
      <c r="DV544" s="110"/>
      <c r="DW544" s="110"/>
      <c r="DX544" s="110"/>
      <c r="DY544" s="110"/>
      <c r="DZ544" s="110"/>
      <c r="EA544" s="110"/>
      <c r="EB544" s="110"/>
      <c r="EC544" s="110"/>
      <c r="ED544" s="110"/>
      <c r="EE544" s="110"/>
      <c r="EF544" s="110"/>
      <c r="EG544" s="110"/>
      <c r="EH544" s="110"/>
      <c r="EI544" s="110"/>
      <c r="EJ544" s="110"/>
      <c r="EK544" s="110"/>
      <c r="EL544" s="110"/>
      <c r="EM544" s="110"/>
      <c r="EN544" s="110"/>
      <c r="EO544" s="110"/>
    </row>
    <row r="545" spans="1:146" s="111" customFormat="1" ht="78.75" x14ac:dyDescent="0.25">
      <c r="A545" s="14">
        <v>17</v>
      </c>
      <c r="B545" s="14" t="s">
        <v>41</v>
      </c>
      <c r="C545" s="14">
        <v>1</v>
      </c>
      <c r="D545" s="19" t="s">
        <v>0</v>
      </c>
      <c r="E545" s="19" t="s">
        <v>260</v>
      </c>
      <c r="F545" s="20" t="s">
        <v>81</v>
      </c>
      <c r="G545" s="20" t="s">
        <v>179</v>
      </c>
      <c r="H545" s="19" t="s">
        <v>259</v>
      </c>
      <c r="I545" s="69"/>
      <c r="J545" s="110"/>
      <c r="K545" s="110"/>
      <c r="L545" s="110"/>
      <c r="M545" s="110"/>
      <c r="N545" s="110"/>
      <c r="O545" s="110"/>
      <c r="P545" s="110"/>
      <c r="Q545" s="110"/>
      <c r="R545" s="110"/>
      <c r="S545" s="110"/>
      <c r="T545" s="110"/>
      <c r="U545" s="110"/>
      <c r="V545" s="110"/>
      <c r="W545" s="110"/>
      <c r="X545" s="110"/>
      <c r="Y545" s="110"/>
      <c r="Z545" s="110"/>
      <c r="AA545" s="110"/>
      <c r="AB545" s="110"/>
      <c r="AC545" s="110"/>
      <c r="AD545" s="110"/>
      <c r="AE545" s="110"/>
      <c r="AF545" s="110"/>
      <c r="AG545" s="110"/>
      <c r="AH545" s="110"/>
      <c r="AI545" s="110"/>
      <c r="AJ545" s="110"/>
      <c r="AK545" s="110"/>
      <c r="AL545" s="110"/>
      <c r="AM545" s="110"/>
      <c r="AN545" s="110"/>
      <c r="AO545" s="110"/>
      <c r="AP545" s="110"/>
      <c r="AQ545" s="110"/>
      <c r="AR545" s="110"/>
      <c r="AS545" s="110"/>
      <c r="AT545" s="110"/>
      <c r="AU545" s="110"/>
      <c r="AV545" s="110"/>
      <c r="AW545" s="110"/>
      <c r="AX545" s="110"/>
      <c r="AY545" s="110"/>
      <c r="AZ545" s="110"/>
      <c r="BA545" s="110"/>
      <c r="BB545" s="110"/>
      <c r="BC545" s="110"/>
      <c r="BD545" s="110"/>
      <c r="BE545" s="110"/>
      <c r="BF545" s="110"/>
      <c r="BG545" s="110"/>
      <c r="BH545" s="110"/>
      <c r="BI545" s="110"/>
      <c r="BJ545" s="110"/>
      <c r="BK545" s="110"/>
      <c r="BL545" s="110"/>
      <c r="BM545" s="110"/>
      <c r="BN545" s="110"/>
      <c r="BO545" s="110"/>
      <c r="BP545" s="110"/>
      <c r="BQ545" s="110"/>
      <c r="BR545" s="110"/>
      <c r="BS545" s="110"/>
      <c r="BT545" s="110"/>
      <c r="BU545" s="110"/>
      <c r="BV545" s="110"/>
      <c r="BW545" s="110"/>
      <c r="BX545" s="110"/>
      <c r="BY545" s="110"/>
      <c r="BZ545" s="110"/>
      <c r="CA545" s="110"/>
      <c r="CB545" s="110"/>
      <c r="CC545" s="110"/>
      <c r="CD545" s="110"/>
      <c r="CE545" s="110"/>
      <c r="CF545" s="110"/>
      <c r="CG545" s="110"/>
      <c r="CH545" s="110"/>
      <c r="CI545" s="110"/>
      <c r="CJ545" s="110"/>
      <c r="CK545" s="110"/>
      <c r="CL545" s="110"/>
      <c r="CM545" s="110"/>
      <c r="CN545" s="110"/>
      <c r="CO545" s="110"/>
      <c r="CP545" s="110"/>
      <c r="CQ545" s="110"/>
      <c r="CR545" s="110"/>
      <c r="CS545" s="110"/>
      <c r="CT545" s="110"/>
      <c r="CU545" s="110"/>
      <c r="CV545" s="110"/>
      <c r="CW545" s="110"/>
      <c r="CX545" s="110"/>
      <c r="CY545" s="110"/>
      <c r="CZ545" s="110"/>
      <c r="DA545" s="110"/>
      <c r="DB545" s="110"/>
      <c r="DC545" s="110"/>
      <c r="DD545" s="110"/>
      <c r="DE545" s="110"/>
      <c r="DF545" s="110"/>
      <c r="DG545" s="110"/>
      <c r="DH545" s="110"/>
      <c r="DI545" s="110"/>
      <c r="DJ545" s="110"/>
      <c r="DK545" s="110"/>
      <c r="DL545" s="110"/>
      <c r="DM545" s="110"/>
      <c r="DN545" s="110"/>
      <c r="DO545" s="110"/>
      <c r="DP545" s="110"/>
      <c r="DQ545" s="110"/>
      <c r="DR545" s="110"/>
      <c r="DS545" s="110"/>
      <c r="DT545" s="110"/>
      <c r="DU545" s="110"/>
      <c r="DV545" s="110"/>
      <c r="DW545" s="110"/>
      <c r="DX545" s="110"/>
      <c r="DY545" s="110"/>
      <c r="DZ545" s="110"/>
      <c r="EA545" s="110"/>
      <c r="EB545" s="110"/>
      <c r="EC545" s="110"/>
      <c r="ED545" s="110"/>
      <c r="EE545" s="110"/>
      <c r="EF545" s="110"/>
      <c r="EG545" s="110"/>
      <c r="EH545" s="110"/>
      <c r="EI545" s="110"/>
      <c r="EJ545" s="110"/>
      <c r="EK545" s="110"/>
      <c r="EL545" s="110"/>
      <c r="EM545" s="110"/>
      <c r="EN545" s="110"/>
      <c r="EO545" s="110"/>
    </row>
    <row r="546" spans="1:146" s="111" customFormat="1" ht="31.5" x14ac:dyDescent="0.25">
      <c r="A546" s="14">
        <v>17</v>
      </c>
      <c r="B546" s="14" t="s">
        <v>41</v>
      </c>
      <c r="C546" s="14">
        <v>1</v>
      </c>
      <c r="D546" s="25" t="s">
        <v>1</v>
      </c>
      <c r="E546" s="25" t="s">
        <v>250</v>
      </c>
      <c r="F546" s="26" t="s">
        <v>81</v>
      </c>
      <c r="G546" s="26">
        <v>18</v>
      </c>
      <c r="H546" s="25" t="s">
        <v>251</v>
      </c>
      <c r="I546" s="69"/>
      <c r="J546" s="110"/>
      <c r="K546" s="110"/>
      <c r="L546" s="110"/>
      <c r="M546" s="110"/>
      <c r="N546" s="110"/>
      <c r="O546" s="110"/>
      <c r="P546" s="110"/>
      <c r="Q546" s="110"/>
      <c r="R546" s="110"/>
      <c r="S546" s="110"/>
      <c r="T546" s="110"/>
      <c r="U546" s="110"/>
      <c r="V546" s="110"/>
      <c r="W546" s="110"/>
      <c r="X546" s="110"/>
      <c r="Y546" s="110"/>
      <c r="Z546" s="110"/>
      <c r="AA546" s="110"/>
      <c r="AB546" s="110"/>
      <c r="AC546" s="110"/>
      <c r="AD546" s="110"/>
      <c r="AE546" s="110"/>
      <c r="AF546" s="110"/>
      <c r="AG546" s="110"/>
      <c r="AH546" s="110"/>
      <c r="AI546" s="110"/>
      <c r="AJ546" s="110"/>
      <c r="AK546" s="110"/>
      <c r="AL546" s="110"/>
      <c r="AM546" s="110"/>
      <c r="AN546" s="110"/>
      <c r="AO546" s="110"/>
      <c r="AP546" s="110"/>
      <c r="AQ546" s="110"/>
      <c r="AR546" s="110"/>
      <c r="AS546" s="110"/>
      <c r="AT546" s="110"/>
      <c r="AU546" s="110"/>
      <c r="AV546" s="110"/>
      <c r="AW546" s="110"/>
      <c r="AX546" s="110"/>
      <c r="AY546" s="110"/>
      <c r="AZ546" s="110"/>
      <c r="BA546" s="110"/>
      <c r="BB546" s="110"/>
      <c r="BC546" s="110"/>
      <c r="BD546" s="110"/>
      <c r="BE546" s="110"/>
      <c r="BF546" s="110"/>
      <c r="BG546" s="110"/>
      <c r="BH546" s="110"/>
      <c r="BI546" s="110"/>
      <c r="BJ546" s="110"/>
      <c r="BK546" s="110"/>
      <c r="BL546" s="110"/>
      <c r="BM546" s="110"/>
      <c r="BN546" s="110"/>
      <c r="BO546" s="110"/>
      <c r="BP546" s="110"/>
      <c r="BQ546" s="110"/>
      <c r="BR546" s="110"/>
      <c r="BS546" s="110"/>
      <c r="BT546" s="110"/>
      <c r="BU546" s="110"/>
      <c r="BV546" s="110"/>
      <c r="BW546" s="110"/>
      <c r="BX546" s="110"/>
      <c r="BY546" s="110"/>
      <c r="BZ546" s="110"/>
      <c r="CA546" s="110"/>
      <c r="CB546" s="110"/>
      <c r="CC546" s="110"/>
      <c r="CD546" s="110"/>
      <c r="CE546" s="110"/>
      <c r="CF546" s="110"/>
      <c r="CG546" s="110"/>
      <c r="CH546" s="110"/>
      <c r="CI546" s="110"/>
      <c r="CJ546" s="110"/>
      <c r="CK546" s="110"/>
      <c r="CL546" s="110"/>
      <c r="CM546" s="110"/>
      <c r="CN546" s="110"/>
      <c r="CO546" s="110"/>
      <c r="CP546" s="110"/>
      <c r="CQ546" s="110"/>
      <c r="CR546" s="110"/>
      <c r="CS546" s="110"/>
      <c r="CT546" s="110"/>
      <c r="CU546" s="110"/>
      <c r="CV546" s="110"/>
      <c r="CW546" s="110"/>
      <c r="CX546" s="110"/>
      <c r="CY546" s="110"/>
      <c r="CZ546" s="110"/>
      <c r="DA546" s="110"/>
      <c r="DB546" s="110"/>
      <c r="DC546" s="110"/>
      <c r="DD546" s="110"/>
      <c r="DE546" s="110"/>
      <c r="DF546" s="110"/>
      <c r="DG546" s="110"/>
      <c r="DH546" s="110"/>
      <c r="DI546" s="110"/>
      <c r="DJ546" s="110"/>
      <c r="DK546" s="110"/>
      <c r="DL546" s="110"/>
      <c r="DM546" s="110"/>
      <c r="DN546" s="110"/>
      <c r="DO546" s="110"/>
      <c r="DP546" s="110"/>
      <c r="DQ546" s="110"/>
      <c r="DR546" s="110"/>
      <c r="DS546" s="110"/>
      <c r="DT546" s="110"/>
      <c r="DU546" s="110"/>
      <c r="DV546" s="110"/>
      <c r="DW546" s="110"/>
      <c r="DX546" s="110"/>
      <c r="DY546" s="110"/>
      <c r="DZ546" s="110"/>
      <c r="EA546" s="110"/>
      <c r="EB546" s="110"/>
      <c r="EC546" s="110"/>
      <c r="ED546" s="110"/>
      <c r="EE546" s="110"/>
      <c r="EF546" s="110"/>
      <c r="EG546" s="110"/>
      <c r="EH546" s="110"/>
      <c r="EI546" s="110"/>
      <c r="EJ546" s="110"/>
      <c r="EK546" s="110"/>
      <c r="EL546" s="110"/>
      <c r="EM546" s="110"/>
      <c r="EN546" s="110"/>
      <c r="EO546" s="110"/>
    </row>
    <row r="547" spans="1:146" s="111" customFormat="1" ht="31.5" x14ac:dyDescent="0.25">
      <c r="A547" s="14">
        <v>17</v>
      </c>
      <c r="B547" s="14" t="s">
        <v>41</v>
      </c>
      <c r="C547" s="14">
        <v>1</v>
      </c>
      <c r="D547" s="19" t="s">
        <v>1</v>
      </c>
      <c r="E547" s="19" t="s">
        <v>254</v>
      </c>
      <c r="F547" s="20" t="s">
        <v>81</v>
      </c>
      <c r="G547" s="20">
        <v>4</v>
      </c>
      <c r="H547" s="19" t="s">
        <v>255</v>
      </c>
      <c r="I547" s="69"/>
      <c r="J547" s="110"/>
      <c r="K547" s="110"/>
      <c r="L547" s="110"/>
      <c r="M547" s="110"/>
      <c r="N547" s="110"/>
      <c r="O547" s="110"/>
      <c r="P547" s="110"/>
      <c r="Q547" s="110"/>
      <c r="R547" s="110"/>
      <c r="S547" s="110"/>
      <c r="T547" s="110"/>
      <c r="U547" s="110"/>
      <c r="V547" s="110"/>
      <c r="W547" s="110"/>
      <c r="X547" s="110"/>
      <c r="Y547" s="110"/>
      <c r="Z547" s="110"/>
      <c r="AA547" s="110"/>
      <c r="AB547" s="110"/>
      <c r="AC547" s="110"/>
      <c r="AD547" s="110"/>
      <c r="AE547" s="110"/>
      <c r="AF547" s="110"/>
      <c r="AG547" s="110"/>
      <c r="AH547" s="110"/>
      <c r="AI547" s="110"/>
      <c r="AJ547" s="110"/>
      <c r="AK547" s="110"/>
      <c r="AL547" s="110"/>
      <c r="AM547" s="110"/>
      <c r="AN547" s="110"/>
      <c r="AO547" s="110"/>
      <c r="AP547" s="110"/>
      <c r="AQ547" s="110"/>
      <c r="AR547" s="110"/>
      <c r="AS547" s="110"/>
      <c r="AT547" s="110"/>
      <c r="AU547" s="110"/>
      <c r="AV547" s="110"/>
      <c r="AW547" s="110"/>
      <c r="AX547" s="110"/>
      <c r="AY547" s="110"/>
      <c r="AZ547" s="110"/>
      <c r="BA547" s="110"/>
      <c r="BB547" s="110"/>
      <c r="BC547" s="110"/>
      <c r="BD547" s="110"/>
      <c r="BE547" s="110"/>
      <c r="BF547" s="110"/>
      <c r="BG547" s="110"/>
      <c r="BH547" s="110"/>
      <c r="BI547" s="110"/>
      <c r="BJ547" s="110"/>
      <c r="BK547" s="110"/>
      <c r="BL547" s="110"/>
      <c r="BM547" s="110"/>
      <c r="BN547" s="110"/>
      <c r="BO547" s="110"/>
      <c r="BP547" s="110"/>
      <c r="BQ547" s="110"/>
      <c r="BR547" s="110"/>
      <c r="BS547" s="110"/>
      <c r="BT547" s="110"/>
      <c r="BU547" s="110"/>
      <c r="BV547" s="110"/>
      <c r="BW547" s="110"/>
      <c r="BX547" s="110"/>
      <c r="BY547" s="110"/>
      <c r="BZ547" s="110"/>
      <c r="CA547" s="110"/>
      <c r="CB547" s="110"/>
      <c r="CC547" s="110"/>
      <c r="CD547" s="110"/>
      <c r="CE547" s="110"/>
      <c r="CF547" s="110"/>
      <c r="CG547" s="110"/>
      <c r="CH547" s="110"/>
      <c r="CI547" s="110"/>
      <c r="CJ547" s="110"/>
      <c r="CK547" s="110"/>
      <c r="CL547" s="110"/>
      <c r="CM547" s="110"/>
      <c r="CN547" s="110"/>
      <c r="CO547" s="110"/>
      <c r="CP547" s="110"/>
      <c r="CQ547" s="110"/>
      <c r="CR547" s="110"/>
      <c r="CS547" s="110"/>
      <c r="CT547" s="110"/>
      <c r="CU547" s="110"/>
      <c r="CV547" s="110"/>
      <c r="CW547" s="110"/>
      <c r="CX547" s="110"/>
      <c r="CY547" s="110"/>
      <c r="CZ547" s="110"/>
      <c r="DA547" s="110"/>
      <c r="DB547" s="110"/>
      <c r="DC547" s="110"/>
      <c r="DD547" s="110"/>
      <c r="DE547" s="110"/>
      <c r="DF547" s="110"/>
      <c r="DG547" s="110"/>
      <c r="DH547" s="110"/>
      <c r="DI547" s="110"/>
      <c r="DJ547" s="110"/>
      <c r="DK547" s="110"/>
      <c r="DL547" s="110"/>
      <c r="DM547" s="110"/>
      <c r="DN547" s="110"/>
      <c r="DO547" s="110"/>
      <c r="DP547" s="110"/>
      <c r="DQ547" s="110"/>
      <c r="DR547" s="110"/>
      <c r="DS547" s="110"/>
      <c r="DT547" s="110"/>
      <c r="DU547" s="110"/>
      <c r="DV547" s="110"/>
      <c r="DW547" s="110"/>
      <c r="DX547" s="110"/>
      <c r="DY547" s="110"/>
      <c r="DZ547" s="110"/>
      <c r="EA547" s="110"/>
      <c r="EB547" s="110"/>
      <c r="EC547" s="110"/>
      <c r="ED547" s="110"/>
      <c r="EE547" s="110"/>
      <c r="EF547" s="110"/>
      <c r="EG547" s="110"/>
      <c r="EH547" s="110"/>
      <c r="EI547" s="110"/>
      <c r="EJ547" s="110"/>
      <c r="EK547" s="110"/>
      <c r="EL547" s="110"/>
      <c r="EM547" s="110"/>
      <c r="EN547" s="110"/>
      <c r="EO547" s="110"/>
    </row>
    <row r="548" spans="1:146" s="111" customFormat="1" ht="47.25" x14ac:dyDescent="0.25">
      <c r="A548" s="14">
        <v>17</v>
      </c>
      <c r="B548" s="14" t="s">
        <v>41</v>
      </c>
      <c r="C548" s="14">
        <v>1</v>
      </c>
      <c r="D548" s="19" t="s">
        <v>83</v>
      </c>
      <c r="E548" s="19" t="s">
        <v>256</v>
      </c>
      <c r="F548" s="20" t="s">
        <v>69</v>
      </c>
      <c r="G548" s="20">
        <v>70</v>
      </c>
      <c r="H548" s="19" t="s">
        <v>257</v>
      </c>
      <c r="I548" s="69"/>
      <c r="J548" s="110"/>
      <c r="K548" s="110"/>
      <c r="L548" s="110"/>
      <c r="M548" s="110"/>
      <c r="N548" s="110"/>
      <c r="O548" s="110"/>
      <c r="P548" s="110"/>
      <c r="Q548" s="110"/>
      <c r="R548" s="110"/>
      <c r="S548" s="110"/>
      <c r="T548" s="110"/>
      <c r="U548" s="110"/>
      <c r="V548" s="110"/>
      <c r="W548" s="110"/>
      <c r="X548" s="110"/>
      <c r="Y548" s="110"/>
      <c r="Z548" s="110"/>
      <c r="AA548" s="110"/>
      <c r="AB548" s="110"/>
      <c r="AC548" s="110"/>
      <c r="AD548" s="110"/>
      <c r="AE548" s="110"/>
      <c r="AF548" s="110"/>
      <c r="AG548" s="110"/>
      <c r="AH548" s="110"/>
      <c r="AI548" s="110"/>
      <c r="AJ548" s="110"/>
      <c r="AK548" s="110"/>
      <c r="AL548" s="110"/>
      <c r="AM548" s="110"/>
      <c r="AN548" s="110"/>
      <c r="AO548" s="110"/>
      <c r="AP548" s="110"/>
      <c r="AQ548" s="110"/>
      <c r="AR548" s="110"/>
      <c r="AS548" s="110"/>
      <c r="AT548" s="110"/>
      <c r="AU548" s="110"/>
      <c r="AV548" s="110"/>
      <c r="AW548" s="110"/>
      <c r="AX548" s="110"/>
      <c r="AY548" s="110"/>
      <c r="AZ548" s="110"/>
      <c r="BA548" s="110"/>
      <c r="BB548" s="110"/>
      <c r="BC548" s="110"/>
      <c r="BD548" s="110"/>
      <c r="BE548" s="110"/>
      <c r="BF548" s="110"/>
      <c r="BG548" s="110"/>
      <c r="BH548" s="110"/>
      <c r="BI548" s="110"/>
      <c r="BJ548" s="110"/>
      <c r="BK548" s="110"/>
      <c r="BL548" s="110"/>
      <c r="BM548" s="110"/>
      <c r="BN548" s="110"/>
      <c r="BO548" s="110"/>
      <c r="BP548" s="110"/>
      <c r="BQ548" s="110"/>
      <c r="BR548" s="110"/>
      <c r="BS548" s="110"/>
      <c r="BT548" s="110"/>
      <c r="BU548" s="110"/>
      <c r="BV548" s="110"/>
      <c r="BW548" s="110"/>
      <c r="BX548" s="110"/>
      <c r="BY548" s="110"/>
      <c r="BZ548" s="110"/>
      <c r="CA548" s="110"/>
      <c r="CB548" s="110"/>
      <c r="CC548" s="110"/>
      <c r="CD548" s="110"/>
      <c r="CE548" s="110"/>
      <c r="CF548" s="110"/>
      <c r="CG548" s="110"/>
      <c r="CH548" s="110"/>
      <c r="CI548" s="110"/>
      <c r="CJ548" s="110"/>
      <c r="CK548" s="110"/>
      <c r="CL548" s="110"/>
      <c r="CM548" s="110"/>
      <c r="CN548" s="110"/>
      <c r="CO548" s="110"/>
      <c r="CP548" s="110"/>
      <c r="CQ548" s="110"/>
      <c r="CR548" s="110"/>
      <c r="CS548" s="110"/>
      <c r="CT548" s="110"/>
      <c r="CU548" s="110"/>
      <c r="CV548" s="110"/>
      <c r="CW548" s="110"/>
      <c r="CX548" s="110"/>
      <c r="CY548" s="110"/>
      <c r="CZ548" s="110"/>
      <c r="DA548" s="110"/>
      <c r="DB548" s="110"/>
      <c r="DC548" s="110"/>
      <c r="DD548" s="110"/>
      <c r="DE548" s="110"/>
      <c r="DF548" s="110"/>
      <c r="DG548" s="110"/>
      <c r="DH548" s="110"/>
      <c r="DI548" s="110"/>
      <c r="DJ548" s="110"/>
      <c r="DK548" s="110"/>
      <c r="DL548" s="110"/>
      <c r="DM548" s="110"/>
      <c r="DN548" s="110"/>
      <c r="DO548" s="110"/>
      <c r="DP548" s="110"/>
      <c r="DQ548" s="110"/>
      <c r="DR548" s="110"/>
      <c r="DS548" s="110"/>
      <c r="DT548" s="110"/>
      <c r="DU548" s="110"/>
      <c r="DV548" s="110"/>
      <c r="DW548" s="110"/>
      <c r="DX548" s="110"/>
      <c r="DY548" s="110"/>
      <c r="DZ548" s="110"/>
      <c r="EA548" s="110"/>
      <c r="EB548" s="110"/>
      <c r="EC548" s="110"/>
      <c r="ED548" s="110"/>
      <c r="EE548" s="110"/>
      <c r="EF548" s="110"/>
      <c r="EG548" s="110"/>
      <c r="EH548" s="110"/>
      <c r="EI548" s="110"/>
      <c r="EJ548" s="110"/>
      <c r="EK548" s="110"/>
      <c r="EL548" s="110"/>
      <c r="EM548" s="110"/>
      <c r="EN548" s="110"/>
      <c r="EO548" s="110"/>
    </row>
    <row r="549" spans="1:146" s="111" customFormat="1" ht="63" x14ac:dyDescent="0.25">
      <c r="A549" s="14">
        <v>17</v>
      </c>
      <c r="B549" s="14" t="s">
        <v>41</v>
      </c>
      <c r="C549" s="14">
        <v>1</v>
      </c>
      <c r="D549" s="25" t="s">
        <v>83</v>
      </c>
      <c r="E549" s="25" t="s">
        <v>258</v>
      </c>
      <c r="F549" s="26" t="s">
        <v>81</v>
      </c>
      <c r="G549" s="26">
        <v>11</v>
      </c>
      <c r="H549" s="25" t="s">
        <v>259</v>
      </c>
      <c r="I549" s="69"/>
      <c r="J549" s="110"/>
      <c r="K549" s="110"/>
      <c r="L549" s="110"/>
      <c r="M549" s="110"/>
      <c r="N549" s="110"/>
      <c r="O549" s="110"/>
      <c r="P549" s="110"/>
      <c r="Q549" s="110"/>
      <c r="R549" s="110"/>
      <c r="S549" s="110"/>
      <c r="T549" s="110"/>
      <c r="U549" s="110"/>
      <c r="V549" s="110"/>
      <c r="W549" s="110"/>
      <c r="X549" s="110"/>
      <c r="Y549" s="110"/>
      <c r="Z549" s="110"/>
      <c r="AA549" s="110"/>
      <c r="AB549" s="110"/>
      <c r="AC549" s="110"/>
      <c r="AD549" s="110"/>
      <c r="AE549" s="110"/>
      <c r="AF549" s="110"/>
      <c r="AG549" s="110"/>
      <c r="AH549" s="110"/>
      <c r="AI549" s="110"/>
      <c r="AJ549" s="110"/>
      <c r="AK549" s="110"/>
      <c r="AL549" s="110"/>
      <c r="AM549" s="110"/>
      <c r="AN549" s="110"/>
      <c r="AO549" s="110"/>
      <c r="AP549" s="110"/>
      <c r="AQ549" s="110"/>
      <c r="AR549" s="110"/>
      <c r="AS549" s="110"/>
      <c r="AT549" s="110"/>
      <c r="AU549" s="110"/>
      <c r="AV549" s="110"/>
      <c r="AW549" s="110"/>
      <c r="AX549" s="110"/>
      <c r="AY549" s="110"/>
      <c r="AZ549" s="110"/>
      <c r="BA549" s="110"/>
      <c r="BB549" s="110"/>
      <c r="BC549" s="110"/>
      <c r="BD549" s="110"/>
      <c r="BE549" s="110"/>
      <c r="BF549" s="110"/>
      <c r="BG549" s="110"/>
      <c r="BH549" s="110"/>
      <c r="BI549" s="110"/>
      <c r="BJ549" s="110"/>
      <c r="BK549" s="110"/>
      <c r="BL549" s="110"/>
      <c r="BM549" s="110"/>
      <c r="BN549" s="110"/>
      <c r="BO549" s="110"/>
      <c r="BP549" s="110"/>
      <c r="BQ549" s="110"/>
      <c r="BR549" s="110"/>
      <c r="BS549" s="110"/>
      <c r="BT549" s="110"/>
      <c r="BU549" s="110"/>
      <c r="BV549" s="110"/>
      <c r="BW549" s="110"/>
      <c r="BX549" s="110"/>
      <c r="BY549" s="110"/>
      <c r="BZ549" s="110"/>
      <c r="CA549" s="110"/>
      <c r="CB549" s="110"/>
      <c r="CC549" s="110"/>
      <c r="CD549" s="110"/>
      <c r="CE549" s="110"/>
      <c r="CF549" s="110"/>
      <c r="CG549" s="110"/>
      <c r="CH549" s="110"/>
      <c r="CI549" s="110"/>
      <c r="CJ549" s="110"/>
      <c r="CK549" s="110"/>
      <c r="CL549" s="110"/>
      <c r="CM549" s="110"/>
      <c r="CN549" s="110"/>
      <c r="CO549" s="110"/>
      <c r="CP549" s="110"/>
      <c r="CQ549" s="110"/>
      <c r="CR549" s="110"/>
      <c r="CS549" s="110"/>
      <c r="CT549" s="110"/>
      <c r="CU549" s="110"/>
      <c r="CV549" s="110"/>
      <c r="CW549" s="110"/>
      <c r="CX549" s="110"/>
      <c r="CY549" s="110"/>
      <c r="CZ549" s="110"/>
      <c r="DA549" s="110"/>
      <c r="DB549" s="110"/>
      <c r="DC549" s="110"/>
      <c r="DD549" s="110"/>
      <c r="DE549" s="110"/>
      <c r="DF549" s="110"/>
      <c r="DG549" s="110"/>
      <c r="DH549" s="110"/>
      <c r="DI549" s="110"/>
      <c r="DJ549" s="110"/>
      <c r="DK549" s="110"/>
      <c r="DL549" s="110"/>
      <c r="DM549" s="110"/>
      <c r="DN549" s="110"/>
      <c r="DO549" s="110"/>
      <c r="DP549" s="110"/>
      <c r="DQ549" s="110"/>
      <c r="DR549" s="110"/>
      <c r="DS549" s="110"/>
      <c r="DT549" s="110"/>
      <c r="DU549" s="110"/>
      <c r="DV549" s="110"/>
      <c r="DW549" s="110"/>
      <c r="DX549" s="110"/>
      <c r="DY549" s="110"/>
      <c r="DZ549" s="110"/>
      <c r="EA549" s="110"/>
      <c r="EB549" s="110"/>
      <c r="EC549" s="110"/>
      <c r="ED549" s="110"/>
      <c r="EE549" s="110"/>
      <c r="EF549" s="110"/>
      <c r="EG549" s="110"/>
      <c r="EH549" s="110"/>
      <c r="EI549" s="110"/>
      <c r="EJ549" s="110"/>
      <c r="EK549" s="110"/>
      <c r="EL549" s="110"/>
      <c r="EM549" s="110"/>
      <c r="EN549" s="110"/>
      <c r="EO549" s="110"/>
    </row>
    <row r="550" spans="1:146" s="111" customFormat="1" x14ac:dyDescent="0.25">
      <c r="A550" s="32">
        <v>17</v>
      </c>
      <c r="B550" s="32" t="s">
        <v>41</v>
      </c>
      <c r="C550" s="32">
        <v>2</v>
      </c>
      <c r="D550" s="43" t="s">
        <v>137</v>
      </c>
      <c r="E550" s="43" t="s">
        <v>476</v>
      </c>
      <c r="F550" s="44" t="s">
        <v>81</v>
      </c>
      <c r="G550" s="44">
        <v>32</v>
      </c>
      <c r="H550" s="43" t="s">
        <v>477</v>
      </c>
      <c r="I550" s="69"/>
      <c r="J550" s="110"/>
      <c r="K550" s="110"/>
      <c r="L550" s="110"/>
      <c r="M550" s="110"/>
      <c r="N550" s="110"/>
      <c r="O550" s="110"/>
      <c r="P550" s="110"/>
      <c r="Q550" s="110"/>
      <c r="R550" s="110"/>
      <c r="S550" s="110"/>
      <c r="T550" s="110"/>
      <c r="U550" s="110"/>
      <c r="V550" s="110"/>
      <c r="W550" s="110"/>
      <c r="X550" s="110"/>
      <c r="Y550" s="110"/>
      <c r="Z550" s="110"/>
      <c r="AA550" s="110"/>
      <c r="AB550" s="110"/>
      <c r="AC550" s="110"/>
      <c r="AD550" s="110"/>
      <c r="AE550" s="110"/>
      <c r="AF550" s="110"/>
      <c r="AG550" s="110"/>
      <c r="AH550" s="110"/>
      <c r="AI550" s="110"/>
      <c r="AJ550" s="110"/>
      <c r="AK550" s="110"/>
      <c r="AL550" s="110"/>
      <c r="AM550" s="110"/>
      <c r="AN550" s="110"/>
      <c r="AO550" s="110"/>
      <c r="AP550" s="110"/>
      <c r="AQ550" s="110"/>
      <c r="AR550" s="110"/>
      <c r="AS550" s="110"/>
      <c r="AT550" s="110"/>
      <c r="AU550" s="110"/>
      <c r="AV550" s="110"/>
      <c r="AW550" s="110"/>
      <c r="AX550" s="110"/>
      <c r="AY550" s="110"/>
      <c r="AZ550" s="110"/>
      <c r="BA550" s="110"/>
      <c r="BB550" s="110"/>
      <c r="BC550" s="110"/>
      <c r="BD550" s="110"/>
      <c r="BE550" s="110"/>
      <c r="BF550" s="110"/>
      <c r="BG550" s="110"/>
      <c r="BH550" s="110"/>
      <c r="BI550" s="110"/>
      <c r="BJ550" s="110"/>
      <c r="BK550" s="110"/>
      <c r="BL550" s="110"/>
      <c r="BM550" s="110"/>
      <c r="BN550" s="110"/>
      <c r="BO550" s="110"/>
      <c r="BP550" s="110"/>
      <c r="BQ550" s="110"/>
      <c r="BR550" s="110"/>
      <c r="BS550" s="110"/>
      <c r="BT550" s="110"/>
      <c r="BU550" s="110"/>
      <c r="BV550" s="110"/>
      <c r="BW550" s="110"/>
      <c r="BX550" s="110"/>
      <c r="BY550" s="110"/>
      <c r="BZ550" s="110"/>
      <c r="CA550" s="110"/>
      <c r="CB550" s="110"/>
      <c r="CC550" s="110"/>
      <c r="CD550" s="110"/>
      <c r="CE550" s="110"/>
      <c r="CF550" s="110"/>
      <c r="CG550" s="110"/>
      <c r="CH550" s="110"/>
      <c r="CI550" s="110"/>
      <c r="CJ550" s="110"/>
      <c r="CK550" s="110"/>
      <c r="CL550" s="110"/>
      <c r="CM550" s="110"/>
      <c r="CN550" s="110"/>
      <c r="CO550" s="110"/>
      <c r="CP550" s="110"/>
      <c r="CQ550" s="110"/>
      <c r="CR550" s="110"/>
      <c r="CS550" s="110"/>
      <c r="CT550" s="110"/>
      <c r="CU550" s="110"/>
      <c r="CV550" s="110"/>
      <c r="CW550" s="110"/>
      <c r="CX550" s="110"/>
      <c r="CY550" s="110"/>
      <c r="CZ550" s="110"/>
      <c r="DA550" s="110"/>
      <c r="DB550" s="110"/>
      <c r="DC550" s="110"/>
      <c r="DD550" s="110"/>
      <c r="DE550" s="110"/>
      <c r="DF550" s="110"/>
      <c r="DG550" s="110"/>
      <c r="DH550" s="110"/>
      <c r="DI550" s="110"/>
      <c r="DJ550" s="110"/>
      <c r="DK550" s="110"/>
      <c r="DL550" s="110"/>
      <c r="DM550" s="110"/>
      <c r="DN550" s="110"/>
      <c r="DO550" s="110"/>
      <c r="DP550" s="110"/>
      <c r="DQ550" s="110"/>
      <c r="DR550" s="110"/>
      <c r="DS550" s="110"/>
      <c r="DT550" s="110"/>
      <c r="DU550" s="110"/>
      <c r="DV550" s="110"/>
      <c r="DW550" s="110"/>
      <c r="DX550" s="110"/>
      <c r="DY550" s="110"/>
      <c r="DZ550" s="110"/>
      <c r="EA550" s="110"/>
      <c r="EB550" s="110"/>
      <c r="EC550" s="110"/>
      <c r="ED550" s="110"/>
      <c r="EE550" s="110"/>
      <c r="EF550" s="110"/>
      <c r="EG550" s="110"/>
      <c r="EH550" s="110"/>
      <c r="EI550" s="110"/>
      <c r="EJ550" s="110"/>
      <c r="EK550" s="110"/>
      <c r="EL550" s="110"/>
      <c r="EM550" s="110"/>
      <c r="EN550" s="110"/>
      <c r="EO550" s="110"/>
    </row>
    <row r="551" spans="1:146" s="111" customFormat="1" ht="63" x14ac:dyDescent="0.25">
      <c r="A551" s="32">
        <v>17</v>
      </c>
      <c r="B551" s="32" t="s">
        <v>41</v>
      </c>
      <c r="C551" s="32">
        <v>2</v>
      </c>
      <c r="D551" s="38" t="s">
        <v>0</v>
      </c>
      <c r="E551" s="38" t="s">
        <v>684</v>
      </c>
      <c r="F551" s="42" t="s">
        <v>81</v>
      </c>
      <c r="G551" s="42">
        <v>3</v>
      </c>
      <c r="H551" s="38" t="s">
        <v>479</v>
      </c>
      <c r="I551" s="69"/>
      <c r="J551" s="110"/>
      <c r="K551" s="110"/>
      <c r="L551" s="110"/>
      <c r="M551" s="110"/>
      <c r="N551" s="110"/>
      <c r="O551" s="110"/>
      <c r="P551" s="110"/>
      <c r="Q551" s="110"/>
      <c r="R551" s="110"/>
      <c r="S551" s="110"/>
      <c r="T551" s="110"/>
      <c r="U551" s="110"/>
      <c r="V551" s="110"/>
      <c r="W551" s="110"/>
      <c r="X551" s="110"/>
      <c r="Y551" s="110"/>
      <c r="Z551" s="110"/>
      <c r="AA551" s="110"/>
      <c r="AB551" s="110"/>
      <c r="AC551" s="110"/>
      <c r="AD551" s="110"/>
      <c r="AE551" s="110"/>
      <c r="AF551" s="110"/>
      <c r="AG551" s="110"/>
      <c r="AH551" s="110"/>
      <c r="AI551" s="110"/>
      <c r="AJ551" s="110"/>
      <c r="AK551" s="110"/>
      <c r="AL551" s="110"/>
      <c r="AM551" s="110"/>
      <c r="AN551" s="110"/>
      <c r="AO551" s="110"/>
      <c r="AP551" s="110"/>
      <c r="AQ551" s="110"/>
      <c r="AR551" s="110"/>
      <c r="AS551" s="110"/>
      <c r="AT551" s="110"/>
      <c r="AU551" s="110"/>
      <c r="AV551" s="110"/>
      <c r="AW551" s="110"/>
      <c r="AX551" s="110"/>
      <c r="AY551" s="110"/>
      <c r="AZ551" s="110"/>
      <c r="BA551" s="110"/>
      <c r="BB551" s="110"/>
      <c r="BC551" s="110"/>
      <c r="BD551" s="110"/>
      <c r="BE551" s="110"/>
      <c r="BF551" s="110"/>
      <c r="BG551" s="110"/>
      <c r="BH551" s="110"/>
      <c r="BI551" s="110"/>
      <c r="BJ551" s="110"/>
      <c r="BK551" s="110"/>
      <c r="BL551" s="110"/>
      <c r="BM551" s="110"/>
      <c r="BN551" s="110"/>
      <c r="BO551" s="110"/>
      <c r="BP551" s="110"/>
      <c r="BQ551" s="110"/>
      <c r="BR551" s="110"/>
      <c r="BS551" s="110"/>
      <c r="BT551" s="110"/>
      <c r="BU551" s="110"/>
      <c r="BV551" s="110"/>
      <c r="BW551" s="110"/>
      <c r="BX551" s="110"/>
      <c r="BY551" s="110"/>
      <c r="BZ551" s="110"/>
      <c r="CA551" s="110"/>
      <c r="CB551" s="110"/>
      <c r="CC551" s="110"/>
      <c r="CD551" s="110"/>
      <c r="CE551" s="110"/>
      <c r="CF551" s="110"/>
      <c r="CG551" s="110"/>
      <c r="CH551" s="110"/>
      <c r="CI551" s="110"/>
      <c r="CJ551" s="110"/>
      <c r="CK551" s="110"/>
      <c r="CL551" s="110"/>
      <c r="CM551" s="110"/>
      <c r="CN551" s="110"/>
      <c r="CO551" s="110"/>
      <c r="CP551" s="110"/>
      <c r="CQ551" s="110"/>
      <c r="CR551" s="110"/>
      <c r="CS551" s="110"/>
      <c r="CT551" s="110"/>
      <c r="CU551" s="110"/>
      <c r="CV551" s="110"/>
      <c r="CW551" s="110"/>
      <c r="CX551" s="110"/>
      <c r="CY551" s="110"/>
      <c r="CZ551" s="110"/>
      <c r="DA551" s="110"/>
      <c r="DB551" s="110"/>
      <c r="DC551" s="110"/>
      <c r="DD551" s="110"/>
      <c r="DE551" s="110"/>
      <c r="DF551" s="110"/>
      <c r="DG551" s="110"/>
      <c r="DH551" s="110"/>
      <c r="DI551" s="110"/>
      <c r="DJ551" s="110"/>
      <c r="DK551" s="110"/>
      <c r="DL551" s="110"/>
      <c r="DM551" s="110"/>
      <c r="DN551" s="110"/>
      <c r="DO551" s="110"/>
      <c r="DP551" s="110"/>
      <c r="DQ551" s="110"/>
      <c r="DR551" s="110"/>
      <c r="DS551" s="110"/>
      <c r="DT551" s="110"/>
      <c r="DU551" s="110"/>
      <c r="DV551" s="110"/>
      <c r="DW551" s="110"/>
      <c r="DX551" s="110"/>
      <c r="DY551" s="110"/>
      <c r="DZ551" s="110"/>
      <c r="EA551" s="110"/>
      <c r="EB551" s="110"/>
      <c r="EC551" s="110"/>
      <c r="ED551" s="110"/>
      <c r="EE551" s="110"/>
      <c r="EF551" s="110"/>
      <c r="EG551" s="110"/>
      <c r="EH551" s="110"/>
      <c r="EI551" s="110"/>
      <c r="EJ551" s="110"/>
      <c r="EK551" s="110"/>
      <c r="EL551" s="110"/>
      <c r="EM551" s="110"/>
      <c r="EN551" s="110"/>
      <c r="EO551" s="110"/>
    </row>
    <row r="552" spans="1:146" s="111" customFormat="1" ht="31.5" x14ac:dyDescent="0.25">
      <c r="A552" s="32">
        <v>17</v>
      </c>
      <c r="B552" s="32" t="s">
        <v>41</v>
      </c>
      <c r="C552" s="32">
        <v>2</v>
      </c>
      <c r="D552" s="43" t="s">
        <v>1</v>
      </c>
      <c r="E552" s="43" t="s">
        <v>480</v>
      </c>
      <c r="F552" s="44" t="s">
        <v>81</v>
      </c>
      <c r="G552" s="44">
        <v>57</v>
      </c>
      <c r="H552" s="43" t="s">
        <v>481</v>
      </c>
      <c r="I552" s="69"/>
      <c r="J552" s="110"/>
      <c r="K552" s="110"/>
      <c r="L552" s="110"/>
      <c r="M552" s="110"/>
      <c r="N552" s="110"/>
      <c r="O552" s="110"/>
      <c r="P552" s="110"/>
      <c r="Q552" s="110"/>
      <c r="R552" s="110"/>
      <c r="S552" s="110"/>
      <c r="T552" s="110"/>
      <c r="U552" s="110"/>
      <c r="V552" s="110"/>
      <c r="W552" s="110"/>
      <c r="X552" s="110"/>
      <c r="Y552" s="110"/>
      <c r="Z552" s="110"/>
      <c r="AA552" s="110"/>
      <c r="AB552" s="110"/>
      <c r="AC552" s="110"/>
      <c r="AD552" s="110"/>
      <c r="AE552" s="110"/>
      <c r="AF552" s="110"/>
      <c r="AG552" s="110"/>
      <c r="AH552" s="110"/>
      <c r="AI552" s="110"/>
      <c r="AJ552" s="110"/>
      <c r="AK552" s="110"/>
      <c r="AL552" s="110"/>
      <c r="AM552" s="110"/>
      <c r="AN552" s="110"/>
      <c r="AO552" s="110"/>
      <c r="AP552" s="110"/>
      <c r="AQ552" s="110"/>
      <c r="AR552" s="110"/>
      <c r="AS552" s="110"/>
      <c r="AT552" s="110"/>
      <c r="AU552" s="110"/>
      <c r="AV552" s="110"/>
      <c r="AW552" s="110"/>
      <c r="AX552" s="110"/>
      <c r="AY552" s="110"/>
      <c r="AZ552" s="110"/>
      <c r="BA552" s="110"/>
      <c r="BB552" s="110"/>
      <c r="BC552" s="110"/>
      <c r="BD552" s="110"/>
      <c r="BE552" s="110"/>
      <c r="BF552" s="110"/>
      <c r="BG552" s="110"/>
      <c r="BH552" s="110"/>
      <c r="BI552" s="110"/>
      <c r="BJ552" s="110"/>
      <c r="BK552" s="110"/>
      <c r="BL552" s="110"/>
      <c r="BM552" s="110"/>
      <c r="BN552" s="110"/>
      <c r="BO552" s="110"/>
      <c r="BP552" s="110"/>
      <c r="BQ552" s="110"/>
      <c r="BR552" s="110"/>
      <c r="BS552" s="110"/>
      <c r="BT552" s="110"/>
      <c r="BU552" s="110"/>
      <c r="BV552" s="110"/>
      <c r="BW552" s="110"/>
      <c r="BX552" s="110"/>
      <c r="BY552" s="110"/>
      <c r="BZ552" s="110"/>
      <c r="CA552" s="110"/>
      <c r="CB552" s="110"/>
      <c r="CC552" s="110"/>
      <c r="CD552" s="110"/>
      <c r="CE552" s="110"/>
      <c r="CF552" s="110"/>
      <c r="CG552" s="110"/>
      <c r="CH552" s="110"/>
      <c r="CI552" s="110"/>
      <c r="CJ552" s="110"/>
      <c r="CK552" s="110"/>
      <c r="CL552" s="110"/>
      <c r="CM552" s="110"/>
      <c r="CN552" s="110"/>
      <c r="CO552" s="110"/>
      <c r="CP552" s="110"/>
      <c r="CQ552" s="110"/>
      <c r="CR552" s="110"/>
      <c r="CS552" s="110"/>
      <c r="CT552" s="110"/>
      <c r="CU552" s="110"/>
      <c r="CV552" s="110"/>
      <c r="CW552" s="110"/>
      <c r="CX552" s="110"/>
      <c r="CY552" s="110"/>
      <c r="CZ552" s="110"/>
      <c r="DA552" s="110"/>
      <c r="DB552" s="110"/>
      <c r="DC552" s="110"/>
      <c r="DD552" s="110"/>
      <c r="DE552" s="110"/>
      <c r="DF552" s="110"/>
      <c r="DG552" s="110"/>
      <c r="DH552" s="110"/>
      <c r="DI552" s="110"/>
      <c r="DJ552" s="110"/>
      <c r="DK552" s="110"/>
      <c r="DL552" s="110"/>
      <c r="DM552" s="110"/>
      <c r="DN552" s="110"/>
      <c r="DO552" s="110"/>
      <c r="DP552" s="110"/>
      <c r="DQ552" s="110"/>
      <c r="DR552" s="110"/>
      <c r="DS552" s="110"/>
      <c r="DT552" s="110"/>
      <c r="DU552" s="110"/>
      <c r="DV552" s="110"/>
      <c r="DW552" s="110"/>
      <c r="DX552" s="110"/>
      <c r="DY552" s="110"/>
      <c r="DZ552" s="110"/>
      <c r="EA552" s="110"/>
      <c r="EB552" s="110"/>
      <c r="EC552" s="110"/>
      <c r="ED552" s="110"/>
      <c r="EE552" s="110"/>
      <c r="EF552" s="110"/>
      <c r="EG552" s="110"/>
      <c r="EH552" s="110"/>
      <c r="EI552" s="110"/>
      <c r="EJ552" s="110"/>
      <c r="EK552" s="110"/>
      <c r="EL552" s="110"/>
      <c r="EM552" s="110"/>
      <c r="EN552" s="110"/>
      <c r="EO552" s="110"/>
    </row>
    <row r="553" spans="1:146" s="111" customFormat="1" ht="31.5" x14ac:dyDescent="0.25">
      <c r="A553" s="32">
        <v>17</v>
      </c>
      <c r="B553" s="32" t="s">
        <v>41</v>
      </c>
      <c r="C553" s="32">
        <v>2</v>
      </c>
      <c r="D553" s="43" t="s">
        <v>1</v>
      </c>
      <c r="E553" s="43" t="s">
        <v>686</v>
      </c>
      <c r="F553" s="44" t="s">
        <v>81</v>
      </c>
      <c r="G553" s="44">
        <v>15</v>
      </c>
      <c r="H553" s="43" t="s">
        <v>482</v>
      </c>
      <c r="I553" s="69"/>
      <c r="J553" s="110"/>
      <c r="K553" s="110"/>
      <c r="L553" s="110"/>
      <c r="M553" s="110"/>
      <c r="N553" s="110"/>
      <c r="O553" s="110"/>
      <c r="P553" s="110"/>
      <c r="Q553" s="110"/>
      <c r="R553" s="110"/>
      <c r="S553" s="110"/>
      <c r="T553" s="110"/>
      <c r="U553" s="110"/>
      <c r="V553" s="110"/>
      <c r="W553" s="110"/>
      <c r="X553" s="110"/>
      <c r="Y553" s="110"/>
      <c r="Z553" s="110"/>
      <c r="AA553" s="110"/>
      <c r="AB553" s="110"/>
      <c r="AC553" s="110"/>
      <c r="AD553" s="110"/>
      <c r="AE553" s="110"/>
      <c r="AF553" s="110"/>
      <c r="AG553" s="110"/>
      <c r="AH553" s="110"/>
      <c r="AI553" s="110"/>
      <c r="AJ553" s="110"/>
      <c r="AK553" s="110"/>
      <c r="AL553" s="110"/>
      <c r="AM553" s="110"/>
      <c r="AN553" s="110"/>
      <c r="AO553" s="110"/>
      <c r="AP553" s="110"/>
      <c r="AQ553" s="110"/>
      <c r="AR553" s="110"/>
      <c r="AS553" s="110"/>
      <c r="AT553" s="110"/>
      <c r="AU553" s="110"/>
      <c r="AV553" s="110"/>
      <c r="AW553" s="110"/>
      <c r="AX553" s="110"/>
      <c r="AY553" s="110"/>
      <c r="AZ553" s="110"/>
      <c r="BA553" s="110"/>
      <c r="BB553" s="110"/>
      <c r="BC553" s="110"/>
      <c r="BD553" s="110"/>
      <c r="BE553" s="110"/>
      <c r="BF553" s="110"/>
      <c r="BG553" s="110"/>
      <c r="BH553" s="110"/>
      <c r="BI553" s="110"/>
      <c r="BJ553" s="110"/>
      <c r="BK553" s="110"/>
      <c r="BL553" s="110"/>
      <c r="BM553" s="110"/>
      <c r="BN553" s="110"/>
      <c r="BO553" s="110"/>
      <c r="BP553" s="110"/>
      <c r="BQ553" s="110"/>
      <c r="BR553" s="110"/>
      <c r="BS553" s="110"/>
      <c r="BT553" s="110"/>
      <c r="BU553" s="110"/>
      <c r="BV553" s="110"/>
      <c r="BW553" s="110"/>
      <c r="BX553" s="110"/>
      <c r="BY553" s="110"/>
      <c r="BZ553" s="110"/>
      <c r="CA553" s="110"/>
      <c r="CB553" s="110"/>
      <c r="CC553" s="110"/>
      <c r="CD553" s="110"/>
      <c r="CE553" s="110"/>
      <c r="CF553" s="110"/>
      <c r="CG553" s="110"/>
      <c r="CH553" s="110"/>
      <c r="CI553" s="110"/>
      <c r="CJ553" s="110"/>
      <c r="CK553" s="110"/>
      <c r="CL553" s="110"/>
      <c r="CM553" s="110"/>
      <c r="CN553" s="110"/>
      <c r="CO553" s="110"/>
      <c r="CP553" s="110"/>
      <c r="CQ553" s="110"/>
      <c r="CR553" s="110"/>
      <c r="CS553" s="110"/>
      <c r="CT553" s="110"/>
      <c r="CU553" s="110"/>
      <c r="CV553" s="110"/>
      <c r="CW553" s="110"/>
      <c r="CX553" s="110"/>
      <c r="CY553" s="110"/>
      <c r="CZ553" s="110"/>
      <c r="DA553" s="110"/>
      <c r="DB553" s="110"/>
      <c r="DC553" s="110"/>
      <c r="DD553" s="110"/>
      <c r="DE553" s="110"/>
      <c r="DF553" s="110"/>
      <c r="DG553" s="110"/>
      <c r="DH553" s="110"/>
      <c r="DI553" s="110"/>
      <c r="DJ553" s="110"/>
      <c r="DK553" s="110"/>
      <c r="DL553" s="110"/>
      <c r="DM553" s="110"/>
      <c r="DN553" s="110"/>
      <c r="DO553" s="110"/>
      <c r="DP553" s="110"/>
      <c r="DQ553" s="110"/>
      <c r="DR553" s="110"/>
      <c r="DS553" s="110"/>
      <c r="DT553" s="110"/>
      <c r="DU553" s="110"/>
      <c r="DV553" s="110"/>
      <c r="DW553" s="110"/>
      <c r="DX553" s="110"/>
      <c r="DY553" s="110"/>
      <c r="DZ553" s="110"/>
      <c r="EA553" s="110"/>
      <c r="EB553" s="110"/>
      <c r="EC553" s="110"/>
      <c r="ED553" s="110"/>
      <c r="EE553" s="110"/>
      <c r="EF553" s="110"/>
      <c r="EG553" s="110"/>
      <c r="EH553" s="110"/>
      <c r="EI553" s="110"/>
      <c r="EJ553" s="110"/>
      <c r="EK553" s="110"/>
      <c r="EL553" s="110"/>
      <c r="EM553" s="110"/>
      <c r="EN553" s="110"/>
      <c r="EO553" s="110"/>
    </row>
    <row r="554" spans="1:146" s="111" customFormat="1" ht="31.5" x14ac:dyDescent="0.25">
      <c r="A554" s="32">
        <v>17</v>
      </c>
      <c r="B554" s="32" t="s">
        <v>41</v>
      </c>
      <c r="C554" s="32">
        <v>2</v>
      </c>
      <c r="D554" s="38" t="s">
        <v>393</v>
      </c>
      <c r="E554" s="38" t="s">
        <v>683</v>
      </c>
      <c r="F554" s="42" t="s">
        <v>69</v>
      </c>
      <c r="G554" s="42">
        <v>75</v>
      </c>
      <c r="H554" s="38" t="s">
        <v>478</v>
      </c>
      <c r="I554" s="69"/>
      <c r="J554" s="110"/>
      <c r="K554" s="110"/>
      <c r="L554" s="110"/>
      <c r="M554" s="110"/>
      <c r="N554" s="110"/>
      <c r="O554" s="110"/>
      <c r="P554" s="110"/>
      <c r="Q554" s="110"/>
      <c r="R554" s="110"/>
      <c r="S554" s="110"/>
      <c r="T554" s="110"/>
      <c r="U554" s="110"/>
      <c r="V554" s="110"/>
      <c r="W554" s="110"/>
      <c r="X554" s="110"/>
      <c r="Y554" s="110"/>
      <c r="Z554" s="110"/>
      <c r="AA554" s="110"/>
      <c r="AB554" s="110"/>
      <c r="AC554" s="110"/>
      <c r="AD554" s="110"/>
      <c r="AE554" s="110"/>
      <c r="AF554" s="110"/>
      <c r="AG554" s="110"/>
      <c r="AH554" s="110"/>
      <c r="AI554" s="110"/>
      <c r="AJ554" s="110"/>
      <c r="AK554" s="110"/>
      <c r="AL554" s="110"/>
      <c r="AM554" s="110"/>
      <c r="AN554" s="110"/>
      <c r="AO554" s="110"/>
      <c r="AP554" s="110"/>
      <c r="AQ554" s="110"/>
      <c r="AR554" s="110"/>
      <c r="AS554" s="110"/>
      <c r="AT554" s="110"/>
      <c r="AU554" s="110"/>
      <c r="AV554" s="110"/>
      <c r="AW554" s="110"/>
      <c r="AX554" s="110"/>
      <c r="AY554" s="110"/>
      <c r="AZ554" s="110"/>
      <c r="BA554" s="110"/>
      <c r="BB554" s="110"/>
      <c r="BC554" s="110"/>
      <c r="BD554" s="110"/>
      <c r="BE554" s="110"/>
      <c r="BF554" s="110"/>
      <c r="BG554" s="110"/>
      <c r="BH554" s="110"/>
      <c r="BI554" s="110"/>
      <c r="BJ554" s="110"/>
      <c r="BK554" s="110"/>
      <c r="BL554" s="110"/>
      <c r="BM554" s="110"/>
      <c r="BN554" s="110"/>
      <c r="BO554" s="110"/>
      <c r="BP554" s="110"/>
      <c r="BQ554" s="110"/>
      <c r="BR554" s="110"/>
      <c r="BS554" s="110"/>
      <c r="BT554" s="110"/>
      <c r="BU554" s="110"/>
      <c r="BV554" s="110"/>
      <c r="BW554" s="110"/>
      <c r="BX554" s="110"/>
      <c r="BY554" s="110"/>
      <c r="BZ554" s="110"/>
      <c r="CA554" s="110"/>
      <c r="CB554" s="110"/>
      <c r="CC554" s="110"/>
      <c r="CD554" s="110"/>
      <c r="CE554" s="110"/>
      <c r="CF554" s="110"/>
      <c r="CG554" s="110"/>
      <c r="CH554" s="110"/>
      <c r="CI554" s="110"/>
      <c r="CJ554" s="110"/>
      <c r="CK554" s="110"/>
      <c r="CL554" s="110"/>
      <c r="CM554" s="110"/>
      <c r="CN554" s="110"/>
      <c r="CO554" s="110"/>
      <c r="CP554" s="110"/>
      <c r="CQ554" s="110"/>
      <c r="CR554" s="110"/>
      <c r="CS554" s="110"/>
      <c r="CT554" s="110"/>
      <c r="CU554" s="110"/>
      <c r="CV554" s="110"/>
      <c r="CW554" s="110"/>
      <c r="CX554" s="110"/>
      <c r="CY554" s="110"/>
      <c r="CZ554" s="110"/>
      <c r="DA554" s="110"/>
      <c r="DB554" s="110"/>
      <c r="DC554" s="110"/>
      <c r="DD554" s="110"/>
      <c r="DE554" s="110"/>
      <c r="DF554" s="110"/>
      <c r="DG554" s="110"/>
      <c r="DH554" s="110"/>
      <c r="DI554" s="110"/>
      <c r="DJ554" s="110"/>
      <c r="DK554" s="110"/>
      <c r="DL554" s="110"/>
      <c r="DM554" s="110"/>
      <c r="DN554" s="110"/>
      <c r="DO554" s="110"/>
      <c r="DP554" s="110"/>
      <c r="DQ554" s="110"/>
      <c r="DR554" s="110"/>
      <c r="DS554" s="110"/>
      <c r="DT554" s="110"/>
      <c r="DU554" s="110"/>
      <c r="DV554" s="110"/>
      <c r="DW554" s="110"/>
      <c r="DX554" s="110"/>
      <c r="DY554" s="110"/>
      <c r="DZ554" s="110"/>
      <c r="EA554" s="110"/>
      <c r="EB554" s="110"/>
      <c r="EC554" s="110"/>
      <c r="ED554" s="110"/>
      <c r="EE554" s="110"/>
      <c r="EF554" s="110"/>
      <c r="EG554" s="110"/>
      <c r="EH554" s="110"/>
      <c r="EI554" s="110"/>
      <c r="EJ554" s="110"/>
      <c r="EK554" s="110"/>
      <c r="EL554" s="110"/>
      <c r="EM554" s="110"/>
      <c r="EN554" s="110"/>
      <c r="EO554" s="110"/>
    </row>
    <row r="555" spans="1:146" s="110" customFormat="1" ht="47.25" x14ac:dyDescent="0.25">
      <c r="A555" s="32">
        <v>17</v>
      </c>
      <c r="B555" s="32" t="s">
        <v>41</v>
      </c>
      <c r="C555" s="32">
        <v>2</v>
      </c>
      <c r="D555" s="43" t="s">
        <v>393</v>
      </c>
      <c r="E555" s="43" t="s">
        <v>685</v>
      </c>
      <c r="F555" s="44" t="s">
        <v>81</v>
      </c>
      <c r="G555" s="44">
        <v>6</v>
      </c>
      <c r="H555" s="43" t="s">
        <v>479</v>
      </c>
      <c r="I555" s="69"/>
      <c r="EP555" s="111"/>
    </row>
    <row r="556" spans="1:146" s="110" customFormat="1" x14ac:dyDescent="0.25">
      <c r="A556" s="63">
        <v>17</v>
      </c>
      <c r="B556" s="63" t="s">
        <v>41</v>
      </c>
      <c r="C556" s="63">
        <v>3</v>
      </c>
      <c r="D556" s="64" t="s">
        <v>137</v>
      </c>
      <c r="E556" s="64" t="s">
        <v>476</v>
      </c>
      <c r="F556" s="65" t="s">
        <v>81</v>
      </c>
      <c r="G556" s="65">
        <v>61</v>
      </c>
      <c r="H556" s="64" t="s">
        <v>815</v>
      </c>
      <c r="I556" s="69"/>
      <c r="EP556" s="111"/>
    </row>
    <row r="557" spans="1:146" s="110" customFormat="1" ht="47.25" x14ac:dyDescent="0.25">
      <c r="A557" s="63">
        <v>17</v>
      </c>
      <c r="B557" s="63" t="s">
        <v>41</v>
      </c>
      <c r="C557" s="63">
        <v>3</v>
      </c>
      <c r="D557" s="64" t="s">
        <v>0</v>
      </c>
      <c r="E557" s="64" t="s">
        <v>812</v>
      </c>
      <c r="F557" s="65" t="s">
        <v>81</v>
      </c>
      <c r="G557" s="65">
        <v>15</v>
      </c>
      <c r="H557" s="64" t="s">
        <v>479</v>
      </c>
      <c r="I557" s="69"/>
      <c r="EP557" s="111"/>
    </row>
    <row r="558" spans="1:146" s="110" customFormat="1" ht="31.5" x14ac:dyDescent="0.25">
      <c r="A558" s="63">
        <v>17</v>
      </c>
      <c r="B558" s="63" t="s">
        <v>41</v>
      </c>
      <c r="C558" s="63">
        <v>3</v>
      </c>
      <c r="D558" s="64" t="s">
        <v>1</v>
      </c>
      <c r="E558" s="64" t="s">
        <v>480</v>
      </c>
      <c r="F558" s="65" t="s">
        <v>81</v>
      </c>
      <c r="G558" s="65">
        <v>74</v>
      </c>
      <c r="H558" s="64" t="s">
        <v>818</v>
      </c>
      <c r="I558" s="56"/>
      <c r="EP558" s="111"/>
    </row>
    <row r="559" spans="1:146" s="110" customFormat="1" ht="47.25" x14ac:dyDescent="0.25">
      <c r="A559" s="63">
        <v>17</v>
      </c>
      <c r="B559" s="63" t="s">
        <v>41</v>
      </c>
      <c r="C559" s="63">
        <v>3</v>
      </c>
      <c r="D559" s="64" t="s">
        <v>393</v>
      </c>
      <c r="E559" s="64" t="s">
        <v>813</v>
      </c>
      <c r="F559" s="65" t="s">
        <v>81</v>
      </c>
      <c r="G559" s="65">
        <v>85</v>
      </c>
      <c r="H559" s="64" t="s">
        <v>814</v>
      </c>
      <c r="I559" s="69"/>
      <c r="EP559" s="111"/>
    </row>
    <row r="560" spans="1:146" s="110" customFormat="1" ht="47.25" x14ac:dyDescent="0.25">
      <c r="A560" s="63">
        <v>17</v>
      </c>
      <c r="B560" s="63" t="s">
        <v>41</v>
      </c>
      <c r="C560" s="63">
        <v>3</v>
      </c>
      <c r="D560" s="64" t="s">
        <v>393</v>
      </c>
      <c r="E560" s="64" t="s">
        <v>816</v>
      </c>
      <c r="F560" s="65" t="s">
        <v>69</v>
      </c>
      <c r="G560" s="65">
        <v>80</v>
      </c>
      <c r="H560" s="64" t="s">
        <v>817</v>
      </c>
      <c r="I560" s="69"/>
      <c r="EP560" s="111"/>
    </row>
    <row r="561" spans="1:146" s="110" customFormat="1" ht="47.25" x14ac:dyDescent="0.25">
      <c r="A561" s="45">
        <v>17</v>
      </c>
      <c r="B561" s="45" t="s">
        <v>41</v>
      </c>
      <c r="C561" s="45">
        <v>4</v>
      </c>
      <c r="D561" s="50" t="s">
        <v>0</v>
      </c>
      <c r="E561" s="50" t="s">
        <v>812</v>
      </c>
      <c r="F561" s="54" t="s">
        <v>81</v>
      </c>
      <c r="G561" s="54" t="s">
        <v>1243</v>
      </c>
      <c r="H561" s="50" t="s">
        <v>479</v>
      </c>
      <c r="I561" s="69"/>
      <c r="EP561" s="111"/>
    </row>
    <row r="562" spans="1:146" s="110" customFormat="1" ht="47.25" x14ac:dyDescent="0.25">
      <c r="A562" s="45">
        <v>17</v>
      </c>
      <c r="B562" s="45" t="s">
        <v>41</v>
      </c>
      <c r="C562" s="45">
        <v>4</v>
      </c>
      <c r="D562" s="50" t="s">
        <v>393</v>
      </c>
      <c r="E562" s="50" t="s">
        <v>813</v>
      </c>
      <c r="F562" s="54" t="s">
        <v>81</v>
      </c>
      <c r="G562" s="54" t="s">
        <v>1243</v>
      </c>
      <c r="H562" s="50" t="s">
        <v>814</v>
      </c>
      <c r="I562" s="69"/>
      <c r="EP562" s="111"/>
    </row>
    <row r="563" spans="1:146" s="110" customFormat="1" ht="31.5" x14ac:dyDescent="0.25">
      <c r="A563" s="45">
        <v>17</v>
      </c>
      <c r="B563" s="45" t="s">
        <v>41</v>
      </c>
      <c r="C563" s="45">
        <v>4</v>
      </c>
      <c r="D563" s="50" t="s">
        <v>1</v>
      </c>
      <c r="E563" s="50" t="s">
        <v>1244</v>
      </c>
      <c r="F563" s="54" t="s">
        <v>81</v>
      </c>
      <c r="G563" s="54" t="s">
        <v>1245</v>
      </c>
      <c r="H563" s="50" t="s">
        <v>1246</v>
      </c>
      <c r="I563" s="69"/>
      <c r="EP563" s="111"/>
    </row>
    <row r="564" spans="1:146" s="110" customFormat="1" ht="47.25" x14ac:dyDescent="0.25">
      <c r="A564" s="45">
        <v>17</v>
      </c>
      <c r="B564" s="45" t="s">
        <v>41</v>
      </c>
      <c r="C564" s="45">
        <v>4</v>
      </c>
      <c r="D564" s="50" t="s">
        <v>393</v>
      </c>
      <c r="E564" s="50" t="s">
        <v>816</v>
      </c>
      <c r="F564" s="54" t="s">
        <v>69</v>
      </c>
      <c r="G564" s="54" t="s">
        <v>1243</v>
      </c>
      <c r="H564" s="50" t="s">
        <v>1247</v>
      </c>
      <c r="I564" s="69"/>
      <c r="EP564" s="111"/>
    </row>
    <row r="565" spans="1:146" s="110" customFormat="1" ht="31.5" x14ac:dyDescent="0.25">
      <c r="A565" s="45">
        <v>17</v>
      </c>
      <c r="B565" s="45" t="s">
        <v>41</v>
      </c>
      <c r="C565" s="45">
        <v>4</v>
      </c>
      <c r="D565" s="50" t="s">
        <v>137</v>
      </c>
      <c r="E565" s="50" t="s">
        <v>476</v>
      </c>
      <c r="F565" s="54" t="s">
        <v>81</v>
      </c>
      <c r="G565" s="54" t="s">
        <v>1248</v>
      </c>
      <c r="H565" s="50" t="s">
        <v>1249</v>
      </c>
      <c r="I565" s="69"/>
      <c r="EP565" s="111"/>
    </row>
    <row r="566" spans="1:146" s="110" customFormat="1" ht="31.5" x14ac:dyDescent="0.25">
      <c r="A566" s="45">
        <v>17</v>
      </c>
      <c r="B566" s="45" t="s">
        <v>41</v>
      </c>
      <c r="C566" s="45">
        <v>4</v>
      </c>
      <c r="D566" s="50" t="s">
        <v>1</v>
      </c>
      <c r="E566" s="50" t="s">
        <v>1250</v>
      </c>
      <c r="F566" s="54" t="s">
        <v>69</v>
      </c>
      <c r="G566" s="54" t="s">
        <v>1251</v>
      </c>
      <c r="H566" s="50" t="s">
        <v>1252</v>
      </c>
      <c r="I566" s="69"/>
      <c r="EP566" s="111"/>
    </row>
    <row r="567" spans="1:146" s="110" customFormat="1" ht="31.5" x14ac:dyDescent="0.25">
      <c r="A567" s="45">
        <v>17</v>
      </c>
      <c r="B567" s="45" t="s">
        <v>41</v>
      </c>
      <c r="C567" s="45">
        <v>4</v>
      </c>
      <c r="D567" s="50" t="s">
        <v>4</v>
      </c>
      <c r="E567" s="50" t="s">
        <v>1253</v>
      </c>
      <c r="F567" s="54" t="s">
        <v>69</v>
      </c>
      <c r="G567" s="54" t="s">
        <v>1243</v>
      </c>
      <c r="H567" s="50" t="s">
        <v>1254</v>
      </c>
      <c r="I567" s="69"/>
      <c r="EP567" s="111"/>
    </row>
    <row r="568" spans="1:146" s="110" customFormat="1" ht="31.5" x14ac:dyDescent="0.25">
      <c r="A568" s="45">
        <v>17</v>
      </c>
      <c r="B568" s="45" t="s">
        <v>41</v>
      </c>
      <c r="C568" s="45">
        <v>4</v>
      </c>
      <c r="D568" s="50" t="s">
        <v>1</v>
      </c>
      <c r="E568" s="50" t="s">
        <v>480</v>
      </c>
      <c r="F568" s="54" t="s">
        <v>81</v>
      </c>
      <c r="G568" s="54" t="s">
        <v>1255</v>
      </c>
      <c r="H568" s="50" t="s">
        <v>1256</v>
      </c>
      <c r="I568" s="69"/>
      <c r="EP568" s="111"/>
    </row>
    <row r="569" spans="1:146" s="110" customFormat="1" ht="31.5" x14ac:dyDescent="0.25">
      <c r="A569" s="14">
        <v>18</v>
      </c>
      <c r="B569" s="14" t="s">
        <v>261</v>
      </c>
      <c r="C569" s="14">
        <v>1</v>
      </c>
      <c r="D569" s="22" t="s">
        <v>4</v>
      </c>
      <c r="E569" s="21" t="s">
        <v>262</v>
      </c>
      <c r="F569" s="24" t="s">
        <v>81</v>
      </c>
      <c r="G569" s="24">
        <v>10</v>
      </c>
      <c r="H569" s="22" t="s">
        <v>263</v>
      </c>
      <c r="I569" s="69"/>
      <c r="EP569" s="111"/>
    </row>
    <row r="570" spans="1:146" s="110" customFormat="1" x14ac:dyDescent="0.25">
      <c r="A570" s="14">
        <v>18</v>
      </c>
      <c r="B570" s="14" t="s">
        <v>261</v>
      </c>
      <c r="C570" s="14">
        <v>1</v>
      </c>
      <c r="D570" s="22" t="s">
        <v>1</v>
      </c>
      <c r="E570" s="21" t="s">
        <v>264</v>
      </c>
      <c r="F570" s="24" t="s">
        <v>81</v>
      </c>
      <c r="G570" s="24">
        <v>11</v>
      </c>
      <c r="H570" s="22" t="s">
        <v>265</v>
      </c>
      <c r="I570" s="69"/>
      <c r="EP570" s="111"/>
    </row>
    <row r="571" spans="1:146" s="110" customFormat="1" x14ac:dyDescent="0.25">
      <c r="A571" s="14">
        <v>18</v>
      </c>
      <c r="B571" s="14" t="s">
        <v>261</v>
      </c>
      <c r="C571" s="14">
        <v>1</v>
      </c>
      <c r="D571" s="22" t="s">
        <v>1</v>
      </c>
      <c r="E571" s="21" t="s">
        <v>264</v>
      </c>
      <c r="F571" s="24" t="s">
        <v>81</v>
      </c>
      <c r="G571" s="24">
        <v>17</v>
      </c>
      <c r="H571" s="22" t="s">
        <v>266</v>
      </c>
      <c r="I571" s="69"/>
      <c r="EP571" s="111"/>
    </row>
    <row r="572" spans="1:146" s="110" customFormat="1" ht="177" customHeight="1" x14ac:dyDescent="0.25">
      <c r="A572" s="14">
        <v>18</v>
      </c>
      <c r="B572" s="14" t="s">
        <v>261</v>
      </c>
      <c r="C572" s="14">
        <v>1</v>
      </c>
      <c r="D572" s="22" t="s">
        <v>1</v>
      </c>
      <c r="E572" s="21" t="s">
        <v>264</v>
      </c>
      <c r="F572" s="24" t="s">
        <v>81</v>
      </c>
      <c r="G572" s="24">
        <v>16</v>
      </c>
      <c r="H572" s="22" t="s">
        <v>267</v>
      </c>
      <c r="I572" s="69"/>
      <c r="EP572" s="111"/>
    </row>
    <row r="573" spans="1:146" s="110" customFormat="1" ht="31.5" x14ac:dyDescent="0.25">
      <c r="A573" s="14">
        <v>18</v>
      </c>
      <c r="B573" s="14" t="s">
        <v>261</v>
      </c>
      <c r="C573" s="14">
        <v>1</v>
      </c>
      <c r="D573" s="22" t="s">
        <v>1</v>
      </c>
      <c r="E573" s="21" t="s">
        <v>264</v>
      </c>
      <c r="F573" s="24" t="s">
        <v>81</v>
      </c>
      <c r="G573" s="24">
        <v>23</v>
      </c>
      <c r="H573" s="22" t="s">
        <v>268</v>
      </c>
      <c r="I573" s="69"/>
      <c r="EP573" s="111"/>
    </row>
    <row r="574" spans="1:146" s="110" customFormat="1" x14ac:dyDescent="0.25">
      <c r="A574" s="14">
        <v>18</v>
      </c>
      <c r="B574" s="14" t="s">
        <v>261</v>
      </c>
      <c r="C574" s="14">
        <v>1</v>
      </c>
      <c r="D574" s="22" t="s">
        <v>1</v>
      </c>
      <c r="E574" s="21" t="s">
        <v>264</v>
      </c>
      <c r="F574" s="24" t="s">
        <v>81</v>
      </c>
      <c r="G574" s="24">
        <v>17</v>
      </c>
      <c r="H574" s="22" t="s">
        <v>269</v>
      </c>
      <c r="I574" s="69"/>
      <c r="EP574" s="111"/>
    </row>
    <row r="575" spans="1:146" s="110" customFormat="1" ht="31.5" x14ac:dyDescent="0.25">
      <c r="A575" s="14">
        <v>18</v>
      </c>
      <c r="B575" s="14" t="s">
        <v>261</v>
      </c>
      <c r="C575" s="14">
        <v>1</v>
      </c>
      <c r="D575" s="22" t="s">
        <v>1</v>
      </c>
      <c r="E575" s="21" t="s">
        <v>264</v>
      </c>
      <c r="F575" s="24" t="s">
        <v>81</v>
      </c>
      <c r="G575" s="24">
        <v>20</v>
      </c>
      <c r="H575" s="22" t="s">
        <v>270</v>
      </c>
      <c r="I575" s="69"/>
      <c r="EP575" s="111"/>
    </row>
    <row r="576" spans="1:146" s="110" customFormat="1" x14ac:dyDescent="0.25">
      <c r="A576" s="32">
        <v>18</v>
      </c>
      <c r="B576" s="32" t="s">
        <v>261</v>
      </c>
      <c r="C576" s="32">
        <v>2</v>
      </c>
      <c r="D576" s="37" t="s">
        <v>0</v>
      </c>
      <c r="E576" s="35" t="s">
        <v>484</v>
      </c>
      <c r="F576" s="36" t="s">
        <v>81</v>
      </c>
      <c r="G576" s="36">
        <v>40</v>
      </c>
      <c r="H576" s="37" t="s">
        <v>485</v>
      </c>
      <c r="I576" s="69"/>
      <c r="EP576" s="111"/>
    </row>
    <row r="577" spans="1:146" s="110" customFormat="1" x14ac:dyDescent="0.25">
      <c r="A577" s="32">
        <v>18</v>
      </c>
      <c r="B577" s="32" t="s">
        <v>261</v>
      </c>
      <c r="C577" s="32">
        <v>2</v>
      </c>
      <c r="D577" s="37" t="s">
        <v>0</v>
      </c>
      <c r="E577" s="35" t="s">
        <v>486</v>
      </c>
      <c r="F577" s="36" t="s">
        <v>81</v>
      </c>
      <c r="G577" s="36">
        <v>40</v>
      </c>
      <c r="H577" s="37" t="s">
        <v>487</v>
      </c>
      <c r="I577" s="69"/>
      <c r="EP577" s="111"/>
    </row>
    <row r="578" spans="1:146" s="110" customFormat="1" x14ac:dyDescent="0.25">
      <c r="A578" s="32">
        <v>18</v>
      </c>
      <c r="B578" s="32" t="s">
        <v>261</v>
      </c>
      <c r="C578" s="32">
        <v>2</v>
      </c>
      <c r="D578" s="37" t="s">
        <v>0</v>
      </c>
      <c r="E578" s="35" t="s">
        <v>586</v>
      </c>
      <c r="F578" s="36" t="s">
        <v>81</v>
      </c>
      <c r="G578" s="36">
        <v>40</v>
      </c>
      <c r="H578" s="37" t="s">
        <v>488</v>
      </c>
      <c r="I578" s="69"/>
      <c r="EP578" s="111"/>
    </row>
    <row r="579" spans="1:146" s="110" customFormat="1" x14ac:dyDescent="0.25">
      <c r="A579" s="32">
        <v>18</v>
      </c>
      <c r="B579" s="32" t="s">
        <v>261</v>
      </c>
      <c r="C579" s="32">
        <v>2</v>
      </c>
      <c r="D579" s="37" t="s">
        <v>1</v>
      </c>
      <c r="E579" s="35" t="s">
        <v>264</v>
      </c>
      <c r="F579" s="36" t="s">
        <v>81</v>
      </c>
      <c r="G579" s="36">
        <v>11</v>
      </c>
      <c r="H579" s="37" t="s">
        <v>483</v>
      </c>
      <c r="I579" s="69"/>
      <c r="EP579" s="111"/>
    </row>
    <row r="580" spans="1:146" s="110" customFormat="1" x14ac:dyDescent="0.25">
      <c r="A580" s="32">
        <v>18</v>
      </c>
      <c r="B580" s="32" t="s">
        <v>261</v>
      </c>
      <c r="C580" s="32">
        <v>2</v>
      </c>
      <c r="D580" s="37" t="s">
        <v>1</v>
      </c>
      <c r="E580" s="35" t="s">
        <v>484</v>
      </c>
      <c r="F580" s="36" t="s">
        <v>81</v>
      </c>
      <c r="G580" s="36">
        <v>40</v>
      </c>
      <c r="H580" s="37" t="s">
        <v>489</v>
      </c>
      <c r="I580" s="69"/>
      <c r="EP580" s="111"/>
    </row>
    <row r="581" spans="1:146" s="110" customFormat="1" x14ac:dyDescent="0.25">
      <c r="A581" s="32">
        <v>18</v>
      </c>
      <c r="B581" s="32" t="s">
        <v>261</v>
      </c>
      <c r="C581" s="32">
        <v>2</v>
      </c>
      <c r="D581" s="37" t="s">
        <v>1</v>
      </c>
      <c r="E581" s="35" t="s">
        <v>587</v>
      </c>
      <c r="F581" s="36" t="s">
        <v>81</v>
      </c>
      <c r="G581" s="36">
        <v>40</v>
      </c>
      <c r="H581" s="37" t="s">
        <v>490</v>
      </c>
      <c r="I581" s="69"/>
      <c r="EP581" s="111"/>
    </row>
    <row r="582" spans="1:146" s="110" customFormat="1" x14ac:dyDescent="0.25">
      <c r="A582" s="32">
        <v>18</v>
      </c>
      <c r="B582" s="32" t="s">
        <v>261</v>
      </c>
      <c r="C582" s="32">
        <v>2</v>
      </c>
      <c r="D582" s="37" t="s">
        <v>1</v>
      </c>
      <c r="E582" s="35" t="s">
        <v>491</v>
      </c>
      <c r="F582" s="36" t="s">
        <v>81</v>
      </c>
      <c r="G582" s="36">
        <v>40</v>
      </c>
      <c r="H582" s="37" t="s">
        <v>492</v>
      </c>
      <c r="I582" s="69"/>
      <c r="EP582" s="111"/>
    </row>
    <row r="583" spans="1:146" s="110" customFormat="1" x14ac:dyDescent="0.25">
      <c r="A583" s="63">
        <v>18</v>
      </c>
      <c r="B583" s="63" t="s">
        <v>261</v>
      </c>
      <c r="C583" s="63">
        <v>3</v>
      </c>
      <c r="D583" s="109" t="s">
        <v>0</v>
      </c>
      <c r="E583" s="66" t="s">
        <v>819</v>
      </c>
      <c r="F583" s="67" t="s">
        <v>81</v>
      </c>
      <c r="G583" s="67">
        <v>40</v>
      </c>
      <c r="H583" s="109" t="s">
        <v>820</v>
      </c>
      <c r="I583" s="69"/>
      <c r="EP583" s="111"/>
    </row>
    <row r="584" spans="1:146" s="110" customFormat="1" x14ac:dyDescent="0.25">
      <c r="A584" s="63">
        <v>18</v>
      </c>
      <c r="B584" s="63" t="s">
        <v>261</v>
      </c>
      <c r="C584" s="63">
        <v>3</v>
      </c>
      <c r="D584" s="109" t="s">
        <v>1</v>
      </c>
      <c r="E584" s="66" t="s">
        <v>821</v>
      </c>
      <c r="F584" s="67" t="s">
        <v>81</v>
      </c>
      <c r="G584" s="67">
        <v>40</v>
      </c>
      <c r="H584" s="109" t="s">
        <v>822</v>
      </c>
      <c r="I584" s="69"/>
      <c r="EP584" s="111"/>
    </row>
    <row r="585" spans="1:146" s="110" customFormat="1" x14ac:dyDescent="0.25">
      <c r="A585" s="63">
        <v>18</v>
      </c>
      <c r="B585" s="63" t="s">
        <v>261</v>
      </c>
      <c r="C585" s="63">
        <v>3</v>
      </c>
      <c r="D585" s="109" t="s">
        <v>1</v>
      </c>
      <c r="E585" s="66" t="s">
        <v>586</v>
      </c>
      <c r="F585" s="67" t="s">
        <v>81</v>
      </c>
      <c r="G585" s="67">
        <v>40</v>
      </c>
      <c r="H585" s="109" t="s">
        <v>820</v>
      </c>
      <c r="I585" s="69"/>
      <c r="EP585" s="111"/>
    </row>
    <row r="586" spans="1:146" s="110" customFormat="1" x14ac:dyDescent="0.25">
      <c r="A586" s="63">
        <v>18</v>
      </c>
      <c r="B586" s="63" t="s">
        <v>261</v>
      </c>
      <c r="C586" s="63">
        <v>3</v>
      </c>
      <c r="D586" s="109" t="s">
        <v>1</v>
      </c>
      <c r="E586" s="66" t="s">
        <v>823</v>
      </c>
      <c r="F586" s="67" t="s">
        <v>81</v>
      </c>
      <c r="G586" s="67">
        <v>40</v>
      </c>
      <c r="H586" s="109" t="s">
        <v>820</v>
      </c>
      <c r="I586" s="69"/>
      <c r="EP586" s="111"/>
    </row>
    <row r="587" spans="1:146" s="110" customFormat="1" x14ac:dyDescent="0.25">
      <c r="A587" s="63">
        <v>18</v>
      </c>
      <c r="B587" s="63" t="s">
        <v>261</v>
      </c>
      <c r="C587" s="63">
        <v>3</v>
      </c>
      <c r="D587" s="109" t="s">
        <v>1</v>
      </c>
      <c r="E587" s="66" t="s">
        <v>824</v>
      </c>
      <c r="F587" s="67" t="s">
        <v>81</v>
      </c>
      <c r="G587" s="67">
        <v>40</v>
      </c>
      <c r="H587" s="109" t="s">
        <v>825</v>
      </c>
      <c r="I587" s="69"/>
      <c r="EP587" s="111"/>
    </row>
    <row r="588" spans="1:146" s="110" customFormat="1" x14ac:dyDescent="0.25">
      <c r="A588" s="63">
        <v>18</v>
      </c>
      <c r="B588" s="63" t="s">
        <v>261</v>
      </c>
      <c r="C588" s="63">
        <v>3</v>
      </c>
      <c r="D588" s="109" t="s">
        <v>1</v>
      </c>
      <c r="E588" s="66" t="s">
        <v>826</v>
      </c>
      <c r="F588" s="67" t="s">
        <v>81</v>
      </c>
      <c r="G588" s="67">
        <v>40</v>
      </c>
      <c r="H588" s="109" t="s">
        <v>827</v>
      </c>
      <c r="I588" s="69"/>
      <c r="EP588" s="111"/>
    </row>
    <row r="589" spans="1:146" s="110" customFormat="1" x14ac:dyDescent="0.25">
      <c r="A589" s="63">
        <v>18</v>
      </c>
      <c r="B589" s="63" t="s">
        <v>261</v>
      </c>
      <c r="C589" s="63">
        <v>3</v>
      </c>
      <c r="D589" s="109" t="s">
        <v>393</v>
      </c>
      <c r="E589" s="66" t="s">
        <v>828</v>
      </c>
      <c r="F589" s="67" t="s">
        <v>81</v>
      </c>
      <c r="G589" s="67">
        <v>2</v>
      </c>
      <c r="H589" s="109" t="s">
        <v>829</v>
      </c>
      <c r="I589" s="56"/>
      <c r="EP589" s="111"/>
    </row>
    <row r="590" spans="1:146" s="110" customFormat="1" x14ac:dyDescent="0.25">
      <c r="A590" s="45">
        <v>18</v>
      </c>
      <c r="B590" s="45" t="s">
        <v>261</v>
      </c>
      <c r="C590" s="45">
        <v>4</v>
      </c>
      <c r="D590" s="48" t="s">
        <v>1</v>
      </c>
      <c r="E590" s="46" t="s">
        <v>1257</v>
      </c>
      <c r="F590" s="47" t="s">
        <v>81</v>
      </c>
      <c r="G590" s="47">
        <v>101</v>
      </c>
      <c r="H590" s="48" t="s">
        <v>1258</v>
      </c>
      <c r="I590" s="69"/>
      <c r="EP590" s="111"/>
    </row>
    <row r="591" spans="1:146" s="110" customFormat="1" x14ac:dyDescent="0.25">
      <c r="A591" s="45">
        <v>18</v>
      </c>
      <c r="B591" s="45" t="s">
        <v>261</v>
      </c>
      <c r="C591" s="45">
        <v>4</v>
      </c>
      <c r="D591" s="48" t="s">
        <v>393</v>
      </c>
      <c r="E591" s="46" t="s">
        <v>1515</v>
      </c>
      <c r="F591" s="47" t="s">
        <v>81</v>
      </c>
      <c r="G591" s="47">
        <v>10</v>
      </c>
      <c r="H591" s="48" t="s">
        <v>1259</v>
      </c>
      <c r="I591" s="69"/>
      <c r="EP591" s="111"/>
    </row>
    <row r="592" spans="1:146" s="110" customFormat="1" x14ac:dyDescent="0.25">
      <c r="A592" s="45">
        <v>18</v>
      </c>
      <c r="B592" s="45" t="s">
        <v>261</v>
      </c>
      <c r="C592" s="45">
        <v>4</v>
      </c>
      <c r="D592" s="48" t="s">
        <v>393</v>
      </c>
      <c r="E592" s="46" t="s">
        <v>1260</v>
      </c>
      <c r="F592" s="47" t="s">
        <v>81</v>
      </c>
      <c r="G592" s="47">
        <v>75</v>
      </c>
      <c r="H592" s="48" t="s">
        <v>1259</v>
      </c>
      <c r="I592" s="69"/>
      <c r="EP592" s="111"/>
    </row>
    <row r="593" spans="1:146" s="110" customFormat="1" x14ac:dyDescent="0.25">
      <c r="A593" s="45">
        <v>18</v>
      </c>
      <c r="B593" s="45" t="s">
        <v>261</v>
      </c>
      <c r="C593" s="45">
        <v>4</v>
      </c>
      <c r="D593" s="48" t="s">
        <v>393</v>
      </c>
      <c r="E593" s="46" t="s">
        <v>1261</v>
      </c>
      <c r="F593" s="47" t="s">
        <v>81</v>
      </c>
      <c r="G593" s="47">
        <v>7</v>
      </c>
      <c r="H593" s="48" t="s">
        <v>1262</v>
      </c>
      <c r="I593" s="69"/>
      <c r="EP593" s="111"/>
    </row>
    <row r="594" spans="1:146" s="110" customFormat="1" x14ac:dyDescent="0.25">
      <c r="A594" s="45">
        <v>18</v>
      </c>
      <c r="B594" s="45" t="s">
        <v>261</v>
      </c>
      <c r="C594" s="45">
        <v>4</v>
      </c>
      <c r="D594" s="48" t="s">
        <v>1</v>
      </c>
      <c r="E594" s="46" t="s">
        <v>1263</v>
      </c>
      <c r="F594" s="47" t="s">
        <v>69</v>
      </c>
      <c r="G594" s="47">
        <v>13</v>
      </c>
      <c r="H594" s="48" t="s">
        <v>1264</v>
      </c>
      <c r="I594" s="69"/>
      <c r="EP594" s="111"/>
    </row>
    <row r="595" spans="1:146" s="110" customFormat="1" ht="31.5" x14ac:dyDescent="0.25">
      <c r="A595" s="14">
        <v>19</v>
      </c>
      <c r="B595" s="14" t="s">
        <v>43</v>
      </c>
      <c r="C595" s="14">
        <v>1</v>
      </c>
      <c r="D595" s="19" t="s">
        <v>1</v>
      </c>
      <c r="E595" s="19" t="s">
        <v>271</v>
      </c>
      <c r="F595" s="14" t="s">
        <v>69</v>
      </c>
      <c r="G595" s="20">
        <v>31</v>
      </c>
      <c r="H595" s="19" t="s">
        <v>272</v>
      </c>
      <c r="I595" s="69"/>
      <c r="EP595" s="111"/>
    </row>
    <row r="596" spans="1:146" s="110" customFormat="1" x14ac:dyDescent="0.25">
      <c r="A596" s="32">
        <v>19</v>
      </c>
      <c r="B596" s="32" t="s">
        <v>43</v>
      </c>
      <c r="C596" s="32">
        <v>2</v>
      </c>
      <c r="D596" s="38" t="s">
        <v>632</v>
      </c>
      <c r="E596" s="33" t="s">
        <v>632</v>
      </c>
      <c r="F596" s="32" t="s">
        <v>632</v>
      </c>
      <c r="G596" s="42" t="s">
        <v>632</v>
      </c>
      <c r="H596" s="33" t="s">
        <v>632</v>
      </c>
      <c r="I596" s="69"/>
      <c r="EP596" s="111"/>
    </row>
    <row r="597" spans="1:146" s="110" customFormat="1" ht="78.75" x14ac:dyDescent="0.25">
      <c r="A597" s="63">
        <v>19</v>
      </c>
      <c r="B597" s="63" t="s">
        <v>43</v>
      </c>
      <c r="C597" s="63">
        <v>3</v>
      </c>
      <c r="D597" s="64" t="s">
        <v>0</v>
      </c>
      <c r="E597" s="64" t="s">
        <v>1038</v>
      </c>
      <c r="F597" s="63" t="s">
        <v>81</v>
      </c>
      <c r="G597" s="65">
        <v>68</v>
      </c>
      <c r="H597" s="64" t="s">
        <v>831</v>
      </c>
      <c r="I597" s="69"/>
      <c r="EP597" s="111"/>
    </row>
    <row r="598" spans="1:146" s="110" customFormat="1" ht="78.75" x14ac:dyDescent="0.25">
      <c r="A598" s="63">
        <v>19</v>
      </c>
      <c r="B598" s="63" t="s">
        <v>43</v>
      </c>
      <c r="C598" s="63">
        <v>3</v>
      </c>
      <c r="D598" s="64" t="s">
        <v>1</v>
      </c>
      <c r="E598" s="64" t="s">
        <v>1039</v>
      </c>
      <c r="F598" s="63" t="s">
        <v>69</v>
      </c>
      <c r="G598" s="65">
        <v>16</v>
      </c>
      <c r="H598" s="64" t="s">
        <v>830</v>
      </c>
      <c r="I598" s="69"/>
      <c r="EP598" s="111"/>
    </row>
    <row r="599" spans="1:146" s="110" customFormat="1" ht="78.75" x14ac:dyDescent="0.25">
      <c r="A599" s="63">
        <v>19</v>
      </c>
      <c r="B599" s="63" t="s">
        <v>43</v>
      </c>
      <c r="C599" s="63">
        <v>3</v>
      </c>
      <c r="D599" s="64" t="s">
        <v>1</v>
      </c>
      <c r="E599" s="64" t="s">
        <v>1040</v>
      </c>
      <c r="F599" s="63" t="s">
        <v>81</v>
      </c>
      <c r="G599" s="65">
        <v>39</v>
      </c>
      <c r="H599" s="64" t="s">
        <v>830</v>
      </c>
      <c r="I599" s="69"/>
      <c r="EP599" s="111"/>
    </row>
    <row r="600" spans="1:146" s="110" customFormat="1" ht="157.5" x14ac:dyDescent="0.25">
      <c r="A600" s="63">
        <v>19</v>
      </c>
      <c r="B600" s="63" t="s">
        <v>43</v>
      </c>
      <c r="C600" s="63">
        <v>3</v>
      </c>
      <c r="D600" s="64" t="s">
        <v>1</v>
      </c>
      <c r="E600" s="64" t="s">
        <v>832</v>
      </c>
      <c r="F600" s="63" t="s">
        <v>81</v>
      </c>
      <c r="G600" s="65">
        <v>43</v>
      </c>
      <c r="H600" s="64" t="s">
        <v>831</v>
      </c>
      <c r="I600" s="69"/>
      <c r="EP600" s="111"/>
    </row>
    <row r="601" spans="1:146" s="110" customFormat="1" ht="31.5" x14ac:dyDescent="0.25">
      <c r="A601" s="63">
        <v>19</v>
      </c>
      <c r="B601" s="63" t="s">
        <v>43</v>
      </c>
      <c r="C601" s="63">
        <v>3</v>
      </c>
      <c r="D601" s="64" t="s">
        <v>1</v>
      </c>
      <c r="E601" s="64" t="s">
        <v>1041</v>
      </c>
      <c r="F601" s="63" t="s">
        <v>81</v>
      </c>
      <c r="G601" s="65">
        <v>11</v>
      </c>
      <c r="H601" s="64" t="s">
        <v>834</v>
      </c>
      <c r="I601" s="69"/>
      <c r="EP601" s="111"/>
    </row>
    <row r="602" spans="1:146" s="110" customFormat="1" ht="31.5" x14ac:dyDescent="0.25">
      <c r="A602" s="63">
        <v>19</v>
      </c>
      <c r="B602" s="63" t="s">
        <v>43</v>
      </c>
      <c r="C602" s="63">
        <v>3</v>
      </c>
      <c r="D602" s="64" t="s">
        <v>1</v>
      </c>
      <c r="E602" s="64" t="s">
        <v>1042</v>
      </c>
      <c r="F602" s="63" t="s">
        <v>81</v>
      </c>
      <c r="G602" s="65">
        <v>46</v>
      </c>
      <c r="H602" s="64" t="s">
        <v>835</v>
      </c>
      <c r="I602" s="69"/>
      <c r="EP602" s="111"/>
    </row>
    <row r="603" spans="1:146" s="110" customFormat="1" x14ac:dyDescent="0.25">
      <c r="A603" s="63">
        <v>19</v>
      </c>
      <c r="B603" s="63" t="s">
        <v>43</v>
      </c>
      <c r="C603" s="63">
        <v>3</v>
      </c>
      <c r="D603" s="64" t="s">
        <v>1</v>
      </c>
      <c r="E603" s="64" t="s">
        <v>1043</v>
      </c>
      <c r="F603" s="63" t="s">
        <v>81</v>
      </c>
      <c r="G603" s="65">
        <v>12</v>
      </c>
      <c r="H603" s="64" t="s">
        <v>836</v>
      </c>
      <c r="I603" s="69"/>
      <c r="EP603" s="111"/>
    </row>
    <row r="604" spans="1:146" s="110" customFormat="1" ht="47.25" x14ac:dyDescent="0.25">
      <c r="A604" s="63">
        <v>19</v>
      </c>
      <c r="B604" s="63" t="s">
        <v>43</v>
      </c>
      <c r="C604" s="63">
        <v>3</v>
      </c>
      <c r="D604" s="64" t="s">
        <v>393</v>
      </c>
      <c r="E604" s="64" t="s">
        <v>1044</v>
      </c>
      <c r="F604" s="63" t="s">
        <v>81</v>
      </c>
      <c r="G604" s="65">
        <v>111</v>
      </c>
      <c r="H604" s="64" t="s">
        <v>833</v>
      </c>
      <c r="I604" s="69"/>
      <c r="EP604" s="111"/>
    </row>
    <row r="605" spans="1:146" s="110" customFormat="1" ht="47.25" x14ac:dyDescent="0.25">
      <c r="A605" s="63">
        <v>19</v>
      </c>
      <c r="B605" s="63" t="s">
        <v>43</v>
      </c>
      <c r="C605" s="63">
        <v>3</v>
      </c>
      <c r="D605" s="64" t="s">
        <v>393</v>
      </c>
      <c r="E605" s="64" t="s">
        <v>1045</v>
      </c>
      <c r="F605" s="63" t="s">
        <v>69</v>
      </c>
      <c r="G605" s="65">
        <v>6</v>
      </c>
      <c r="H605" s="64" t="s">
        <v>837</v>
      </c>
      <c r="I605" s="56"/>
      <c r="EP605" s="111"/>
    </row>
    <row r="606" spans="1:146" s="110" customFormat="1" ht="47.25" x14ac:dyDescent="0.25">
      <c r="A606" s="45">
        <v>19</v>
      </c>
      <c r="B606" s="45" t="s">
        <v>43</v>
      </c>
      <c r="C606" s="45">
        <v>4</v>
      </c>
      <c r="D606" s="50" t="s">
        <v>393</v>
      </c>
      <c r="E606" s="50" t="s">
        <v>1265</v>
      </c>
      <c r="F606" s="45" t="s">
        <v>81</v>
      </c>
      <c r="G606" s="54">
        <v>3</v>
      </c>
      <c r="H606" s="50" t="s">
        <v>833</v>
      </c>
      <c r="I606" s="69"/>
      <c r="EP606" s="111"/>
    </row>
    <row r="607" spans="1:146" s="110" customFormat="1" ht="47.25" x14ac:dyDescent="0.25">
      <c r="A607" s="45">
        <v>19</v>
      </c>
      <c r="B607" s="45" t="s">
        <v>43</v>
      </c>
      <c r="C607" s="45">
        <v>4</v>
      </c>
      <c r="D607" s="50" t="s">
        <v>393</v>
      </c>
      <c r="E607" s="50" t="s">
        <v>1266</v>
      </c>
      <c r="F607" s="45" t="s">
        <v>81</v>
      </c>
      <c r="G607" s="54" t="s">
        <v>1078</v>
      </c>
      <c r="H607" s="50" t="s">
        <v>837</v>
      </c>
      <c r="I607" s="69"/>
      <c r="EP607" s="111"/>
    </row>
    <row r="608" spans="1:146" s="110" customFormat="1" ht="47.25" x14ac:dyDescent="0.25">
      <c r="A608" s="45">
        <v>19</v>
      </c>
      <c r="B608" s="45" t="s">
        <v>43</v>
      </c>
      <c r="C608" s="45">
        <v>4</v>
      </c>
      <c r="D608" s="50" t="s">
        <v>137</v>
      </c>
      <c r="E608" s="50" t="s">
        <v>1267</v>
      </c>
      <c r="F608" s="45" t="s">
        <v>81</v>
      </c>
      <c r="G608" s="54">
        <v>57</v>
      </c>
      <c r="H608" s="50" t="s">
        <v>1268</v>
      </c>
      <c r="I608" s="69"/>
      <c r="EP608" s="111"/>
    </row>
    <row r="609" spans="1:146" s="110" customFormat="1" ht="63" x14ac:dyDescent="0.25">
      <c r="A609" s="45">
        <v>19</v>
      </c>
      <c r="B609" s="45" t="s">
        <v>43</v>
      </c>
      <c r="C609" s="45">
        <v>4</v>
      </c>
      <c r="D609" s="50" t="s">
        <v>1</v>
      </c>
      <c r="E609" s="50" t="s">
        <v>1269</v>
      </c>
      <c r="F609" s="45" t="s">
        <v>81</v>
      </c>
      <c r="G609" s="54">
        <v>25</v>
      </c>
      <c r="H609" s="50" t="s">
        <v>1270</v>
      </c>
      <c r="I609" s="69"/>
      <c r="EP609" s="111"/>
    </row>
    <row r="610" spans="1:146" s="110" customFormat="1" ht="63" x14ac:dyDescent="0.25">
      <c r="A610" s="45">
        <v>19</v>
      </c>
      <c r="B610" s="45" t="s">
        <v>43</v>
      </c>
      <c r="C610" s="45">
        <v>4</v>
      </c>
      <c r="D610" s="50" t="s">
        <v>393</v>
      </c>
      <c r="E610" s="50" t="s">
        <v>1271</v>
      </c>
      <c r="F610" s="45" t="s">
        <v>81</v>
      </c>
      <c r="G610" s="54">
        <v>43</v>
      </c>
      <c r="H610" s="50" t="s">
        <v>1272</v>
      </c>
      <c r="I610" s="69"/>
      <c r="EP610" s="111"/>
    </row>
    <row r="611" spans="1:146" s="110" customFormat="1" ht="78.75" x14ac:dyDescent="0.25">
      <c r="A611" s="45">
        <v>19</v>
      </c>
      <c r="B611" s="45" t="s">
        <v>43</v>
      </c>
      <c r="C611" s="45">
        <v>4</v>
      </c>
      <c r="D611" s="50" t="s">
        <v>393</v>
      </c>
      <c r="E611" s="50" t="s">
        <v>1273</v>
      </c>
      <c r="F611" s="45" t="s">
        <v>81</v>
      </c>
      <c r="G611" s="54" t="s">
        <v>1274</v>
      </c>
      <c r="H611" s="50" t="s">
        <v>1275</v>
      </c>
      <c r="I611" s="69"/>
      <c r="EP611" s="111"/>
    </row>
    <row r="612" spans="1:146" s="110" customFormat="1" ht="47.25" x14ac:dyDescent="0.25">
      <c r="A612" s="45">
        <v>19</v>
      </c>
      <c r="B612" s="45" t="s">
        <v>43</v>
      </c>
      <c r="C612" s="45">
        <v>4</v>
      </c>
      <c r="D612" s="50" t="s">
        <v>1</v>
      </c>
      <c r="E612" s="50" t="s">
        <v>1276</v>
      </c>
      <c r="F612" s="45" t="s">
        <v>81</v>
      </c>
      <c r="G612" s="54">
        <v>8</v>
      </c>
      <c r="H612" s="50" t="s">
        <v>1277</v>
      </c>
      <c r="I612" s="69"/>
      <c r="EP612" s="111"/>
    </row>
    <row r="613" spans="1:146" s="110" customFormat="1" ht="94.5" x14ac:dyDescent="0.25">
      <c r="A613" s="45">
        <v>19</v>
      </c>
      <c r="B613" s="45" t="s">
        <v>43</v>
      </c>
      <c r="C613" s="45">
        <v>4</v>
      </c>
      <c r="D613" s="50" t="s">
        <v>1</v>
      </c>
      <c r="E613" s="50" t="s">
        <v>1516</v>
      </c>
      <c r="F613" s="45" t="s">
        <v>81</v>
      </c>
      <c r="G613" s="54">
        <v>45</v>
      </c>
      <c r="H613" s="50" t="s">
        <v>1278</v>
      </c>
      <c r="I613" s="69"/>
      <c r="EP613" s="111"/>
    </row>
    <row r="614" spans="1:146" s="110" customFormat="1" ht="47.25" x14ac:dyDescent="0.25">
      <c r="A614" s="45">
        <v>19</v>
      </c>
      <c r="B614" s="45" t="s">
        <v>43</v>
      </c>
      <c r="C614" s="45">
        <v>4</v>
      </c>
      <c r="D614" s="50" t="s">
        <v>0</v>
      </c>
      <c r="E614" s="50" t="s">
        <v>1279</v>
      </c>
      <c r="F614" s="45" t="s">
        <v>81</v>
      </c>
      <c r="G614" s="54" t="s">
        <v>1280</v>
      </c>
      <c r="H614" s="50" t="s">
        <v>1281</v>
      </c>
      <c r="I614" s="69"/>
      <c r="EP614" s="111"/>
    </row>
    <row r="615" spans="1:146" s="110" customFormat="1" x14ac:dyDescent="0.25">
      <c r="A615" s="14">
        <v>20</v>
      </c>
      <c r="B615" s="14" t="s">
        <v>44</v>
      </c>
      <c r="C615" s="14">
        <v>1</v>
      </c>
      <c r="D615" s="19" t="s">
        <v>273</v>
      </c>
      <c r="E615" s="19" t="s">
        <v>274</v>
      </c>
      <c r="F615" s="14"/>
      <c r="G615" s="20"/>
      <c r="H615" s="19"/>
      <c r="I615" s="69"/>
      <c r="EP615" s="111"/>
    </row>
    <row r="616" spans="1:146" s="110" customFormat="1" ht="31.5" x14ac:dyDescent="0.25">
      <c r="A616" s="32">
        <v>20</v>
      </c>
      <c r="B616" s="32" t="s">
        <v>44</v>
      </c>
      <c r="C616" s="32">
        <v>2</v>
      </c>
      <c r="D616" s="38" t="s">
        <v>1</v>
      </c>
      <c r="E616" s="38" t="s">
        <v>494</v>
      </c>
      <c r="F616" s="32" t="s">
        <v>81</v>
      </c>
      <c r="G616" s="42">
        <v>50</v>
      </c>
      <c r="H616" s="38" t="s">
        <v>495</v>
      </c>
      <c r="I616" s="69"/>
      <c r="EP616" s="111"/>
    </row>
    <row r="617" spans="1:146" s="110" customFormat="1" ht="31.5" x14ac:dyDescent="0.25">
      <c r="A617" s="32">
        <v>20</v>
      </c>
      <c r="B617" s="32" t="s">
        <v>44</v>
      </c>
      <c r="C617" s="32">
        <v>2</v>
      </c>
      <c r="D617" s="38" t="s">
        <v>1</v>
      </c>
      <c r="E617" s="38" t="s">
        <v>496</v>
      </c>
      <c r="F617" s="32" t="s">
        <v>81</v>
      </c>
      <c r="G617" s="42">
        <v>40</v>
      </c>
      <c r="H617" s="38" t="s">
        <v>495</v>
      </c>
      <c r="I617" s="69"/>
      <c r="EP617" s="111"/>
    </row>
    <row r="618" spans="1:146" s="110" customFormat="1" ht="63" x14ac:dyDescent="0.25">
      <c r="A618" s="32">
        <v>20</v>
      </c>
      <c r="B618" s="32" t="s">
        <v>44</v>
      </c>
      <c r="C618" s="32">
        <v>2</v>
      </c>
      <c r="D618" s="38" t="s">
        <v>393</v>
      </c>
      <c r="E618" s="38" t="s">
        <v>493</v>
      </c>
      <c r="F618" s="32" t="s">
        <v>81</v>
      </c>
      <c r="G618" s="42">
        <v>137</v>
      </c>
      <c r="H618" s="38" t="s">
        <v>588</v>
      </c>
      <c r="I618" s="69"/>
      <c r="EP618" s="111"/>
    </row>
    <row r="619" spans="1:146" s="110" customFormat="1" ht="31.5" x14ac:dyDescent="0.25">
      <c r="A619" s="63">
        <v>20</v>
      </c>
      <c r="B619" s="63" t="s">
        <v>44</v>
      </c>
      <c r="C619" s="63">
        <v>3</v>
      </c>
      <c r="D619" s="64" t="s">
        <v>4</v>
      </c>
      <c r="E619" s="64" t="s">
        <v>840</v>
      </c>
      <c r="F619" s="63" t="s">
        <v>81</v>
      </c>
      <c r="G619" s="65">
        <v>25</v>
      </c>
      <c r="H619" s="64" t="s">
        <v>841</v>
      </c>
      <c r="I619" s="69"/>
      <c r="EP619" s="111"/>
    </row>
    <row r="620" spans="1:146" s="110" customFormat="1" ht="31.5" x14ac:dyDescent="0.25">
      <c r="A620" s="63">
        <v>20</v>
      </c>
      <c r="B620" s="63" t="s">
        <v>44</v>
      </c>
      <c r="C620" s="63">
        <v>3</v>
      </c>
      <c r="D620" s="64" t="s">
        <v>0</v>
      </c>
      <c r="E620" s="64" t="s">
        <v>847</v>
      </c>
      <c r="F620" s="63" t="s">
        <v>81</v>
      </c>
      <c r="G620" s="65">
        <v>50</v>
      </c>
      <c r="H620" s="64" t="s">
        <v>495</v>
      </c>
      <c r="I620" s="69"/>
      <c r="EP620" s="111"/>
    </row>
    <row r="621" spans="1:146" s="110" customFormat="1" ht="31.5" x14ac:dyDescent="0.25">
      <c r="A621" s="63">
        <v>20</v>
      </c>
      <c r="B621" s="63" t="s">
        <v>44</v>
      </c>
      <c r="C621" s="63">
        <v>3</v>
      </c>
      <c r="D621" s="64" t="s">
        <v>142</v>
      </c>
      <c r="E621" s="64" t="s">
        <v>1013</v>
      </c>
      <c r="F621" s="63" t="s">
        <v>69</v>
      </c>
      <c r="G621" s="65">
        <v>212</v>
      </c>
      <c r="H621" s="64" t="s">
        <v>842</v>
      </c>
      <c r="I621" s="69"/>
      <c r="EP621" s="111"/>
    </row>
    <row r="622" spans="1:146" s="110" customFormat="1" ht="31.5" x14ac:dyDescent="0.25">
      <c r="A622" s="63">
        <v>20</v>
      </c>
      <c r="B622" s="63" t="s">
        <v>44</v>
      </c>
      <c r="C622" s="63">
        <v>3</v>
      </c>
      <c r="D622" s="64" t="s">
        <v>1</v>
      </c>
      <c r="E622" s="64" t="s">
        <v>838</v>
      </c>
      <c r="F622" s="63" t="s">
        <v>81</v>
      </c>
      <c r="G622" s="65">
        <v>15</v>
      </c>
      <c r="H622" s="64" t="s">
        <v>839</v>
      </c>
      <c r="I622" s="69"/>
      <c r="EP622" s="111"/>
    </row>
    <row r="623" spans="1:146" s="110" customFormat="1" ht="31.5" x14ac:dyDescent="0.25">
      <c r="A623" s="63">
        <v>20</v>
      </c>
      <c r="B623" s="63" t="s">
        <v>44</v>
      </c>
      <c r="C623" s="63">
        <v>3</v>
      </c>
      <c r="D623" s="64" t="s">
        <v>1</v>
      </c>
      <c r="E623" s="64" t="s">
        <v>848</v>
      </c>
      <c r="F623" s="63" t="s">
        <v>81</v>
      </c>
      <c r="G623" s="65">
        <v>50</v>
      </c>
      <c r="H623" s="64" t="s">
        <v>495</v>
      </c>
      <c r="I623" s="69"/>
      <c r="EP623" s="111"/>
    </row>
    <row r="624" spans="1:146" s="110" customFormat="1" ht="31.5" x14ac:dyDescent="0.25">
      <c r="A624" s="63">
        <v>20</v>
      </c>
      <c r="B624" s="63" t="s">
        <v>44</v>
      </c>
      <c r="C624" s="63">
        <v>3</v>
      </c>
      <c r="D624" s="64" t="s">
        <v>1</v>
      </c>
      <c r="E624" s="64" t="s">
        <v>849</v>
      </c>
      <c r="F624" s="63" t="s">
        <v>81</v>
      </c>
      <c r="G624" s="65">
        <v>40</v>
      </c>
      <c r="H624" s="64" t="s">
        <v>495</v>
      </c>
      <c r="I624" s="69"/>
      <c r="EP624" s="111"/>
    </row>
    <row r="625" spans="1:146" s="110" customFormat="1" ht="31.5" x14ac:dyDescent="0.25">
      <c r="A625" s="63">
        <v>20</v>
      </c>
      <c r="B625" s="63" t="s">
        <v>44</v>
      </c>
      <c r="C625" s="63">
        <v>3</v>
      </c>
      <c r="D625" s="64" t="s">
        <v>1</v>
      </c>
      <c r="E625" s="64" t="s">
        <v>850</v>
      </c>
      <c r="F625" s="63" t="s">
        <v>81</v>
      </c>
      <c r="G625" s="65">
        <v>50</v>
      </c>
      <c r="H625" s="64" t="s">
        <v>495</v>
      </c>
      <c r="I625" s="69"/>
      <c r="EP625" s="111"/>
    </row>
    <row r="626" spans="1:146" s="110" customFormat="1" ht="31.5" x14ac:dyDescent="0.25">
      <c r="A626" s="63">
        <v>20</v>
      </c>
      <c r="B626" s="63" t="s">
        <v>44</v>
      </c>
      <c r="C626" s="63">
        <v>3</v>
      </c>
      <c r="D626" s="64" t="s">
        <v>1</v>
      </c>
      <c r="E626" s="64" t="s">
        <v>851</v>
      </c>
      <c r="F626" s="63" t="s">
        <v>81</v>
      </c>
      <c r="G626" s="65">
        <v>100</v>
      </c>
      <c r="H626" s="64" t="s">
        <v>495</v>
      </c>
      <c r="I626" s="69"/>
      <c r="EP626" s="111"/>
    </row>
    <row r="627" spans="1:146" s="110" customFormat="1" ht="31.5" x14ac:dyDescent="0.25">
      <c r="A627" s="63">
        <v>20</v>
      </c>
      <c r="B627" s="63" t="s">
        <v>44</v>
      </c>
      <c r="C627" s="63">
        <v>3</v>
      </c>
      <c r="D627" s="64" t="s">
        <v>1</v>
      </c>
      <c r="E627" s="64" t="s">
        <v>852</v>
      </c>
      <c r="F627" s="63" t="s">
        <v>81</v>
      </c>
      <c r="G627" s="65">
        <v>30</v>
      </c>
      <c r="H627" s="64" t="s">
        <v>495</v>
      </c>
      <c r="I627" s="69"/>
      <c r="EP627" s="111"/>
    </row>
    <row r="628" spans="1:146" s="110" customFormat="1" ht="31.5" x14ac:dyDescent="0.25">
      <c r="A628" s="63">
        <v>20</v>
      </c>
      <c r="B628" s="63" t="s">
        <v>44</v>
      </c>
      <c r="C628" s="63">
        <v>3</v>
      </c>
      <c r="D628" s="64" t="s">
        <v>1</v>
      </c>
      <c r="E628" s="64" t="s">
        <v>853</v>
      </c>
      <c r="F628" s="63" t="s">
        <v>81</v>
      </c>
      <c r="G628" s="65">
        <v>50</v>
      </c>
      <c r="H628" s="64" t="s">
        <v>495</v>
      </c>
      <c r="I628" s="69"/>
      <c r="EP628" s="111"/>
    </row>
    <row r="629" spans="1:146" s="110" customFormat="1" ht="31.5" x14ac:dyDescent="0.25">
      <c r="A629" s="63">
        <v>20</v>
      </c>
      <c r="B629" s="63" t="s">
        <v>44</v>
      </c>
      <c r="C629" s="63">
        <v>3</v>
      </c>
      <c r="D629" s="64" t="s">
        <v>1</v>
      </c>
      <c r="E629" s="64" t="s">
        <v>854</v>
      </c>
      <c r="F629" s="63" t="s">
        <v>81</v>
      </c>
      <c r="G629" s="65">
        <v>25</v>
      </c>
      <c r="H629" s="64" t="s">
        <v>495</v>
      </c>
      <c r="I629" s="69"/>
      <c r="EP629" s="111"/>
    </row>
    <row r="630" spans="1:146" s="110" customFormat="1" ht="31.5" x14ac:dyDescent="0.25">
      <c r="A630" s="63">
        <v>20</v>
      </c>
      <c r="B630" s="63" t="s">
        <v>44</v>
      </c>
      <c r="C630" s="63">
        <v>3</v>
      </c>
      <c r="D630" s="64" t="s">
        <v>1</v>
      </c>
      <c r="E630" s="64" t="s">
        <v>855</v>
      </c>
      <c r="F630" s="63" t="s">
        <v>81</v>
      </c>
      <c r="G630" s="65">
        <v>50</v>
      </c>
      <c r="H630" s="64" t="s">
        <v>495</v>
      </c>
      <c r="I630" s="69"/>
      <c r="EP630" s="111"/>
    </row>
    <row r="631" spans="1:146" s="110" customFormat="1" ht="31.5" x14ac:dyDescent="0.25">
      <c r="A631" s="63">
        <v>20</v>
      </c>
      <c r="B631" s="63" t="s">
        <v>44</v>
      </c>
      <c r="C631" s="63">
        <v>3</v>
      </c>
      <c r="D631" s="64" t="s">
        <v>1</v>
      </c>
      <c r="E631" s="64" t="s">
        <v>856</v>
      </c>
      <c r="F631" s="63" t="s">
        <v>81</v>
      </c>
      <c r="G631" s="65">
        <v>40</v>
      </c>
      <c r="H631" s="64" t="s">
        <v>495</v>
      </c>
      <c r="I631" s="69"/>
      <c r="EP631" s="111"/>
    </row>
    <row r="632" spans="1:146" s="110" customFormat="1" ht="31.5" x14ac:dyDescent="0.25">
      <c r="A632" s="63">
        <v>20</v>
      </c>
      <c r="B632" s="63" t="s">
        <v>44</v>
      </c>
      <c r="C632" s="63">
        <v>3</v>
      </c>
      <c r="D632" s="64" t="s">
        <v>1</v>
      </c>
      <c r="E632" s="64" t="s">
        <v>857</v>
      </c>
      <c r="F632" s="63" t="s">
        <v>81</v>
      </c>
      <c r="G632" s="65">
        <v>25</v>
      </c>
      <c r="H632" s="64" t="s">
        <v>495</v>
      </c>
      <c r="I632" s="69"/>
      <c r="EP632" s="111"/>
    </row>
    <row r="633" spans="1:146" s="110" customFormat="1" ht="31.5" x14ac:dyDescent="0.25">
      <c r="A633" s="63">
        <v>20</v>
      </c>
      <c r="B633" s="63" t="s">
        <v>44</v>
      </c>
      <c r="C633" s="63">
        <v>3</v>
      </c>
      <c r="D633" s="64" t="s">
        <v>1</v>
      </c>
      <c r="E633" s="64" t="s">
        <v>858</v>
      </c>
      <c r="F633" s="63" t="s">
        <v>81</v>
      </c>
      <c r="G633" s="65">
        <v>50</v>
      </c>
      <c r="H633" s="64" t="s">
        <v>495</v>
      </c>
      <c r="I633" s="69"/>
      <c r="EP633" s="111"/>
    </row>
    <row r="634" spans="1:146" s="110" customFormat="1" ht="31.5" x14ac:dyDescent="0.25">
      <c r="A634" s="63">
        <v>20</v>
      </c>
      <c r="B634" s="63" t="s">
        <v>44</v>
      </c>
      <c r="C634" s="63">
        <v>3</v>
      </c>
      <c r="D634" s="64" t="s">
        <v>1</v>
      </c>
      <c r="E634" s="64" t="s">
        <v>859</v>
      </c>
      <c r="F634" s="63" t="s">
        <v>81</v>
      </c>
      <c r="G634" s="65">
        <v>50</v>
      </c>
      <c r="H634" s="64" t="s">
        <v>495</v>
      </c>
      <c r="I634" s="69"/>
      <c r="EP634" s="111"/>
    </row>
    <row r="635" spans="1:146" s="110" customFormat="1" ht="31.5" x14ac:dyDescent="0.25">
      <c r="A635" s="63">
        <v>20</v>
      </c>
      <c r="B635" s="63" t="s">
        <v>44</v>
      </c>
      <c r="C635" s="63">
        <v>3</v>
      </c>
      <c r="D635" s="64" t="s">
        <v>1</v>
      </c>
      <c r="E635" s="64" t="s">
        <v>860</v>
      </c>
      <c r="F635" s="63" t="s">
        <v>81</v>
      </c>
      <c r="G635" s="65">
        <v>50</v>
      </c>
      <c r="H635" s="64" t="s">
        <v>495</v>
      </c>
      <c r="I635" s="69"/>
      <c r="EP635" s="111"/>
    </row>
    <row r="636" spans="1:146" s="110" customFormat="1" ht="31.5" x14ac:dyDescent="0.25">
      <c r="A636" s="63">
        <v>20</v>
      </c>
      <c r="B636" s="63" t="s">
        <v>44</v>
      </c>
      <c r="C636" s="63">
        <v>3</v>
      </c>
      <c r="D636" s="64" t="s">
        <v>1</v>
      </c>
      <c r="E636" s="64" t="s">
        <v>861</v>
      </c>
      <c r="F636" s="63" t="s">
        <v>81</v>
      </c>
      <c r="G636" s="65">
        <v>25</v>
      </c>
      <c r="H636" s="64" t="s">
        <v>495</v>
      </c>
      <c r="I636" s="69"/>
      <c r="EP636" s="111"/>
    </row>
    <row r="637" spans="1:146" s="110" customFormat="1" ht="31.5" x14ac:dyDescent="0.25">
      <c r="A637" s="63">
        <v>20</v>
      </c>
      <c r="B637" s="63" t="s">
        <v>44</v>
      </c>
      <c r="C637" s="63">
        <v>3</v>
      </c>
      <c r="D637" s="64" t="s">
        <v>1</v>
      </c>
      <c r="E637" s="64" t="s">
        <v>862</v>
      </c>
      <c r="F637" s="63" t="s">
        <v>81</v>
      </c>
      <c r="G637" s="65">
        <v>50</v>
      </c>
      <c r="H637" s="64" t="s">
        <v>495</v>
      </c>
      <c r="I637" s="69"/>
      <c r="EP637" s="111"/>
    </row>
    <row r="638" spans="1:146" s="110" customFormat="1" ht="31.5" x14ac:dyDescent="0.25">
      <c r="A638" s="63">
        <v>20</v>
      </c>
      <c r="B638" s="63" t="s">
        <v>44</v>
      </c>
      <c r="C638" s="63">
        <v>3</v>
      </c>
      <c r="D638" s="64" t="s">
        <v>1</v>
      </c>
      <c r="E638" s="64" t="s">
        <v>863</v>
      </c>
      <c r="F638" s="63" t="s">
        <v>81</v>
      </c>
      <c r="G638" s="65">
        <v>50</v>
      </c>
      <c r="H638" s="64" t="s">
        <v>495</v>
      </c>
      <c r="I638" s="69"/>
      <c r="EP638" s="111"/>
    </row>
    <row r="639" spans="1:146" s="110" customFormat="1" ht="31.5" x14ac:dyDescent="0.25">
      <c r="A639" s="63">
        <v>20</v>
      </c>
      <c r="B639" s="63" t="s">
        <v>44</v>
      </c>
      <c r="C639" s="63">
        <v>3</v>
      </c>
      <c r="D639" s="64" t="s">
        <v>1</v>
      </c>
      <c r="E639" s="64" t="s">
        <v>864</v>
      </c>
      <c r="F639" s="63" t="s">
        <v>81</v>
      </c>
      <c r="G639" s="65">
        <v>30</v>
      </c>
      <c r="H639" s="64" t="s">
        <v>495</v>
      </c>
      <c r="I639" s="69"/>
      <c r="EP639" s="111"/>
    </row>
    <row r="640" spans="1:146" s="110" customFormat="1" ht="31.5" x14ac:dyDescent="0.25">
      <c r="A640" s="63">
        <v>20</v>
      </c>
      <c r="B640" s="63" t="s">
        <v>44</v>
      </c>
      <c r="C640" s="63">
        <v>3</v>
      </c>
      <c r="D640" s="64" t="s">
        <v>1</v>
      </c>
      <c r="E640" s="64" t="s">
        <v>865</v>
      </c>
      <c r="F640" s="63" t="s">
        <v>81</v>
      </c>
      <c r="G640" s="65">
        <v>30</v>
      </c>
      <c r="H640" s="64" t="s">
        <v>495</v>
      </c>
      <c r="I640" s="69"/>
      <c r="EP640" s="111"/>
    </row>
    <row r="641" spans="1:146" s="110" customFormat="1" ht="31.5" x14ac:dyDescent="0.25">
      <c r="A641" s="63">
        <v>20</v>
      </c>
      <c r="B641" s="63" t="s">
        <v>44</v>
      </c>
      <c r="C641" s="63">
        <v>3</v>
      </c>
      <c r="D641" s="64" t="s">
        <v>1</v>
      </c>
      <c r="E641" s="64" t="s">
        <v>866</v>
      </c>
      <c r="F641" s="63" t="s">
        <v>81</v>
      </c>
      <c r="G641" s="65">
        <v>40</v>
      </c>
      <c r="H641" s="64" t="s">
        <v>495</v>
      </c>
      <c r="I641" s="69"/>
      <c r="EP641" s="111"/>
    </row>
    <row r="642" spans="1:146" s="110" customFormat="1" ht="31.5" x14ac:dyDescent="0.25">
      <c r="A642" s="63">
        <v>20</v>
      </c>
      <c r="B642" s="63" t="s">
        <v>44</v>
      </c>
      <c r="C642" s="63">
        <v>3</v>
      </c>
      <c r="D642" s="64" t="s">
        <v>1</v>
      </c>
      <c r="E642" s="64" t="s">
        <v>867</v>
      </c>
      <c r="F642" s="63" t="s">
        <v>81</v>
      </c>
      <c r="G642" s="65">
        <v>50</v>
      </c>
      <c r="H642" s="64" t="s">
        <v>495</v>
      </c>
      <c r="I642" s="69"/>
      <c r="EP642" s="111"/>
    </row>
    <row r="643" spans="1:146" s="110" customFormat="1" ht="31.5" x14ac:dyDescent="0.25">
      <c r="A643" s="63">
        <v>20</v>
      </c>
      <c r="B643" s="63" t="s">
        <v>44</v>
      </c>
      <c r="C643" s="63">
        <v>3</v>
      </c>
      <c r="D643" s="64" t="s">
        <v>1</v>
      </c>
      <c r="E643" s="64" t="s">
        <v>868</v>
      </c>
      <c r="F643" s="63" t="s">
        <v>81</v>
      </c>
      <c r="G643" s="65">
        <v>30</v>
      </c>
      <c r="H643" s="64" t="s">
        <v>495</v>
      </c>
      <c r="I643" s="69"/>
      <c r="EP643" s="111"/>
    </row>
    <row r="644" spans="1:146" s="110" customFormat="1" ht="31.5" x14ac:dyDescent="0.25">
      <c r="A644" s="63">
        <v>20</v>
      </c>
      <c r="B644" s="63" t="s">
        <v>44</v>
      </c>
      <c r="C644" s="63">
        <v>3</v>
      </c>
      <c r="D644" s="64" t="s">
        <v>1</v>
      </c>
      <c r="E644" s="64" t="s">
        <v>869</v>
      </c>
      <c r="F644" s="63" t="s">
        <v>81</v>
      </c>
      <c r="G644" s="65">
        <v>60</v>
      </c>
      <c r="H644" s="64" t="s">
        <v>495</v>
      </c>
      <c r="I644" s="69"/>
      <c r="EP644" s="111"/>
    </row>
    <row r="645" spans="1:146" s="110" customFormat="1" ht="31.5" x14ac:dyDescent="0.25">
      <c r="A645" s="63">
        <v>20</v>
      </c>
      <c r="B645" s="63" t="s">
        <v>44</v>
      </c>
      <c r="C645" s="63">
        <v>3</v>
      </c>
      <c r="D645" s="64" t="s">
        <v>1</v>
      </c>
      <c r="E645" s="64" t="s">
        <v>870</v>
      </c>
      <c r="F645" s="63" t="s">
        <v>81</v>
      </c>
      <c r="G645" s="65">
        <v>25</v>
      </c>
      <c r="H645" s="64" t="s">
        <v>495</v>
      </c>
      <c r="I645" s="69"/>
      <c r="EP645" s="111"/>
    </row>
    <row r="646" spans="1:146" s="110" customFormat="1" ht="31.5" x14ac:dyDescent="0.25">
      <c r="A646" s="63">
        <v>20</v>
      </c>
      <c r="B646" s="63" t="s">
        <v>44</v>
      </c>
      <c r="C646" s="63">
        <v>3</v>
      </c>
      <c r="D646" s="64" t="s">
        <v>1</v>
      </c>
      <c r="E646" s="64" t="s">
        <v>871</v>
      </c>
      <c r="F646" s="63" t="s">
        <v>81</v>
      </c>
      <c r="G646" s="65">
        <v>25</v>
      </c>
      <c r="H646" s="64" t="s">
        <v>495</v>
      </c>
      <c r="I646" s="56"/>
      <c r="EP646" s="111"/>
    </row>
    <row r="647" spans="1:146" s="110" customFormat="1" ht="31.5" x14ac:dyDescent="0.25">
      <c r="A647" s="63">
        <v>20</v>
      </c>
      <c r="B647" s="63" t="s">
        <v>44</v>
      </c>
      <c r="C647" s="63">
        <v>3</v>
      </c>
      <c r="D647" s="64" t="s">
        <v>393</v>
      </c>
      <c r="E647" s="64" t="s">
        <v>843</v>
      </c>
      <c r="F647" s="63" t="s">
        <v>81</v>
      </c>
      <c r="G647" s="65">
        <v>17</v>
      </c>
      <c r="H647" s="64" t="s">
        <v>844</v>
      </c>
      <c r="I647" s="69"/>
      <c r="EP647" s="111"/>
    </row>
    <row r="648" spans="1:146" s="110" customFormat="1" ht="31.5" x14ac:dyDescent="0.25">
      <c r="A648" s="63">
        <v>20</v>
      </c>
      <c r="B648" s="63" t="s">
        <v>44</v>
      </c>
      <c r="C648" s="63">
        <v>3</v>
      </c>
      <c r="D648" s="64" t="s">
        <v>393</v>
      </c>
      <c r="E648" s="64" t="s">
        <v>845</v>
      </c>
      <c r="F648" s="63" t="s">
        <v>69</v>
      </c>
      <c r="G648" s="65">
        <v>8</v>
      </c>
      <c r="H648" s="64" t="s">
        <v>846</v>
      </c>
      <c r="I648" s="69"/>
      <c r="EP648" s="111"/>
    </row>
    <row r="649" spans="1:146" s="110" customFormat="1" ht="31.5" x14ac:dyDescent="0.25">
      <c r="A649" s="45">
        <v>20</v>
      </c>
      <c r="B649" s="45" t="s">
        <v>44</v>
      </c>
      <c r="C649" s="45">
        <v>4</v>
      </c>
      <c r="D649" s="50" t="s">
        <v>1</v>
      </c>
      <c r="E649" s="50" t="s">
        <v>1282</v>
      </c>
      <c r="F649" s="45" t="s">
        <v>81</v>
      </c>
      <c r="G649" s="54" t="s">
        <v>1283</v>
      </c>
      <c r="H649" s="50" t="s">
        <v>495</v>
      </c>
      <c r="I649" s="69"/>
      <c r="EP649" s="111"/>
    </row>
    <row r="650" spans="1:146" s="110" customFormat="1" ht="31.5" x14ac:dyDescent="0.25">
      <c r="A650" s="45">
        <v>20</v>
      </c>
      <c r="B650" s="45" t="s">
        <v>44</v>
      </c>
      <c r="C650" s="45">
        <v>4</v>
      </c>
      <c r="D650" s="50" t="s">
        <v>1</v>
      </c>
      <c r="E650" s="50" t="s">
        <v>1284</v>
      </c>
      <c r="F650" s="45" t="s">
        <v>81</v>
      </c>
      <c r="G650" s="54" t="s">
        <v>1285</v>
      </c>
      <c r="H650" s="50" t="s">
        <v>495</v>
      </c>
      <c r="I650" s="69"/>
      <c r="EP650" s="111"/>
    </row>
    <row r="651" spans="1:146" s="110" customFormat="1" ht="31.5" x14ac:dyDescent="0.25">
      <c r="A651" s="45">
        <v>20</v>
      </c>
      <c r="B651" s="45" t="s">
        <v>44</v>
      </c>
      <c r="C651" s="45">
        <v>4</v>
      </c>
      <c r="D651" s="50" t="s">
        <v>1</v>
      </c>
      <c r="E651" s="50" t="s">
        <v>1517</v>
      </c>
      <c r="F651" s="45" t="s">
        <v>81</v>
      </c>
      <c r="G651" s="54" t="s">
        <v>1286</v>
      </c>
      <c r="H651" s="50" t="s">
        <v>495</v>
      </c>
      <c r="I651" s="69"/>
      <c r="EP651" s="111"/>
    </row>
    <row r="652" spans="1:146" s="110" customFormat="1" ht="31.5" x14ac:dyDescent="0.25">
      <c r="A652" s="45">
        <v>20</v>
      </c>
      <c r="B652" s="45" t="s">
        <v>44</v>
      </c>
      <c r="C652" s="45">
        <v>4</v>
      </c>
      <c r="D652" s="50" t="s">
        <v>1</v>
      </c>
      <c r="E652" s="50" t="s">
        <v>1287</v>
      </c>
      <c r="F652" s="45" t="s">
        <v>81</v>
      </c>
      <c r="G652" s="54" t="s">
        <v>1288</v>
      </c>
      <c r="H652" s="50" t="s">
        <v>495</v>
      </c>
      <c r="I652" s="69"/>
      <c r="EP652" s="111"/>
    </row>
    <row r="653" spans="1:146" s="110" customFormat="1" ht="31.5" x14ac:dyDescent="0.25">
      <c r="A653" s="45">
        <v>20</v>
      </c>
      <c r="B653" s="45" t="s">
        <v>44</v>
      </c>
      <c r="C653" s="45">
        <v>4</v>
      </c>
      <c r="D653" s="50" t="s">
        <v>0</v>
      </c>
      <c r="E653" s="50" t="s">
        <v>1289</v>
      </c>
      <c r="F653" s="45" t="s">
        <v>81</v>
      </c>
      <c r="G653" s="54" t="s">
        <v>1285</v>
      </c>
      <c r="H653" s="50" t="s">
        <v>495</v>
      </c>
      <c r="I653" s="69"/>
      <c r="EP653" s="111"/>
    </row>
    <row r="654" spans="1:146" s="110" customFormat="1" ht="31.5" x14ac:dyDescent="0.25">
      <c r="A654" s="45">
        <v>20</v>
      </c>
      <c r="B654" s="45" t="s">
        <v>44</v>
      </c>
      <c r="C654" s="45">
        <v>4</v>
      </c>
      <c r="D654" s="50" t="s">
        <v>1</v>
      </c>
      <c r="E654" s="50" t="s">
        <v>1290</v>
      </c>
      <c r="F654" s="45" t="s">
        <v>81</v>
      </c>
      <c r="G654" s="54" t="s">
        <v>1285</v>
      </c>
      <c r="H654" s="50" t="s">
        <v>495</v>
      </c>
      <c r="I654" s="69"/>
      <c r="EP654" s="111"/>
    </row>
    <row r="655" spans="1:146" s="110" customFormat="1" ht="31.5" x14ac:dyDescent="0.25">
      <c r="A655" s="45">
        <v>20</v>
      </c>
      <c r="B655" s="45" t="s">
        <v>44</v>
      </c>
      <c r="C655" s="45">
        <v>4</v>
      </c>
      <c r="D655" s="50" t="s">
        <v>1</v>
      </c>
      <c r="E655" s="50" t="s">
        <v>1291</v>
      </c>
      <c r="F655" s="45" t="s">
        <v>81</v>
      </c>
      <c r="G655" s="54" t="s">
        <v>1285</v>
      </c>
      <c r="H655" s="50" t="s">
        <v>495</v>
      </c>
      <c r="I655" s="69"/>
      <c r="EP655" s="111"/>
    </row>
    <row r="656" spans="1:146" s="110" customFormat="1" ht="31.5" x14ac:dyDescent="0.25">
      <c r="A656" s="45">
        <v>20</v>
      </c>
      <c r="B656" s="45" t="s">
        <v>44</v>
      </c>
      <c r="C656" s="45">
        <v>4</v>
      </c>
      <c r="D656" s="50" t="s">
        <v>1</v>
      </c>
      <c r="E656" s="50" t="s">
        <v>1292</v>
      </c>
      <c r="F656" s="45" t="s">
        <v>81</v>
      </c>
      <c r="G656" s="54" t="s">
        <v>1285</v>
      </c>
      <c r="H656" s="50" t="s">
        <v>495</v>
      </c>
      <c r="I656" s="69"/>
      <c r="EP656" s="111"/>
    </row>
    <row r="657" spans="1:146" s="110" customFormat="1" ht="31.5" x14ac:dyDescent="0.25">
      <c r="A657" s="45">
        <v>20</v>
      </c>
      <c r="B657" s="45" t="s">
        <v>44</v>
      </c>
      <c r="C657" s="45">
        <v>4</v>
      </c>
      <c r="D657" s="50" t="s">
        <v>1</v>
      </c>
      <c r="E657" s="50" t="s">
        <v>1293</v>
      </c>
      <c r="F657" s="45" t="s">
        <v>81</v>
      </c>
      <c r="G657" s="54" t="s">
        <v>1285</v>
      </c>
      <c r="H657" s="50" t="s">
        <v>495</v>
      </c>
      <c r="I657" s="69"/>
      <c r="EP657" s="111"/>
    </row>
    <row r="658" spans="1:146" s="110" customFormat="1" ht="31.5" x14ac:dyDescent="0.25">
      <c r="A658" s="45">
        <v>20</v>
      </c>
      <c r="B658" s="45" t="s">
        <v>44</v>
      </c>
      <c r="C658" s="45">
        <v>4</v>
      </c>
      <c r="D658" s="50" t="s">
        <v>1</v>
      </c>
      <c r="E658" s="50" t="s">
        <v>1294</v>
      </c>
      <c r="F658" s="45" t="s">
        <v>81</v>
      </c>
      <c r="G658" s="54" t="s">
        <v>1285</v>
      </c>
      <c r="H658" s="50" t="s">
        <v>495</v>
      </c>
      <c r="I658" s="69"/>
      <c r="EP658" s="111"/>
    </row>
    <row r="659" spans="1:146" s="110" customFormat="1" ht="31.5" x14ac:dyDescent="0.25">
      <c r="A659" s="45">
        <v>20</v>
      </c>
      <c r="B659" s="45" t="s">
        <v>44</v>
      </c>
      <c r="C659" s="45">
        <v>4</v>
      </c>
      <c r="D659" s="50" t="s">
        <v>1</v>
      </c>
      <c r="E659" s="50" t="s">
        <v>1295</v>
      </c>
      <c r="F659" s="45" t="s">
        <v>81</v>
      </c>
      <c r="G659" s="54" t="s">
        <v>1285</v>
      </c>
      <c r="H659" s="50" t="s">
        <v>495</v>
      </c>
      <c r="I659" s="69"/>
      <c r="EP659" s="111"/>
    </row>
    <row r="660" spans="1:146" s="110" customFormat="1" ht="31.5" x14ac:dyDescent="0.25">
      <c r="A660" s="45">
        <v>20</v>
      </c>
      <c r="B660" s="45" t="s">
        <v>44</v>
      </c>
      <c r="C660" s="45">
        <v>4</v>
      </c>
      <c r="D660" s="50" t="s">
        <v>142</v>
      </c>
      <c r="E660" s="50" t="s">
        <v>1296</v>
      </c>
      <c r="F660" s="45" t="s">
        <v>81</v>
      </c>
      <c r="G660" s="54" t="s">
        <v>1297</v>
      </c>
      <c r="H660" s="50" t="s">
        <v>1298</v>
      </c>
      <c r="I660" s="69"/>
      <c r="EP660" s="111"/>
    </row>
    <row r="661" spans="1:146" s="110" customFormat="1" ht="31.5" x14ac:dyDescent="0.25">
      <c r="A661" s="45">
        <v>20</v>
      </c>
      <c r="B661" s="45" t="s">
        <v>44</v>
      </c>
      <c r="C661" s="45">
        <v>4</v>
      </c>
      <c r="D661" s="50" t="s">
        <v>142</v>
      </c>
      <c r="E661" s="50" t="s">
        <v>1299</v>
      </c>
      <c r="F661" s="45" t="s">
        <v>81</v>
      </c>
      <c r="G661" s="54" t="s">
        <v>1300</v>
      </c>
      <c r="H661" s="50" t="s">
        <v>1301</v>
      </c>
      <c r="I661" s="69"/>
      <c r="EP661" s="111"/>
    </row>
    <row r="662" spans="1:146" s="110" customFormat="1" ht="31.5" x14ac:dyDescent="0.25">
      <c r="A662" s="45">
        <v>20</v>
      </c>
      <c r="B662" s="45" t="s">
        <v>44</v>
      </c>
      <c r="C662" s="45">
        <v>4</v>
      </c>
      <c r="D662" s="50" t="s">
        <v>0</v>
      </c>
      <c r="E662" s="50" t="s">
        <v>1302</v>
      </c>
      <c r="F662" s="45" t="s">
        <v>81</v>
      </c>
      <c r="G662" s="54" t="s">
        <v>1303</v>
      </c>
      <c r="H662" s="50" t="s">
        <v>1304</v>
      </c>
      <c r="I662" s="69"/>
      <c r="EP662" s="111"/>
    </row>
    <row r="663" spans="1:146" s="110" customFormat="1" ht="31.5" x14ac:dyDescent="0.25">
      <c r="A663" s="45">
        <v>20</v>
      </c>
      <c r="B663" s="45" t="s">
        <v>44</v>
      </c>
      <c r="C663" s="45">
        <v>4</v>
      </c>
      <c r="D663" s="50" t="s">
        <v>0</v>
      </c>
      <c r="E663" s="50" t="s">
        <v>1305</v>
      </c>
      <c r="F663" s="45" t="s">
        <v>81</v>
      </c>
      <c r="G663" s="54" t="s">
        <v>1306</v>
      </c>
      <c r="H663" s="50" t="s">
        <v>1304</v>
      </c>
      <c r="I663" s="69"/>
      <c r="EP663" s="111"/>
    </row>
    <row r="664" spans="1:146" s="110" customFormat="1" ht="31.5" x14ac:dyDescent="0.25">
      <c r="A664" s="45">
        <v>20</v>
      </c>
      <c r="B664" s="45" t="s">
        <v>44</v>
      </c>
      <c r="C664" s="45">
        <v>4</v>
      </c>
      <c r="D664" s="50" t="s">
        <v>393</v>
      </c>
      <c r="E664" s="50" t="s">
        <v>1307</v>
      </c>
      <c r="F664" s="45" t="s">
        <v>81</v>
      </c>
      <c r="G664" s="54" t="s">
        <v>1308</v>
      </c>
      <c r="H664" s="50" t="s">
        <v>1304</v>
      </c>
      <c r="I664" s="69"/>
      <c r="EP664" s="111"/>
    </row>
    <row r="665" spans="1:146" s="110" customFormat="1" ht="31.5" x14ac:dyDescent="0.25">
      <c r="A665" s="45">
        <v>20</v>
      </c>
      <c r="B665" s="45" t="s">
        <v>44</v>
      </c>
      <c r="C665" s="45">
        <v>4</v>
      </c>
      <c r="D665" s="50" t="s">
        <v>393</v>
      </c>
      <c r="E665" s="50" t="s">
        <v>1518</v>
      </c>
      <c r="F665" s="45" t="s">
        <v>81</v>
      </c>
      <c r="G665" s="54" t="s">
        <v>1309</v>
      </c>
      <c r="H665" s="50" t="s">
        <v>1304</v>
      </c>
      <c r="I665" s="69"/>
      <c r="EP665" s="111"/>
    </row>
    <row r="666" spans="1:146" s="110" customFormat="1" x14ac:dyDescent="0.25">
      <c r="A666" s="45">
        <v>20</v>
      </c>
      <c r="B666" s="45" t="s">
        <v>44</v>
      </c>
      <c r="C666" s="45">
        <v>4</v>
      </c>
      <c r="D666" s="50" t="s">
        <v>393</v>
      </c>
      <c r="E666" s="50" t="s">
        <v>1310</v>
      </c>
      <c r="F666" s="45" t="s">
        <v>81</v>
      </c>
      <c r="G666" s="54" t="s">
        <v>1311</v>
      </c>
      <c r="H666" s="50" t="s">
        <v>1310</v>
      </c>
      <c r="I666" s="69"/>
      <c r="EP666" s="111"/>
    </row>
    <row r="667" spans="1:146" s="110" customFormat="1" ht="31.5" x14ac:dyDescent="0.25">
      <c r="A667" s="45">
        <v>20</v>
      </c>
      <c r="B667" s="45" t="s">
        <v>44</v>
      </c>
      <c r="C667" s="45">
        <v>4</v>
      </c>
      <c r="D667" s="50" t="s">
        <v>1</v>
      </c>
      <c r="E667" s="50" t="s">
        <v>1312</v>
      </c>
      <c r="F667" s="45" t="s">
        <v>81</v>
      </c>
      <c r="G667" s="54" t="s">
        <v>1313</v>
      </c>
      <c r="H667" s="50" t="s">
        <v>1314</v>
      </c>
      <c r="I667" s="69"/>
      <c r="EP667" s="111"/>
    </row>
    <row r="668" spans="1:146" s="110" customFormat="1" x14ac:dyDescent="0.25">
      <c r="A668" s="45">
        <v>20</v>
      </c>
      <c r="B668" s="45" t="s">
        <v>44</v>
      </c>
      <c r="C668" s="45">
        <v>4</v>
      </c>
      <c r="D668" s="50" t="s">
        <v>393</v>
      </c>
      <c r="E668" s="50" t="s">
        <v>1315</v>
      </c>
      <c r="F668" s="45" t="s">
        <v>81</v>
      </c>
      <c r="G668" s="54" t="s">
        <v>1316</v>
      </c>
      <c r="H668" s="50" t="s">
        <v>1519</v>
      </c>
      <c r="I668" s="69"/>
      <c r="EP668" s="111"/>
    </row>
    <row r="669" spans="1:146" s="110" customFormat="1" ht="31.5" x14ac:dyDescent="0.25">
      <c r="A669" s="14">
        <v>21</v>
      </c>
      <c r="B669" s="14" t="s">
        <v>45</v>
      </c>
      <c r="C669" s="14">
        <v>1</v>
      </c>
      <c r="D669" s="19" t="s">
        <v>0</v>
      </c>
      <c r="E669" s="19" t="s">
        <v>279</v>
      </c>
      <c r="F669" s="14" t="s">
        <v>81</v>
      </c>
      <c r="G669" s="20">
        <v>1</v>
      </c>
      <c r="H669" s="19" t="s">
        <v>280</v>
      </c>
      <c r="I669" s="69"/>
      <c r="EP669" s="111"/>
    </row>
    <row r="670" spans="1:146" s="110" customFormat="1" ht="47.25" x14ac:dyDescent="0.25">
      <c r="A670" s="14">
        <v>21</v>
      </c>
      <c r="B670" s="14" t="s">
        <v>45</v>
      </c>
      <c r="C670" s="14">
        <v>1</v>
      </c>
      <c r="D670" s="19" t="s">
        <v>1</v>
      </c>
      <c r="E670" s="19" t="s">
        <v>275</v>
      </c>
      <c r="F670" s="14" t="s">
        <v>81</v>
      </c>
      <c r="G670" s="20">
        <v>240</v>
      </c>
      <c r="H670" s="19" t="s">
        <v>276</v>
      </c>
      <c r="I670" s="69"/>
      <c r="EP670" s="111"/>
    </row>
    <row r="671" spans="1:146" s="110" customFormat="1" ht="31.5" x14ac:dyDescent="0.25">
      <c r="A671" s="14">
        <v>21</v>
      </c>
      <c r="B671" s="14" t="s">
        <v>45</v>
      </c>
      <c r="C671" s="14">
        <v>1</v>
      </c>
      <c r="D671" s="19" t="s">
        <v>83</v>
      </c>
      <c r="E671" s="19" t="s">
        <v>277</v>
      </c>
      <c r="F671" s="14" t="s">
        <v>81</v>
      </c>
      <c r="G671" s="20" t="s">
        <v>93</v>
      </c>
      <c r="H671" s="19" t="s">
        <v>278</v>
      </c>
      <c r="I671" s="69"/>
      <c r="EP671" s="111"/>
    </row>
    <row r="672" spans="1:146" s="110" customFormat="1" x14ac:dyDescent="0.25">
      <c r="A672" s="14">
        <v>21</v>
      </c>
      <c r="B672" s="14" t="s">
        <v>45</v>
      </c>
      <c r="C672" s="14">
        <v>1</v>
      </c>
      <c r="D672" s="19" t="s">
        <v>83</v>
      </c>
      <c r="E672" s="19" t="s">
        <v>281</v>
      </c>
      <c r="F672" s="14" t="s">
        <v>81</v>
      </c>
      <c r="G672" s="20">
        <v>1</v>
      </c>
      <c r="H672" s="19" t="s">
        <v>282</v>
      </c>
      <c r="I672" s="69"/>
      <c r="EP672" s="111"/>
    </row>
    <row r="673" spans="1:146" s="110" customFormat="1" x14ac:dyDescent="0.25">
      <c r="A673" s="14">
        <v>21</v>
      </c>
      <c r="B673" s="14" t="s">
        <v>45</v>
      </c>
      <c r="C673" s="14">
        <v>1</v>
      </c>
      <c r="D673" s="19" t="s">
        <v>83</v>
      </c>
      <c r="E673" s="19" t="s">
        <v>283</v>
      </c>
      <c r="F673" s="14" t="s">
        <v>81</v>
      </c>
      <c r="G673" s="20">
        <v>1</v>
      </c>
      <c r="H673" s="19" t="s">
        <v>282</v>
      </c>
      <c r="I673" s="69"/>
      <c r="EP673" s="111"/>
    </row>
    <row r="674" spans="1:146" s="110" customFormat="1" ht="31.5" x14ac:dyDescent="0.25">
      <c r="A674" s="14">
        <v>21</v>
      </c>
      <c r="B674" s="14" t="s">
        <v>45</v>
      </c>
      <c r="C674" s="14">
        <v>1</v>
      </c>
      <c r="D674" s="19" t="s">
        <v>83</v>
      </c>
      <c r="E674" s="19" t="s">
        <v>284</v>
      </c>
      <c r="F674" s="14" t="s">
        <v>69</v>
      </c>
      <c r="G674" s="20">
        <v>50</v>
      </c>
      <c r="H674" s="19" t="s">
        <v>285</v>
      </c>
      <c r="I674" s="69"/>
      <c r="EP674" s="111"/>
    </row>
    <row r="675" spans="1:146" s="110" customFormat="1" x14ac:dyDescent="0.25">
      <c r="A675" s="14">
        <v>21</v>
      </c>
      <c r="B675" s="14" t="s">
        <v>45</v>
      </c>
      <c r="C675" s="14">
        <v>1</v>
      </c>
      <c r="D675" s="19" t="s">
        <v>83</v>
      </c>
      <c r="E675" s="19" t="s">
        <v>286</v>
      </c>
      <c r="F675" s="14" t="s">
        <v>69</v>
      </c>
      <c r="G675" s="20">
        <v>119</v>
      </c>
      <c r="H675" s="19" t="s">
        <v>287</v>
      </c>
      <c r="I675" s="69"/>
      <c r="EP675" s="111"/>
    </row>
    <row r="676" spans="1:146" s="110" customFormat="1" ht="31.5" x14ac:dyDescent="0.25">
      <c r="A676" s="32">
        <v>21</v>
      </c>
      <c r="B676" s="32" t="s">
        <v>45</v>
      </c>
      <c r="C676" s="32">
        <v>2</v>
      </c>
      <c r="D676" s="38" t="s">
        <v>137</v>
      </c>
      <c r="E676" s="38" t="s">
        <v>505</v>
      </c>
      <c r="F676" s="32" t="s">
        <v>81</v>
      </c>
      <c r="G676" s="42">
        <v>119</v>
      </c>
      <c r="H676" s="38" t="s">
        <v>506</v>
      </c>
      <c r="I676" s="69"/>
      <c r="EP676" s="111"/>
    </row>
    <row r="677" spans="1:146" s="110" customFormat="1" ht="47.25" x14ac:dyDescent="0.25">
      <c r="A677" s="32">
        <v>21</v>
      </c>
      <c r="B677" s="32" t="s">
        <v>45</v>
      </c>
      <c r="C677" s="32">
        <v>2</v>
      </c>
      <c r="D677" s="38" t="s">
        <v>0</v>
      </c>
      <c r="E677" s="38" t="s">
        <v>694</v>
      </c>
      <c r="F677" s="32" t="s">
        <v>81</v>
      </c>
      <c r="G677" s="42">
        <v>1</v>
      </c>
      <c r="H677" s="38" t="s">
        <v>497</v>
      </c>
      <c r="I677" s="69"/>
      <c r="EP677" s="111"/>
    </row>
    <row r="678" spans="1:146" s="110" customFormat="1" ht="63" x14ac:dyDescent="0.25">
      <c r="A678" s="32">
        <v>21</v>
      </c>
      <c r="B678" s="32" t="s">
        <v>45</v>
      </c>
      <c r="C678" s="32">
        <v>2</v>
      </c>
      <c r="D678" s="38" t="s">
        <v>393</v>
      </c>
      <c r="E678" s="38" t="s">
        <v>498</v>
      </c>
      <c r="F678" s="32" t="s">
        <v>81</v>
      </c>
      <c r="G678" s="42">
        <v>1</v>
      </c>
      <c r="H678" s="38" t="s">
        <v>499</v>
      </c>
      <c r="I678" s="69"/>
      <c r="EP678" s="111"/>
    </row>
    <row r="679" spans="1:146" s="110" customFormat="1" ht="94.5" x14ac:dyDescent="0.25">
      <c r="A679" s="32">
        <v>21</v>
      </c>
      <c r="B679" s="32" t="s">
        <v>45</v>
      </c>
      <c r="C679" s="32">
        <v>2</v>
      </c>
      <c r="D679" s="38" t="s">
        <v>393</v>
      </c>
      <c r="E679" s="38" t="s">
        <v>695</v>
      </c>
      <c r="F679" s="32" t="s">
        <v>81</v>
      </c>
      <c r="G679" s="42">
        <v>1</v>
      </c>
      <c r="H679" s="38" t="s">
        <v>696</v>
      </c>
      <c r="I679" s="69"/>
      <c r="EP679" s="111"/>
    </row>
    <row r="680" spans="1:146" s="110" customFormat="1" ht="31.5" x14ac:dyDescent="0.25">
      <c r="A680" s="32">
        <v>21</v>
      </c>
      <c r="B680" s="32" t="s">
        <v>45</v>
      </c>
      <c r="C680" s="32">
        <v>2</v>
      </c>
      <c r="D680" s="38" t="s">
        <v>393</v>
      </c>
      <c r="E680" s="38" t="s">
        <v>500</v>
      </c>
      <c r="F680" s="32" t="s">
        <v>81</v>
      </c>
      <c r="G680" s="42">
        <v>1</v>
      </c>
      <c r="H680" s="38" t="s">
        <v>589</v>
      </c>
      <c r="I680" s="69"/>
      <c r="EP680" s="111"/>
    </row>
    <row r="681" spans="1:146" s="110" customFormat="1" ht="31.5" x14ac:dyDescent="0.25">
      <c r="A681" s="32">
        <v>21</v>
      </c>
      <c r="B681" s="32" t="s">
        <v>45</v>
      </c>
      <c r="C681" s="32">
        <v>2</v>
      </c>
      <c r="D681" s="38" t="s">
        <v>393</v>
      </c>
      <c r="E681" s="38" t="s">
        <v>501</v>
      </c>
      <c r="F681" s="32" t="s">
        <v>81</v>
      </c>
      <c r="G681" s="42">
        <v>1</v>
      </c>
      <c r="H681" s="38" t="s">
        <v>589</v>
      </c>
      <c r="I681" s="69"/>
      <c r="EP681" s="111"/>
    </row>
    <row r="682" spans="1:146" s="110" customFormat="1" ht="31.5" x14ac:dyDescent="0.25">
      <c r="A682" s="32">
        <v>21</v>
      </c>
      <c r="B682" s="32" t="s">
        <v>45</v>
      </c>
      <c r="C682" s="32">
        <v>2</v>
      </c>
      <c r="D682" s="38" t="s">
        <v>393</v>
      </c>
      <c r="E682" s="38" t="s">
        <v>502</v>
      </c>
      <c r="F682" s="32" t="s">
        <v>81</v>
      </c>
      <c r="G682" s="42">
        <v>1</v>
      </c>
      <c r="H682" s="38" t="s">
        <v>503</v>
      </c>
      <c r="I682" s="69"/>
      <c r="EP682" s="111"/>
    </row>
    <row r="683" spans="1:146" s="110" customFormat="1" ht="31.5" x14ac:dyDescent="0.25">
      <c r="A683" s="32">
        <v>21</v>
      </c>
      <c r="B683" s="32" t="s">
        <v>45</v>
      </c>
      <c r="C683" s="32">
        <v>2</v>
      </c>
      <c r="D683" s="38" t="s">
        <v>393</v>
      </c>
      <c r="E683" s="38" t="s">
        <v>504</v>
      </c>
      <c r="F683" s="32" t="s">
        <v>81</v>
      </c>
      <c r="G683" s="42">
        <v>1</v>
      </c>
      <c r="H683" s="38" t="s">
        <v>589</v>
      </c>
      <c r="I683" s="69"/>
      <c r="EP683" s="111"/>
    </row>
    <row r="684" spans="1:146" s="110" customFormat="1" x14ac:dyDescent="0.25">
      <c r="A684" s="32">
        <v>21</v>
      </c>
      <c r="B684" s="32" t="s">
        <v>45</v>
      </c>
      <c r="C684" s="32">
        <v>2</v>
      </c>
      <c r="D684" s="38" t="s">
        <v>393</v>
      </c>
      <c r="E684" s="38" t="s">
        <v>1075</v>
      </c>
      <c r="F684" s="32" t="s">
        <v>81</v>
      </c>
      <c r="G684" s="42" t="s">
        <v>93</v>
      </c>
      <c r="H684" s="38" t="s">
        <v>507</v>
      </c>
      <c r="I684" s="69"/>
      <c r="EP684" s="111"/>
    </row>
    <row r="685" spans="1:146" s="110" customFormat="1" ht="47.25" x14ac:dyDescent="0.25">
      <c r="A685" s="32">
        <v>21</v>
      </c>
      <c r="B685" s="32" t="s">
        <v>45</v>
      </c>
      <c r="C685" s="32">
        <v>2</v>
      </c>
      <c r="D685" s="38" t="s">
        <v>393</v>
      </c>
      <c r="E685" s="38" t="s">
        <v>688</v>
      </c>
      <c r="F685" s="32" t="s">
        <v>81</v>
      </c>
      <c r="G685" s="42">
        <v>1</v>
      </c>
      <c r="H685" s="38" t="s">
        <v>590</v>
      </c>
      <c r="I685" s="69"/>
      <c r="EP685" s="111"/>
    </row>
    <row r="686" spans="1:146" s="110" customFormat="1" ht="31.5" x14ac:dyDescent="0.25">
      <c r="A686" s="63">
        <v>21</v>
      </c>
      <c r="B686" s="63" t="s">
        <v>45</v>
      </c>
      <c r="C686" s="63">
        <v>3</v>
      </c>
      <c r="D686" s="64" t="s">
        <v>0</v>
      </c>
      <c r="E686" s="64" t="s">
        <v>877</v>
      </c>
      <c r="F686" s="63" t="s">
        <v>81</v>
      </c>
      <c r="G686" s="65">
        <v>9</v>
      </c>
      <c r="H686" s="64" t="s">
        <v>589</v>
      </c>
      <c r="I686" s="69"/>
      <c r="EP686" s="111"/>
    </row>
    <row r="687" spans="1:146" s="110" customFormat="1" ht="31.5" x14ac:dyDescent="0.25">
      <c r="A687" s="63">
        <v>21</v>
      </c>
      <c r="B687" s="63" t="s">
        <v>45</v>
      </c>
      <c r="C687" s="63">
        <v>3</v>
      </c>
      <c r="D687" s="64" t="s">
        <v>0</v>
      </c>
      <c r="E687" s="64" t="s">
        <v>878</v>
      </c>
      <c r="F687" s="63" t="s">
        <v>81</v>
      </c>
      <c r="G687" s="65">
        <v>33</v>
      </c>
      <c r="H687" s="64" t="s">
        <v>879</v>
      </c>
      <c r="I687" s="69"/>
      <c r="EP687" s="111"/>
    </row>
    <row r="688" spans="1:146" s="110" customFormat="1" ht="31.5" x14ac:dyDescent="0.25">
      <c r="A688" s="63">
        <v>21</v>
      </c>
      <c r="B688" s="63" t="s">
        <v>45</v>
      </c>
      <c r="C688" s="63">
        <v>3</v>
      </c>
      <c r="D688" s="64" t="s">
        <v>142</v>
      </c>
      <c r="E688" s="64" t="s">
        <v>882</v>
      </c>
      <c r="F688" s="63" t="s">
        <v>81</v>
      </c>
      <c r="G688" s="65">
        <v>8</v>
      </c>
      <c r="H688" s="64" t="s">
        <v>883</v>
      </c>
      <c r="I688" s="69"/>
      <c r="EP688" s="111"/>
    </row>
    <row r="689" spans="1:146" s="110" customFormat="1" ht="47.25" x14ac:dyDescent="0.25">
      <c r="A689" s="63">
        <v>21</v>
      </c>
      <c r="B689" s="63" t="s">
        <v>45</v>
      </c>
      <c r="C689" s="63">
        <v>3</v>
      </c>
      <c r="D689" s="64" t="s">
        <v>393</v>
      </c>
      <c r="E689" s="64" t="s">
        <v>872</v>
      </c>
      <c r="F689" s="63" t="s">
        <v>81</v>
      </c>
      <c r="G689" s="65">
        <v>19</v>
      </c>
      <c r="H689" s="64" t="s">
        <v>873</v>
      </c>
      <c r="I689" s="69"/>
      <c r="EP689" s="111"/>
    </row>
    <row r="690" spans="1:146" s="110" customFormat="1" ht="47.25" x14ac:dyDescent="0.25">
      <c r="A690" s="63">
        <v>21</v>
      </c>
      <c r="B690" s="63" t="s">
        <v>45</v>
      </c>
      <c r="C690" s="63">
        <v>3</v>
      </c>
      <c r="D690" s="64" t="s">
        <v>393</v>
      </c>
      <c r="E690" s="64" t="s">
        <v>874</v>
      </c>
      <c r="F690" s="63" t="s">
        <v>81</v>
      </c>
      <c r="G690" s="65">
        <v>12</v>
      </c>
      <c r="H690" s="64" t="s">
        <v>875</v>
      </c>
      <c r="I690" s="69"/>
      <c r="EP690" s="111"/>
    </row>
    <row r="691" spans="1:146" s="110" customFormat="1" ht="31.5" x14ac:dyDescent="0.25">
      <c r="A691" s="63">
        <v>21</v>
      </c>
      <c r="B691" s="63" t="s">
        <v>45</v>
      </c>
      <c r="C691" s="63">
        <v>3</v>
      </c>
      <c r="D691" s="64" t="s">
        <v>393</v>
      </c>
      <c r="E691" s="64" t="s">
        <v>876</v>
      </c>
      <c r="F691" s="63" t="s">
        <v>81</v>
      </c>
      <c r="G691" s="65">
        <v>25</v>
      </c>
      <c r="H691" s="64" t="s">
        <v>589</v>
      </c>
      <c r="I691" s="69"/>
      <c r="EP691" s="111"/>
    </row>
    <row r="692" spans="1:146" s="110" customFormat="1" ht="31.5" x14ac:dyDescent="0.25">
      <c r="A692" s="63">
        <v>21</v>
      </c>
      <c r="B692" s="63" t="s">
        <v>45</v>
      </c>
      <c r="C692" s="63">
        <v>3</v>
      </c>
      <c r="D692" s="64" t="s">
        <v>393</v>
      </c>
      <c r="E692" s="64" t="s">
        <v>880</v>
      </c>
      <c r="F692" s="63" t="s">
        <v>81</v>
      </c>
      <c r="G692" s="65">
        <v>68</v>
      </c>
      <c r="H692" s="64" t="s">
        <v>589</v>
      </c>
      <c r="I692" s="69"/>
      <c r="EP692" s="111"/>
    </row>
    <row r="693" spans="1:146" s="110" customFormat="1" ht="31.5" x14ac:dyDescent="0.25">
      <c r="A693" s="63">
        <v>21</v>
      </c>
      <c r="B693" s="63" t="s">
        <v>45</v>
      </c>
      <c r="C693" s="63">
        <v>3</v>
      </c>
      <c r="D693" s="64" t="s">
        <v>393</v>
      </c>
      <c r="E693" s="64" t="s">
        <v>881</v>
      </c>
      <c r="F693" s="63" t="s">
        <v>81</v>
      </c>
      <c r="G693" s="65">
        <v>70</v>
      </c>
      <c r="H693" s="64" t="s">
        <v>589</v>
      </c>
      <c r="I693" s="69"/>
      <c r="EP693" s="111"/>
    </row>
    <row r="694" spans="1:146" s="110" customFormat="1" ht="63" x14ac:dyDescent="0.25">
      <c r="A694" s="63">
        <v>21</v>
      </c>
      <c r="B694" s="63" t="s">
        <v>45</v>
      </c>
      <c r="C694" s="63">
        <v>3</v>
      </c>
      <c r="D694" s="64" t="s">
        <v>393</v>
      </c>
      <c r="E694" s="64" t="s">
        <v>884</v>
      </c>
      <c r="F694" s="63" t="s">
        <v>81</v>
      </c>
      <c r="G694" s="65">
        <v>11</v>
      </c>
      <c r="H694" s="64" t="s">
        <v>499</v>
      </c>
      <c r="I694" s="69"/>
      <c r="EP694" s="111"/>
    </row>
    <row r="695" spans="1:146" s="110" customFormat="1" ht="63" x14ac:dyDescent="0.25">
      <c r="A695" s="63">
        <v>21</v>
      </c>
      <c r="B695" s="63" t="s">
        <v>45</v>
      </c>
      <c r="C695" s="63">
        <v>3</v>
      </c>
      <c r="D695" s="64" t="s">
        <v>393</v>
      </c>
      <c r="E695" s="64" t="s">
        <v>885</v>
      </c>
      <c r="F695" s="63" t="s">
        <v>81</v>
      </c>
      <c r="G695" s="65">
        <v>93</v>
      </c>
      <c r="H695" s="64" t="s">
        <v>499</v>
      </c>
      <c r="I695" s="69"/>
      <c r="EP695" s="111"/>
    </row>
    <row r="696" spans="1:146" s="110" customFormat="1" ht="31.5" x14ac:dyDescent="0.25">
      <c r="A696" s="63">
        <v>21</v>
      </c>
      <c r="B696" s="63" t="s">
        <v>45</v>
      </c>
      <c r="C696" s="63">
        <v>3</v>
      </c>
      <c r="D696" s="64" t="s">
        <v>393</v>
      </c>
      <c r="E696" s="64" t="s">
        <v>886</v>
      </c>
      <c r="F696" s="63" t="s">
        <v>81</v>
      </c>
      <c r="G696" s="65">
        <v>20</v>
      </c>
      <c r="H696" s="64" t="s">
        <v>589</v>
      </c>
      <c r="I696" s="69"/>
      <c r="EP696" s="111"/>
    </row>
    <row r="697" spans="1:146" s="110" customFormat="1" ht="47.25" x14ac:dyDescent="0.25">
      <c r="A697" s="63">
        <v>21</v>
      </c>
      <c r="B697" s="63" t="s">
        <v>45</v>
      </c>
      <c r="C697" s="63">
        <v>3</v>
      </c>
      <c r="D697" s="64" t="s">
        <v>393</v>
      </c>
      <c r="E697" s="64" t="s">
        <v>887</v>
      </c>
      <c r="F697" s="63" t="s">
        <v>81</v>
      </c>
      <c r="G697" s="65">
        <v>12</v>
      </c>
      <c r="H697" s="64" t="s">
        <v>888</v>
      </c>
      <c r="I697" s="69"/>
      <c r="EP697" s="111"/>
    </row>
    <row r="698" spans="1:146" s="110" customFormat="1" ht="31.5" x14ac:dyDescent="0.25">
      <c r="A698" s="63">
        <v>21</v>
      </c>
      <c r="B698" s="63" t="s">
        <v>45</v>
      </c>
      <c r="C698" s="63">
        <v>3</v>
      </c>
      <c r="D698" s="64" t="s">
        <v>393</v>
      </c>
      <c r="E698" s="64" t="s">
        <v>889</v>
      </c>
      <c r="F698" s="63" t="s">
        <v>81</v>
      </c>
      <c r="G698" s="65">
        <v>10</v>
      </c>
      <c r="H698" s="64" t="s">
        <v>589</v>
      </c>
      <c r="I698" s="69"/>
      <c r="EP698" s="111"/>
    </row>
    <row r="699" spans="1:146" s="110" customFormat="1" ht="47.25" x14ac:dyDescent="0.25">
      <c r="A699" s="63">
        <v>21</v>
      </c>
      <c r="B699" s="63" t="s">
        <v>45</v>
      </c>
      <c r="C699" s="63">
        <v>3</v>
      </c>
      <c r="D699" s="64" t="s">
        <v>393</v>
      </c>
      <c r="E699" s="64" t="s">
        <v>890</v>
      </c>
      <c r="F699" s="63" t="s">
        <v>81</v>
      </c>
      <c r="G699" s="65">
        <v>10</v>
      </c>
      <c r="H699" s="64" t="s">
        <v>891</v>
      </c>
      <c r="I699" s="69"/>
      <c r="EP699" s="111"/>
    </row>
    <row r="700" spans="1:146" s="110" customFormat="1" ht="63" x14ac:dyDescent="0.25">
      <c r="A700" s="63">
        <v>21</v>
      </c>
      <c r="B700" s="63" t="s">
        <v>45</v>
      </c>
      <c r="C700" s="63">
        <v>3</v>
      </c>
      <c r="D700" s="64" t="s">
        <v>393</v>
      </c>
      <c r="E700" s="64" t="s">
        <v>892</v>
      </c>
      <c r="F700" s="63" t="s">
        <v>81</v>
      </c>
      <c r="G700" s="65">
        <v>12</v>
      </c>
      <c r="H700" s="64" t="s">
        <v>893</v>
      </c>
      <c r="I700" s="56"/>
      <c r="EP700" s="111"/>
    </row>
    <row r="701" spans="1:146" s="110" customFormat="1" ht="78.75" x14ac:dyDescent="0.25">
      <c r="A701" s="45">
        <v>21</v>
      </c>
      <c r="B701" s="45" t="s">
        <v>45</v>
      </c>
      <c r="C701" s="45">
        <v>4</v>
      </c>
      <c r="D701" s="50" t="s">
        <v>1</v>
      </c>
      <c r="E701" s="50" t="s">
        <v>1317</v>
      </c>
      <c r="F701" s="45" t="s">
        <v>81</v>
      </c>
      <c r="G701" s="54">
        <v>237</v>
      </c>
      <c r="H701" s="50" t="s">
        <v>1318</v>
      </c>
      <c r="I701" s="69"/>
      <c r="EP701" s="111"/>
    </row>
    <row r="702" spans="1:146" s="110" customFormat="1" ht="47.25" x14ac:dyDescent="0.25">
      <c r="A702" s="45">
        <v>21</v>
      </c>
      <c r="B702" s="45" t="s">
        <v>45</v>
      </c>
      <c r="C702" s="45">
        <v>4</v>
      </c>
      <c r="D702" s="50" t="s">
        <v>393</v>
      </c>
      <c r="E702" s="50" t="s">
        <v>1319</v>
      </c>
      <c r="F702" s="45" t="s">
        <v>81</v>
      </c>
      <c r="G702" s="54">
        <v>10</v>
      </c>
      <c r="H702" s="50" t="s">
        <v>1520</v>
      </c>
      <c r="I702" s="69"/>
      <c r="EP702" s="111"/>
    </row>
    <row r="703" spans="1:146" s="110" customFormat="1" ht="63" x14ac:dyDescent="0.25">
      <c r="A703" s="45">
        <v>21</v>
      </c>
      <c r="B703" s="45" t="s">
        <v>45</v>
      </c>
      <c r="C703" s="45">
        <v>4</v>
      </c>
      <c r="D703" s="50" t="s">
        <v>393</v>
      </c>
      <c r="E703" s="50" t="s">
        <v>1320</v>
      </c>
      <c r="F703" s="45" t="s">
        <v>81</v>
      </c>
      <c r="G703" s="54">
        <v>12</v>
      </c>
      <c r="H703" s="50" t="s">
        <v>1321</v>
      </c>
      <c r="I703" s="69"/>
      <c r="EP703" s="111"/>
    </row>
    <row r="704" spans="1:146" s="110" customFormat="1" ht="31.5" x14ac:dyDescent="0.25">
      <c r="A704" s="45">
        <v>21</v>
      </c>
      <c r="B704" s="45" t="s">
        <v>45</v>
      </c>
      <c r="C704" s="45">
        <v>4</v>
      </c>
      <c r="D704" s="50" t="s">
        <v>1</v>
      </c>
      <c r="E704" s="50" t="s">
        <v>1322</v>
      </c>
      <c r="F704" s="45" t="s">
        <v>81</v>
      </c>
      <c r="G704" s="54">
        <v>237</v>
      </c>
      <c r="H704" s="50" t="s">
        <v>1521</v>
      </c>
      <c r="I704" s="69"/>
      <c r="EP704" s="111"/>
    </row>
    <row r="705" spans="1:146" s="110" customFormat="1" x14ac:dyDescent="0.25">
      <c r="A705" s="45">
        <v>21</v>
      </c>
      <c r="B705" s="45" t="s">
        <v>45</v>
      </c>
      <c r="C705" s="45">
        <v>4</v>
      </c>
      <c r="D705" s="50" t="s">
        <v>393</v>
      </c>
      <c r="E705" s="50" t="s">
        <v>1323</v>
      </c>
      <c r="F705" s="45" t="s">
        <v>81</v>
      </c>
      <c r="G705" s="54">
        <v>121</v>
      </c>
      <c r="H705" s="50" t="s">
        <v>1324</v>
      </c>
      <c r="I705" s="69"/>
      <c r="EP705" s="111"/>
    </row>
    <row r="706" spans="1:146" s="110" customFormat="1" ht="63" x14ac:dyDescent="0.25">
      <c r="A706" s="45">
        <v>21</v>
      </c>
      <c r="B706" s="45" t="s">
        <v>45</v>
      </c>
      <c r="C706" s="45">
        <v>4</v>
      </c>
      <c r="D706" s="50" t="s">
        <v>393</v>
      </c>
      <c r="E706" s="50" t="s">
        <v>1325</v>
      </c>
      <c r="F706" s="45" t="s">
        <v>81</v>
      </c>
      <c r="G706" s="54">
        <v>44</v>
      </c>
      <c r="H706" s="50" t="s">
        <v>589</v>
      </c>
      <c r="I706" s="69"/>
      <c r="EP706" s="111"/>
    </row>
    <row r="707" spans="1:146" s="110" customFormat="1" ht="47.25" x14ac:dyDescent="0.25">
      <c r="A707" s="45">
        <v>21</v>
      </c>
      <c r="B707" s="45" t="s">
        <v>45</v>
      </c>
      <c r="C707" s="45">
        <v>4</v>
      </c>
      <c r="D707" s="50" t="s">
        <v>393</v>
      </c>
      <c r="E707" s="50" t="s">
        <v>1522</v>
      </c>
      <c r="F707" s="45" t="s">
        <v>81</v>
      </c>
      <c r="G707" s="54" t="s">
        <v>1326</v>
      </c>
      <c r="H707" s="50" t="s">
        <v>1327</v>
      </c>
      <c r="I707" s="69"/>
      <c r="EP707" s="111"/>
    </row>
    <row r="708" spans="1:146" s="110" customFormat="1" ht="47.25" x14ac:dyDescent="0.25">
      <c r="A708" s="45">
        <v>21</v>
      </c>
      <c r="B708" s="45" t="s">
        <v>45</v>
      </c>
      <c r="C708" s="45">
        <v>4</v>
      </c>
      <c r="D708" s="50" t="s">
        <v>1</v>
      </c>
      <c r="E708" s="50" t="s">
        <v>1523</v>
      </c>
      <c r="F708" s="45" t="s">
        <v>81</v>
      </c>
      <c r="G708" s="54">
        <v>47</v>
      </c>
      <c r="H708" s="50" t="s">
        <v>1524</v>
      </c>
      <c r="I708" s="69"/>
      <c r="EP708" s="111"/>
    </row>
    <row r="709" spans="1:146" s="110" customFormat="1" ht="63" x14ac:dyDescent="0.25">
      <c r="A709" s="45">
        <v>21</v>
      </c>
      <c r="B709" s="45" t="s">
        <v>45</v>
      </c>
      <c r="C709" s="45">
        <v>4</v>
      </c>
      <c r="D709" s="50" t="s">
        <v>393</v>
      </c>
      <c r="E709" s="50" t="s">
        <v>1328</v>
      </c>
      <c r="F709" s="45" t="s">
        <v>81</v>
      </c>
      <c r="G709" s="54">
        <v>62</v>
      </c>
      <c r="H709" s="50" t="s">
        <v>589</v>
      </c>
      <c r="I709" s="69"/>
      <c r="EP709" s="111"/>
    </row>
    <row r="710" spans="1:146" s="110" customFormat="1" ht="47.25" x14ac:dyDescent="0.25">
      <c r="A710" s="45">
        <v>21</v>
      </c>
      <c r="B710" s="45" t="s">
        <v>45</v>
      </c>
      <c r="C710" s="45">
        <v>4</v>
      </c>
      <c r="D710" s="50" t="s">
        <v>393</v>
      </c>
      <c r="E710" s="50" t="s">
        <v>1525</v>
      </c>
      <c r="F710" s="45" t="s">
        <v>81</v>
      </c>
      <c r="G710" s="54">
        <v>52</v>
      </c>
      <c r="H710" s="50" t="s">
        <v>589</v>
      </c>
      <c r="I710" s="69"/>
      <c r="EP710" s="111"/>
    </row>
    <row r="711" spans="1:146" s="110" customFormat="1" ht="47.25" x14ac:dyDescent="0.25">
      <c r="A711" s="45">
        <v>21</v>
      </c>
      <c r="B711" s="45" t="s">
        <v>45</v>
      </c>
      <c r="C711" s="45">
        <v>4</v>
      </c>
      <c r="D711" s="50" t="s">
        <v>393</v>
      </c>
      <c r="E711" s="50" t="s">
        <v>1526</v>
      </c>
      <c r="F711" s="45" t="s">
        <v>81</v>
      </c>
      <c r="G711" s="54">
        <v>34</v>
      </c>
      <c r="H711" s="50" t="s">
        <v>589</v>
      </c>
      <c r="I711" s="69"/>
      <c r="EP711" s="111"/>
    </row>
    <row r="712" spans="1:146" s="110" customFormat="1" x14ac:dyDescent="0.25">
      <c r="A712" s="14">
        <v>22</v>
      </c>
      <c r="B712" s="14" t="s">
        <v>46</v>
      </c>
      <c r="C712" s="14">
        <v>1</v>
      </c>
      <c r="D712" s="19" t="s">
        <v>273</v>
      </c>
      <c r="E712" s="19" t="s">
        <v>274</v>
      </c>
      <c r="F712" s="14"/>
      <c r="G712" s="20"/>
      <c r="H712" s="19"/>
      <c r="I712" s="69"/>
      <c r="EP712" s="111"/>
    </row>
    <row r="713" spans="1:146" s="110" customFormat="1" ht="31.5" x14ac:dyDescent="0.25">
      <c r="A713" s="32">
        <v>22</v>
      </c>
      <c r="B713" s="32" t="s">
        <v>46</v>
      </c>
      <c r="C713" s="32">
        <v>2</v>
      </c>
      <c r="D713" s="38" t="s">
        <v>1</v>
      </c>
      <c r="E713" s="38" t="s">
        <v>508</v>
      </c>
      <c r="F713" s="32" t="s">
        <v>69</v>
      </c>
      <c r="G713" s="42">
        <v>10</v>
      </c>
      <c r="H713" s="38" t="s">
        <v>509</v>
      </c>
      <c r="I713" s="69"/>
      <c r="EP713" s="111"/>
    </row>
    <row r="714" spans="1:146" s="110" customFormat="1" ht="47.25" x14ac:dyDescent="0.25">
      <c r="A714" s="32">
        <v>22</v>
      </c>
      <c r="B714" s="32" t="s">
        <v>46</v>
      </c>
      <c r="C714" s="32">
        <v>2</v>
      </c>
      <c r="D714" s="38" t="s">
        <v>1</v>
      </c>
      <c r="E714" s="38" t="s">
        <v>510</v>
      </c>
      <c r="F714" s="32" t="s">
        <v>69</v>
      </c>
      <c r="G714" s="42">
        <v>31</v>
      </c>
      <c r="H714" s="38" t="s">
        <v>511</v>
      </c>
      <c r="I714" s="69"/>
      <c r="EP714" s="111"/>
    </row>
    <row r="715" spans="1:146" s="110" customFormat="1" ht="47.25" x14ac:dyDescent="0.25">
      <c r="A715" s="32">
        <v>22</v>
      </c>
      <c r="B715" s="32" t="s">
        <v>46</v>
      </c>
      <c r="C715" s="32">
        <v>2</v>
      </c>
      <c r="D715" s="38" t="s">
        <v>1</v>
      </c>
      <c r="E715" s="38" t="s">
        <v>512</v>
      </c>
      <c r="F715" s="32" t="s">
        <v>69</v>
      </c>
      <c r="G715" s="42">
        <v>23</v>
      </c>
      <c r="H715" s="38" t="s">
        <v>513</v>
      </c>
      <c r="I715" s="69"/>
      <c r="EP715" s="111"/>
    </row>
    <row r="716" spans="1:146" s="110" customFormat="1" ht="31.5" x14ac:dyDescent="0.25">
      <c r="A716" s="32">
        <v>22</v>
      </c>
      <c r="B716" s="32" t="s">
        <v>46</v>
      </c>
      <c r="C716" s="32">
        <v>2</v>
      </c>
      <c r="D716" s="38" t="s">
        <v>393</v>
      </c>
      <c r="E716" s="38" t="s">
        <v>692</v>
      </c>
      <c r="F716" s="32" t="s">
        <v>69</v>
      </c>
      <c r="G716" s="42">
        <v>5</v>
      </c>
      <c r="H716" s="38" t="s">
        <v>514</v>
      </c>
      <c r="I716" s="69"/>
      <c r="EP716" s="111"/>
    </row>
    <row r="717" spans="1:146" s="110" customFormat="1" ht="31.5" x14ac:dyDescent="0.25">
      <c r="A717" s="63">
        <v>22</v>
      </c>
      <c r="B717" s="63" t="s">
        <v>46</v>
      </c>
      <c r="C717" s="63">
        <v>3</v>
      </c>
      <c r="D717" s="64" t="s">
        <v>1</v>
      </c>
      <c r="E717" s="64" t="s">
        <v>1030</v>
      </c>
      <c r="F717" s="63" t="s">
        <v>81</v>
      </c>
      <c r="G717" s="65">
        <v>8</v>
      </c>
      <c r="H717" s="64" t="s">
        <v>894</v>
      </c>
      <c r="I717" s="69"/>
      <c r="EP717" s="111"/>
    </row>
    <row r="718" spans="1:146" s="110" customFormat="1" ht="31.5" x14ac:dyDescent="0.25">
      <c r="A718" s="63">
        <v>22</v>
      </c>
      <c r="B718" s="63" t="s">
        <v>46</v>
      </c>
      <c r="C718" s="63">
        <v>3</v>
      </c>
      <c r="D718" s="64" t="s">
        <v>1</v>
      </c>
      <c r="E718" s="64" t="s">
        <v>1031</v>
      </c>
      <c r="F718" s="63" t="s">
        <v>81</v>
      </c>
      <c r="G718" s="65">
        <v>34</v>
      </c>
      <c r="H718" s="64" t="s">
        <v>895</v>
      </c>
      <c r="I718" s="69"/>
      <c r="EP718" s="111"/>
    </row>
    <row r="719" spans="1:146" s="110" customFormat="1" ht="31.5" x14ac:dyDescent="0.25">
      <c r="A719" s="63">
        <v>22</v>
      </c>
      <c r="B719" s="63" t="s">
        <v>46</v>
      </c>
      <c r="C719" s="63">
        <v>3</v>
      </c>
      <c r="D719" s="64" t="s">
        <v>1</v>
      </c>
      <c r="E719" s="64" t="s">
        <v>1032</v>
      </c>
      <c r="F719" s="63" t="s">
        <v>81</v>
      </c>
      <c r="G719" s="65">
        <v>51</v>
      </c>
      <c r="H719" s="64" t="s">
        <v>895</v>
      </c>
      <c r="I719" s="69"/>
      <c r="EP719" s="111"/>
    </row>
    <row r="720" spans="1:146" s="110" customFormat="1" ht="31.5" x14ac:dyDescent="0.25">
      <c r="A720" s="63">
        <v>22</v>
      </c>
      <c r="B720" s="63" t="s">
        <v>46</v>
      </c>
      <c r="C720" s="63">
        <v>3</v>
      </c>
      <c r="D720" s="64" t="s">
        <v>1</v>
      </c>
      <c r="E720" s="64" t="s">
        <v>1033</v>
      </c>
      <c r="F720" s="63" t="s">
        <v>81</v>
      </c>
      <c r="G720" s="65">
        <v>24</v>
      </c>
      <c r="H720" s="64" t="s">
        <v>895</v>
      </c>
      <c r="I720" s="69"/>
      <c r="EP720" s="111"/>
    </row>
    <row r="721" spans="1:146" s="110" customFormat="1" ht="31.5" x14ac:dyDescent="0.25">
      <c r="A721" s="63">
        <v>22</v>
      </c>
      <c r="B721" s="63" t="s">
        <v>46</v>
      </c>
      <c r="C721" s="63">
        <v>3</v>
      </c>
      <c r="D721" s="64" t="s">
        <v>1</v>
      </c>
      <c r="E721" s="64" t="s">
        <v>1034</v>
      </c>
      <c r="F721" s="63" t="s">
        <v>81</v>
      </c>
      <c r="G721" s="65">
        <v>15</v>
      </c>
      <c r="H721" s="64" t="s">
        <v>895</v>
      </c>
      <c r="I721" s="69"/>
      <c r="EP721" s="111"/>
    </row>
    <row r="722" spans="1:146" s="110" customFormat="1" x14ac:dyDescent="0.25">
      <c r="A722" s="63">
        <v>22</v>
      </c>
      <c r="B722" s="63" t="s">
        <v>46</v>
      </c>
      <c r="C722" s="63">
        <v>3</v>
      </c>
      <c r="D722" s="64" t="s">
        <v>393</v>
      </c>
      <c r="E722" s="64" t="s">
        <v>1035</v>
      </c>
      <c r="F722" s="63" t="s">
        <v>69</v>
      </c>
      <c r="G722" s="65">
        <v>7</v>
      </c>
      <c r="H722" s="64" t="s">
        <v>514</v>
      </c>
      <c r="I722" s="56"/>
      <c r="EP722" s="111"/>
    </row>
    <row r="723" spans="1:146" s="110" customFormat="1" ht="31.5" x14ac:dyDescent="0.25">
      <c r="A723" s="45">
        <v>22</v>
      </c>
      <c r="B723" s="45" t="s">
        <v>46</v>
      </c>
      <c r="C723" s="45">
        <v>4</v>
      </c>
      <c r="D723" s="50" t="s">
        <v>1</v>
      </c>
      <c r="E723" s="50" t="s">
        <v>1329</v>
      </c>
      <c r="F723" s="45" t="s">
        <v>69</v>
      </c>
      <c r="G723" s="54" t="s">
        <v>1330</v>
      </c>
      <c r="H723" s="50"/>
      <c r="I723" s="56"/>
      <c r="EP723" s="111"/>
    </row>
    <row r="724" spans="1:146" s="110" customFormat="1" ht="31.5" x14ac:dyDescent="0.25">
      <c r="A724" s="45">
        <v>22</v>
      </c>
      <c r="B724" s="45" t="s">
        <v>46</v>
      </c>
      <c r="C724" s="45">
        <v>4</v>
      </c>
      <c r="D724" s="50" t="s">
        <v>1</v>
      </c>
      <c r="E724" s="50" t="s">
        <v>1331</v>
      </c>
      <c r="F724" s="45" t="s">
        <v>69</v>
      </c>
      <c r="G724" s="54" t="s">
        <v>1332</v>
      </c>
      <c r="H724" s="50" t="s">
        <v>1333</v>
      </c>
      <c r="I724" s="56"/>
      <c r="EP724" s="111"/>
    </row>
    <row r="725" spans="1:146" s="110" customFormat="1" ht="31.5" x14ac:dyDescent="0.25">
      <c r="A725" s="45">
        <v>22</v>
      </c>
      <c r="B725" s="45" t="s">
        <v>46</v>
      </c>
      <c r="C725" s="45">
        <v>4</v>
      </c>
      <c r="D725" s="50" t="s">
        <v>1</v>
      </c>
      <c r="E725" s="50" t="s">
        <v>1334</v>
      </c>
      <c r="F725" s="45" t="s">
        <v>81</v>
      </c>
      <c r="G725" s="54" t="s">
        <v>1335</v>
      </c>
      <c r="H725" s="50" t="s">
        <v>895</v>
      </c>
      <c r="I725" s="56"/>
      <c r="EP725" s="111"/>
    </row>
    <row r="726" spans="1:146" s="110" customFormat="1" ht="31.5" x14ac:dyDescent="0.25">
      <c r="A726" s="45">
        <v>22</v>
      </c>
      <c r="B726" s="45" t="s">
        <v>46</v>
      </c>
      <c r="C726" s="45">
        <v>4</v>
      </c>
      <c r="D726" s="50" t="s">
        <v>1</v>
      </c>
      <c r="E726" s="50" t="s">
        <v>1336</v>
      </c>
      <c r="F726" s="45" t="s">
        <v>81</v>
      </c>
      <c r="G726" s="54" t="s">
        <v>1337</v>
      </c>
      <c r="H726" s="50" t="s">
        <v>895</v>
      </c>
      <c r="I726" s="56"/>
      <c r="EP726" s="111"/>
    </row>
    <row r="727" spans="1:146" s="110" customFormat="1" ht="31.5" x14ac:dyDescent="0.25">
      <c r="A727" s="45">
        <v>22</v>
      </c>
      <c r="B727" s="45" t="s">
        <v>46</v>
      </c>
      <c r="C727" s="45">
        <v>4</v>
      </c>
      <c r="D727" s="50" t="s">
        <v>393</v>
      </c>
      <c r="E727" s="50" t="s">
        <v>1338</v>
      </c>
      <c r="F727" s="45" t="s">
        <v>81</v>
      </c>
      <c r="G727" s="54" t="s">
        <v>1339</v>
      </c>
      <c r="H727" s="50"/>
      <c r="I727" s="56"/>
      <c r="EP727" s="111"/>
    </row>
    <row r="728" spans="1:146" s="110" customFormat="1" ht="47.25" x14ac:dyDescent="0.25">
      <c r="A728" s="45">
        <v>22</v>
      </c>
      <c r="B728" s="45" t="s">
        <v>46</v>
      </c>
      <c r="C728" s="45">
        <v>4</v>
      </c>
      <c r="D728" s="50" t="s">
        <v>1</v>
      </c>
      <c r="E728" s="50" t="s">
        <v>1340</v>
      </c>
      <c r="F728" s="45" t="s">
        <v>81</v>
      </c>
      <c r="G728" s="54" t="s">
        <v>1341</v>
      </c>
      <c r="H728" s="50" t="s">
        <v>895</v>
      </c>
      <c r="I728" s="56"/>
      <c r="EP728" s="111"/>
    </row>
    <row r="729" spans="1:146" s="110" customFormat="1" ht="31.5" x14ac:dyDescent="0.25">
      <c r="A729" s="45">
        <v>22</v>
      </c>
      <c r="B729" s="45" t="s">
        <v>46</v>
      </c>
      <c r="C729" s="45">
        <v>4</v>
      </c>
      <c r="D729" s="50" t="s">
        <v>1</v>
      </c>
      <c r="E729" s="50" t="s">
        <v>1342</v>
      </c>
      <c r="F729" s="45" t="s">
        <v>81</v>
      </c>
      <c r="G729" s="54" t="s">
        <v>1343</v>
      </c>
      <c r="H729" s="50" t="s">
        <v>895</v>
      </c>
      <c r="I729" s="56"/>
      <c r="EP729" s="111"/>
    </row>
    <row r="730" spans="1:146" s="110" customFormat="1" ht="31.5" x14ac:dyDescent="0.25">
      <c r="A730" s="45">
        <v>22</v>
      </c>
      <c r="B730" s="45" t="s">
        <v>46</v>
      </c>
      <c r="C730" s="45">
        <v>4</v>
      </c>
      <c r="D730" s="50" t="s">
        <v>1</v>
      </c>
      <c r="E730" s="50" t="s">
        <v>1344</v>
      </c>
      <c r="F730" s="45" t="s">
        <v>81</v>
      </c>
      <c r="G730" s="54" t="s">
        <v>1345</v>
      </c>
      <c r="H730" s="50" t="s">
        <v>895</v>
      </c>
      <c r="I730" s="56"/>
      <c r="EP730" s="111"/>
    </row>
    <row r="731" spans="1:146" s="110" customFormat="1" ht="31.5" x14ac:dyDescent="0.25">
      <c r="A731" s="45">
        <v>22</v>
      </c>
      <c r="B731" s="45" t="s">
        <v>46</v>
      </c>
      <c r="C731" s="45">
        <v>4</v>
      </c>
      <c r="D731" s="50" t="s">
        <v>1</v>
      </c>
      <c r="E731" s="50" t="s">
        <v>1346</v>
      </c>
      <c r="F731" s="45" t="s">
        <v>69</v>
      </c>
      <c r="G731" s="54" t="s">
        <v>1347</v>
      </c>
      <c r="H731" s="50" t="s">
        <v>1348</v>
      </c>
      <c r="I731" s="56"/>
      <c r="EP731" s="111"/>
    </row>
    <row r="732" spans="1:146" s="110" customFormat="1" ht="31.5" x14ac:dyDescent="0.25">
      <c r="A732" s="45">
        <v>22</v>
      </c>
      <c r="B732" s="45" t="s">
        <v>46</v>
      </c>
      <c r="C732" s="45">
        <v>4</v>
      </c>
      <c r="D732" s="50" t="s">
        <v>1</v>
      </c>
      <c r="E732" s="50" t="s">
        <v>1349</v>
      </c>
      <c r="F732" s="45" t="s">
        <v>81</v>
      </c>
      <c r="G732" s="54" t="s">
        <v>1350</v>
      </c>
      <c r="H732" s="50" t="s">
        <v>895</v>
      </c>
      <c r="I732" s="56"/>
      <c r="EP732" s="111"/>
    </row>
    <row r="733" spans="1:146" s="110" customFormat="1" ht="31.5" x14ac:dyDescent="0.25">
      <c r="A733" s="45">
        <v>22</v>
      </c>
      <c r="B733" s="45" t="s">
        <v>46</v>
      </c>
      <c r="C733" s="45">
        <v>4</v>
      </c>
      <c r="D733" s="50" t="s">
        <v>0</v>
      </c>
      <c r="E733" s="50" t="s">
        <v>1351</v>
      </c>
      <c r="F733" s="45" t="s">
        <v>81</v>
      </c>
      <c r="G733" s="54" t="s">
        <v>1352</v>
      </c>
      <c r="H733" s="50" t="s">
        <v>1353</v>
      </c>
      <c r="I733" s="56"/>
      <c r="EP733" s="111"/>
    </row>
    <row r="734" spans="1:146" s="110" customFormat="1" ht="31.5" x14ac:dyDescent="0.25">
      <c r="A734" s="45">
        <v>22</v>
      </c>
      <c r="B734" s="45" t="s">
        <v>46</v>
      </c>
      <c r="C734" s="45">
        <v>4</v>
      </c>
      <c r="D734" s="50" t="s">
        <v>393</v>
      </c>
      <c r="E734" s="50" t="s">
        <v>1354</v>
      </c>
      <c r="F734" s="45" t="s">
        <v>69</v>
      </c>
      <c r="G734" s="54" t="s">
        <v>1355</v>
      </c>
      <c r="H734" s="50" t="s">
        <v>1356</v>
      </c>
      <c r="I734" s="56"/>
      <c r="EP734" s="111"/>
    </row>
    <row r="735" spans="1:146" s="110" customFormat="1" ht="31.5" x14ac:dyDescent="0.25">
      <c r="A735" s="45">
        <v>22</v>
      </c>
      <c r="B735" s="45" t="s">
        <v>46</v>
      </c>
      <c r="C735" s="45">
        <v>4</v>
      </c>
      <c r="D735" s="50" t="s">
        <v>393</v>
      </c>
      <c r="E735" s="50" t="s">
        <v>1357</v>
      </c>
      <c r="F735" s="45" t="s">
        <v>69</v>
      </c>
      <c r="G735" s="54" t="s">
        <v>1358</v>
      </c>
      <c r="H735" s="50" t="s">
        <v>1359</v>
      </c>
      <c r="I735" s="56"/>
      <c r="EP735" s="111"/>
    </row>
    <row r="736" spans="1:146" s="110" customFormat="1" ht="47.25" x14ac:dyDescent="0.25">
      <c r="A736" s="14">
        <v>23</v>
      </c>
      <c r="B736" s="14" t="s">
        <v>47</v>
      </c>
      <c r="C736" s="14">
        <v>1</v>
      </c>
      <c r="D736" s="19" t="s">
        <v>4</v>
      </c>
      <c r="E736" s="19" t="s">
        <v>300</v>
      </c>
      <c r="F736" s="14" t="s">
        <v>81</v>
      </c>
      <c r="G736" s="20">
        <v>5</v>
      </c>
      <c r="H736" s="19" t="s">
        <v>299</v>
      </c>
      <c r="I736" s="69"/>
      <c r="EP736" s="111"/>
    </row>
    <row r="737" spans="1:147" s="110" customFormat="1" ht="126" x14ac:dyDescent="0.25">
      <c r="A737" s="14">
        <v>23</v>
      </c>
      <c r="B737" s="14" t="s">
        <v>47</v>
      </c>
      <c r="C737" s="14">
        <v>1</v>
      </c>
      <c r="D737" s="19" t="s">
        <v>1</v>
      </c>
      <c r="E737" s="19" t="s">
        <v>288</v>
      </c>
      <c r="F737" s="14" t="s">
        <v>81</v>
      </c>
      <c r="G737" s="20">
        <v>102</v>
      </c>
      <c r="H737" s="19" t="s">
        <v>289</v>
      </c>
      <c r="I737" s="69"/>
      <c r="EP737" s="111"/>
    </row>
    <row r="738" spans="1:147" s="110" customFormat="1" ht="47.25" x14ac:dyDescent="0.25">
      <c r="A738" s="14">
        <v>23</v>
      </c>
      <c r="B738" s="14" t="s">
        <v>47</v>
      </c>
      <c r="C738" s="14">
        <v>1</v>
      </c>
      <c r="D738" s="19" t="s">
        <v>1</v>
      </c>
      <c r="E738" s="19" t="s">
        <v>290</v>
      </c>
      <c r="F738" s="14" t="s">
        <v>81</v>
      </c>
      <c r="G738" s="20">
        <v>1</v>
      </c>
      <c r="H738" s="19" t="s">
        <v>291</v>
      </c>
      <c r="I738" s="69"/>
      <c r="EP738" s="111"/>
    </row>
    <row r="739" spans="1:147" s="110" customFormat="1" ht="126" x14ac:dyDescent="0.25">
      <c r="A739" s="14">
        <v>23</v>
      </c>
      <c r="B739" s="14" t="s">
        <v>47</v>
      </c>
      <c r="C739" s="14">
        <v>1</v>
      </c>
      <c r="D739" s="19" t="s">
        <v>1</v>
      </c>
      <c r="E739" s="19" t="s">
        <v>292</v>
      </c>
      <c r="F739" s="14" t="s">
        <v>81</v>
      </c>
      <c r="G739" s="20">
        <v>96</v>
      </c>
      <c r="H739" s="19" t="s">
        <v>293</v>
      </c>
      <c r="I739" s="69"/>
      <c r="EP739" s="111"/>
    </row>
    <row r="740" spans="1:147" s="110" customFormat="1" ht="110.25" x14ac:dyDescent="0.25">
      <c r="A740" s="14">
        <v>23</v>
      </c>
      <c r="B740" s="14" t="s">
        <v>47</v>
      </c>
      <c r="C740" s="14">
        <v>1</v>
      </c>
      <c r="D740" s="19" t="s">
        <v>1</v>
      </c>
      <c r="E740" s="19" t="s">
        <v>294</v>
      </c>
      <c r="F740" s="14" t="s">
        <v>81</v>
      </c>
      <c r="G740" s="20">
        <v>107</v>
      </c>
      <c r="H740" s="19" t="s">
        <v>295</v>
      </c>
      <c r="I740" s="69"/>
      <c r="EP740" s="111"/>
    </row>
    <row r="741" spans="1:147" s="110" customFormat="1" ht="47.25" x14ac:dyDescent="0.25">
      <c r="A741" s="14">
        <v>23</v>
      </c>
      <c r="B741" s="14" t="s">
        <v>47</v>
      </c>
      <c r="C741" s="14">
        <v>1</v>
      </c>
      <c r="D741" s="19" t="s">
        <v>1</v>
      </c>
      <c r="E741" s="19" t="s">
        <v>301</v>
      </c>
      <c r="F741" s="14" t="s">
        <v>69</v>
      </c>
      <c r="G741" s="20">
        <v>19</v>
      </c>
      <c r="H741" s="19" t="s">
        <v>302</v>
      </c>
      <c r="I741" s="69"/>
      <c r="EP741" s="111"/>
    </row>
    <row r="742" spans="1:147" s="110" customFormat="1" ht="47.25" x14ac:dyDescent="0.25">
      <c r="A742" s="14">
        <v>23</v>
      </c>
      <c r="B742" s="14" t="s">
        <v>47</v>
      </c>
      <c r="C742" s="14">
        <v>1</v>
      </c>
      <c r="D742" s="19" t="s">
        <v>83</v>
      </c>
      <c r="E742" s="19" t="s">
        <v>296</v>
      </c>
      <c r="F742" s="14" t="s">
        <v>81</v>
      </c>
      <c r="G742" s="20">
        <v>75</v>
      </c>
      <c r="H742" s="19" t="s">
        <v>297</v>
      </c>
      <c r="I742" s="69"/>
      <c r="EP742" s="111"/>
    </row>
    <row r="743" spans="1:147" ht="47.25" x14ac:dyDescent="0.25">
      <c r="A743" s="14">
        <v>23</v>
      </c>
      <c r="B743" s="14" t="s">
        <v>47</v>
      </c>
      <c r="C743" s="14">
        <v>1</v>
      </c>
      <c r="D743" s="19" t="s">
        <v>83</v>
      </c>
      <c r="E743" s="19" t="s">
        <v>298</v>
      </c>
      <c r="F743" s="14" t="s">
        <v>81</v>
      </c>
      <c r="G743" s="20">
        <v>1</v>
      </c>
      <c r="H743" s="108" t="s">
        <v>299</v>
      </c>
      <c r="I743" s="69"/>
      <c r="EP743" s="111"/>
      <c r="EQ743" s="115"/>
    </row>
    <row r="744" spans="1:147" ht="47.25" x14ac:dyDescent="0.25">
      <c r="A744" s="32">
        <v>23</v>
      </c>
      <c r="B744" s="32" t="s">
        <v>47</v>
      </c>
      <c r="C744" s="32">
        <v>2</v>
      </c>
      <c r="D744" s="38" t="s">
        <v>4</v>
      </c>
      <c r="E744" s="38" t="s">
        <v>523</v>
      </c>
      <c r="F744" s="32" t="s">
        <v>81</v>
      </c>
      <c r="G744" s="42">
        <v>3</v>
      </c>
      <c r="H744" s="107" t="s">
        <v>299</v>
      </c>
      <c r="I744" s="69"/>
      <c r="EP744" s="111"/>
      <c r="EQ744" s="115"/>
    </row>
    <row r="745" spans="1:147" ht="141.75" x14ac:dyDescent="0.25">
      <c r="A745" s="32">
        <v>23</v>
      </c>
      <c r="B745" s="32" t="s">
        <v>47</v>
      </c>
      <c r="C745" s="32">
        <v>2</v>
      </c>
      <c r="D745" s="38" t="s">
        <v>1</v>
      </c>
      <c r="E745" s="38" t="s">
        <v>515</v>
      </c>
      <c r="F745" s="32" t="s">
        <v>81</v>
      </c>
      <c r="G745" s="42">
        <v>169</v>
      </c>
      <c r="H745" s="107" t="s">
        <v>516</v>
      </c>
      <c r="I745" s="69"/>
      <c r="EP745" s="111"/>
      <c r="EQ745" s="115"/>
    </row>
    <row r="746" spans="1:147" ht="189" x14ac:dyDescent="0.25">
      <c r="A746" s="32">
        <v>23</v>
      </c>
      <c r="B746" s="32" t="s">
        <v>47</v>
      </c>
      <c r="C746" s="32">
        <v>2</v>
      </c>
      <c r="D746" s="38" t="s">
        <v>1</v>
      </c>
      <c r="E746" s="38" t="s">
        <v>517</v>
      </c>
      <c r="F746" s="32" t="s">
        <v>81</v>
      </c>
      <c r="G746" s="42">
        <v>160</v>
      </c>
      <c r="H746" s="107" t="s">
        <v>518</v>
      </c>
      <c r="I746" s="69"/>
      <c r="EP746" s="111"/>
      <c r="EQ746" s="115"/>
    </row>
    <row r="747" spans="1:147" ht="110.25" x14ac:dyDescent="0.25">
      <c r="A747" s="132">
        <v>23</v>
      </c>
      <c r="B747" s="32" t="s">
        <v>47</v>
      </c>
      <c r="C747" s="32">
        <v>2</v>
      </c>
      <c r="D747" s="38" t="s">
        <v>1</v>
      </c>
      <c r="E747" s="38" t="s">
        <v>591</v>
      </c>
      <c r="F747" s="32" t="s">
        <v>81</v>
      </c>
      <c r="G747" s="42">
        <v>155</v>
      </c>
      <c r="H747" s="107" t="s">
        <v>519</v>
      </c>
      <c r="I747" s="69"/>
      <c r="EP747" s="111"/>
      <c r="EQ747" s="115"/>
    </row>
    <row r="748" spans="1:147" ht="47.25" x14ac:dyDescent="0.25">
      <c r="A748" s="132">
        <v>23</v>
      </c>
      <c r="B748" s="32" t="s">
        <v>47</v>
      </c>
      <c r="C748" s="32">
        <v>2</v>
      </c>
      <c r="D748" s="38" t="s">
        <v>1</v>
      </c>
      <c r="E748" s="38" t="s">
        <v>520</v>
      </c>
      <c r="F748" s="32" t="s">
        <v>81</v>
      </c>
      <c r="G748" s="42">
        <v>17</v>
      </c>
      <c r="H748" s="107" t="s">
        <v>521</v>
      </c>
      <c r="I748" s="69"/>
      <c r="EP748" s="111"/>
      <c r="EQ748" s="115"/>
    </row>
    <row r="749" spans="1:147" ht="47.25" x14ac:dyDescent="0.25">
      <c r="A749" s="132">
        <v>23</v>
      </c>
      <c r="B749" s="32" t="s">
        <v>47</v>
      </c>
      <c r="C749" s="32">
        <v>2</v>
      </c>
      <c r="D749" s="38" t="s">
        <v>393</v>
      </c>
      <c r="E749" s="38" t="s">
        <v>592</v>
      </c>
      <c r="F749" s="32" t="s">
        <v>69</v>
      </c>
      <c r="G749" s="42">
        <v>78</v>
      </c>
      <c r="H749" s="107" t="s">
        <v>522</v>
      </c>
      <c r="I749" s="69"/>
      <c r="EP749" s="111"/>
      <c r="EQ749" s="115"/>
    </row>
    <row r="750" spans="1:147" ht="31.5" x14ac:dyDescent="0.25">
      <c r="A750" s="118">
        <v>23</v>
      </c>
      <c r="B750" s="63" t="s">
        <v>47</v>
      </c>
      <c r="C750" s="63">
        <v>3</v>
      </c>
      <c r="D750" s="64" t="s">
        <v>0</v>
      </c>
      <c r="E750" s="64" t="s">
        <v>896</v>
      </c>
      <c r="F750" s="63" t="s">
        <v>81</v>
      </c>
      <c r="G750" s="65">
        <v>174</v>
      </c>
      <c r="H750" s="122" t="s">
        <v>897</v>
      </c>
      <c r="I750" s="69"/>
      <c r="EP750" s="111"/>
      <c r="EQ750" s="115"/>
    </row>
    <row r="751" spans="1:147" ht="47.25" x14ac:dyDescent="0.25">
      <c r="A751" s="118">
        <v>23</v>
      </c>
      <c r="B751" s="63" t="s">
        <v>47</v>
      </c>
      <c r="C751" s="63">
        <v>3</v>
      </c>
      <c r="D751" s="64" t="s">
        <v>0</v>
      </c>
      <c r="E751" s="64" t="s">
        <v>904</v>
      </c>
      <c r="F751" s="63" t="s">
        <v>69</v>
      </c>
      <c r="G751" s="65">
        <v>29</v>
      </c>
      <c r="H751" s="122" t="s">
        <v>905</v>
      </c>
      <c r="I751" s="69"/>
      <c r="EP751" s="111"/>
      <c r="EQ751" s="115"/>
    </row>
    <row r="752" spans="1:147" ht="141.75" x14ac:dyDescent="0.25">
      <c r="A752" s="118">
        <v>23</v>
      </c>
      <c r="B752" s="63" t="s">
        <v>47</v>
      </c>
      <c r="C752" s="63">
        <v>3</v>
      </c>
      <c r="D752" s="64" t="s">
        <v>1</v>
      </c>
      <c r="E752" s="64" t="s">
        <v>900</v>
      </c>
      <c r="F752" s="63" t="s">
        <v>81</v>
      </c>
      <c r="G752" s="65">
        <v>174</v>
      </c>
      <c r="H752" s="122" t="s">
        <v>901</v>
      </c>
      <c r="I752" s="69"/>
      <c r="EP752" s="111"/>
      <c r="EQ752" s="115"/>
    </row>
    <row r="753" spans="1:147" ht="47.25" x14ac:dyDescent="0.25">
      <c r="A753" s="118">
        <v>23</v>
      </c>
      <c r="B753" s="63" t="s">
        <v>47</v>
      </c>
      <c r="C753" s="63">
        <v>3</v>
      </c>
      <c r="D753" s="64" t="s">
        <v>1</v>
      </c>
      <c r="E753" s="64" t="s">
        <v>902</v>
      </c>
      <c r="F753" s="63" t="s">
        <v>81</v>
      </c>
      <c r="G753" s="65">
        <v>1</v>
      </c>
      <c r="H753" s="122" t="s">
        <v>903</v>
      </c>
      <c r="I753" s="69"/>
      <c r="EP753" s="111"/>
      <c r="EQ753" s="115"/>
    </row>
    <row r="754" spans="1:147" ht="47.25" x14ac:dyDescent="0.25">
      <c r="A754" s="118">
        <v>23</v>
      </c>
      <c r="B754" s="63" t="s">
        <v>47</v>
      </c>
      <c r="C754" s="63">
        <v>3</v>
      </c>
      <c r="D754" s="64" t="s">
        <v>1</v>
      </c>
      <c r="E754" s="64" t="s">
        <v>906</v>
      </c>
      <c r="F754" s="63" t="s">
        <v>81</v>
      </c>
      <c r="G754" s="65">
        <v>188</v>
      </c>
      <c r="H754" s="122" t="s">
        <v>907</v>
      </c>
      <c r="I754" s="69"/>
      <c r="EP754" s="111"/>
      <c r="EQ754" s="115"/>
    </row>
    <row r="755" spans="1:147" ht="47.25" x14ac:dyDescent="0.25">
      <c r="A755" s="118">
        <v>23</v>
      </c>
      <c r="B755" s="63" t="s">
        <v>47</v>
      </c>
      <c r="C755" s="63">
        <v>3</v>
      </c>
      <c r="D755" s="64" t="s">
        <v>1</v>
      </c>
      <c r="E755" s="64" t="s">
        <v>908</v>
      </c>
      <c r="F755" s="63" t="s">
        <v>81</v>
      </c>
      <c r="G755" s="65">
        <v>2</v>
      </c>
      <c r="H755" s="122" t="s">
        <v>909</v>
      </c>
      <c r="I755" s="69"/>
      <c r="EP755" s="111"/>
      <c r="EQ755" s="115"/>
    </row>
    <row r="756" spans="1:147" ht="78.75" x14ac:dyDescent="0.25">
      <c r="A756" s="118">
        <v>23</v>
      </c>
      <c r="B756" s="63" t="s">
        <v>47</v>
      </c>
      <c r="C756" s="63">
        <v>3</v>
      </c>
      <c r="D756" s="64" t="s">
        <v>393</v>
      </c>
      <c r="E756" s="64" t="s">
        <v>898</v>
      </c>
      <c r="F756" s="63" t="s">
        <v>69</v>
      </c>
      <c r="G756" s="65">
        <v>83</v>
      </c>
      <c r="H756" s="122" t="s">
        <v>899</v>
      </c>
      <c r="I756" s="69"/>
      <c r="EP756" s="111"/>
      <c r="EQ756" s="115"/>
    </row>
    <row r="757" spans="1:147" ht="47.25" x14ac:dyDescent="0.25">
      <c r="A757" s="118">
        <v>23</v>
      </c>
      <c r="B757" s="63" t="s">
        <v>47</v>
      </c>
      <c r="C757" s="63">
        <v>3</v>
      </c>
      <c r="D757" s="64" t="s">
        <v>393</v>
      </c>
      <c r="E757" s="64" t="s">
        <v>910</v>
      </c>
      <c r="F757" s="63" t="s">
        <v>69</v>
      </c>
      <c r="G757" s="65">
        <v>29</v>
      </c>
      <c r="H757" s="122" t="s">
        <v>911</v>
      </c>
      <c r="I757" s="56"/>
      <c r="EP757" s="111"/>
      <c r="EQ757" s="115"/>
    </row>
    <row r="758" spans="1:147" ht="94.5" x14ac:dyDescent="0.25">
      <c r="A758" s="130">
        <v>23</v>
      </c>
      <c r="B758" s="45" t="s">
        <v>47</v>
      </c>
      <c r="C758" s="45">
        <v>4</v>
      </c>
      <c r="D758" s="50" t="s">
        <v>1</v>
      </c>
      <c r="E758" s="50" t="s">
        <v>1360</v>
      </c>
      <c r="F758" s="45" t="s">
        <v>81</v>
      </c>
      <c r="G758" s="54">
        <v>54</v>
      </c>
      <c r="H758" s="123" t="s">
        <v>1361</v>
      </c>
      <c r="I758" s="69"/>
      <c r="EP758" s="111"/>
      <c r="EQ758" s="115"/>
    </row>
    <row r="759" spans="1:147" ht="94.5" x14ac:dyDescent="0.25">
      <c r="A759" s="130">
        <v>23</v>
      </c>
      <c r="B759" s="45" t="s">
        <v>47</v>
      </c>
      <c r="C759" s="45">
        <v>4</v>
      </c>
      <c r="D759" s="50" t="s">
        <v>1</v>
      </c>
      <c r="E759" s="50" t="s">
        <v>1362</v>
      </c>
      <c r="F759" s="45" t="s">
        <v>81</v>
      </c>
      <c r="G759" s="54">
        <v>49</v>
      </c>
      <c r="H759" s="123" t="s">
        <v>1361</v>
      </c>
      <c r="I759" s="69"/>
      <c r="EP759" s="111"/>
      <c r="EQ759" s="115"/>
    </row>
    <row r="760" spans="1:147" ht="47.25" x14ac:dyDescent="0.25">
      <c r="A760" s="130">
        <v>23</v>
      </c>
      <c r="B760" s="45" t="s">
        <v>47</v>
      </c>
      <c r="C760" s="45">
        <v>4</v>
      </c>
      <c r="D760" s="50" t="s">
        <v>1</v>
      </c>
      <c r="E760" s="50" t="s">
        <v>1363</v>
      </c>
      <c r="F760" s="45" t="s">
        <v>81</v>
      </c>
      <c r="G760" s="54">
        <v>505</v>
      </c>
      <c r="H760" s="123" t="s">
        <v>1364</v>
      </c>
      <c r="I760" s="69"/>
      <c r="EP760" s="111"/>
      <c r="EQ760" s="115"/>
    </row>
    <row r="761" spans="1:147" ht="78.75" x14ac:dyDescent="0.25">
      <c r="A761" s="130">
        <v>23</v>
      </c>
      <c r="B761" s="45" t="s">
        <v>47</v>
      </c>
      <c r="C761" s="45">
        <v>4</v>
      </c>
      <c r="D761" s="50" t="s">
        <v>1</v>
      </c>
      <c r="E761" s="50" t="s">
        <v>1527</v>
      </c>
      <c r="F761" s="45" t="s">
        <v>81</v>
      </c>
      <c r="G761" s="54">
        <v>62</v>
      </c>
      <c r="H761" s="123" t="s">
        <v>1365</v>
      </c>
      <c r="I761" s="69"/>
      <c r="EP761" s="111"/>
      <c r="EQ761" s="115"/>
    </row>
    <row r="762" spans="1:147" ht="47.25" x14ac:dyDescent="0.25">
      <c r="A762" s="130">
        <v>23</v>
      </c>
      <c r="B762" s="45" t="s">
        <v>47</v>
      </c>
      <c r="C762" s="45">
        <v>4</v>
      </c>
      <c r="D762" s="50" t="s">
        <v>1</v>
      </c>
      <c r="E762" s="50" t="s">
        <v>1366</v>
      </c>
      <c r="F762" s="45" t="s">
        <v>81</v>
      </c>
      <c r="G762" s="54">
        <v>1</v>
      </c>
      <c r="H762" s="123" t="s">
        <v>1367</v>
      </c>
      <c r="I762" s="69"/>
      <c r="EP762" s="111"/>
      <c r="EQ762" s="115"/>
    </row>
    <row r="763" spans="1:147" ht="47.25" x14ac:dyDescent="0.25">
      <c r="A763" s="130">
        <v>23</v>
      </c>
      <c r="B763" s="45" t="s">
        <v>47</v>
      </c>
      <c r="C763" s="45">
        <v>4</v>
      </c>
      <c r="D763" s="50" t="s">
        <v>393</v>
      </c>
      <c r="E763" s="50" t="s">
        <v>1368</v>
      </c>
      <c r="F763" s="45" t="s">
        <v>81</v>
      </c>
      <c r="G763" s="54">
        <v>32</v>
      </c>
      <c r="H763" s="123" t="s">
        <v>1369</v>
      </c>
      <c r="I763" s="69"/>
      <c r="EP763" s="111"/>
      <c r="EQ763" s="115"/>
    </row>
    <row r="764" spans="1:147" ht="47.25" x14ac:dyDescent="0.25">
      <c r="A764" s="130">
        <v>23</v>
      </c>
      <c r="B764" s="45" t="s">
        <v>47</v>
      </c>
      <c r="C764" s="45">
        <v>4</v>
      </c>
      <c r="D764" s="50" t="s">
        <v>393</v>
      </c>
      <c r="E764" s="50" t="s">
        <v>1370</v>
      </c>
      <c r="F764" s="45" t="s">
        <v>69</v>
      </c>
      <c r="G764" s="54">
        <v>30</v>
      </c>
      <c r="H764" s="123" t="s">
        <v>1371</v>
      </c>
      <c r="I764" s="69"/>
      <c r="EP764" s="111"/>
      <c r="EQ764" s="115"/>
    </row>
    <row r="765" spans="1:147" s="110" customFormat="1" ht="31.5" x14ac:dyDescent="0.25">
      <c r="A765" s="106">
        <v>24</v>
      </c>
      <c r="B765" s="14" t="s">
        <v>48</v>
      </c>
      <c r="C765" s="14">
        <v>1</v>
      </c>
      <c r="D765" s="19" t="s">
        <v>0</v>
      </c>
      <c r="E765" s="19" t="s">
        <v>313</v>
      </c>
      <c r="F765" s="14" t="s">
        <v>69</v>
      </c>
      <c r="G765" s="20">
        <v>1</v>
      </c>
      <c r="H765" s="108" t="s">
        <v>314</v>
      </c>
      <c r="I765" s="69"/>
      <c r="EP765" s="111"/>
    </row>
    <row r="766" spans="1:147" s="110" customFormat="1" x14ac:dyDescent="0.25">
      <c r="A766" s="106">
        <v>24</v>
      </c>
      <c r="B766" s="14" t="s">
        <v>48</v>
      </c>
      <c r="C766" s="14">
        <v>1</v>
      </c>
      <c r="D766" s="145" t="s">
        <v>393</v>
      </c>
      <c r="E766" s="19" t="s">
        <v>307</v>
      </c>
      <c r="F766" s="14" t="s">
        <v>81</v>
      </c>
      <c r="G766" s="20">
        <v>1</v>
      </c>
      <c r="H766" s="108" t="s">
        <v>308</v>
      </c>
      <c r="I766" s="69"/>
      <c r="EP766" s="111"/>
    </row>
    <row r="767" spans="1:147" s="110" customFormat="1" ht="47.25" x14ac:dyDescent="0.25">
      <c r="A767" s="106">
        <v>24</v>
      </c>
      <c r="B767" s="14" t="s">
        <v>48</v>
      </c>
      <c r="C767" s="14">
        <v>1</v>
      </c>
      <c r="D767" s="19" t="s">
        <v>1</v>
      </c>
      <c r="E767" s="19" t="s">
        <v>309</v>
      </c>
      <c r="F767" s="14" t="s">
        <v>81</v>
      </c>
      <c r="G767" s="20">
        <v>531</v>
      </c>
      <c r="H767" s="108" t="s">
        <v>310</v>
      </c>
      <c r="I767" s="69"/>
      <c r="EP767" s="111"/>
    </row>
    <row r="768" spans="1:147" s="110" customFormat="1" ht="31.5" x14ac:dyDescent="0.25">
      <c r="A768" s="106">
        <v>24</v>
      </c>
      <c r="B768" s="14" t="s">
        <v>48</v>
      </c>
      <c r="C768" s="14">
        <v>1</v>
      </c>
      <c r="D768" s="19" t="s">
        <v>1</v>
      </c>
      <c r="E768" s="19" t="s">
        <v>311</v>
      </c>
      <c r="F768" s="14" t="s">
        <v>69</v>
      </c>
      <c r="G768" s="20">
        <v>102</v>
      </c>
      <c r="H768" s="108" t="s">
        <v>312</v>
      </c>
      <c r="I768" s="69"/>
      <c r="EP768" s="111"/>
    </row>
    <row r="769" spans="1:146" s="110" customFormat="1" ht="31.5" x14ac:dyDescent="0.25">
      <c r="A769" s="106">
        <v>24</v>
      </c>
      <c r="B769" s="14" t="s">
        <v>48</v>
      </c>
      <c r="C769" s="14">
        <v>1</v>
      </c>
      <c r="D769" s="19" t="s">
        <v>83</v>
      </c>
      <c r="E769" s="19" t="s">
        <v>303</v>
      </c>
      <c r="F769" s="14" t="s">
        <v>69</v>
      </c>
      <c r="G769" s="20">
        <v>6</v>
      </c>
      <c r="H769" s="108" t="s">
        <v>304</v>
      </c>
      <c r="I769" s="69"/>
      <c r="EP769" s="111"/>
    </row>
    <row r="770" spans="1:146" s="110" customFormat="1" ht="31.5" x14ac:dyDescent="0.25">
      <c r="A770" s="106">
        <v>24</v>
      </c>
      <c r="B770" s="14" t="s">
        <v>48</v>
      </c>
      <c r="C770" s="14">
        <v>1</v>
      </c>
      <c r="D770" s="19" t="s">
        <v>83</v>
      </c>
      <c r="E770" s="19" t="s">
        <v>305</v>
      </c>
      <c r="F770" s="14" t="s">
        <v>69</v>
      </c>
      <c r="G770" s="20">
        <v>8</v>
      </c>
      <c r="H770" s="108" t="s">
        <v>306</v>
      </c>
      <c r="I770" s="69"/>
      <c r="EP770" s="111"/>
    </row>
    <row r="771" spans="1:146" s="110" customFormat="1" ht="31.5" x14ac:dyDescent="0.25">
      <c r="A771" s="32">
        <v>24</v>
      </c>
      <c r="B771" s="32" t="s">
        <v>48</v>
      </c>
      <c r="C771" s="32">
        <v>2</v>
      </c>
      <c r="D771" s="38" t="s">
        <v>0</v>
      </c>
      <c r="E771" s="38" t="s">
        <v>524</v>
      </c>
      <c r="F771" s="32" t="s">
        <v>69</v>
      </c>
      <c r="G771" s="42">
        <v>42</v>
      </c>
      <c r="H771" s="107" t="s">
        <v>525</v>
      </c>
      <c r="I771" s="69"/>
      <c r="EP771" s="111"/>
    </row>
    <row r="772" spans="1:146" s="110" customFormat="1" ht="31.5" x14ac:dyDescent="0.25">
      <c r="A772" s="32">
        <v>24</v>
      </c>
      <c r="B772" s="32" t="s">
        <v>48</v>
      </c>
      <c r="C772" s="32">
        <v>2</v>
      </c>
      <c r="D772" s="38" t="s">
        <v>1</v>
      </c>
      <c r="E772" s="38" t="s">
        <v>528</v>
      </c>
      <c r="F772" s="32" t="s">
        <v>81</v>
      </c>
      <c r="G772" s="42">
        <v>110</v>
      </c>
      <c r="H772" s="107" t="s">
        <v>529</v>
      </c>
      <c r="I772" s="69"/>
      <c r="EP772" s="111"/>
    </row>
    <row r="773" spans="1:146" s="110" customFormat="1" ht="31.5" x14ac:dyDescent="0.25">
      <c r="A773" s="32">
        <v>24</v>
      </c>
      <c r="B773" s="32" t="s">
        <v>48</v>
      </c>
      <c r="C773" s="32">
        <v>2</v>
      </c>
      <c r="D773" s="38" t="s">
        <v>393</v>
      </c>
      <c r="E773" s="38" t="s">
        <v>526</v>
      </c>
      <c r="F773" s="32" t="s">
        <v>81</v>
      </c>
      <c r="G773" s="42">
        <v>8</v>
      </c>
      <c r="H773" s="107" t="s">
        <v>527</v>
      </c>
      <c r="I773" s="69"/>
      <c r="EP773" s="111"/>
    </row>
    <row r="774" spans="1:146" s="110" customFormat="1" ht="31.5" x14ac:dyDescent="0.25">
      <c r="A774" s="32">
        <v>24</v>
      </c>
      <c r="B774" s="32" t="s">
        <v>48</v>
      </c>
      <c r="C774" s="32">
        <v>2</v>
      </c>
      <c r="D774" s="38" t="s">
        <v>393</v>
      </c>
      <c r="E774" s="38" t="s">
        <v>530</v>
      </c>
      <c r="F774" s="32" t="s">
        <v>81</v>
      </c>
      <c r="G774" s="42">
        <v>1</v>
      </c>
      <c r="H774" s="107" t="s">
        <v>531</v>
      </c>
      <c r="I774" s="69"/>
      <c r="EP774" s="111"/>
    </row>
    <row r="775" spans="1:146" s="110" customFormat="1" ht="47.25" x14ac:dyDescent="0.25">
      <c r="A775" s="32">
        <v>24</v>
      </c>
      <c r="B775" s="32" t="s">
        <v>48</v>
      </c>
      <c r="C775" s="32">
        <v>2</v>
      </c>
      <c r="D775" s="38" t="s">
        <v>393</v>
      </c>
      <c r="E775" s="38" t="s">
        <v>532</v>
      </c>
      <c r="F775" s="32" t="s">
        <v>81</v>
      </c>
      <c r="G775" s="42">
        <v>9</v>
      </c>
      <c r="H775" s="107" t="s">
        <v>533</v>
      </c>
      <c r="I775" s="69"/>
      <c r="EP775" s="111"/>
    </row>
    <row r="776" spans="1:146" s="110" customFormat="1" ht="47.25" x14ac:dyDescent="0.25">
      <c r="A776" s="63">
        <v>24</v>
      </c>
      <c r="B776" s="63" t="s">
        <v>48</v>
      </c>
      <c r="C776" s="63">
        <v>3</v>
      </c>
      <c r="D776" s="64" t="s">
        <v>1</v>
      </c>
      <c r="E776" s="64" t="s">
        <v>1025</v>
      </c>
      <c r="F776" s="63" t="s">
        <v>69</v>
      </c>
      <c r="G776" s="65">
        <v>156</v>
      </c>
      <c r="H776" s="122" t="s">
        <v>914</v>
      </c>
      <c r="I776" s="69"/>
      <c r="EP776" s="111"/>
    </row>
    <row r="777" spans="1:146" s="110" customFormat="1" x14ac:dyDescent="0.25">
      <c r="A777" s="63">
        <v>24</v>
      </c>
      <c r="B777" s="63" t="s">
        <v>48</v>
      </c>
      <c r="C777" s="63">
        <v>3</v>
      </c>
      <c r="D777" s="64" t="s">
        <v>393</v>
      </c>
      <c r="E777" s="64" t="s">
        <v>912</v>
      </c>
      <c r="F777" s="63" t="s">
        <v>69</v>
      </c>
      <c r="G777" s="65">
        <v>8</v>
      </c>
      <c r="H777" s="122" t="s">
        <v>913</v>
      </c>
      <c r="I777" s="69"/>
      <c r="EP777" s="111"/>
    </row>
    <row r="778" spans="1:146" s="110" customFormat="1" ht="31.5" x14ac:dyDescent="0.25">
      <c r="A778" s="63">
        <v>24</v>
      </c>
      <c r="B778" s="63" t="s">
        <v>48</v>
      </c>
      <c r="C778" s="63">
        <v>3</v>
      </c>
      <c r="D778" s="64" t="s">
        <v>393</v>
      </c>
      <c r="E778" s="64" t="s">
        <v>1026</v>
      </c>
      <c r="F778" s="63" t="s">
        <v>69</v>
      </c>
      <c r="G778" s="65">
        <v>2</v>
      </c>
      <c r="H778" s="122" t="s">
        <v>306</v>
      </c>
      <c r="I778" s="69"/>
      <c r="EP778" s="111"/>
    </row>
    <row r="779" spans="1:146" s="110" customFormat="1" x14ac:dyDescent="0.25">
      <c r="A779" s="149">
        <v>24</v>
      </c>
      <c r="B779" s="149" t="s">
        <v>48</v>
      </c>
      <c r="C779" s="149">
        <v>3</v>
      </c>
      <c r="D779" s="150" t="s">
        <v>393</v>
      </c>
      <c r="E779" s="150" t="s">
        <v>915</v>
      </c>
      <c r="F779" s="149" t="s">
        <v>81</v>
      </c>
      <c r="G779" s="151">
        <v>5</v>
      </c>
      <c r="H779" s="152" t="s">
        <v>308</v>
      </c>
      <c r="I779" s="56"/>
      <c r="EP779" s="111"/>
    </row>
    <row r="780" spans="1:146" s="110" customFormat="1" ht="31.5" x14ac:dyDescent="0.25">
      <c r="A780" s="45">
        <v>24</v>
      </c>
      <c r="B780" s="45" t="s">
        <v>48</v>
      </c>
      <c r="C780" s="45">
        <v>4</v>
      </c>
      <c r="D780" s="50" t="s">
        <v>393</v>
      </c>
      <c r="E780" s="50" t="s">
        <v>1372</v>
      </c>
      <c r="F780" s="45" t="s">
        <v>81</v>
      </c>
      <c r="G780" s="54" t="s">
        <v>1373</v>
      </c>
      <c r="H780" s="123" t="s">
        <v>1374</v>
      </c>
      <c r="I780" s="69"/>
      <c r="EP780" s="111"/>
    </row>
    <row r="781" spans="1:146" s="110" customFormat="1" x14ac:dyDescent="0.25">
      <c r="A781" s="45">
        <v>24</v>
      </c>
      <c r="B781" s="45" t="s">
        <v>48</v>
      </c>
      <c r="C781" s="45">
        <v>4</v>
      </c>
      <c r="D781" s="50" t="s">
        <v>393</v>
      </c>
      <c r="E781" s="50" t="s">
        <v>1375</v>
      </c>
      <c r="F781" s="45" t="s">
        <v>81</v>
      </c>
      <c r="G781" s="54" t="s">
        <v>1376</v>
      </c>
      <c r="H781" s="123" t="s">
        <v>525</v>
      </c>
      <c r="I781" s="69"/>
      <c r="EP781" s="111"/>
    </row>
    <row r="782" spans="1:146" s="110" customFormat="1" ht="31.5" x14ac:dyDescent="0.25">
      <c r="A782" s="45">
        <v>24</v>
      </c>
      <c r="B782" s="45" t="s">
        <v>48</v>
      </c>
      <c r="C782" s="45">
        <v>4</v>
      </c>
      <c r="D782" s="50" t="s">
        <v>393</v>
      </c>
      <c r="E782" s="50" t="s">
        <v>1377</v>
      </c>
      <c r="F782" s="45" t="s">
        <v>69</v>
      </c>
      <c r="G782" s="54" t="s">
        <v>1378</v>
      </c>
      <c r="H782" s="123" t="s">
        <v>1379</v>
      </c>
      <c r="I782" s="69"/>
      <c r="EP782" s="111"/>
    </row>
    <row r="783" spans="1:146" s="110" customFormat="1" x14ac:dyDescent="0.25">
      <c r="A783" s="45">
        <v>24</v>
      </c>
      <c r="B783" s="45" t="s">
        <v>48</v>
      </c>
      <c r="C783" s="45">
        <v>4</v>
      </c>
      <c r="D783" s="50" t="s">
        <v>393</v>
      </c>
      <c r="E783" s="50" t="s">
        <v>915</v>
      </c>
      <c r="F783" s="45" t="s">
        <v>81</v>
      </c>
      <c r="G783" s="54" t="s">
        <v>1380</v>
      </c>
      <c r="H783" s="123" t="s">
        <v>308</v>
      </c>
      <c r="I783" s="69"/>
      <c r="EP783" s="111"/>
    </row>
    <row r="784" spans="1:146" s="110" customFormat="1" x14ac:dyDescent="0.25">
      <c r="A784" s="45">
        <v>24</v>
      </c>
      <c r="B784" s="45" t="s">
        <v>48</v>
      </c>
      <c r="C784" s="45">
        <v>4</v>
      </c>
      <c r="D784" s="50" t="s">
        <v>393</v>
      </c>
      <c r="E784" s="50" t="s">
        <v>1381</v>
      </c>
      <c r="F784" s="45" t="s">
        <v>81</v>
      </c>
      <c r="G784" s="54" t="s">
        <v>1382</v>
      </c>
      <c r="H784" s="123" t="s">
        <v>308</v>
      </c>
      <c r="I784" s="69"/>
      <c r="EP784" s="111"/>
    </row>
    <row r="785" spans="1:146" s="110" customFormat="1" ht="47.25" x14ac:dyDescent="0.25">
      <c r="A785" s="45">
        <v>24</v>
      </c>
      <c r="B785" s="45" t="s">
        <v>48</v>
      </c>
      <c r="C785" s="45">
        <v>4</v>
      </c>
      <c r="D785" s="50" t="s">
        <v>1</v>
      </c>
      <c r="E785" s="50" t="s">
        <v>1383</v>
      </c>
      <c r="F785" s="45" t="s">
        <v>81</v>
      </c>
      <c r="G785" s="54">
        <v>860</v>
      </c>
      <c r="H785" s="123" t="s">
        <v>310</v>
      </c>
      <c r="I785" s="69"/>
      <c r="EP785" s="111"/>
    </row>
    <row r="786" spans="1:146" s="110" customFormat="1" ht="47.25" x14ac:dyDescent="0.25">
      <c r="A786" s="45">
        <v>24</v>
      </c>
      <c r="B786" s="45" t="s">
        <v>48</v>
      </c>
      <c r="C786" s="45">
        <v>4</v>
      </c>
      <c r="D786" s="50" t="s">
        <v>1</v>
      </c>
      <c r="E786" s="50" t="s">
        <v>1528</v>
      </c>
      <c r="F786" s="45" t="s">
        <v>81</v>
      </c>
      <c r="G786" s="54">
        <v>100</v>
      </c>
      <c r="H786" s="123" t="s">
        <v>1529</v>
      </c>
      <c r="I786" s="69"/>
      <c r="EP786" s="111"/>
    </row>
    <row r="787" spans="1:146" s="110" customFormat="1" ht="31.5" x14ac:dyDescent="0.25">
      <c r="A787" s="45">
        <v>24</v>
      </c>
      <c r="B787" s="45" t="s">
        <v>48</v>
      </c>
      <c r="C787" s="45">
        <v>4</v>
      </c>
      <c r="D787" s="50" t="s">
        <v>1</v>
      </c>
      <c r="E787" s="50" t="s">
        <v>1384</v>
      </c>
      <c r="F787" s="45" t="s">
        <v>69</v>
      </c>
      <c r="G787" s="54">
        <v>9</v>
      </c>
      <c r="H787" s="123" t="s">
        <v>1385</v>
      </c>
      <c r="I787" s="69"/>
      <c r="EP787" s="111"/>
    </row>
    <row r="788" spans="1:146" s="110" customFormat="1" x14ac:dyDescent="0.25">
      <c r="A788" s="14">
        <v>25</v>
      </c>
      <c r="B788" s="14" t="s">
        <v>49</v>
      </c>
      <c r="C788" s="14">
        <v>1</v>
      </c>
      <c r="D788" s="19" t="s">
        <v>137</v>
      </c>
      <c r="E788" s="15" t="s">
        <v>328</v>
      </c>
      <c r="F788" s="14" t="s">
        <v>81</v>
      </c>
      <c r="G788" s="20">
        <v>41</v>
      </c>
      <c r="H788" s="108" t="s">
        <v>329</v>
      </c>
      <c r="I788" s="69"/>
      <c r="EP788" s="111"/>
    </row>
    <row r="789" spans="1:146" s="110" customFormat="1" ht="31.5" x14ac:dyDescent="0.25">
      <c r="A789" s="14">
        <v>25</v>
      </c>
      <c r="B789" s="14" t="s">
        <v>49</v>
      </c>
      <c r="C789" s="14">
        <v>1</v>
      </c>
      <c r="D789" s="19" t="s">
        <v>0</v>
      </c>
      <c r="E789" s="15" t="s">
        <v>315</v>
      </c>
      <c r="F789" s="20" t="s">
        <v>81</v>
      </c>
      <c r="G789" s="20">
        <v>19</v>
      </c>
      <c r="H789" s="108" t="s">
        <v>316</v>
      </c>
      <c r="I789" s="69"/>
      <c r="EP789" s="111"/>
    </row>
    <row r="790" spans="1:146" s="110" customFormat="1" x14ac:dyDescent="0.25">
      <c r="A790" s="129">
        <v>25</v>
      </c>
      <c r="B790" s="14" t="s">
        <v>49</v>
      </c>
      <c r="C790" s="14">
        <v>1</v>
      </c>
      <c r="D790" s="19" t="s">
        <v>0</v>
      </c>
      <c r="E790" s="15" t="s">
        <v>317</v>
      </c>
      <c r="F790" s="20" t="s">
        <v>81</v>
      </c>
      <c r="G790" s="20">
        <v>2</v>
      </c>
      <c r="H790" s="108" t="s">
        <v>318</v>
      </c>
      <c r="I790" s="69"/>
      <c r="EP790" s="111"/>
    </row>
    <row r="791" spans="1:146" s="110" customFormat="1" ht="31.5" x14ac:dyDescent="0.25">
      <c r="A791" s="14">
        <v>25</v>
      </c>
      <c r="B791" s="14" t="s">
        <v>49</v>
      </c>
      <c r="C791" s="14">
        <v>1</v>
      </c>
      <c r="D791" s="19" t="s">
        <v>1</v>
      </c>
      <c r="E791" s="15" t="s">
        <v>319</v>
      </c>
      <c r="F791" s="14" t="s">
        <v>81</v>
      </c>
      <c r="G791" s="20">
        <v>16</v>
      </c>
      <c r="H791" s="108" t="s">
        <v>320</v>
      </c>
      <c r="I791" s="69"/>
      <c r="EP791" s="111"/>
    </row>
    <row r="792" spans="1:146" s="110" customFormat="1" ht="31.5" x14ac:dyDescent="0.25">
      <c r="A792" s="14">
        <v>25</v>
      </c>
      <c r="B792" s="14" t="s">
        <v>49</v>
      </c>
      <c r="C792" s="14">
        <v>1</v>
      </c>
      <c r="D792" s="19" t="s">
        <v>1</v>
      </c>
      <c r="E792" s="15" t="s">
        <v>321</v>
      </c>
      <c r="F792" s="14" t="s">
        <v>81</v>
      </c>
      <c r="G792" s="20">
        <v>20</v>
      </c>
      <c r="H792" s="108" t="s">
        <v>320</v>
      </c>
      <c r="I792" s="69"/>
      <c r="EP792" s="111"/>
    </row>
    <row r="793" spans="1:146" s="110" customFormat="1" ht="47.25" x14ac:dyDescent="0.25">
      <c r="A793" s="14">
        <v>25</v>
      </c>
      <c r="B793" s="14" t="s">
        <v>49</v>
      </c>
      <c r="C793" s="14">
        <v>1</v>
      </c>
      <c r="D793" s="19" t="s">
        <v>1</v>
      </c>
      <c r="E793" s="19" t="s">
        <v>322</v>
      </c>
      <c r="F793" s="14" t="s">
        <v>81</v>
      </c>
      <c r="G793" s="20">
        <v>25</v>
      </c>
      <c r="H793" s="108" t="s">
        <v>323</v>
      </c>
      <c r="I793" s="69"/>
      <c r="EP793" s="111"/>
    </row>
    <row r="794" spans="1:146" s="110" customFormat="1" ht="31.5" x14ac:dyDescent="0.25">
      <c r="A794" s="14">
        <v>25</v>
      </c>
      <c r="B794" s="14" t="s">
        <v>49</v>
      </c>
      <c r="C794" s="14">
        <v>1</v>
      </c>
      <c r="D794" s="19" t="s">
        <v>1</v>
      </c>
      <c r="E794" s="19" t="s">
        <v>324</v>
      </c>
      <c r="F794" s="14" t="s">
        <v>81</v>
      </c>
      <c r="G794" s="20">
        <v>6</v>
      </c>
      <c r="H794" s="108" t="s">
        <v>325</v>
      </c>
      <c r="I794" s="69"/>
      <c r="EP794" s="111"/>
    </row>
    <row r="795" spans="1:146" s="110" customFormat="1" x14ac:dyDescent="0.25">
      <c r="A795" s="14">
        <v>25</v>
      </c>
      <c r="B795" s="14" t="s">
        <v>49</v>
      </c>
      <c r="C795" s="14">
        <v>1</v>
      </c>
      <c r="D795" s="19" t="s">
        <v>1</v>
      </c>
      <c r="E795" s="15" t="s">
        <v>326</v>
      </c>
      <c r="F795" s="14" t="s">
        <v>81</v>
      </c>
      <c r="G795" s="20">
        <v>52</v>
      </c>
      <c r="H795" s="108" t="s">
        <v>327</v>
      </c>
      <c r="I795" s="69"/>
      <c r="EP795" s="111"/>
    </row>
    <row r="796" spans="1:146" s="110" customFormat="1" ht="31.5" x14ac:dyDescent="0.25">
      <c r="A796" s="14">
        <v>25</v>
      </c>
      <c r="B796" s="14" t="s">
        <v>49</v>
      </c>
      <c r="C796" s="14">
        <v>1</v>
      </c>
      <c r="D796" s="19" t="s">
        <v>1</v>
      </c>
      <c r="E796" s="15" t="s">
        <v>332</v>
      </c>
      <c r="F796" s="14" t="s">
        <v>81</v>
      </c>
      <c r="G796" s="20">
        <v>11</v>
      </c>
      <c r="H796" s="108" t="s">
        <v>333</v>
      </c>
      <c r="I796" s="69"/>
      <c r="EP796" s="111"/>
    </row>
    <row r="797" spans="1:146" s="110" customFormat="1" x14ac:dyDescent="0.25">
      <c r="A797" s="14">
        <v>25</v>
      </c>
      <c r="B797" s="14" t="s">
        <v>49</v>
      </c>
      <c r="C797" s="14">
        <v>1</v>
      </c>
      <c r="D797" s="19" t="s">
        <v>83</v>
      </c>
      <c r="E797" s="15" t="s">
        <v>330</v>
      </c>
      <c r="F797" s="14" t="s">
        <v>81</v>
      </c>
      <c r="G797" s="20">
        <v>1</v>
      </c>
      <c r="H797" s="108" t="s">
        <v>331</v>
      </c>
      <c r="I797" s="69"/>
      <c r="EP797" s="111"/>
    </row>
    <row r="798" spans="1:146" s="110" customFormat="1" x14ac:dyDescent="0.25">
      <c r="A798" s="14">
        <v>25</v>
      </c>
      <c r="B798" s="14" t="s">
        <v>49</v>
      </c>
      <c r="C798" s="14">
        <v>1</v>
      </c>
      <c r="D798" s="19" t="s">
        <v>83</v>
      </c>
      <c r="E798" s="15" t="s">
        <v>334</v>
      </c>
      <c r="F798" s="14" t="s">
        <v>81</v>
      </c>
      <c r="G798" s="20">
        <v>2</v>
      </c>
      <c r="H798" s="108" t="s">
        <v>335</v>
      </c>
      <c r="I798" s="69"/>
      <c r="EP798" s="111"/>
    </row>
    <row r="799" spans="1:146" s="110" customFormat="1" x14ac:dyDescent="0.25">
      <c r="A799" s="14">
        <v>25</v>
      </c>
      <c r="B799" s="14" t="s">
        <v>49</v>
      </c>
      <c r="C799" s="14">
        <v>1</v>
      </c>
      <c r="D799" s="19" t="s">
        <v>83</v>
      </c>
      <c r="E799" s="15" t="s">
        <v>336</v>
      </c>
      <c r="F799" s="14" t="s">
        <v>81</v>
      </c>
      <c r="G799" s="20">
        <v>15</v>
      </c>
      <c r="H799" s="108" t="s">
        <v>337</v>
      </c>
      <c r="I799" s="69"/>
      <c r="EP799" s="111"/>
    </row>
    <row r="800" spans="1:146" s="110" customFormat="1" x14ac:dyDescent="0.25">
      <c r="A800" s="32">
        <v>25</v>
      </c>
      <c r="B800" s="32" t="s">
        <v>49</v>
      </c>
      <c r="C800" s="32">
        <v>2</v>
      </c>
      <c r="D800" s="38" t="s">
        <v>137</v>
      </c>
      <c r="E800" s="38" t="s">
        <v>547</v>
      </c>
      <c r="F800" s="32" t="s">
        <v>81</v>
      </c>
      <c r="G800" s="42">
        <v>18</v>
      </c>
      <c r="H800" s="107" t="s">
        <v>548</v>
      </c>
      <c r="I800" s="69"/>
      <c r="EP800" s="111"/>
    </row>
    <row r="801" spans="1:146" s="110" customFormat="1" ht="63" x14ac:dyDescent="0.25">
      <c r="A801" s="32">
        <v>25</v>
      </c>
      <c r="B801" s="32" t="s">
        <v>49</v>
      </c>
      <c r="C801" s="32">
        <v>2</v>
      </c>
      <c r="D801" s="38" t="s">
        <v>1</v>
      </c>
      <c r="E801" s="38" t="s">
        <v>593</v>
      </c>
      <c r="F801" s="32" t="s">
        <v>81</v>
      </c>
      <c r="G801" s="42">
        <v>60</v>
      </c>
      <c r="H801" s="107" t="s">
        <v>534</v>
      </c>
      <c r="I801" s="69"/>
      <c r="EP801" s="111"/>
    </row>
    <row r="802" spans="1:146" s="110" customFormat="1" ht="31.5" x14ac:dyDescent="0.25">
      <c r="A802" s="32">
        <v>25</v>
      </c>
      <c r="B802" s="32" t="s">
        <v>49</v>
      </c>
      <c r="C802" s="32">
        <v>2</v>
      </c>
      <c r="D802" s="38" t="s">
        <v>1</v>
      </c>
      <c r="E802" s="38" t="s">
        <v>535</v>
      </c>
      <c r="F802" s="32" t="s">
        <v>81</v>
      </c>
      <c r="G802" s="42">
        <v>24</v>
      </c>
      <c r="H802" s="107" t="s">
        <v>536</v>
      </c>
      <c r="I802" s="69"/>
      <c r="EP802" s="111"/>
    </row>
    <row r="803" spans="1:146" s="110" customFormat="1" ht="31.5" x14ac:dyDescent="0.25">
      <c r="A803" s="32">
        <v>25</v>
      </c>
      <c r="B803" s="32" t="s">
        <v>49</v>
      </c>
      <c r="C803" s="32">
        <v>2</v>
      </c>
      <c r="D803" s="38" t="s">
        <v>1</v>
      </c>
      <c r="E803" s="38" t="s">
        <v>537</v>
      </c>
      <c r="F803" s="32" t="s">
        <v>81</v>
      </c>
      <c r="G803" s="42">
        <v>27</v>
      </c>
      <c r="H803" s="107" t="s">
        <v>538</v>
      </c>
      <c r="I803" s="69"/>
      <c r="EP803" s="111"/>
    </row>
    <row r="804" spans="1:146" s="110" customFormat="1" ht="31.5" x14ac:dyDescent="0.25">
      <c r="A804" s="32">
        <v>25</v>
      </c>
      <c r="B804" s="32" t="s">
        <v>49</v>
      </c>
      <c r="C804" s="32">
        <v>2</v>
      </c>
      <c r="D804" s="38" t="s">
        <v>1</v>
      </c>
      <c r="E804" s="38" t="s">
        <v>539</v>
      </c>
      <c r="F804" s="32" t="s">
        <v>81</v>
      </c>
      <c r="G804" s="42">
        <v>22</v>
      </c>
      <c r="H804" s="107" t="s">
        <v>540</v>
      </c>
      <c r="I804" s="69"/>
      <c r="EP804" s="111"/>
    </row>
    <row r="805" spans="1:146" s="110" customFormat="1" ht="31.5" x14ac:dyDescent="0.25">
      <c r="A805" s="32">
        <v>25</v>
      </c>
      <c r="B805" s="32" t="s">
        <v>49</v>
      </c>
      <c r="C805" s="32">
        <v>2</v>
      </c>
      <c r="D805" s="38" t="s">
        <v>1</v>
      </c>
      <c r="E805" s="38" t="s">
        <v>541</v>
      </c>
      <c r="F805" s="32" t="s">
        <v>81</v>
      </c>
      <c r="G805" s="42">
        <v>50</v>
      </c>
      <c r="H805" s="107" t="s">
        <v>542</v>
      </c>
      <c r="I805" s="69"/>
      <c r="EP805" s="111"/>
    </row>
    <row r="806" spans="1:146" s="110" customFormat="1" ht="31.5" x14ac:dyDescent="0.25">
      <c r="A806" s="32">
        <v>25</v>
      </c>
      <c r="B806" s="32" t="s">
        <v>49</v>
      </c>
      <c r="C806" s="32">
        <v>2</v>
      </c>
      <c r="D806" s="38" t="s">
        <v>1</v>
      </c>
      <c r="E806" s="38" t="s">
        <v>543</v>
      </c>
      <c r="F806" s="32" t="s">
        <v>81</v>
      </c>
      <c r="G806" s="42">
        <v>8</v>
      </c>
      <c r="H806" s="107" t="s">
        <v>544</v>
      </c>
      <c r="I806" s="69"/>
      <c r="EP806" s="111"/>
    </row>
    <row r="807" spans="1:146" s="110" customFormat="1" ht="31.5" x14ac:dyDescent="0.25">
      <c r="A807" s="32">
        <v>25</v>
      </c>
      <c r="B807" s="32" t="s">
        <v>49</v>
      </c>
      <c r="C807" s="32">
        <v>2</v>
      </c>
      <c r="D807" s="38" t="s">
        <v>1</v>
      </c>
      <c r="E807" s="38" t="s">
        <v>545</v>
      </c>
      <c r="F807" s="32" t="s">
        <v>81</v>
      </c>
      <c r="G807" s="42">
        <v>4</v>
      </c>
      <c r="H807" s="107" t="s">
        <v>546</v>
      </c>
      <c r="I807" s="69"/>
      <c r="EP807" s="111"/>
    </row>
    <row r="808" spans="1:146" s="110" customFormat="1" ht="47.25" x14ac:dyDescent="0.25">
      <c r="A808" s="32">
        <v>25</v>
      </c>
      <c r="B808" s="32" t="s">
        <v>49</v>
      </c>
      <c r="C808" s="32">
        <v>2</v>
      </c>
      <c r="D808" s="38" t="s">
        <v>393</v>
      </c>
      <c r="E808" s="38" t="s">
        <v>549</v>
      </c>
      <c r="F808" s="32" t="s">
        <v>69</v>
      </c>
      <c r="G808" s="42">
        <v>20</v>
      </c>
      <c r="H808" s="107" t="s">
        <v>550</v>
      </c>
      <c r="I808" s="69"/>
      <c r="EP808" s="111"/>
    </row>
    <row r="809" spans="1:146" s="110" customFormat="1" ht="78.75" x14ac:dyDescent="0.25">
      <c r="A809" s="32">
        <v>25</v>
      </c>
      <c r="B809" s="32" t="s">
        <v>49</v>
      </c>
      <c r="C809" s="32">
        <v>2</v>
      </c>
      <c r="D809" s="38" t="s">
        <v>393</v>
      </c>
      <c r="E809" s="38" t="s">
        <v>551</v>
      </c>
      <c r="F809" s="32" t="s">
        <v>69</v>
      </c>
      <c r="G809" s="42">
        <v>65</v>
      </c>
      <c r="H809" s="107" t="s">
        <v>552</v>
      </c>
      <c r="I809" s="69"/>
      <c r="EP809" s="111"/>
    </row>
    <row r="810" spans="1:146" s="110" customFormat="1" ht="47.25" x14ac:dyDescent="0.25">
      <c r="A810" s="32">
        <v>25</v>
      </c>
      <c r="B810" s="32" t="s">
        <v>49</v>
      </c>
      <c r="C810" s="32">
        <v>2</v>
      </c>
      <c r="D810" s="38" t="s">
        <v>393</v>
      </c>
      <c r="E810" s="38" t="s">
        <v>594</v>
      </c>
      <c r="F810" s="32" t="s">
        <v>69</v>
      </c>
      <c r="G810" s="42">
        <v>1</v>
      </c>
      <c r="H810" s="107" t="s">
        <v>553</v>
      </c>
      <c r="I810" s="69"/>
      <c r="EP810" s="111"/>
    </row>
    <row r="811" spans="1:146" s="110" customFormat="1" ht="78.75" x14ac:dyDescent="0.25">
      <c r="A811" s="32">
        <v>25</v>
      </c>
      <c r="B811" s="32" t="s">
        <v>49</v>
      </c>
      <c r="C811" s="32">
        <v>2</v>
      </c>
      <c r="D811" s="38" t="s">
        <v>393</v>
      </c>
      <c r="E811" s="38" t="s">
        <v>595</v>
      </c>
      <c r="F811" s="32" t="s">
        <v>81</v>
      </c>
      <c r="G811" s="42">
        <v>15</v>
      </c>
      <c r="H811" s="107" t="s">
        <v>596</v>
      </c>
      <c r="I811" s="69"/>
      <c r="EP811" s="111"/>
    </row>
    <row r="812" spans="1:146" x14ac:dyDescent="0.25">
      <c r="A812" s="63">
        <v>25</v>
      </c>
      <c r="B812" s="63" t="s">
        <v>49</v>
      </c>
      <c r="C812" s="63">
        <v>3</v>
      </c>
      <c r="D812" s="64" t="s">
        <v>137</v>
      </c>
      <c r="E812" s="64" t="s">
        <v>934</v>
      </c>
      <c r="F812" s="63" t="s">
        <v>81</v>
      </c>
      <c r="G812" s="65">
        <v>22</v>
      </c>
      <c r="H812" s="122" t="s">
        <v>935</v>
      </c>
      <c r="I812" s="69"/>
    </row>
    <row r="813" spans="1:146" ht="31.5" x14ac:dyDescent="0.25">
      <c r="A813" s="63">
        <v>25</v>
      </c>
      <c r="B813" s="63" t="s">
        <v>49</v>
      </c>
      <c r="C813" s="63">
        <v>3</v>
      </c>
      <c r="D813" s="64" t="s">
        <v>0</v>
      </c>
      <c r="E813" s="64" t="s">
        <v>932</v>
      </c>
      <c r="F813" s="63" t="s">
        <v>81</v>
      </c>
      <c r="G813" s="65">
        <v>44</v>
      </c>
      <c r="H813" s="122" t="s">
        <v>933</v>
      </c>
      <c r="I813" s="69"/>
    </row>
    <row r="814" spans="1:146" ht="47.25" x14ac:dyDescent="0.25">
      <c r="A814" s="63">
        <v>25</v>
      </c>
      <c r="B814" s="63" t="s">
        <v>49</v>
      </c>
      <c r="C814" s="63">
        <v>3</v>
      </c>
      <c r="D814" s="64" t="s">
        <v>1</v>
      </c>
      <c r="E814" s="64" t="s">
        <v>916</v>
      </c>
      <c r="F814" s="63" t="s">
        <v>81</v>
      </c>
      <c r="G814" s="65">
        <v>11</v>
      </c>
      <c r="H814" s="122" t="s">
        <v>917</v>
      </c>
      <c r="I814" s="69"/>
    </row>
    <row r="815" spans="1:146" ht="31.5" x14ac:dyDescent="0.25">
      <c r="A815" s="63">
        <v>25</v>
      </c>
      <c r="B815" s="63" t="s">
        <v>49</v>
      </c>
      <c r="C815" s="63">
        <v>3</v>
      </c>
      <c r="D815" s="64" t="s">
        <v>1</v>
      </c>
      <c r="E815" s="64" t="s">
        <v>918</v>
      </c>
      <c r="F815" s="63" t="s">
        <v>81</v>
      </c>
      <c r="G815" s="65">
        <v>17</v>
      </c>
      <c r="H815" s="122" t="s">
        <v>919</v>
      </c>
      <c r="I815" s="69"/>
    </row>
    <row r="816" spans="1:146" ht="31.5" x14ac:dyDescent="0.25">
      <c r="A816" s="63">
        <v>25</v>
      </c>
      <c r="B816" s="63" t="s">
        <v>49</v>
      </c>
      <c r="C816" s="63">
        <v>3</v>
      </c>
      <c r="D816" s="64" t="s">
        <v>1</v>
      </c>
      <c r="E816" s="64" t="s">
        <v>920</v>
      </c>
      <c r="F816" s="63" t="s">
        <v>81</v>
      </c>
      <c r="G816" s="65">
        <v>14</v>
      </c>
      <c r="H816" s="122" t="s">
        <v>921</v>
      </c>
      <c r="I816" s="69"/>
    </row>
    <row r="817" spans="1:9" ht="31.5" x14ac:dyDescent="0.25">
      <c r="A817" s="63">
        <v>25</v>
      </c>
      <c r="B817" s="63" t="s">
        <v>49</v>
      </c>
      <c r="C817" s="63">
        <v>3</v>
      </c>
      <c r="D817" s="64" t="s">
        <v>1</v>
      </c>
      <c r="E817" s="64" t="s">
        <v>922</v>
      </c>
      <c r="F817" s="63" t="s">
        <v>81</v>
      </c>
      <c r="G817" s="65">
        <v>18</v>
      </c>
      <c r="H817" s="122" t="s">
        <v>923</v>
      </c>
      <c r="I817" s="69"/>
    </row>
    <row r="818" spans="1:9" ht="31.5" x14ac:dyDescent="0.25">
      <c r="A818" s="63">
        <v>25</v>
      </c>
      <c r="B818" s="63" t="s">
        <v>49</v>
      </c>
      <c r="C818" s="63">
        <v>3</v>
      </c>
      <c r="D818" s="64" t="s">
        <v>1</v>
      </c>
      <c r="E818" s="64" t="s">
        <v>924</v>
      </c>
      <c r="F818" s="63" t="s">
        <v>81</v>
      </c>
      <c r="G818" s="65">
        <v>32</v>
      </c>
      <c r="H818" s="122" t="s">
        <v>925</v>
      </c>
      <c r="I818" s="69"/>
    </row>
    <row r="819" spans="1:9" ht="31.5" x14ac:dyDescent="0.25">
      <c r="A819" s="63">
        <v>25</v>
      </c>
      <c r="B819" s="63" t="s">
        <v>49</v>
      </c>
      <c r="C819" s="63">
        <v>3</v>
      </c>
      <c r="D819" s="64" t="s">
        <v>1</v>
      </c>
      <c r="E819" s="64" t="s">
        <v>926</v>
      </c>
      <c r="F819" s="63" t="s">
        <v>81</v>
      </c>
      <c r="G819" s="65">
        <v>28</v>
      </c>
      <c r="H819" s="122" t="s">
        <v>927</v>
      </c>
      <c r="I819" s="69"/>
    </row>
    <row r="820" spans="1:9" ht="47.25" x14ac:dyDescent="0.25">
      <c r="A820" s="63">
        <v>25</v>
      </c>
      <c r="B820" s="63" t="s">
        <v>49</v>
      </c>
      <c r="C820" s="63">
        <v>3</v>
      </c>
      <c r="D820" s="64" t="s">
        <v>1</v>
      </c>
      <c r="E820" s="64" t="s">
        <v>928</v>
      </c>
      <c r="F820" s="63" t="s">
        <v>81</v>
      </c>
      <c r="G820" s="65">
        <v>107</v>
      </c>
      <c r="H820" s="122" t="s">
        <v>929</v>
      </c>
      <c r="I820" s="69"/>
    </row>
    <row r="821" spans="1:9" ht="31.5" x14ac:dyDescent="0.25">
      <c r="A821" s="63">
        <v>25</v>
      </c>
      <c r="B821" s="63" t="s">
        <v>49</v>
      </c>
      <c r="C821" s="63">
        <v>3</v>
      </c>
      <c r="D821" s="64" t="s">
        <v>1</v>
      </c>
      <c r="E821" s="64" t="s">
        <v>930</v>
      </c>
      <c r="F821" s="63" t="s">
        <v>81</v>
      </c>
      <c r="G821" s="65">
        <v>2</v>
      </c>
      <c r="H821" s="122" t="s">
        <v>931</v>
      </c>
      <c r="I821" s="69"/>
    </row>
    <row r="822" spans="1:9" ht="47.25" x14ac:dyDescent="0.25">
      <c r="A822" s="63">
        <v>25</v>
      </c>
      <c r="B822" s="63" t="s">
        <v>49</v>
      </c>
      <c r="C822" s="63">
        <v>3</v>
      </c>
      <c r="D822" s="64" t="s">
        <v>1</v>
      </c>
      <c r="E822" s="64" t="s">
        <v>940</v>
      </c>
      <c r="F822" s="63" t="s">
        <v>69</v>
      </c>
      <c r="G822" s="65">
        <v>4</v>
      </c>
      <c r="H822" s="122" t="s">
        <v>941</v>
      </c>
      <c r="I822" s="69"/>
    </row>
    <row r="823" spans="1:9" ht="47.25" x14ac:dyDescent="0.25">
      <c r="A823" s="63">
        <v>25</v>
      </c>
      <c r="B823" s="63" t="s">
        <v>49</v>
      </c>
      <c r="C823" s="63">
        <v>3</v>
      </c>
      <c r="D823" s="64" t="s">
        <v>393</v>
      </c>
      <c r="E823" s="64" t="s">
        <v>936</v>
      </c>
      <c r="F823" s="63" t="s">
        <v>81</v>
      </c>
      <c r="G823" s="65">
        <v>12</v>
      </c>
      <c r="H823" s="122" t="s">
        <v>937</v>
      </c>
      <c r="I823" s="69"/>
    </row>
    <row r="824" spans="1:9" ht="78.75" x14ac:dyDescent="0.25">
      <c r="A824" s="63">
        <v>25</v>
      </c>
      <c r="B824" s="63" t="s">
        <v>49</v>
      </c>
      <c r="C824" s="63">
        <v>3</v>
      </c>
      <c r="D824" s="64" t="s">
        <v>393</v>
      </c>
      <c r="E824" s="64" t="s">
        <v>938</v>
      </c>
      <c r="F824" s="63" t="s">
        <v>69</v>
      </c>
      <c r="G824" s="65">
        <v>56</v>
      </c>
      <c r="H824" s="122" t="s">
        <v>939</v>
      </c>
      <c r="I824" s="69"/>
    </row>
    <row r="825" spans="1:9" ht="63" x14ac:dyDescent="0.25">
      <c r="A825" s="63">
        <v>25</v>
      </c>
      <c r="B825" s="63" t="s">
        <v>49</v>
      </c>
      <c r="C825" s="63">
        <v>3</v>
      </c>
      <c r="D825" s="64" t="s">
        <v>393</v>
      </c>
      <c r="E825" s="64" t="s">
        <v>942</v>
      </c>
      <c r="F825" s="63" t="s">
        <v>69</v>
      </c>
      <c r="G825" s="65">
        <v>2</v>
      </c>
      <c r="H825" s="122" t="s">
        <v>943</v>
      </c>
      <c r="I825" s="69"/>
    </row>
    <row r="826" spans="1:9" ht="47.25" x14ac:dyDescent="0.25">
      <c r="A826" s="63">
        <v>25</v>
      </c>
      <c r="B826" s="63" t="s">
        <v>49</v>
      </c>
      <c r="C826" s="63">
        <v>3</v>
      </c>
      <c r="D826" s="64" t="s">
        <v>393</v>
      </c>
      <c r="E826" s="64" t="s">
        <v>944</v>
      </c>
      <c r="F826" s="63" t="s">
        <v>69</v>
      </c>
      <c r="G826" s="65">
        <v>25</v>
      </c>
      <c r="H826" s="122" t="s">
        <v>945</v>
      </c>
      <c r="I826" s="56"/>
    </row>
    <row r="827" spans="1:9" ht="31.5" x14ac:dyDescent="0.25">
      <c r="A827" s="45">
        <v>25</v>
      </c>
      <c r="B827" s="45" t="s">
        <v>49</v>
      </c>
      <c r="C827" s="45">
        <v>4</v>
      </c>
      <c r="D827" s="50" t="s">
        <v>1</v>
      </c>
      <c r="E827" s="50" t="s">
        <v>1386</v>
      </c>
      <c r="F827" s="45" t="s">
        <v>81</v>
      </c>
      <c r="G827" s="54">
        <v>38</v>
      </c>
      <c r="H827" s="123" t="s">
        <v>1387</v>
      </c>
      <c r="I827" s="69"/>
    </row>
    <row r="828" spans="1:9" ht="31.5" x14ac:dyDescent="0.25">
      <c r="A828" s="45">
        <v>25</v>
      </c>
      <c r="B828" s="45" t="s">
        <v>49</v>
      </c>
      <c r="C828" s="45">
        <v>4</v>
      </c>
      <c r="D828" s="50" t="s">
        <v>1</v>
      </c>
      <c r="E828" s="50" t="s">
        <v>1388</v>
      </c>
      <c r="F828" s="45" t="s">
        <v>81</v>
      </c>
      <c r="G828" s="54">
        <v>27</v>
      </c>
      <c r="H828" s="123" t="s">
        <v>538</v>
      </c>
      <c r="I828" s="69"/>
    </row>
    <row r="829" spans="1:9" ht="31.5" x14ac:dyDescent="0.25">
      <c r="A829" s="45">
        <v>25</v>
      </c>
      <c r="B829" s="45" t="s">
        <v>49</v>
      </c>
      <c r="C829" s="45">
        <v>4</v>
      </c>
      <c r="D829" s="50" t="s">
        <v>1</v>
      </c>
      <c r="E829" s="50" t="s">
        <v>1389</v>
      </c>
      <c r="F829" s="45" t="s">
        <v>81</v>
      </c>
      <c r="G829" s="54">
        <v>6</v>
      </c>
      <c r="H829" s="123" t="s">
        <v>1390</v>
      </c>
      <c r="I829" s="69"/>
    </row>
    <row r="830" spans="1:9" ht="31.5" x14ac:dyDescent="0.25">
      <c r="A830" s="45">
        <v>25</v>
      </c>
      <c r="B830" s="45" t="s">
        <v>49</v>
      </c>
      <c r="C830" s="45">
        <v>4</v>
      </c>
      <c r="D830" s="50" t="s">
        <v>1</v>
      </c>
      <c r="E830" s="50" t="s">
        <v>1391</v>
      </c>
      <c r="F830" s="45" t="s">
        <v>81</v>
      </c>
      <c r="G830" s="54">
        <v>6</v>
      </c>
      <c r="H830" s="123" t="s">
        <v>1390</v>
      </c>
      <c r="I830" s="69"/>
    </row>
    <row r="831" spans="1:9" ht="31.5" x14ac:dyDescent="0.25">
      <c r="A831" s="45">
        <v>25</v>
      </c>
      <c r="B831" s="45" t="s">
        <v>49</v>
      </c>
      <c r="C831" s="45">
        <v>4</v>
      </c>
      <c r="D831" s="50" t="s">
        <v>1</v>
      </c>
      <c r="E831" s="50" t="s">
        <v>1392</v>
      </c>
      <c r="F831" s="45" t="s">
        <v>81</v>
      </c>
      <c r="G831" s="54">
        <v>35</v>
      </c>
      <c r="H831" s="123" t="s">
        <v>1393</v>
      </c>
      <c r="I831" s="69"/>
    </row>
    <row r="832" spans="1:9" ht="47.25" x14ac:dyDescent="0.25">
      <c r="A832" s="45">
        <v>25</v>
      </c>
      <c r="B832" s="45" t="s">
        <v>49</v>
      </c>
      <c r="C832" s="45">
        <v>4</v>
      </c>
      <c r="D832" s="50" t="s">
        <v>1</v>
      </c>
      <c r="E832" s="50" t="s">
        <v>1394</v>
      </c>
      <c r="F832" s="45" t="s">
        <v>81</v>
      </c>
      <c r="G832" s="54">
        <v>15</v>
      </c>
      <c r="H832" s="123" t="s">
        <v>1395</v>
      </c>
      <c r="I832" s="69"/>
    </row>
    <row r="833" spans="1:9" ht="31.5" x14ac:dyDescent="0.25">
      <c r="A833" s="45">
        <v>25</v>
      </c>
      <c r="B833" s="45" t="s">
        <v>49</v>
      </c>
      <c r="C833" s="45">
        <v>4</v>
      </c>
      <c r="D833" s="50" t="s">
        <v>1</v>
      </c>
      <c r="E833" s="50" t="s">
        <v>1530</v>
      </c>
      <c r="F833" s="45" t="s">
        <v>81</v>
      </c>
      <c r="G833" s="54">
        <v>48</v>
      </c>
      <c r="H833" s="123" t="s">
        <v>1396</v>
      </c>
      <c r="I833" s="69"/>
    </row>
    <row r="834" spans="1:9" ht="31.5" x14ac:dyDescent="0.25">
      <c r="A834" s="45">
        <v>25</v>
      </c>
      <c r="B834" s="45" t="s">
        <v>49</v>
      </c>
      <c r="C834" s="45">
        <v>4</v>
      </c>
      <c r="D834" s="50" t="s">
        <v>1</v>
      </c>
      <c r="E834" s="50" t="s">
        <v>1397</v>
      </c>
      <c r="F834" s="45" t="s">
        <v>81</v>
      </c>
      <c r="G834" s="54">
        <v>13</v>
      </c>
      <c r="H834" s="123" t="s">
        <v>1531</v>
      </c>
      <c r="I834" s="69"/>
    </row>
    <row r="835" spans="1:9" ht="31.5" x14ac:dyDescent="0.25">
      <c r="A835" s="45">
        <v>25</v>
      </c>
      <c r="B835" s="45" t="s">
        <v>49</v>
      </c>
      <c r="C835" s="45">
        <v>4</v>
      </c>
      <c r="D835" s="50" t="s">
        <v>1</v>
      </c>
      <c r="E835" s="50" t="s">
        <v>1398</v>
      </c>
      <c r="F835" s="45" t="s">
        <v>81</v>
      </c>
      <c r="G835" s="54">
        <v>4</v>
      </c>
      <c r="H835" s="123" t="s">
        <v>1399</v>
      </c>
      <c r="I835" s="69"/>
    </row>
    <row r="836" spans="1:9" ht="31.5" x14ac:dyDescent="0.25">
      <c r="A836" s="45">
        <v>25</v>
      </c>
      <c r="B836" s="45" t="s">
        <v>49</v>
      </c>
      <c r="C836" s="45">
        <v>4</v>
      </c>
      <c r="D836" s="50" t="s">
        <v>0</v>
      </c>
      <c r="E836" s="50" t="s">
        <v>1400</v>
      </c>
      <c r="F836" s="45" t="s">
        <v>81</v>
      </c>
      <c r="G836" s="54">
        <v>205</v>
      </c>
      <c r="H836" s="123" t="s">
        <v>1532</v>
      </c>
      <c r="I836" s="69"/>
    </row>
    <row r="837" spans="1:9" x14ac:dyDescent="0.25">
      <c r="A837" s="45">
        <v>25</v>
      </c>
      <c r="B837" s="45" t="s">
        <v>49</v>
      </c>
      <c r="C837" s="45">
        <v>4</v>
      </c>
      <c r="D837" s="50" t="s">
        <v>137</v>
      </c>
      <c r="E837" s="50" t="s">
        <v>1401</v>
      </c>
      <c r="F837" s="45" t="s">
        <v>81</v>
      </c>
      <c r="G837" s="54">
        <v>22</v>
      </c>
      <c r="H837" s="123" t="s">
        <v>935</v>
      </c>
      <c r="I837" s="69"/>
    </row>
    <row r="838" spans="1:9" ht="63" x14ac:dyDescent="0.25">
      <c r="A838" s="45">
        <v>25</v>
      </c>
      <c r="B838" s="45" t="s">
        <v>49</v>
      </c>
      <c r="C838" s="45">
        <v>4</v>
      </c>
      <c r="D838" s="50" t="s">
        <v>393</v>
      </c>
      <c r="E838" s="50" t="s">
        <v>1402</v>
      </c>
      <c r="F838" s="45" t="s">
        <v>81</v>
      </c>
      <c r="G838" s="54">
        <v>35</v>
      </c>
      <c r="H838" s="123" t="s">
        <v>1403</v>
      </c>
      <c r="I838" s="69"/>
    </row>
    <row r="839" spans="1:9" ht="78.75" x14ac:dyDescent="0.25">
      <c r="A839" s="45">
        <v>25</v>
      </c>
      <c r="B839" s="45" t="s">
        <v>49</v>
      </c>
      <c r="C839" s="45">
        <v>4</v>
      </c>
      <c r="D839" s="50" t="s">
        <v>393</v>
      </c>
      <c r="E839" s="50" t="s">
        <v>1404</v>
      </c>
      <c r="F839" s="45" t="s">
        <v>69</v>
      </c>
      <c r="G839" s="54">
        <v>59</v>
      </c>
      <c r="H839" s="123" t="s">
        <v>1405</v>
      </c>
      <c r="I839" s="69"/>
    </row>
    <row r="840" spans="1:9" ht="47.25" x14ac:dyDescent="0.25">
      <c r="A840" s="45">
        <v>25</v>
      </c>
      <c r="B840" s="45" t="s">
        <v>49</v>
      </c>
      <c r="C840" s="45">
        <v>4</v>
      </c>
      <c r="D840" s="50" t="s">
        <v>393</v>
      </c>
      <c r="E840" s="50" t="s">
        <v>1533</v>
      </c>
      <c r="F840" s="45" t="s">
        <v>69</v>
      </c>
      <c r="G840" s="54">
        <v>5</v>
      </c>
      <c r="H840" s="123" t="s">
        <v>1406</v>
      </c>
      <c r="I840" s="69"/>
    </row>
    <row r="841" spans="1:9" ht="63" x14ac:dyDescent="0.25">
      <c r="A841" s="45">
        <v>25</v>
      </c>
      <c r="B841" s="45" t="s">
        <v>49</v>
      </c>
      <c r="C841" s="45">
        <v>4</v>
      </c>
      <c r="D841" s="50" t="s">
        <v>393</v>
      </c>
      <c r="E841" s="50" t="s">
        <v>1534</v>
      </c>
      <c r="F841" s="45" t="s">
        <v>69</v>
      </c>
      <c r="G841" s="54">
        <v>4</v>
      </c>
      <c r="H841" s="123" t="s">
        <v>1407</v>
      </c>
      <c r="I841" s="69"/>
    </row>
    <row r="842" spans="1:9" ht="31.5" x14ac:dyDescent="0.25">
      <c r="A842" s="45">
        <v>25</v>
      </c>
      <c r="B842" s="45" t="s">
        <v>49</v>
      </c>
      <c r="C842" s="45">
        <v>4</v>
      </c>
      <c r="D842" s="50" t="s">
        <v>559</v>
      </c>
      <c r="E842" s="50" t="s">
        <v>1408</v>
      </c>
      <c r="F842" s="45" t="s">
        <v>81</v>
      </c>
      <c r="G842" s="54">
        <v>2</v>
      </c>
      <c r="H842" s="123" t="s">
        <v>1409</v>
      </c>
      <c r="I842" s="69"/>
    </row>
    <row r="843" spans="1:9" ht="78.75" x14ac:dyDescent="0.25">
      <c r="A843" s="14">
        <v>26</v>
      </c>
      <c r="B843" s="14" t="s">
        <v>50</v>
      </c>
      <c r="C843" s="14">
        <v>1</v>
      </c>
      <c r="D843" s="19" t="s">
        <v>142</v>
      </c>
      <c r="E843" s="15" t="s">
        <v>345</v>
      </c>
      <c r="F843" s="14" t="s">
        <v>69</v>
      </c>
      <c r="G843" s="20">
        <v>5</v>
      </c>
      <c r="H843" s="108" t="s">
        <v>346</v>
      </c>
      <c r="I843" s="69"/>
    </row>
    <row r="844" spans="1:9" ht="141.75" x14ac:dyDescent="0.25">
      <c r="A844" s="14">
        <v>26</v>
      </c>
      <c r="B844" s="14" t="s">
        <v>50</v>
      </c>
      <c r="C844" s="14">
        <v>1</v>
      </c>
      <c r="D844" s="19" t="s">
        <v>1</v>
      </c>
      <c r="E844" s="15" t="s">
        <v>338</v>
      </c>
      <c r="F844" s="14" t="s">
        <v>81</v>
      </c>
      <c r="G844" s="20">
        <v>46</v>
      </c>
      <c r="H844" s="108" t="s">
        <v>339</v>
      </c>
      <c r="I844" s="69"/>
    </row>
    <row r="845" spans="1:9" ht="141.75" x14ac:dyDescent="0.25">
      <c r="A845" s="14">
        <v>26</v>
      </c>
      <c r="B845" s="14" t="s">
        <v>50</v>
      </c>
      <c r="C845" s="14">
        <v>1</v>
      </c>
      <c r="D845" s="19" t="s">
        <v>1</v>
      </c>
      <c r="E845" s="15" t="s">
        <v>340</v>
      </c>
      <c r="F845" s="14" t="s">
        <v>81</v>
      </c>
      <c r="G845" s="20">
        <v>47</v>
      </c>
      <c r="H845" s="108" t="s">
        <v>339</v>
      </c>
      <c r="I845" s="69"/>
    </row>
    <row r="846" spans="1:9" ht="141.75" x14ac:dyDescent="0.25">
      <c r="A846" s="14">
        <v>26</v>
      </c>
      <c r="B846" s="14" t="s">
        <v>50</v>
      </c>
      <c r="C846" s="14">
        <v>1</v>
      </c>
      <c r="D846" s="19" t="s">
        <v>1</v>
      </c>
      <c r="E846" s="15" t="s">
        <v>341</v>
      </c>
      <c r="F846" s="14" t="s">
        <v>81</v>
      </c>
      <c r="G846" s="20">
        <v>18</v>
      </c>
      <c r="H846" s="108" t="s">
        <v>339</v>
      </c>
      <c r="I846" s="69"/>
    </row>
    <row r="847" spans="1:9" ht="141.75" x14ac:dyDescent="0.25">
      <c r="A847" s="14">
        <v>26</v>
      </c>
      <c r="B847" s="14" t="s">
        <v>50</v>
      </c>
      <c r="C847" s="14">
        <v>1</v>
      </c>
      <c r="D847" s="19" t="s">
        <v>1</v>
      </c>
      <c r="E847" s="15" t="s">
        <v>342</v>
      </c>
      <c r="F847" s="14" t="s">
        <v>81</v>
      </c>
      <c r="G847" s="20">
        <v>33</v>
      </c>
      <c r="H847" s="108" t="s">
        <v>339</v>
      </c>
      <c r="I847" s="69"/>
    </row>
    <row r="848" spans="1:9" ht="141.75" x14ac:dyDescent="0.25">
      <c r="A848" s="14">
        <v>26</v>
      </c>
      <c r="B848" s="14" t="s">
        <v>50</v>
      </c>
      <c r="C848" s="14">
        <v>1</v>
      </c>
      <c r="D848" s="19" t="s">
        <v>1</v>
      </c>
      <c r="E848" s="15" t="s">
        <v>343</v>
      </c>
      <c r="F848" s="14" t="s">
        <v>81</v>
      </c>
      <c r="G848" s="20">
        <v>38</v>
      </c>
      <c r="H848" s="108" t="s">
        <v>339</v>
      </c>
      <c r="I848" s="69"/>
    </row>
    <row r="849" spans="1:9" ht="141.75" x14ac:dyDescent="0.25">
      <c r="A849" s="14">
        <v>26</v>
      </c>
      <c r="B849" s="14" t="s">
        <v>50</v>
      </c>
      <c r="C849" s="14">
        <v>1</v>
      </c>
      <c r="D849" s="19" t="s">
        <v>1</v>
      </c>
      <c r="E849" s="15" t="s">
        <v>344</v>
      </c>
      <c r="F849" s="14" t="s">
        <v>81</v>
      </c>
      <c r="G849" s="20">
        <v>22</v>
      </c>
      <c r="H849" s="108" t="s">
        <v>339</v>
      </c>
      <c r="I849" s="69"/>
    </row>
    <row r="850" spans="1:9" ht="141.75" x14ac:dyDescent="0.25">
      <c r="A850" s="14">
        <v>26</v>
      </c>
      <c r="B850" s="14" t="s">
        <v>50</v>
      </c>
      <c r="C850" s="14">
        <v>1</v>
      </c>
      <c r="D850" s="19" t="s">
        <v>1</v>
      </c>
      <c r="E850" s="15" t="s">
        <v>341</v>
      </c>
      <c r="F850" s="14" t="s">
        <v>81</v>
      </c>
      <c r="G850" s="20">
        <v>24</v>
      </c>
      <c r="H850" s="108" t="s">
        <v>339</v>
      </c>
      <c r="I850" s="69"/>
    </row>
    <row r="851" spans="1:9" ht="110.25" x14ac:dyDescent="0.25">
      <c r="A851" s="14">
        <v>26</v>
      </c>
      <c r="B851" s="14" t="s">
        <v>50</v>
      </c>
      <c r="C851" s="14">
        <v>1</v>
      </c>
      <c r="D851" s="19" t="s">
        <v>347</v>
      </c>
      <c r="E851" s="15" t="s">
        <v>348</v>
      </c>
      <c r="F851" s="14" t="s">
        <v>81</v>
      </c>
      <c r="G851" s="20">
        <v>1</v>
      </c>
      <c r="H851" s="108" t="s">
        <v>349</v>
      </c>
      <c r="I851" s="69"/>
    </row>
    <row r="852" spans="1:9" ht="126" x14ac:dyDescent="0.25">
      <c r="A852" s="14">
        <v>26</v>
      </c>
      <c r="B852" s="14" t="s">
        <v>50</v>
      </c>
      <c r="C852" s="14">
        <v>1</v>
      </c>
      <c r="D852" s="19" t="s">
        <v>347</v>
      </c>
      <c r="E852" s="19" t="s">
        <v>350</v>
      </c>
      <c r="F852" s="14" t="s">
        <v>81</v>
      </c>
      <c r="G852" s="20">
        <v>2</v>
      </c>
      <c r="H852" s="108" t="s">
        <v>351</v>
      </c>
      <c r="I852" s="69"/>
    </row>
    <row r="853" spans="1:9" ht="94.5" x14ac:dyDescent="0.25">
      <c r="A853" s="14">
        <v>26</v>
      </c>
      <c r="B853" s="14" t="s">
        <v>50</v>
      </c>
      <c r="C853" s="14">
        <v>1</v>
      </c>
      <c r="D853" s="19" t="s">
        <v>352</v>
      </c>
      <c r="E853" s="15" t="s">
        <v>353</v>
      </c>
      <c r="F853" s="14" t="s">
        <v>81</v>
      </c>
      <c r="G853" s="20">
        <v>9</v>
      </c>
      <c r="H853" s="108" t="s">
        <v>354</v>
      </c>
      <c r="I853" s="69"/>
    </row>
    <row r="854" spans="1:9" ht="78.75" x14ac:dyDescent="0.25">
      <c r="A854" s="14">
        <v>26</v>
      </c>
      <c r="B854" s="14" t="s">
        <v>50</v>
      </c>
      <c r="C854" s="14">
        <v>1</v>
      </c>
      <c r="D854" s="19" t="s">
        <v>352</v>
      </c>
      <c r="E854" s="15" t="s">
        <v>355</v>
      </c>
      <c r="F854" s="14" t="s">
        <v>69</v>
      </c>
      <c r="G854" s="20">
        <v>233</v>
      </c>
      <c r="H854" s="108" t="s">
        <v>356</v>
      </c>
      <c r="I854" s="69"/>
    </row>
    <row r="855" spans="1:9" ht="110.25" x14ac:dyDescent="0.25">
      <c r="A855" s="32">
        <v>26</v>
      </c>
      <c r="B855" s="32" t="s">
        <v>50</v>
      </c>
      <c r="C855" s="32">
        <v>2</v>
      </c>
      <c r="D855" s="38" t="s">
        <v>0</v>
      </c>
      <c r="E855" s="38" t="s">
        <v>556</v>
      </c>
      <c r="F855" s="32" t="s">
        <v>81</v>
      </c>
      <c r="G855" s="42">
        <v>206</v>
      </c>
      <c r="H855" s="107" t="s">
        <v>557</v>
      </c>
      <c r="I855" s="69" t="s">
        <v>557</v>
      </c>
    </row>
    <row r="856" spans="1:9" ht="63" x14ac:dyDescent="0.25">
      <c r="A856" s="32">
        <v>26</v>
      </c>
      <c r="B856" s="32" t="s">
        <v>50</v>
      </c>
      <c r="C856" s="32">
        <v>2</v>
      </c>
      <c r="D856" s="38" t="s">
        <v>0</v>
      </c>
      <c r="E856" s="38" t="s">
        <v>679</v>
      </c>
      <c r="F856" s="32" t="s">
        <v>81</v>
      </c>
      <c r="G856" s="42">
        <v>78</v>
      </c>
      <c r="H856" s="107" t="s">
        <v>558</v>
      </c>
      <c r="I856" s="69" t="s">
        <v>558</v>
      </c>
    </row>
    <row r="857" spans="1:9" ht="126" x14ac:dyDescent="0.25">
      <c r="A857" s="32">
        <v>26</v>
      </c>
      <c r="B857" s="32" t="s">
        <v>50</v>
      </c>
      <c r="C857" s="32">
        <v>2</v>
      </c>
      <c r="D857" s="38" t="s">
        <v>559</v>
      </c>
      <c r="E857" s="38" t="s">
        <v>560</v>
      </c>
      <c r="F857" s="32" t="s">
        <v>69</v>
      </c>
      <c r="G857" s="42">
        <v>6</v>
      </c>
      <c r="H857" s="107" t="s">
        <v>351</v>
      </c>
      <c r="I857" s="69" t="s">
        <v>351</v>
      </c>
    </row>
    <row r="858" spans="1:9" ht="78.75" x14ac:dyDescent="0.25">
      <c r="A858" s="133">
        <v>26</v>
      </c>
      <c r="B858" s="133" t="s">
        <v>50</v>
      </c>
      <c r="C858" s="133">
        <v>2</v>
      </c>
      <c r="D858" s="135" t="s">
        <v>142</v>
      </c>
      <c r="E858" s="135" t="s">
        <v>680</v>
      </c>
      <c r="F858" s="133" t="s">
        <v>69</v>
      </c>
      <c r="G858" s="138">
        <v>6</v>
      </c>
      <c r="H858" s="140" t="s">
        <v>346</v>
      </c>
      <c r="I858" s="69" t="s">
        <v>346</v>
      </c>
    </row>
    <row r="859" spans="1:9" ht="141.75" x14ac:dyDescent="0.25">
      <c r="A859" s="32">
        <v>26</v>
      </c>
      <c r="B859" s="32" t="s">
        <v>50</v>
      </c>
      <c r="C859" s="32">
        <v>2</v>
      </c>
      <c r="D859" s="38" t="s">
        <v>1</v>
      </c>
      <c r="E859" s="38" t="s">
        <v>561</v>
      </c>
      <c r="F859" s="32" t="s">
        <v>81</v>
      </c>
      <c r="G859" s="42">
        <v>213</v>
      </c>
      <c r="H859" s="107" t="s">
        <v>562</v>
      </c>
      <c r="I859" s="69" t="s">
        <v>562</v>
      </c>
    </row>
    <row r="860" spans="1:9" ht="141.75" x14ac:dyDescent="0.25">
      <c r="A860" s="32">
        <v>26</v>
      </c>
      <c r="B860" s="32" t="s">
        <v>50</v>
      </c>
      <c r="C860" s="32">
        <v>2</v>
      </c>
      <c r="D860" s="38" t="s">
        <v>1</v>
      </c>
      <c r="E860" s="38" t="s">
        <v>563</v>
      </c>
      <c r="F860" s="32" t="s">
        <v>81</v>
      </c>
      <c r="G860" s="42">
        <v>34</v>
      </c>
      <c r="H860" s="107" t="s">
        <v>339</v>
      </c>
      <c r="I860" s="69" t="s">
        <v>339</v>
      </c>
    </row>
    <row r="861" spans="1:9" ht="141.75" x14ac:dyDescent="0.25">
      <c r="A861" s="32">
        <v>26</v>
      </c>
      <c r="B861" s="32" t="s">
        <v>50</v>
      </c>
      <c r="C861" s="32">
        <v>2</v>
      </c>
      <c r="D861" s="38" t="s">
        <v>1</v>
      </c>
      <c r="E861" s="38" t="s">
        <v>564</v>
      </c>
      <c r="F861" s="32" t="s">
        <v>81</v>
      </c>
      <c r="G861" s="42">
        <v>67</v>
      </c>
      <c r="H861" s="107" t="s">
        <v>339</v>
      </c>
      <c r="I861" s="69" t="s">
        <v>339</v>
      </c>
    </row>
    <row r="862" spans="1:9" ht="141.75" x14ac:dyDescent="0.25">
      <c r="A862" s="32">
        <v>26</v>
      </c>
      <c r="B862" s="32" t="s">
        <v>50</v>
      </c>
      <c r="C862" s="32">
        <v>2</v>
      </c>
      <c r="D862" s="38" t="s">
        <v>1</v>
      </c>
      <c r="E862" s="38" t="s">
        <v>565</v>
      </c>
      <c r="F862" s="32" t="s">
        <v>81</v>
      </c>
      <c r="G862" s="42">
        <v>167</v>
      </c>
      <c r="H862" s="107" t="s">
        <v>339</v>
      </c>
      <c r="I862" s="69" t="s">
        <v>339</v>
      </c>
    </row>
    <row r="863" spans="1:9" ht="141.75" x14ac:dyDescent="0.25">
      <c r="A863" s="32">
        <v>26</v>
      </c>
      <c r="B863" s="32" t="s">
        <v>50</v>
      </c>
      <c r="C863" s="32">
        <v>2</v>
      </c>
      <c r="D863" s="38" t="s">
        <v>1</v>
      </c>
      <c r="E863" s="38" t="s">
        <v>566</v>
      </c>
      <c r="F863" s="32" t="s">
        <v>81</v>
      </c>
      <c r="G863" s="42">
        <v>25</v>
      </c>
      <c r="H863" s="107" t="s">
        <v>339</v>
      </c>
      <c r="I863" s="69" t="s">
        <v>339</v>
      </c>
    </row>
    <row r="864" spans="1:9" ht="94.5" x14ac:dyDescent="0.25">
      <c r="A864" s="32">
        <v>26</v>
      </c>
      <c r="B864" s="32" t="s">
        <v>50</v>
      </c>
      <c r="C864" s="32">
        <v>2</v>
      </c>
      <c r="D864" s="38" t="s">
        <v>393</v>
      </c>
      <c r="E864" s="38" t="s">
        <v>554</v>
      </c>
      <c r="F864" s="32" t="s">
        <v>69</v>
      </c>
      <c r="G864" s="42">
        <v>9</v>
      </c>
      <c r="H864" s="107" t="s">
        <v>354</v>
      </c>
      <c r="I864" s="69" t="s">
        <v>354</v>
      </c>
    </row>
    <row r="865" spans="1:9" ht="94.5" x14ac:dyDescent="0.25">
      <c r="A865" s="32">
        <v>26</v>
      </c>
      <c r="B865" s="32" t="s">
        <v>50</v>
      </c>
      <c r="C865" s="32">
        <v>2</v>
      </c>
      <c r="D865" s="38" t="s">
        <v>393</v>
      </c>
      <c r="E865" s="38" t="s">
        <v>678</v>
      </c>
      <c r="F865" s="32" t="s">
        <v>81</v>
      </c>
      <c r="G865" s="42">
        <v>9</v>
      </c>
      <c r="H865" s="107" t="s">
        <v>354</v>
      </c>
      <c r="I865" s="69" t="s">
        <v>354</v>
      </c>
    </row>
    <row r="866" spans="1:9" ht="78.75" x14ac:dyDescent="0.25">
      <c r="A866" s="32">
        <v>26</v>
      </c>
      <c r="B866" s="32" t="s">
        <v>50</v>
      </c>
      <c r="C866" s="32">
        <v>2</v>
      </c>
      <c r="D866" s="38" t="s">
        <v>393</v>
      </c>
      <c r="E866" s="38" t="s">
        <v>687</v>
      </c>
      <c r="F866" s="32" t="s">
        <v>81</v>
      </c>
      <c r="G866" s="42">
        <v>179</v>
      </c>
      <c r="H866" s="107" t="s">
        <v>356</v>
      </c>
      <c r="I866" s="69" t="s">
        <v>356</v>
      </c>
    </row>
    <row r="867" spans="1:9" ht="78.75" x14ac:dyDescent="0.25">
      <c r="A867" s="32">
        <v>26</v>
      </c>
      <c r="B867" s="32" t="s">
        <v>50</v>
      </c>
      <c r="C867" s="32">
        <v>2</v>
      </c>
      <c r="D867" s="38" t="s">
        <v>393</v>
      </c>
      <c r="E867" s="38" t="s">
        <v>555</v>
      </c>
      <c r="F867" s="32" t="s">
        <v>81</v>
      </c>
      <c r="G867" s="42">
        <v>2</v>
      </c>
      <c r="H867" s="107" t="s">
        <v>356</v>
      </c>
      <c r="I867" s="69" t="s">
        <v>356</v>
      </c>
    </row>
    <row r="868" spans="1:9" ht="63" x14ac:dyDescent="0.25">
      <c r="A868" s="63">
        <v>26</v>
      </c>
      <c r="B868" s="63" t="s">
        <v>50</v>
      </c>
      <c r="C868" s="63">
        <v>3</v>
      </c>
      <c r="D868" s="64" t="s">
        <v>0</v>
      </c>
      <c r="E868" s="64" t="s">
        <v>946</v>
      </c>
      <c r="F868" s="63" t="s">
        <v>81</v>
      </c>
      <c r="G868" s="65">
        <v>3</v>
      </c>
      <c r="H868" s="122" t="s">
        <v>558</v>
      </c>
      <c r="I868" s="69"/>
    </row>
    <row r="869" spans="1:9" ht="110.25" x14ac:dyDescent="0.25">
      <c r="A869" s="63">
        <v>26</v>
      </c>
      <c r="B869" s="63" t="s">
        <v>50</v>
      </c>
      <c r="C869" s="63">
        <v>3</v>
      </c>
      <c r="D869" s="64" t="s">
        <v>0</v>
      </c>
      <c r="E869" s="64" t="s">
        <v>947</v>
      </c>
      <c r="F869" s="63" t="s">
        <v>81</v>
      </c>
      <c r="G869" s="65">
        <v>31</v>
      </c>
      <c r="H869" s="122" t="s">
        <v>557</v>
      </c>
      <c r="I869" s="69"/>
    </row>
    <row r="870" spans="1:9" ht="110.25" x14ac:dyDescent="0.25">
      <c r="A870" s="63">
        <v>26</v>
      </c>
      <c r="B870" s="63" t="s">
        <v>50</v>
      </c>
      <c r="C870" s="63">
        <v>3</v>
      </c>
      <c r="D870" s="64" t="s">
        <v>0</v>
      </c>
      <c r="E870" s="64" t="s">
        <v>948</v>
      </c>
      <c r="F870" s="63" t="s">
        <v>81</v>
      </c>
      <c r="G870" s="65">
        <v>177</v>
      </c>
      <c r="H870" s="122" t="s">
        <v>557</v>
      </c>
      <c r="I870" s="69"/>
    </row>
    <row r="871" spans="1:9" ht="126" x14ac:dyDescent="0.25">
      <c r="A871" s="63">
        <v>26</v>
      </c>
      <c r="B871" s="63" t="s">
        <v>50</v>
      </c>
      <c r="C871" s="63">
        <v>3</v>
      </c>
      <c r="D871" s="64" t="s">
        <v>559</v>
      </c>
      <c r="E871" s="64" t="s">
        <v>949</v>
      </c>
      <c r="F871" s="63" t="s">
        <v>81</v>
      </c>
      <c r="G871" s="65">
        <v>2</v>
      </c>
      <c r="H871" s="122" t="s">
        <v>351</v>
      </c>
      <c r="I871" s="69"/>
    </row>
    <row r="872" spans="1:9" ht="126" x14ac:dyDescent="0.25">
      <c r="A872" s="63">
        <v>26</v>
      </c>
      <c r="B872" s="63" t="s">
        <v>50</v>
      </c>
      <c r="C872" s="63">
        <v>3</v>
      </c>
      <c r="D872" s="64" t="s">
        <v>559</v>
      </c>
      <c r="E872" s="64" t="s">
        <v>950</v>
      </c>
      <c r="F872" s="63" t="s">
        <v>69</v>
      </c>
      <c r="G872" s="65">
        <v>4</v>
      </c>
      <c r="H872" s="122" t="s">
        <v>351</v>
      </c>
      <c r="I872" s="69"/>
    </row>
    <row r="873" spans="1:9" ht="47.25" x14ac:dyDescent="0.25">
      <c r="A873" s="131">
        <v>26</v>
      </c>
      <c r="B873" s="131" t="s">
        <v>50</v>
      </c>
      <c r="C873" s="131">
        <v>3</v>
      </c>
      <c r="D873" s="134" t="s">
        <v>142</v>
      </c>
      <c r="E873" s="134" t="s">
        <v>951</v>
      </c>
      <c r="F873" s="131" t="s">
        <v>69</v>
      </c>
      <c r="G873" s="137">
        <v>5</v>
      </c>
      <c r="H873" s="139" t="s">
        <v>952</v>
      </c>
      <c r="I873" s="69"/>
    </row>
    <row r="874" spans="1:9" ht="141.75" x14ac:dyDescent="0.25">
      <c r="A874" s="63">
        <v>26</v>
      </c>
      <c r="B874" s="63" t="s">
        <v>50</v>
      </c>
      <c r="C874" s="63">
        <v>3</v>
      </c>
      <c r="D874" s="64" t="s">
        <v>1</v>
      </c>
      <c r="E874" s="64" t="s">
        <v>953</v>
      </c>
      <c r="F874" s="63" t="s">
        <v>81</v>
      </c>
      <c r="G874" s="65">
        <v>78</v>
      </c>
      <c r="H874" s="122" t="s">
        <v>339</v>
      </c>
      <c r="I874" s="69"/>
    </row>
    <row r="875" spans="1:9" ht="141.75" x14ac:dyDescent="0.25">
      <c r="A875" s="63">
        <v>26</v>
      </c>
      <c r="B875" s="63" t="s">
        <v>50</v>
      </c>
      <c r="C875" s="63">
        <v>3</v>
      </c>
      <c r="D875" s="64" t="s">
        <v>1</v>
      </c>
      <c r="E875" s="64" t="s">
        <v>954</v>
      </c>
      <c r="F875" s="63" t="s">
        <v>81</v>
      </c>
      <c r="G875" s="65">
        <v>87</v>
      </c>
      <c r="H875" s="122" t="s">
        <v>339</v>
      </c>
      <c r="I875" s="69"/>
    </row>
    <row r="876" spans="1:9" ht="141.75" x14ac:dyDescent="0.25">
      <c r="A876" s="63">
        <v>26</v>
      </c>
      <c r="B876" s="63" t="s">
        <v>50</v>
      </c>
      <c r="C876" s="63">
        <v>3</v>
      </c>
      <c r="D876" s="64" t="s">
        <v>1</v>
      </c>
      <c r="E876" s="64" t="s">
        <v>955</v>
      </c>
      <c r="F876" s="63" t="s">
        <v>81</v>
      </c>
      <c r="G876" s="65">
        <v>62</v>
      </c>
      <c r="H876" s="122" t="s">
        <v>339</v>
      </c>
      <c r="I876" s="69"/>
    </row>
    <row r="877" spans="1:9" ht="141.75" x14ac:dyDescent="0.25">
      <c r="A877" s="63">
        <v>26</v>
      </c>
      <c r="B877" s="63" t="s">
        <v>50</v>
      </c>
      <c r="C877" s="63">
        <v>3</v>
      </c>
      <c r="D877" s="64" t="s">
        <v>1</v>
      </c>
      <c r="E877" s="64" t="s">
        <v>956</v>
      </c>
      <c r="F877" s="63" t="s">
        <v>81</v>
      </c>
      <c r="G877" s="65">
        <v>15</v>
      </c>
      <c r="H877" s="122" t="s">
        <v>339</v>
      </c>
      <c r="I877" s="69"/>
    </row>
    <row r="878" spans="1:9" ht="141.75" x14ac:dyDescent="0.25">
      <c r="A878" s="63">
        <v>26</v>
      </c>
      <c r="B878" s="63" t="s">
        <v>50</v>
      </c>
      <c r="C878" s="63">
        <v>3</v>
      </c>
      <c r="D878" s="64" t="s">
        <v>1</v>
      </c>
      <c r="E878" s="64" t="s">
        <v>957</v>
      </c>
      <c r="F878" s="63" t="s">
        <v>81</v>
      </c>
      <c r="G878" s="65">
        <v>167</v>
      </c>
      <c r="H878" s="122" t="s">
        <v>339</v>
      </c>
      <c r="I878" s="69"/>
    </row>
    <row r="879" spans="1:9" ht="141.75" x14ac:dyDescent="0.25">
      <c r="A879" s="131">
        <v>26</v>
      </c>
      <c r="B879" s="131" t="s">
        <v>50</v>
      </c>
      <c r="C879" s="131">
        <v>3</v>
      </c>
      <c r="D879" s="134" t="s">
        <v>1</v>
      </c>
      <c r="E879" s="134" t="s">
        <v>958</v>
      </c>
      <c r="F879" s="131" t="s">
        <v>81</v>
      </c>
      <c r="G879" s="137">
        <v>130</v>
      </c>
      <c r="H879" s="139" t="s">
        <v>339</v>
      </c>
      <c r="I879" s="69"/>
    </row>
    <row r="880" spans="1:9" ht="141.75" x14ac:dyDescent="0.25">
      <c r="A880" s="63">
        <v>26</v>
      </c>
      <c r="B880" s="63" t="s">
        <v>50</v>
      </c>
      <c r="C880" s="63">
        <v>3</v>
      </c>
      <c r="D880" s="64" t="s">
        <v>1</v>
      </c>
      <c r="E880" s="64" t="s">
        <v>959</v>
      </c>
      <c r="F880" s="63" t="s">
        <v>81</v>
      </c>
      <c r="G880" s="65">
        <v>61</v>
      </c>
      <c r="H880" s="122" t="s">
        <v>339</v>
      </c>
      <c r="I880" s="69"/>
    </row>
    <row r="881" spans="1:9" ht="141.75" x14ac:dyDescent="0.25">
      <c r="A881" s="63">
        <v>26</v>
      </c>
      <c r="B881" s="63" t="s">
        <v>50</v>
      </c>
      <c r="C881" s="63">
        <v>3</v>
      </c>
      <c r="D881" s="64" t="s">
        <v>1</v>
      </c>
      <c r="E881" s="64" t="s">
        <v>960</v>
      </c>
      <c r="F881" s="63" t="s">
        <v>81</v>
      </c>
      <c r="G881" s="65">
        <v>56</v>
      </c>
      <c r="H881" s="122" t="s">
        <v>339</v>
      </c>
      <c r="I881" s="69"/>
    </row>
    <row r="882" spans="1:9" ht="141.75" x14ac:dyDescent="0.25">
      <c r="A882" s="63">
        <v>26</v>
      </c>
      <c r="B882" s="63" t="s">
        <v>50</v>
      </c>
      <c r="C882" s="63">
        <v>3</v>
      </c>
      <c r="D882" s="64" t="s">
        <v>1</v>
      </c>
      <c r="E882" s="64" t="s">
        <v>961</v>
      </c>
      <c r="F882" s="63" t="s">
        <v>69</v>
      </c>
      <c r="G882" s="65">
        <v>16</v>
      </c>
      <c r="H882" s="122" t="s">
        <v>339</v>
      </c>
      <c r="I882" s="69"/>
    </row>
    <row r="883" spans="1:9" ht="78.75" x14ac:dyDescent="0.25">
      <c r="A883" s="63">
        <v>26</v>
      </c>
      <c r="B883" s="63" t="s">
        <v>50</v>
      </c>
      <c r="C883" s="63">
        <v>3</v>
      </c>
      <c r="D883" s="64" t="s">
        <v>393</v>
      </c>
      <c r="E883" s="64" t="s">
        <v>962</v>
      </c>
      <c r="F883" s="63" t="s">
        <v>81</v>
      </c>
      <c r="G883" s="65">
        <v>14</v>
      </c>
      <c r="H883" s="122" t="s">
        <v>356</v>
      </c>
      <c r="I883" s="69"/>
    </row>
    <row r="884" spans="1:9" ht="94.5" x14ac:dyDescent="0.25">
      <c r="A884" s="63">
        <v>26</v>
      </c>
      <c r="B884" s="63" t="s">
        <v>50</v>
      </c>
      <c r="C884" s="63">
        <v>3</v>
      </c>
      <c r="D884" s="64" t="s">
        <v>393</v>
      </c>
      <c r="E884" s="64" t="s">
        <v>554</v>
      </c>
      <c r="F884" s="63" t="s">
        <v>69</v>
      </c>
      <c r="G884" s="65">
        <v>9</v>
      </c>
      <c r="H884" s="122" t="s">
        <v>354</v>
      </c>
      <c r="I884" s="69"/>
    </row>
    <row r="885" spans="1:9" ht="78.75" x14ac:dyDescent="0.25">
      <c r="A885" s="63">
        <v>26</v>
      </c>
      <c r="B885" s="63" t="s">
        <v>50</v>
      </c>
      <c r="C885" s="63">
        <v>3</v>
      </c>
      <c r="D885" s="64" t="s">
        <v>393</v>
      </c>
      <c r="E885" s="64" t="s">
        <v>963</v>
      </c>
      <c r="F885" s="63" t="s">
        <v>81</v>
      </c>
      <c r="G885" s="65">
        <v>8</v>
      </c>
      <c r="H885" s="122" t="s">
        <v>356</v>
      </c>
      <c r="I885" s="69"/>
    </row>
    <row r="886" spans="1:9" ht="78.75" x14ac:dyDescent="0.25">
      <c r="A886" s="63">
        <v>26</v>
      </c>
      <c r="B886" s="63" t="s">
        <v>50</v>
      </c>
      <c r="C886" s="63">
        <v>3</v>
      </c>
      <c r="D886" s="64" t="s">
        <v>393</v>
      </c>
      <c r="E886" s="64" t="s">
        <v>964</v>
      </c>
      <c r="F886" s="63" t="s">
        <v>81</v>
      </c>
      <c r="G886" s="65">
        <v>74</v>
      </c>
      <c r="H886" s="122" t="s">
        <v>356</v>
      </c>
      <c r="I886" s="69"/>
    </row>
    <row r="887" spans="1:9" ht="78.75" x14ac:dyDescent="0.25">
      <c r="A887" s="131">
        <v>26</v>
      </c>
      <c r="B887" s="131" t="s">
        <v>50</v>
      </c>
      <c r="C887" s="131">
        <v>3</v>
      </c>
      <c r="D887" s="134" t="s">
        <v>393</v>
      </c>
      <c r="E887" s="134" t="s">
        <v>965</v>
      </c>
      <c r="F887" s="131" t="s">
        <v>81</v>
      </c>
      <c r="G887" s="137">
        <v>40</v>
      </c>
      <c r="H887" s="139" t="s">
        <v>356</v>
      </c>
      <c r="I887" s="69"/>
    </row>
    <row r="888" spans="1:9" ht="78.75" x14ac:dyDescent="0.25">
      <c r="A888" s="63">
        <v>26</v>
      </c>
      <c r="B888" s="63" t="s">
        <v>50</v>
      </c>
      <c r="C888" s="63">
        <v>3</v>
      </c>
      <c r="D888" s="64" t="s">
        <v>393</v>
      </c>
      <c r="E888" s="64" t="s">
        <v>966</v>
      </c>
      <c r="F888" s="63" t="s">
        <v>81</v>
      </c>
      <c r="G888" s="65">
        <v>46</v>
      </c>
      <c r="H888" s="122" t="s">
        <v>356</v>
      </c>
      <c r="I888" s="69"/>
    </row>
    <row r="889" spans="1:9" ht="78.75" x14ac:dyDescent="0.25">
      <c r="A889" s="63">
        <v>26</v>
      </c>
      <c r="B889" s="63" t="s">
        <v>50</v>
      </c>
      <c r="C889" s="63">
        <v>3</v>
      </c>
      <c r="D889" s="64" t="s">
        <v>393</v>
      </c>
      <c r="E889" s="64" t="s">
        <v>967</v>
      </c>
      <c r="F889" s="63" t="s">
        <v>81</v>
      </c>
      <c r="G889" s="65">
        <v>15</v>
      </c>
      <c r="H889" s="122" t="s">
        <v>356</v>
      </c>
      <c r="I889" s="56"/>
    </row>
    <row r="890" spans="1:9" ht="141.75" x14ac:dyDescent="0.25">
      <c r="A890" s="45">
        <v>26</v>
      </c>
      <c r="B890" s="45" t="s">
        <v>50</v>
      </c>
      <c r="C890" s="45">
        <v>4</v>
      </c>
      <c r="D890" s="50" t="s">
        <v>1</v>
      </c>
      <c r="E890" s="50" t="s">
        <v>1410</v>
      </c>
      <c r="F890" s="45" t="s">
        <v>81</v>
      </c>
      <c r="G890" s="54">
        <v>39</v>
      </c>
      <c r="H890" s="123" t="s">
        <v>339</v>
      </c>
      <c r="I890" s="69"/>
    </row>
    <row r="891" spans="1:9" ht="141.75" x14ac:dyDescent="0.25">
      <c r="A891" s="45">
        <v>26</v>
      </c>
      <c r="B891" s="45" t="s">
        <v>50</v>
      </c>
      <c r="C891" s="45">
        <v>4</v>
      </c>
      <c r="D891" s="120" t="s">
        <v>1</v>
      </c>
      <c r="E891" s="120" t="s">
        <v>1411</v>
      </c>
      <c r="F891" s="119" t="s">
        <v>81</v>
      </c>
      <c r="G891" s="121">
        <v>42</v>
      </c>
      <c r="H891" s="124" t="s">
        <v>339</v>
      </c>
      <c r="I891" s="69"/>
    </row>
    <row r="892" spans="1:9" ht="141.75" x14ac:dyDescent="0.25">
      <c r="A892" s="45">
        <v>26</v>
      </c>
      <c r="B892" s="45" t="s">
        <v>50</v>
      </c>
      <c r="C892" s="45">
        <v>4</v>
      </c>
      <c r="D892" s="120" t="s">
        <v>1</v>
      </c>
      <c r="E892" s="120" t="s">
        <v>1412</v>
      </c>
      <c r="F892" s="119" t="s">
        <v>81</v>
      </c>
      <c r="G892" s="121">
        <v>156</v>
      </c>
      <c r="H892" s="124" t="s">
        <v>339</v>
      </c>
      <c r="I892" s="69"/>
    </row>
    <row r="893" spans="1:9" ht="141.75" x14ac:dyDescent="0.25">
      <c r="A893" s="45">
        <v>26</v>
      </c>
      <c r="B893" s="45" t="s">
        <v>50</v>
      </c>
      <c r="C893" s="45">
        <v>4</v>
      </c>
      <c r="D893" s="120" t="s">
        <v>1</v>
      </c>
      <c r="E893" s="120" t="s">
        <v>1413</v>
      </c>
      <c r="F893" s="119" t="s">
        <v>69</v>
      </c>
      <c r="G893" s="121">
        <v>16</v>
      </c>
      <c r="H893" s="124" t="s">
        <v>339</v>
      </c>
      <c r="I893" s="69"/>
    </row>
    <row r="894" spans="1:9" ht="141.75" x14ac:dyDescent="0.25">
      <c r="A894" s="45">
        <v>26</v>
      </c>
      <c r="B894" s="45" t="s">
        <v>50</v>
      </c>
      <c r="C894" s="45">
        <v>4</v>
      </c>
      <c r="D894" s="120" t="s">
        <v>1</v>
      </c>
      <c r="E894" s="120" t="s">
        <v>1414</v>
      </c>
      <c r="F894" s="119" t="s">
        <v>69</v>
      </c>
      <c r="G894" s="121">
        <v>58</v>
      </c>
      <c r="H894" s="124" t="s">
        <v>339</v>
      </c>
      <c r="I894" s="69"/>
    </row>
    <row r="895" spans="1:9" ht="141.75" x14ac:dyDescent="0.25">
      <c r="A895" s="45">
        <v>26</v>
      </c>
      <c r="B895" s="45" t="s">
        <v>50</v>
      </c>
      <c r="C895" s="45">
        <v>4</v>
      </c>
      <c r="D895" s="120" t="s">
        <v>1</v>
      </c>
      <c r="E895" s="120" t="s">
        <v>1415</v>
      </c>
      <c r="F895" s="119" t="s">
        <v>81</v>
      </c>
      <c r="G895" s="121">
        <v>39</v>
      </c>
      <c r="H895" s="124" t="s">
        <v>339</v>
      </c>
      <c r="I895" s="69"/>
    </row>
    <row r="896" spans="1:9" ht="141.75" x14ac:dyDescent="0.25">
      <c r="A896" s="45">
        <v>26</v>
      </c>
      <c r="B896" s="45" t="s">
        <v>50</v>
      </c>
      <c r="C896" s="45">
        <v>4</v>
      </c>
      <c r="D896" s="120" t="s">
        <v>1</v>
      </c>
      <c r="E896" s="120" t="s">
        <v>1416</v>
      </c>
      <c r="F896" s="119" t="s">
        <v>69</v>
      </c>
      <c r="G896" s="121">
        <v>15</v>
      </c>
      <c r="H896" s="124" t="s">
        <v>339</v>
      </c>
      <c r="I896" s="69"/>
    </row>
    <row r="897" spans="1:9" ht="141.75" x14ac:dyDescent="0.25">
      <c r="A897" s="45">
        <v>26</v>
      </c>
      <c r="B897" s="45" t="s">
        <v>50</v>
      </c>
      <c r="C897" s="45">
        <v>4</v>
      </c>
      <c r="D897" s="120" t="s">
        <v>1</v>
      </c>
      <c r="E897" s="120" t="s">
        <v>1417</v>
      </c>
      <c r="F897" s="119" t="s">
        <v>81</v>
      </c>
      <c r="G897" s="121">
        <v>16</v>
      </c>
      <c r="H897" s="124" t="s">
        <v>339</v>
      </c>
      <c r="I897" s="69"/>
    </row>
    <row r="898" spans="1:9" ht="141.75" x14ac:dyDescent="0.25">
      <c r="A898" s="45">
        <v>26</v>
      </c>
      <c r="B898" s="45" t="s">
        <v>50</v>
      </c>
      <c r="C898" s="45">
        <v>4</v>
      </c>
      <c r="D898" s="120" t="s">
        <v>1</v>
      </c>
      <c r="E898" s="120" t="s">
        <v>1418</v>
      </c>
      <c r="F898" s="119" t="s">
        <v>81</v>
      </c>
      <c r="G898" s="121">
        <v>31</v>
      </c>
      <c r="H898" s="124" t="s">
        <v>339</v>
      </c>
      <c r="I898" s="69"/>
    </row>
    <row r="899" spans="1:9" ht="78.75" x14ac:dyDescent="0.25">
      <c r="A899" s="45">
        <v>26</v>
      </c>
      <c r="B899" s="45" t="s">
        <v>50</v>
      </c>
      <c r="C899" s="45">
        <v>4</v>
      </c>
      <c r="D899" s="120" t="s">
        <v>393</v>
      </c>
      <c r="E899" s="120" t="s">
        <v>1535</v>
      </c>
      <c r="F899" s="119" t="s">
        <v>81</v>
      </c>
      <c r="G899" s="121">
        <v>54</v>
      </c>
      <c r="H899" s="124" t="s">
        <v>356</v>
      </c>
      <c r="I899" s="69"/>
    </row>
    <row r="900" spans="1:9" ht="78.75" x14ac:dyDescent="0.25">
      <c r="A900" s="45">
        <v>26</v>
      </c>
      <c r="B900" s="45" t="s">
        <v>50</v>
      </c>
      <c r="C900" s="45">
        <v>4</v>
      </c>
      <c r="D900" s="120" t="s">
        <v>393</v>
      </c>
      <c r="E900" s="120" t="s">
        <v>1419</v>
      </c>
      <c r="F900" s="119" t="s">
        <v>81</v>
      </c>
      <c r="G900" s="121">
        <v>2</v>
      </c>
      <c r="H900" s="124" t="s">
        <v>356</v>
      </c>
      <c r="I900" s="69"/>
    </row>
    <row r="901" spans="1:9" ht="94.5" x14ac:dyDescent="0.25">
      <c r="A901" s="45">
        <v>26</v>
      </c>
      <c r="B901" s="45" t="s">
        <v>50</v>
      </c>
      <c r="C901" s="45">
        <v>4</v>
      </c>
      <c r="D901" s="120" t="s">
        <v>393</v>
      </c>
      <c r="E901" s="120" t="s">
        <v>554</v>
      </c>
      <c r="F901" s="119" t="s">
        <v>69</v>
      </c>
      <c r="G901" s="121">
        <v>9</v>
      </c>
      <c r="H901" s="124" t="s">
        <v>354</v>
      </c>
      <c r="I901" s="69"/>
    </row>
    <row r="902" spans="1:9" ht="110.25" x14ac:dyDescent="0.25">
      <c r="A902" s="45">
        <v>26</v>
      </c>
      <c r="B902" s="45" t="s">
        <v>50</v>
      </c>
      <c r="C902" s="45">
        <v>4</v>
      </c>
      <c r="D902" s="120" t="s">
        <v>0</v>
      </c>
      <c r="E902" s="120" t="s">
        <v>1420</v>
      </c>
      <c r="F902" s="119" t="s">
        <v>81</v>
      </c>
      <c r="G902" s="121">
        <v>88</v>
      </c>
      <c r="H902" s="124" t="s">
        <v>557</v>
      </c>
      <c r="I902" s="69"/>
    </row>
    <row r="903" spans="1:9" ht="94.5" x14ac:dyDescent="0.25">
      <c r="A903" s="45">
        <v>26</v>
      </c>
      <c r="B903" s="45" t="s">
        <v>50</v>
      </c>
      <c r="C903" s="45">
        <v>4</v>
      </c>
      <c r="D903" s="120" t="s">
        <v>142</v>
      </c>
      <c r="E903" s="120" t="s">
        <v>1421</v>
      </c>
      <c r="F903" s="119" t="s">
        <v>69</v>
      </c>
      <c r="G903" s="121">
        <v>9</v>
      </c>
      <c r="H903" s="124" t="s">
        <v>1422</v>
      </c>
      <c r="I903" s="69"/>
    </row>
    <row r="904" spans="1:9" ht="126" x14ac:dyDescent="0.25">
      <c r="A904" s="45">
        <v>26</v>
      </c>
      <c r="B904" s="45" t="s">
        <v>50</v>
      </c>
      <c r="C904" s="45">
        <v>4</v>
      </c>
      <c r="D904" s="120" t="s">
        <v>1</v>
      </c>
      <c r="E904" s="120" t="s">
        <v>1423</v>
      </c>
      <c r="F904" s="119" t="s">
        <v>81</v>
      </c>
      <c r="G904" s="121">
        <v>31</v>
      </c>
      <c r="H904" s="124" t="s">
        <v>351</v>
      </c>
      <c r="I904" s="69"/>
    </row>
    <row r="905" spans="1:9" ht="126" x14ac:dyDescent="0.25">
      <c r="A905" s="45">
        <v>26</v>
      </c>
      <c r="B905" s="45" t="s">
        <v>50</v>
      </c>
      <c r="C905" s="45">
        <v>4</v>
      </c>
      <c r="D905" s="120" t="s">
        <v>559</v>
      </c>
      <c r="E905" s="120" t="s">
        <v>950</v>
      </c>
      <c r="F905" s="119" t="s">
        <v>81</v>
      </c>
      <c r="G905" s="121">
        <v>4</v>
      </c>
      <c r="H905" s="124" t="s">
        <v>351</v>
      </c>
      <c r="I905" s="69"/>
    </row>
    <row r="906" spans="1:9" ht="126" x14ac:dyDescent="0.25">
      <c r="A906" s="119">
        <v>26</v>
      </c>
      <c r="B906" s="119" t="s">
        <v>50</v>
      </c>
      <c r="C906" s="119">
        <v>4</v>
      </c>
      <c r="D906" s="120" t="s">
        <v>1</v>
      </c>
      <c r="E906" s="120" t="s">
        <v>1536</v>
      </c>
      <c r="F906" s="119" t="s">
        <v>81</v>
      </c>
      <c r="G906" s="121">
        <v>53</v>
      </c>
      <c r="H906" s="124" t="s">
        <v>351</v>
      </c>
      <c r="I906" s="69"/>
    </row>
    <row r="907" spans="1:9" x14ac:dyDescent="0.25">
      <c r="A907" s="14">
        <v>27</v>
      </c>
      <c r="B907" s="14" t="s">
        <v>51</v>
      </c>
      <c r="C907" s="14">
        <v>1</v>
      </c>
      <c r="D907" s="19" t="s">
        <v>0</v>
      </c>
      <c r="E907" s="19" t="s">
        <v>359</v>
      </c>
      <c r="F907" s="14" t="s">
        <v>69</v>
      </c>
      <c r="G907" s="20">
        <v>1</v>
      </c>
      <c r="H907" s="108" t="s">
        <v>360</v>
      </c>
      <c r="I907" s="69"/>
    </row>
    <row r="908" spans="1:9" x14ac:dyDescent="0.25">
      <c r="A908" s="14">
        <v>27</v>
      </c>
      <c r="B908" s="14" t="s">
        <v>51</v>
      </c>
      <c r="C908" s="14">
        <v>1</v>
      </c>
      <c r="D908" s="19" t="s">
        <v>1</v>
      </c>
      <c r="E908" s="19" t="s">
        <v>357</v>
      </c>
      <c r="F908" s="14" t="s">
        <v>81</v>
      </c>
      <c r="G908" s="20">
        <v>1</v>
      </c>
      <c r="H908" s="108" t="s">
        <v>358</v>
      </c>
      <c r="I908" s="69"/>
    </row>
    <row r="909" spans="1:9" x14ac:dyDescent="0.25">
      <c r="A909" s="32">
        <v>27</v>
      </c>
      <c r="B909" s="32" t="s">
        <v>51</v>
      </c>
      <c r="C909" s="32">
        <v>2</v>
      </c>
      <c r="D909" s="38" t="s">
        <v>4</v>
      </c>
      <c r="E909" s="38" t="s">
        <v>673</v>
      </c>
      <c r="F909" s="32" t="s">
        <v>69</v>
      </c>
      <c r="G909" s="42">
        <v>15</v>
      </c>
      <c r="H909" s="107" t="s">
        <v>674</v>
      </c>
      <c r="I909" s="69"/>
    </row>
    <row r="910" spans="1:9" x14ac:dyDescent="0.25">
      <c r="A910" s="32">
        <v>27</v>
      </c>
      <c r="B910" s="32" t="s">
        <v>51</v>
      </c>
      <c r="C910" s="32">
        <v>2</v>
      </c>
      <c r="D910" s="38" t="s">
        <v>137</v>
      </c>
      <c r="E910" s="38" t="s">
        <v>669</v>
      </c>
      <c r="F910" s="32" t="s">
        <v>81</v>
      </c>
      <c r="G910" s="42">
        <v>65</v>
      </c>
      <c r="H910" s="107" t="s">
        <v>670</v>
      </c>
      <c r="I910" s="69"/>
    </row>
    <row r="911" spans="1:9" ht="31.5" x14ac:dyDescent="0.25">
      <c r="A911" s="32">
        <v>27</v>
      </c>
      <c r="B911" s="32" t="s">
        <v>51</v>
      </c>
      <c r="C911" s="32">
        <v>2</v>
      </c>
      <c r="D911" s="38" t="s">
        <v>1</v>
      </c>
      <c r="E911" s="38" t="s">
        <v>681</v>
      </c>
      <c r="F911" s="32" t="s">
        <v>81</v>
      </c>
      <c r="G911" s="42">
        <v>85</v>
      </c>
      <c r="H911" s="107" t="s">
        <v>663</v>
      </c>
      <c r="I911" s="69"/>
    </row>
    <row r="912" spans="1:9" x14ac:dyDescent="0.25">
      <c r="A912" s="32">
        <v>27</v>
      </c>
      <c r="B912" s="32" t="s">
        <v>51</v>
      </c>
      <c r="C912" s="32">
        <v>2</v>
      </c>
      <c r="D912" s="38" t="s">
        <v>1</v>
      </c>
      <c r="E912" s="38" t="s">
        <v>664</v>
      </c>
      <c r="F912" s="32" t="s">
        <v>81</v>
      </c>
      <c r="G912" s="42">
        <v>56</v>
      </c>
      <c r="H912" s="107" t="s">
        <v>665</v>
      </c>
      <c r="I912" s="69"/>
    </row>
    <row r="913" spans="1:9" x14ac:dyDescent="0.25">
      <c r="A913" s="32">
        <v>27</v>
      </c>
      <c r="B913" s="32" t="s">
        <v>51</v>
      </c>
      <c r="C913" s="32">
        <v>2</v>
      </c>
      <c r="D913" s="38" t="s">
        <v>1</v>
      </c>
      <c r="E913" s="38" t="s">
        <v>682</v>
      </c>
      <c r="F913" s="32" t="s">
        <v>81</v>
      </c>
      <c r="G913" s="42">
        <v>55</v>
      </c>
      <c r="H913" s="107" t="s">
        <v>666</v>
      </c>
      <c r="I913" s="69"/>
    </row>
    <row r="914" spans="1:9" ht="31.5" x14ac:dyDescent="0.25">
      <c r="A914" s="32">
        <v>27</v>
      </c>
      <c r="B914" s="32" t="s">
        <v>51</v>
      </c>
      <c r="C914" s="32">
        <v>2</v>
      </c>
      <c r="D914" s="38" t="s">
        <v>1</v>
      </c>
      <c r="E914" s="38" t="s">
        <v>667</v>
      </c>
      <c r="F914" s="32" t="s">
        <v>81</v>
      </c>
      <c r="G914" s="42">
        <v>30</v>
      </c>
      <c r="H914" s="107" t="s">
        <v>668</v>
      </c>
      <c r="I914" s="69"/>
    </row>
    <row r="915" spans="1:9" x14ac:dyDescent="0.25">
      <c r="A915" s="32">
        <v>27</v>
      </c>
      <c r="B915" s="32" t="s">
        <v>51</v>
      </c>
      <c r="C915" s="32">
        <v>2</v>
      </c>
      <c r="D915" s="38" t="s">
        <v>1</v>
      </c>
      <c r="E915" s="38" t="s">
        <v>671</v>
      </c>
      <c r="F915" s="32" t="s">
        <v>81</v>
      </c>
      <c r="G915" s="42">
        <v>89</v>
      </c>
      <c r="H915" s="107" t="s">
        <v>672</v>
      </c>
      <c r="I915" s="69"/>
    </row>
    <row r="916" spans="1:9" ht="31.5" x14ac:dyDescent="0.25">
      <c r="A916" s="32">
        <v>27</v>
      </c>
      <c r="B916" s="32" t="s">
        <v>51</v>
      </c>
      <c r="C916" s="32">
        <v>2</v>
      </c>
      <c r="D916" s="38" t="s">
        <v>1</v>
      </c>
      <c r="E916" s="33" t="s">
        <v>675</v>
      </c>
      <c r="F916" s="32" t="s">
        <v>69</v>
      </c>
      <c r="G916" s="42">
        <v>52</v>
      </c>
      <c r="H916" s="107" t="s">
        <v>676</v>
      </c>
      <c r="I916" s="69"/>
    </row>
    <row r="917" spans="1:9" x14ac:dyDescent="0.25">
      <c r="A917" s="63">
        <v>27</v>
      </c>
      <c r="B917" s="63" t="s">
        <v>51</v>
      </c>
      <c r="C917" s="63">
        <v>3</v>
      </c>
      <c r="D917" s="64" t="s">
        <v>1</v>
      </c>
      <c r="E917" s="64" t="s">
        <v>1475</v>
      </c>
      <c r="F917" s="63" t="s">
        <v>69</v>
      </c>
      <c r="G917" s="65">
        <v>25</v>
      </c>
      <c r="H917" s="122" t="s">
        <v>1476</v>
      </c>
      <c r="I917" s="69"/>
    </row>
    <row r="918" spans="1:9" x14ac:dyDescent="0.25">
      <c r="A918" s="45">
        <v>27</v>
      </c>
      <c r="B918" s="45" t="s">
        <v>51</v>
      </c>
      <c r="C918" s="45">
        <v>4</v>
      </c>
      <c r="D918" s="50" t="s">
        <v>4</v>
      </c>
      <c r="E918" s="50" t="s">
        <v>673</v>
      </c>
      <c r="F918" s="45" t="s">
        <v>69</v>
      </c>
      <c r="G918" s="54" t="s">
        <v>1424</v>
      </c>
      <c r="H918" s="123" t="s">
        <v>674</v>
      </c>
      <c r="I918" s="69"/>
    </row>
    <row r="919" spans="1:9" x14ac:dyDescent="0.25">
      <c r="A919" s="45">
        <v>27</v>
      </c>
      <c r="B919" s="45" t="s">
        <v>51</v>
      </c>
      <c r="C919" s="45">
        <v>4</v>
      </c>
      <c r="D919" s="50" t="s">
        <v>137</v>
      </c>
      <c r="E919" s="50" t="s">
        <v>669</v>
      </c>
      <c r="F919" s="45" t="s">
        <v>81</v>
      </c>
      <c r="G919" s="54" t="s">
        <v>1425</v>
      </c>
      <c r="H919" s="123" t="s">
        <v>1426</v>
      </c>
      <c r="I919" s="69"/>
    </row>
    <row r="920" spans="1:9" x14ac:dyDescent="0.25">
      <c r="A920" s="45">
        <v>27</v>
      </c>
      <c r="B920" s="45" t="s">
        <v>51</v>
      </c>
      <c r="C920" s="45">
        <v>4</v>
      </c>
      <c r="D920" s="50" t="s">
        <v>559</v>
      </c>
      <c r="E920" s="50" t="s">
        <v>1477</v>
      </c>
      <c r="F920" s="45" t="s">
        <v>81</v>
      </c>
      <c r="G920" s="54" t="s">
        <v>1316</v>
      </c>
      <c r="H920" s="123" t="s">
        <v>1427</v>
      </c>
      <c r="I920" s="69"/>
    </row>
    <row r="921" spans="1:9" x14ac:dyDescent="0.25">
      <c r="A921" s="45">
        <v>27</v>
      </c>
      <c r="B921" s="45" t="s">
        <v>51</v>
      </c>
      <c r="C921" s="45">
        <v>4</v>
      </c>
      <c r="D921" s="50" t="s">
        <v>1</v>
      </c>
      <c r="E921" s="50" t="s">
        <v>1428</v>
      </c>
      <c r="F921" s="45" t="s">
        <v>81</v>
      </c>
      <c r="G921" s="54" t="s">
        <v>1429</v>
      </c>
      <c r="H921" s="123" t="s">
        <v>1430</v>
      </c>
      <c r="I921" s="69"/>
    </row>
    <row r="922" spans="1:9" x14ac:dyDescent="0.25">
      <c r="A922" s="45">
        <v>27</v>
      </c>
      <c r="B922" s="45" t="s">
        <v>51</v>
      </c>
      <c r="C922" s="45">
        <v>4</v>
      </c>
      <c r="D922" s="50" t="s">
        <v>1431</v>
      </c>
      <c r="E922" s="50" t="s">
        <v>1432</v>
      </c>
      <c r="F922" s="45" t="s">
        <v>69</v>
      </c>
      <c r="G922" s="54" t="s">
        <v>1433</v>
      </c>
      <c r="H922" s="123" t="s">
        <v>1434</v>
      </c>
      <c r="I922" s="69"/>
    </row>
    <row r="923" spans="1:9" ht="31.5" x14ac:dyDescent="0.25">
      <c r="A923" s="119">
        <v>27</v>
      </c>
      <c r="B923" s="119" t="s">
        <v>51</v>
      </c>
      <c r="C923" s="119">
        <v>4</v>
      </c>
      <c r="D923" s="120" t="s">
        <v>1431</v>
      </c>
      <c r="E923" s="120" t="s">
        <v>1435</v>
      </c>
      <c r="F923" s="119" t="s">
        <v>81</v>
      </c>
      <c r="G923" s="121" t="s">
        <v>1316</v>
      </c>
      <c r="H923" s="124" t="s">
        <v>1478</v>
      </c>
      <c r="I923" s="69"/>
    </row>
    <row r="924" spans="1:9" ht="31.5" x14ac:dyDescent="0.25">
      <c r="A924" s="45">
        <v>27</v>
      </c>
      <c r="B924" s="45" t="s">
        <v>51</v>
      </c>
      <c r="C924" s="45">
        <v>4</v>
      </c>
      <c r="D924" s="50" t="s">
        <v>1431</v>
      </c>
      <c r="E924" s="50" t="s">
        <v>1436</v>
      </c>
      <c r="F924" s="45" t="s">
        <v>81</v>
      </c>
      <c r="G924" s="54">
        <v>1</v>
      </c>
      <c r="H924" s="123" t="s">
        <v>1437</v>
      </c>
      <c r="I924" s="69"/>
    </row>
    <row r="925" spans="1:9" ht="63" x14ac:dyDescent="0.25">
      <c r="A925" s="14">
        <v>28</v>
      </c>
      <c r="B925" s="14" t="s">
        <v>52</v>
      </c>
      <c r="C925" s="14">
        <v>1</v>
      </c>
      <c r="D925" s="19" t="s">
        <v>4</v>
      </c>
      <c r="E925" s="21" t="s">
        <v>389</v>
      </c>
      <c r="F925" s="14" t="s">
        <v>69</v>
      </c>
      <c r="G925" s="20">
        <v>21</v>
      </c>
      <c r="H925" s="108" t="s">
        <v>390</v>
      </c>
      <c r="I925" s="69"/>
    </row>
    <row r="926" spans="1:9" ht="47.25" x14ac:dyDescent="0.25">
      <c r="A926" s="14">
        <v>28</v>
      </c>
      <c r="B926" s="14" t="s">
        <v>52</v>
      </c>
      <c r="C926" s="14">
        <v>1</v>
      </c>
      <c r="D926" s="19" t="s">
        <v>1</v>
      </c>
      <c r="E926" s="21" t="s">
        <v>367</v>
      </c>
      <c r="F926" s="14" t="s">
        <v>81</v>
      </c>
      <c r="G926" s="20">
        <v>187</v>
      </c>
      <c r="H926" s="108" t="s">
        <v>368</v>
      </c>
      <c r="I926" s="69"/>
    </row>
    <row r="927" spans="1:9" x14ac:dyDescent="0.25">
      <c r="A927" s="14">
        <v>28</v>
      </c>
      <c r="B927" s="14" t="s">
        <v>52</v>
      </c>
      <c r="C927" s="14">
        <v>1</v>
      </c>
      <c r="D927" s="19" t="s">
        <v>1</v>
      </c>
      <c r="E927" s="21" t="s">
        <v>369</v>
      </c>
      <c r="F927" s="14" t="s">
        <v>69</v>
      </c>
      <c r="G927" s="20">
        <v>130</v>
      </c>
      <c r="H927" s="108" t="s">
        <v>370</v>
      </c>
      <c r="I927" s="69"/>
    </row>
    <row r="928" spans="1:9" x14ac:dyDescent="0.25">
      <c r="A928" s="14">
        <v>28</v>
      </c>
      <c r="B928" s="14" t="s">
        <v>52</v>
      </c>
      <c r="C928" s="14">
        <v>1</v>
      </c>
      <c r="D928" s="19" t="s">
        <v>1</v>
      </c>
      <c r="E928" s="21" t="s">
        <v>375</v>
      </c>
      <c r="F928" s="14" t="s">
        <v>69</v>
      </c>
      <c r="G928" s="20">
        <v>32</v>
      </c>
      <c r="H928" s="108" t="s">
        <v>376</v>
      </c>
      <c r="I928" s="69"/>
    </row>
    <row r="929" spans="1:9" x14ac:dyDescent="0.25">
      <c r="A929" s="14">
        <v>28</v>
      </c>
      <c r="B929" s="14" t="s">
        <v>52</v>
      </c>
      <c r="C929" s="14">
        <v>1</v>
      </c>
      <c r="D929" s="19" t="s">
        <v>1</v>
      </c>
      <c r="E929" s="21" t="s">
        <v>377</v>
      </c>
      <c r="F929" s="14" t="s">
        <v>69</v>
      </c>
      <c r="G929" s="20">
        <v>40</v>
      </c>
      <c r="H929" s="108" t="s">
        <v>378</v>
      </c>
      <c r="I929" s="69"/>
    </row>
    <row r="930" spans="1:9" x14ac:dyDescent="0.25">
      <c r="A930" s="14">
        <v>28</v>
      </c>
      <c r="B930" s="14" t="s">
        <v>52</v>
      </c>
      <c r="C930" s="14">
        <v>1</v>
      </c>
      <c r="D930" s="19" t="s">
        <v>1</v>
      </c>
      <c r="E930" s="21" t="s">
        <v>379</v>
      </c>
      <c r="F930" s="14" t="s">
        <v>69</v>
      </c>
      <c r="G930" s="20">
        <v>710</v>
      </c>
      <c r="H930" s="108" t="s">
        <v>380</v>
      </c>
      <c r="I930" s="69"/>
    </row>
    <row r="931" spans="1:9" x14ac:dyDescent="0.25">
      <c r="A931" s="14">
        <v>28</v>
      </c>
      <c r="B931" s="14" t="s">
        <v>52</v>
      </c>
      <c r="C931" s="14">
        <v>1</v>
      </c>
      <c r="D931" s="19" t="s">
        <v>1</v>
      </c>
      <c r="E931" s="21" t="s">
        <v>381</v>
      </c>
      <c r="F931" s="14" t="s">
        <v>69</v>
      </c>
      <c r="G931" s="20">
        <v>182</v>
      </c>
      <c r="H931" s="108" t="s">
        <v>382</v>
      </c>
      <c r="I931" s="69"/>
    </row>
    <row r="932" spans="1:9" ht="47.25" x14ac:dyDescent="0.25">
      <c r="A932" s="14">
        <v>28</v>
      </c>
      <c r="B932" s="14" t="s">
        <v>52</v>
      </c>
      <c r="C932" s="14">
        <v>1</v>
      </c>
      <c r="D932" s="61" t="s">
        <v>393</v>
      </c>
      <c r="E932" s="21" t="s">
        <v>385</v>
      </c>
      <c r="F932" s="14" t="s">
        <v>81</v>
      </c>
      <c r="G932" s="20">
        <v>3</v>
      </c>
      <c r="H932" s="108" t="s">
        <v>386</v>
      </c>
      <c r="I932" s="69"/>
    </row>
    <row r="933" spans="1:9" ht="31.5" x14ac:dyDescent="0.25">
      <c r="A933" s="14">
        <v>28</v>
      </c>
      <c r="B933" s="14" t="s">
        <v>52</v>
      </c>
      <c r="C933" s="14">
        <v>1</v>
      </c>
      <c r="D933" s="61" t="s">
        <v>393</v>
      </c>
      <c r="E933" s="21" t="s">
        <v>387</v>
      </c>
      <c r="F933" s="14" t="s">
        <v>81</v>
      </c>
      <c r="G933" s="20">
        <v>2</v>
      </c>
      <c r="H933" s="108" t="s">
        <v>388</v>
      </c>
      <c r="I933" s="69"/>
    </row>
    <row r="934" spans="1:9" ht="63" x14ac:dyDescent="0.25">
      <c r="A934" s="14">
        <v>28</v>
      </c>
      <c r="B934" s="14" t="s">
        <v>52</v>
      </c>
      <c r="C934" s="14">
        <v>1</v>
      </c>
      <c r="D934" s="19" t="s">
        <v>1</v>
      </c>
      <c r="E934" s="21" t="s">
        <v>391</v>
      </c>
      <c r="F934" s="14" t="s">
        <v>69</v>
      </c>
      <c r="G934" s="20">
        <v>30</v>
      </c>
      <c r="H934" s="108" t="s">
        <v>392</v>
      </c>
      <c r="I934" s="69"/>
    </row>
    <row r="935" spans="1:9" ht="31.5" x14ac:dyDescent="0.25">
      <c r="A935" s="14">
        <v>28</v>
      </c>
      <c r="B935" s="14" t="s">
        <v>52</v>
      </c>
      <c r="C935" s="14">
        <v>1</v>
      </c>
      <c r="D935" s="19" t="s">
        <v>83</v>
      </c>
      <c r="E935" s="21" t="s">
        <v>361</v>
      </c>
      <c r="F935" s="14" t="s">
        <v>69</v>
      </c>
      <c r="G935" s="20">
        <v>43</v>
      </c>
      <c r="H935" s="108" t="s">
        <v>362</v>
      </c>
      <c r="I935" s="69"/>
    </row>
    <row r="936" spans="1:9" ht="31.5" x14ac:dyDescent="0.25">
      <c r="A936" s="14">
        <v>28</v>
      </c>
      <c r="B936" s="14" t="s">
        <v>52</v>
      </c>
      <c r="C936" s="14">
        <v>1</v>
      </c>
      <c r="D936" s="19" t="s">
        <v>83</v>
      </c>
      <c r="E936" s="21" t="s">
        <v>363</v>
      </c>
      <c r="F936" s="14" t="s">
        <v>69</v>
      </c>
      <c r="G936" s="20">
        <v>8210</v>
      </c>
      <c r="H936" s="108" t="s">
        <v>364</v>
      </c>
      <c r="I936" s="69"/>
    </row>
    <row r="937" spans="1:9" ht="31.5" x14ac:dyDescent="0.25">
      <c r="A937" s="14">
        <v>28</v>
      </c>
      <c r="B937" s="14" t="s">
        <v>52</v>
      </c>
      <c r="C937" s="14">
        <v>1</v>
      </c>
      <c r="D937" s="19" t="s">
        <v>83</v>
      </c>
      <c r="E937" s="19" t="s">
        <v>365</v>
      </c>
      <c r="F937" s="14" t="s">
        <v>69</v>
      </c>
      <c r="G937" s="20">
        <v>52</v>
      </c>
      <c r="H937" s="108" t="s">
        <v>366</v>
      </c>
      <c r="I937" s="69"/>
    </row>
    <row r="938" spans="1:9" ht="31.5" x14ac:dyDescent="0.25">
      <c r="A938" s="14">
        <v>28</v>
      </c>
      <c r="B938" s="14" t="s">
        <v>52</v>
      </c>
      <c r="C938" s="14">
        <v>1</v>
      </c>
      <c r="D938" s="19" t="s">
        <v>83</v>
      </c>
      <c r="E938" s="19" t="s">
        <v>371</v>
      </c>
      <c r="F938" s="14" t="s">
        <v>69</v>
      </c>
      <c r="G938" s="20">
        <v>76</v>
      </c>
      <c r="H938" s="108" t="s">
        <v>372</v>
      </c>
      <c r="I938" s="69"/>
    </row>
    <row r="939" spans="1:9" ht="47.25" x14ac:dyDescent="0.25">
      <c r="A939" s="14">
        <v>28</v>
      </c>
      <c r="B939" s="14" t="s">
        <v>52</v>
      </c>
      <c r="C939" s="14">
        <v>1</v>
      </c>
      <c r="D939" s="19" t="s">
        <v>83</v>
      </c>
      <c r="E939" s="21" t="s">
        <v>373</v>
      </c>
      <c r="F939" s="14" t="s">
        <v>69</v>
      </c>
      <c r="G939" s="20">
        <v>28</v>
      </c>
      <c r="H939" s="108" t="s">
        <v>374</v>
      </c>
      <c r="I939" s="69"/>
    </row>
    <row r="940" spans="1:9" ht="31.5" x14ac:dyDescent="0.25">
      <c r="A940" s="14">
        <v>28</v>
      </c>
      <c r="B940" s="14" t="s">
        <v>52</v>
      </c>
      <c r="C940" s="14">
        <v>1</v>
      </c>
      <c r="D940" s="19" t="s">
        <v>83</v>
      </c>
      <c r="E940" s="19" t="s">
        <v>383</v>
      </c>
      <c r="F940" s="14" t="s">
        <v>69</v>
      </c>
      <c r="G940" s="20">
        <v>197</v>
      </c>
      <c r="H940" s="108" t="s">
        <v>384</v>
      </c>
      <c r="I940" s="69"/>
    </row>
    <row r="941" spans="1:9" x14ac:dyDescent="0.25">
      <c r="A941" s="32">
        <v>28</v>
      </c>
      <c r="B941" s="32" t="s">
        <v>52</v>
      </c>
      <c r="C941" s="32">
        <v>2</v>
      </c>
      <c r="D941" s="144" t="s">
        <v>393</v>
      </c>
      <c r="E941" s="38" t="s">
        <v>567</v>
      </c>
      <c r="F941" s="32" t="s">
        <v>69</v>
      </c>
      <c r="G941" s="42">
        <v>12</v>
      </c>
      <c r="H941" s="107" t="s">
        <v>568</v>
      </c>
      <c r="I941" s="69"/>
    </row>
    <row r="942" spans="1:9" ht="63" x14ac:dyDescent="0.25">
      <c r="A942" s="63">
        <v>28</v>
      </c>
      <c r="B942" s="63" t="s">
        <v>52</v>
      </c>
      <c r="C942" s="63">
        <v>3</v>
      </c>
      <c r="D942" s="64" t="s">
        <v>4</v>
      </c>
      <c r="E942" s="64" t="s">
        <v>982</v>
      </c>
      <c r="F942" s="63" t="s">
        <v>69</v>
      </c>
      <c r="G942" s="65">
        <v>95</v>
      </c>
      <c r="H942" s="122" t="s">
        <v>390</v>
      </c>
      <c r="I942" s="69"/>
    </row>
    <row r="943" spans="1:9" ht="31.5" x14ac:dyDescent="0.25">
      <c r="A943" s="63">
        <v>28</v>
      </c>
      <c r="B943" s="63" t="s">
        <v>52</v>
      </c>
      <c r="C943" s="63">
        <v>3</v>
      </c>
      <c r="D943" s="64" t="s">
        <v>142</v>
      </c>
      <c r="E943" s="64" t="s">
        <v>1014</v>
      </c>
      <c r="F943" s="63" t="s">
        <v>69</v>
      </c>
      <c r="G943" s="65">
        <v>8</v>
      </c>
      <c r="H943" s="122" t="s">
        <v>983</v>
      </c>
      <c r="I943" s="69"/>
    </row>
    <row r="944" spans="1:9" ht="31.5" x14ac:dyDescent="0.25">
      <c r="A944" s="63">
        <v>28</v>
      </c>
      <c r="B944" s="63" t="s">
        <v>52</v>
      </c>
      <c r="C944" s="63">
        <v>3</v>
      </c>
      <c r="D944" s="64" t="s">
        <v>1</v>
      </c>
      <c r="E944" s="64" t="s">
        <v>968</v>
      </c>
      <c r="F944" s="63" t="s">
        <v>69</v>
      </c>
      <c r="G944" s="65">
        <v>364</v>
      </c>
      <c r="H944" s="122" t="s">
        <v>969</v>
      </c>
      <c r="I944" s="69"/>
    </row>
    <row r="945" spans="1:9" x14ac:dyDescent="0.25">
      <c r="A945" s="131">
        <v>28</v>
      </c>
      <c r="B945" s="131" t="s">
        <v>52</v>
      </c>
      <c r="C945" s="131">
        <v>3</v>
      </c>
      <c r="D945" s="134" t="s">
        <v>1</v>
      </c>
      <c r="E945" s="134" t="s">
        <v>970</v>
      </c>
      <c r="F945" s="131" t="s">
        <v>69</v>
      </c>
      <c r="G945" s="137">
        <v>2435</v>
      </c>
      <c r="H945" s="139" t="s">
        <v>971</v>
      </c>
      <c r="I945" s="69"/>
    </row>
    <row r="946" spans="1:9" x14ac:dyDescent="0.25">
      <c r="A946" s="63">
        <v>28</v>
      </c>
      <c r="B946" s="63" t="s">
        <v>52</v>
      </c>
      <c r="C946" s="63">
        <v>3</v>
      </c>
      <c r="D946" s="64" t="s">
        <v>1</v>
      </c>
      <c r="E946" s="64" t="s">
        <v>978</v>
      </c>
      <c r="F946" s="63" t="s">
        <v>69</v>
      </c>
      <c r="G946" s="65">
        <v>50</v>
      </c>
      <c r="H946" s="122" t="s">
        <v>979</v>
      </c>
      <c r="I946" s="69"/>
    </row>
    <row r="947" spans="1:9" x14ac:dyDescent="0.25">
      <c r="A947" s="63">
        <v>28</v>
      </c>
      <c r="B947" s="63" t="s">
        <v>52</v>
      </c>
      <c r="C947" s="63">
        <v>3</v>
      </c>
      <c r="D947" s="64" t="s">
        <v>1</v>
      </c>
      <c r="E947" s="64" t="s">
        <v>984</v>
      </c>
      <c r="F947" s="63" t="s">
        <v>69</v>
      </c>
      <c r="G947" s="65">
        <v>2279</v>
      </c>
      <c r="H947" s="122" t="s">
        <v>985</v>
      </c>
      <c r="I947" s="56"/>
    </row>
    <row r="948" spans="1:9" ht="31.5" x14ac:dyDescent="0.25">
      <c r="A948" s="63">
        <v>28</v>
      </c>
      <c r="B948" s="63" t="s">
        <v>52</v>
      </c>
      <c r="C948" s="63">
        <v>3</v>
      </c>
      <c r="D948" s="64" t="s">
        <v>393</v>
      </c>
      <c r="E948" s="64" t="s">
        <v>383</v>
      </c>
      <c r="F948" s="63" t="s">
        <v>69</v>
      </c>
      <c r="G948" s="65">
        <v>33</v>
      </c>
      <c r="H948" s="122" t="s">
        <v>972</v>
      </c>
      <c r="I948" s="69"/>
    </row>
    <row r="949" spans="1:9" ht="31.5" x14ac:dyDescent="0.25">
      <c r="A949" s="63">
        <v>28</v>
      </c>
      <c r="B949" s="63" t="s">
        <v>52</v>
      </c>
      <c r="C949" s="63">
        <v>3</v>
      </c>
      <c r="D949" s="64" t="s">
        <v>393</v>
      </c>
      <c r="E949" s="64" t="s">
        <v>973</v>
      </c>
      <c r="F949" s="63" t="s">
        <v>69</v>
      </c>
      <c r="G949" s="65">
        <v>11</v>
      </c>
      <c r="H949" s="122" t="s">
        <v>974</v>
      </c>
      <c r="I949" s="69"/>
    </row>
    <row r="950" spans="1:9" ht="31.5" x14ac:dyDescent="0.25">
      <c r="A950" s="63">
        <v>28</v>
      </c>
      <c r="B950" s="63" t="s">
        <v>52</v>
      </c>
      <c r="C950" s="63">
        <v>3</v>
      </c>
      <c r="D950" s="64" t="s">
        <v>393</v>
      </c>
      <c r="E950" s="64" t="s">
        <v>363</v>
      </c>
      <c r="F950" s="63" t="s">
        <v>69</v>
      </c>
      <c r="G950" s="65">
        <v>20957</v>
      </c>
      <c r="H950" s="122" t="s">
        <v>975</v>
      </c>
      <c r="I950" s="69"/>
    </row>
    <row r="951" spans="1:9" x14ac:dyDescent="0.25">
      <c r="A951" s="63">
        <v>28</v>
      </c>
      <c r="B951" s="63" t="s">
        <v>52</v>
      </c>
      <c r="C951" s="63">
        <v>3</v>
      </c>
      <c r="D951" s="64" t="s">
        <v>393</v>
      </c>
      <c r="E951" s="64" t="s">
        <v>976</v>
      </c>
      <c r="F951" s="63" t="s">
        <v>69</v>
      </c>
      <c r="G951" s="65">
        <v>2423</v>
      </c>
      <c r="H951" s="122" t="s">
        <v>977</v>
      </c>
      <c r="I951" s="69"/>
    </row>
    <row r="952" spans="1:9" x14ac:dyDescent="0.25">
      <c r="A952" s="63">
        <v>28</v>
      </c>
      <c r="B952" s="63" t="s">
        <v>52</v>
      </c>
      <c r="C952" s="63">
        <v>3</v>
      </c>
      <c r="D952" s="64" t="s">
        <v>393</v>
      </c>
      <c r="E952" s="64" t="s">
        <v>980</v>
      </c>
      <c r="F952" s="63" t="s">
        <v>81</v>
      </c>
      <c r="G952" s="65">
        <v>1000</v>
      </c>
      <c r="H952" s="122" t="s">
        <v>981</v>
      </c>
      <c r="I952" s="69"/>
    </row>
    <row r="953" spans="1:9" ht="63" x14ac:dyDescent="0.25">
      <c r="A953" s="45">
        <v>28</v>
      </c>
      <c r="B953" s="45" t="s">
        <v>52</v>
      </c>
      <c r="C953" s="45">
        <v>4</v>
      </c>
      <c r="D953" s="50" t="s">
        <v>1</v>
      </c>
      <c r="E953" s="50" t="s">
        <v>968</v>
      </c>
      <c r="F953" s="45" t="s">
        <v>81</v>
      </c>
      <c r="G953" s="54">
        <v>2254</v>
      </c>
      <c r="H953" s="123" t="s">
        <v>1438</v>
      </c>
      <c r="I953" s="69"/>
    </row>
    <row r="954" spans="1:9" ht="63" x14ac:dyDescent="0.25">
      <c r="A954" s="45">
        <v>28</v>
      </c>
      <c r="B954" s="45" t="s">
        <v>52</v>
      </c>
      <c r="C954" s="45">
        <v>4</v>
      </c>
      <c r="D954" s="50" t="s">
        <v>1</v>
      </c>
      <c r="E954" s="50" t="s">
        <v>1439</v>
      </c>
      <c r="F954" s="45" t="s">
        <v>81</v>
      </c>
      <c r="G954" s="54">
        <v>3647</v>
      </c>
      <c r="H954" s="123" t="s">
        <v>1479</v>
      </c>
      <c r="I954" s="69"/>
    </row>
    <row r="955" spans="1:9" ht="31.5" x14ac:dyDescent="0.25">
      <c r="A955" s="45">
        <v>28</v>
      </c>
      <c r="B955" s="45" t="s">
        <v>52</v>
      </c>
      <c r="C955" s="45">
        <v>4</v>
      </c>
      <c r="D955" s="50" t="s">
        <v>393</v>
      </c>
      <c r="E955" s="50" t="s">
        <v>1440</v>
      </c>
      <c r="F955" s="45" t="s">
        <v>81</v>
      </c>
      <c r="G955" s="54">
        <v>22</v>
      </c>
      <c r="H955" s="123" t="s">
        <v>972</v>
      </c>
      <c r="I955" s="69"/>
    </row>
    <row r="956" spans="1:9" x14ac:dyDescent="0.25">
      <c r="A956" s="45">
        <v>28</v>
      </c>
      <c r="B956" s="45" t="s">
        <v>52</v>
      </c>
      <c r="C956" s="45">
        <v>4</v>
      </c>
      <c r="D956" s="50" t="s">
        <v>393</v>
      </c>
      <c r="E956" s="50" t="s">
        <v>1441</v>
      </c>
      <c r="F956" s="45" t="s">
        <v>81</v>
      </c>
      <c r="G956" s="54">
        <v>83</v>
      </c>
      <c r="H956" s="123" t="s">
        <v>1442</v>
      </c>
      <c r="I956" s="69"/>
    </row>
    <row r="957" spans="1:9" ht="31.5" x14ac:dyDescent="0.25">
      <c r="A957" s="45">
        <v>28</v>
      </c>
      <c r="B957" s="45" t="s">
        <v>52</v>
      </c>
      <c r="C957" s="45">
        <v>4</v>
      </c>
      <c r="D957" s="50" t="s">
        <v>393</v>
      </c>
      <c r="E957" s="50" t="s">
        <v>1443</v>
      </c>
      <c r="F957" s="45" t="s">
        <v>81</v>
      </c>
      <c r="G957" s="54">
        <v>93</v>
      </c>
      <c r="H957" s="123" t="s">
        <v>1444</v>
      </c>
      <c r="I957" s="69"/>
    </row>
    <row r="958" spans="1:9" ht="31.5" x14ac:dyDescent="0.25">
      <c r="A958" s="45">
        <v>28</v>
      </c>
      <c r="B958" s="45" t="s">
        <v>52</v>
      </c>
      <c r="C958" s="45">
        <v>4</v>
      </c>
      <c r="D958" s="50" t="s">
        <v>393</v>
      </c>
      <c r="E958" s="50" t="s">
        <v>1445</v>
      </c>
      <c r="F958" s="45" t="s">
        <v>81</v>
      </c>
      <c r="G958" s="54">
        <v>574</v>
      </c>
      <c r="H958" s="123" t="s">
        <v>1446</v>
      </c>
      <c r="I958" s="69"/>
    </row>
    <row r="959" spans="1:9" ht="31.5" x14ac:dyDescent="0.25">
      <c r="A959" s="45">
        <v>28</v>
      </c>
      <c r="B959" s="45" t="s">
        <v>52</v>
      </c>
      <c r="C959" s="45">
        <v>4</v>
      </c>
      <c r="D959" s="50" t="s">
        <v>393</v>
      </c>
      <c r="E959" s="50" t="s">
        <v>1480</v>
      </c>
      <c r="F959" s="45" t="s">
        <v>81</v>
      </c>
      <c r="G959" s="54">
        <v>1566</v>
      </c>
      <c r="H959" s="123" t="s">
        <v>1481</v>
      </c>
      <c r="I959" s="69"/>
    </row>
    <row r="960" spans="1:9" ht="31.5" x14ac:dyDescent="0.25">
      <c r="A960" s="45">
        <v>28</v>
      </c>
      <c r="B960" s="45" t="s">
        <v>52</v>
      </c>
      <c r="C960" s="45">
        <v>4</v>
      </c>
      <c r="D960" s="50" t="s">
        <v>1</v>
      </c>
      <c r="E960" s="50" t="s">
        <v>1447</v>
      </c>
      <c r="F960" s="45" t="s">
        <v>81</v>
      </c>
      <c r="G960" s="54">
        <v>436</v>
      </c>
      <c r="H960" s="123" t="s">
        <v>1482</v>
      </c>
      <c r="I960" s="69"/>
    </row>
    <row r="961" spans="1:9" x14ac:dyDescent="0.25">
      <c r="A961" s="45">
        <v>28</v>
      </c>
      <c r="B961" s="45" t="s">
        <v>52</v>
      </c>
      <c r="C961" s="45">
        <v>4</v>
      </c>
      <c r="D961" s="50" t="s">
        <v>1</v>
      </c>
      <c r="E961" s="50" t="s">
        <v>1448</v>
      </c>
      <c r="F961" s="45" t="s">
        <v>81</v>
      </c>
      <c r="G961" s="54">
        <v>250</v>
      </c>
      <c r="H961" s="123" t="s">
        <v>1449</v>
      </c>
      <c r="I961" s="69"/>
    </row>
    <row r="962" spans="1:9" ht="31.5" x14ac:dyDescent="0.25">
      <c r="A962" s="45">
        <v>28</v>
      </c>
      <c r="B962" s="45" t="s">
        <v>52</v>
      </c>
      <c r="C962" s="45">
        <v>4</v>
      </c>
      <c r="D962" s="50" t="s">
        <v>1</v>
      </c>
      <c r="E962" s="50" t="s">
        <v>1450</v>
      </c>
      <c r="F962" s="45" t="s">
        <v>81</v>
      </c>
      <c r="G962" s="54">
        <v>100</v>
      </c>
      <c r="H962" s="123" t="s">
        <v>1451</v>
      </c>
      <c r="I962" s="69"/>
    </row>
    <row r="963" spans="1:9" ht="31.5" x14ac:dyDescent="0.25">
      <c r="A963" s="45">
        <v>28</v>
      </c>
      <c r="B963" s="45" t="s">
        <v>52</v>
      </c>
      <c r="C963" s="45">
        <v>4</v>
      </c>
      <c r="D963" s="50" t="s">
        <v>1</v>
      </c>
      <c r="E963" s="50" t="s">
        <v>1483</v>
      </c>
      <c r="F963" s="45" t="s">
        <v>69</v>
      </c>
      <c r="G963" s="54">
        <v>34</v>
      </c>
      <c r="H963" s="123" t="s">
        <v>1452</v>
      </c>
      <c r="I963" s="69"/>
    </row>
    <row r="964" spans="1:9" ht="31.5" x14ac:dyDescent="0.25">
      <c r="A964" s="45">
        <v>28</v>
      </c>
      <c r="B964" s="45" t="s">
        <v>52</v>
      </c>
      <c r="C964" s="45">
        <v>4</v>
      </c>
      <c r="D964" s="50" t="s">
        <v>1</v>
      </c>
      <c r="E964" s="50" t="s">
        <v>1453</v>
      </c>
      <c r="F964" s="45" t="s">
        <v>81</v>
      </c>
      <c r="G964" s="54">
        <v>100</v>
      </c>
      <c r="H964" s="123" t="s">
        <v>1454</v>
      </c>
      <c r="I964" s="69"/>
    </row>
    <row r="965" spans="1:9" x14ac:dyDescent="0.25">
      <c r="A965" s="45">
        <v>28</v>
      </c>
      <c r="B965" s="45" t="s">
        <v>52</v>
      </c>
      <c r="C965" s="45">
        <v>4</v>
      </c>
      <c r="D965" s="50" t="s">
        <v>0</v>
      </c>
      <c r="E965" s="50" t="s">
        <v>1455</v>
      </c>
      <c r="F965" s="45" t="s">
        <v>81</v>
      </c>
      <c r="G965" s="54">
        <v>250</v>
      </c>
      <c r="H965" s="123" t="s">
        <v>1456</v>
      </c>
      <c r="I965" s="69"/>
    </row>
    <row r="966" spans="1:9" ht="31.5" x14ac:dyDescent="0.25">
      <c r="A966" s="45">
        <v>28</v>
      </c>
      <c r="B966" s="45" t="s">
        <v>52</v>
      </c>
      <c r="C966" s="45">
        <v>4</v>
      </c>
      <c r="D966" s="50" t="s">
        <v>0</v>
      </c>
      <c r="E966" s="50" t="s">
        <v>1457</v>
      </c>
      <c r="F966" s="45" t="s">
        <v>81</v>
      </c>
      <c r="G966" s="54">
        <v>50</v>
      </c>
      <c r="H966" s="123" t="s">
        <v>1458</v>
      </c>
      <c r="I966" s="69"/>
    </row>
    <row r="967" spans="1:9" x14ac:dyDescent="0.25">
      <c r="A967" s="45">
        <v>28</v>
      </c>
      <c r="B967" s="45" t="s">
        <v>52</v>
      </c>
      <c r="C967" s="45">
        <v>4</v>
      </c>
      <c r="D967" s="50" t="s">
        <v>559</v>
      </c>
      <c r="E967" s="50" t="s">
        <v>1459</v>
      </c>
      <c r="F967" s="45" t="s">
        <v>81</v>
      </c>
      <c r="G967" s="54">
        <v>40</v>
      </c>
      <c r="H967" s="123" t="s">
        <v>1460</v>
      </c>
      <c r="I967" s="69"/>
    </row>
    <row r="968" spans="1:9" x14ac:dyDescent="0.25">
      <c r="A968" s="45">
        <v>28</v>
      </c>
      <c r="B968" s="45" t="s">
        <v>52</v>
      </c>
      <c r="C968" s="45">
        <v>4</v>
      </c>
      <c r="D968" s="50" t="s">
        <v>393</v>
      </c>
      <c r="E968" s="50" t="s">
        <v>1461</v>
      </c>
      <c r="F968" s="45" t="s">
        <v>81</v>
      </c>
      <c r="G968" s="54">
        <v>37</v>
      </c>
      <c r="H968" s="123" t="s">
        <v>1462</v>
      </c>
      <c r="I968" s="69"/>
    </row>
    <row r="969" spans="1:9" ht="31.5" x14ac:dyDescent="0.25">
      <c r="A969" s="45">
        <v>28</v>
      </c>
      <c r="B969" s="45" t="s">
        <v>52</v>
      </c>
      <c r="C969" s="45">
        <v>4</v>
      </c>
      <c r="D969" s="50" t="s">
        <v>142</v>
      </c>
      <c r="E969" s="50" t="s">
        <v>1463</v>
      </c>
      <c r="F969" s="45" t="s">
        <v>81</v>
      </c>
      <c r="G969" s="54">
        <v>7</v>
      </c>
      <c r="H969" s="123" t="s">
        <v>1464</v>
      </c>
      <c r="I969" s="69"/>
    </row>
    <row r="970" spans="1:9" ht="31.5" x14ac:dyDescent="0.25">
      <c r="A970" s="119">
        <v>28</v>
      </c>
      <c r="B970" s="119" t="s">
        <v>52</v>
      </c>
      <c r="C970" s="119">
        <v>4</v>
      </c>
      <c r="D970" s="120" t="s">
        <v>137</v>
      </c>
      <c r="E970" s="125" t="s">
        <v>1465</v>
      </c>
      <c r="F970" s="119" t="s">
        <v>81</v>
      </c>
      <c r="G970" s="121">
        <v>69</v>
      </c>
      <c r="H970" s="124" t="s">
        <v>1466</v>
      </c>
      <c r="I970" s="69"/>
    </row>
    <row r="971" spans="1:9" ht="31.5" x14ac:dyDescent="0.25">
      <c r="A971" s="119">
        <v>28</v>
      </c>
      <c r="B971" s="119" t="s">
        <v>52</v>
      </c>
      <c r="C971" s="119">
        <v>4</v>
      </c>
      <c r="D971" s="125" t="s">
        <v>393</v>
      </c>
      <c r="E971" s="125" t="s">
        <v>363</v>
      </c>
      <c r="F971" s="147" t="s">
        <v>81</v>
      </c>
      <c r="G971" s="148">
        <v>629</v>
      </c>
      <c r="H971" s="148" t="s">
        <v>1467</v>
      </c>
      <c r="I971" s="69"/>
    </row>
    <row r="972" spans="1:9" ht="31.5" x14ac:dyDescent="0.25">
      <c r="A972" s="119">
        <v>28</v>
      </c>
      <c r="B972" s="119" t="s">
        <v>52</v>
      </c>
      <c r="C972" s="119">
        <v>4</v>
      </c>
      <c r="D972" s="125" t="s">
        <v>393</v>
      </c>
      <c r="E972" s="125" t="s">
        <v>1468</v>
      </c>
      <c r="F972" s="147" t="s">
        <v>81</v>
      </c>
      <c r="G972" s="148">
        <v>1000</v>
      </c>
      <c r="H972" s="148" t="s">
        <v>1469</v>
      </c>
      <c r="I972" s="69"/>
    </row>
    <row r="973" spans="1:9" ht="31.5" x14ac:dyDescent="0.25">
      <c r="A973" s="119">
        <v>28</v>
      </c>
      <c r="B973" s="119" t="s">
        <v>52</v>
      </c>
      <c r="C973" s="119">
        <v>4</v>
      </c>
      <c r="D973" s="125" t="s">
        <v>393</v>
      </c>
      <c r="E973" s="125" t="s">
        <v>1470</v>
      </c>
      <c r="F973" s="147" t="s">
        <v>81</v>
      </c>
      <c r="G973" s="148">
        <v>110</v>
      </c>
      <c r="H973" s="148" t="s">
        <v>1471</v>
      </c>
      <c r="I973" s="69"/>
    </row>
    <row r="974" spans="1:9" x14ac:dyDescent="0.25">
      <c r="A974" s="119">
        <v>28</v>
      </c>
      <c r="B974" s="119" t="s">
        <v>52</v>
      </c>
      <c r="C974" s="119">
        <v>4</v>
      </c>
      <c r="D974" s="125" t="s">
        <v>393</v>
      </c>
      <c r="E974" s="125" t="s">
        <v>1472</v>
      </c>
      <c r="F974" s="147" t="s">
        <v>81</v>
      </c>
      <c r="G974" s="148">
        <v>760</v>
      </c>
      <c r="H974" s="148" t="s">
        <v>1473</v>
      </c>
      <c r="I974" s="69"/>
    </row>
    <row r="975" spans="1:9" ht="63" x14ac:dyDescent="0.25">
      <c r="A975" s="119">
        <v>28</v>
      </c>
      <c r="B975" s="119" t="s">
        <v>52</v>
      </c>
      <c r="C975" s="119">
        <v>4</v>
      </c>
      <c r="D975" s="125" t="s">
        <v>4</v>
      </c>
      <c r="E975" s="125" t="s">
        <v>1474</v>
      </c>
      <c r="F975" s="147" t="s">
        <v>81</v>
      </c>
      <c r="G975" s="148">
        <v>30</v>
      </c>
      <c r="H975" s="148" t="s">
        <v>1484</v>
      </c>
      <c r="I975" s="69"/>
    </row>
    <row r="976" spans="1:9" x14ac:dyDescent="0.25">
      <c r="A976" s="68" t="s">
        <v>986</v>
      </c>
      <c r="B976" s="126"/>
      <c r="C976" s="68"/>
      <c r="D976" s="57"/>
      <c r="E976" s="57"/>
      <c r="F976" s="55"/>
      <c r="G976" s="62"/>
      <c r="H976" s="62"/>
      <c r="I976" s="69"/>
    </row>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row r="1041" x14ac:dyDescent="0.25"/>
    <row r="1042" x14ac:dyDescent="0.25"/>
    <row r="1043" x14ac:dyDescent="0.25"/>
    <row r="1044" x14ac:dyDescent="0.25"/>
  </sheetData>
  <dataValidations xWindow="1315" yWindow="516" count="4">
    <dataValidation allowBlank="1" showInputMessage="1" showErrorMessage="1" promptTitle="Activity Description" prompt="Enter detailed description of the activity or grouping of activities._x000a__x000a_What was the reach and impact of the activity?_x000a__x000a_Has the Board made adjustments from the original Expenditure Plan?_x000a_" sqref="E319:E327 E968:E970" xr:uid="{BF918AD2-9F9E-461A-8129-AE769066ED2B}"/>
    <dataValidation allowBlank="1" showInputMessage="1" showErrorMessage="1" prompt="Enter detailed description of the activity or grouping of activities._x000a__x000a_What was the reach and impact of the activity?_x000a__x000a_Has the Board made adjustments from the original Expenditure Plan?_x000a_" sqref="E946:E967 E681:E742" xr:uid="{70A01F7E-AFD0-4D23-8B0C-C231E3EC7E6C}"/>
    <dataValidation allowBlank="1" showInputMessage="1" showErrorMessage="1" prompt="Enter the number and type of new, unduplicated participants served during the quarter._x000a__x000a_Participants might be programs or individuals (such as teachers or children)._x000a_" sqref="G319:G327 G946:G970 G681:G742" xr:uid="{0F091E20-0DA7-425B-BC94-9CDFCDD5152E}"/>
    <dataValidation allowBlank="1" showInputMessage="1" showErrorMessage="1" promptTitle="Describe the measurable outcomes" prompt="Use numbers to indicate results._x000a__x000a_NOTE: Some outcomes may not be available within the quarter an activity is completed. The Board may denote results are TBD and update in a later report._x000a__x000a_If updating data for a previous quarter, include date added." sqref="H319:H327 H946:H970 H681:H742" xr:uid="{91FEE014-FA2E-4CA4-8467-D6B6388B3C2B}"/>
  </dataValidation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4F376-5BAD-4577-946B-E40E07B2BAC4}">
  <dimension ref="A1:H1327"/>
  <sheetViews>
    <sheetView tabSelected="1" topLeftCell="A2" zoomScaleNormal="100" workbookViewId="0">
      <selection activeCell="E457" sqref="E457"/>
    </sheetView>
  </sheetViews>
  <sheetFormatPr defaultColWidth="0" defaultRowHeight="15.75" zeroHeight="1" x14ac:dyDescent="0.25"/>
  <cols>
    <col min="1" max="1" width="11.140625" style="9" bestFit="1" customWidth="1"/>
    <col min="2" max="2" width="10.5703125" style="9" customWidth="1"/>
    <col min="3" max="3" width="20.42578125" style="176" customWidth="1"/>
    <col min="4" max="4" width="34.28515625" style="9" customWidth="1"/>
    <col min="5" max="5" width="111.5703125" style="9" customWidth="1"/>
    <col min="6" max="6" width="13.42578125" style="9" bestFit="1" customWidth="1"/>
    <col min="7" max="7" width="18.42578125" style="9" customWidth="1"/>
    <col min="8" max="8" width="118.5703125" style="9" customWidth="1"/>
    <col min="9" max="16384" width="9.140625" style="9" hidden="1"/>
  </cols>
  <sheetData>
    <row r="1" spans="1:8" ht="63" x14ac:dyDescent="0.25">
      <c r="A1" s="179" t="s">
        <v>63</v>
      </c>
      <c r="B1" s="180" t="s">
        <v>64</v>
      </c>
      <c r="C1" s="209" t="s">
        <v>9</v>
      </c>
      <c r="D1" s="179" t="s">
        <v>65</v>
      </c>
      <c r="E1" s="179" t="s">
        <v>66</v>
      </c>
      <c r="F1" s="179" t="s">
        <v>67</v>
      </c>
      <c r="G1" s="179" t="s">
        <v>1840</v>
      </c>
      <c r="H1" s="181" t="s">
        <v>68</v>
      </c>
    </row>
    <row r="2" spans="1:8" ht="46.9" x14ac:dyDescent="0.25">
      <c r="A2" s="182">
        <v>20</v>
      </c>
      <c r="B2" s="106">
        <v>1</v>
      </c>
      <c r="C2" s="187" t="s">
        <v>44</v>
      </c>
      <c r="D2" s="187" t="s">
        <v>0</v>
      </c>
      <c r="E2" s="19" t="s">
        <v>1843</v>
      </c>
      <c r="F2" s="183" t="s">
        <v>81</v>
      </c>
      <c r="G2" s="14">
        <v>50</v>
      </c>
      <c r="H2" s="184" t="s">
        <v>1756</v>
      </c>
    </row>
    <row r="3" spans="1:8" ht="31.15" x14ac:dyDescent="0.25">
      <c r="A3" s="106">
        <v>20</v>
      </c>
      <c r="B3" s="106">
        <v>1</v>
      </c>
      <c r="C3" s="187" t="s">
        <v>44</v>
      </c>
      <c r="D3" s="187" t="s">
        <v>559</v>
      </c>
      <c r="E3" s="19" t="s">
        <v>1844</v>
      </c>
      <c r="F3" s="183" t="s">
        <v>81</v>
      </c>
      <c r="G3" s="14">
        <v>1</v>
      </c>
      <c r="H3" s="184" t="s">
        <v>1732</v>
      </c>
    </row>
    <row r="4" spans="1:8" ht="46.9" x14ac:dyDescent="0.25">
      <c r="A4" s="106">
        <v>20</v>
      </c>
      <c r="B4" s="106">
        <v>1</v>
      </c>
      <c r="C4" s="187" t="s">
        <v>44</v>
      </c>
      <c r="D4" s="187" t="s">
        <v>1</v>
      </c>
      <c r="E4" s="19" t="s">
        <v>1845</v>
      </c>
      <c r="F4" s="183" t="s">
        <v>81</v>
      </c>
      <c r="G4" s="14">
        <v>50</v>
      </c>
      <c r="H4" s="184" t="s">
        <v>1756</v>
      </c>
    </row>
    <row r="5" spans="1:8" ht="46.9" x14ac:dyDescent="0.25">
      <c r="A5" s="106">
        <v>20</v>
      </c>
      <c r="B5" s="106">
        <v>1</v>
      </c>
      <c r="C5" s="187" t="s">
        <v>44</v>
      </c>
      <c r="D5" s="187" t="s">
        <v>1</v>
      </c>
      <c r="E5" s="19" t="s">
        <v>1846</v>
      </c>
      <c r="F5" s="183" t="s">
        <v>81</v>
      </c>
      <c r="G5" s="14">
        <v>50</v>
      </c>
      <c r="H5" s="184" t="s">
        <v>1756</v>
      </c>
    </row>
    <row r="6" spans="1:8" ht="46.9" x14ac:dyDescent="0.25">
      <c r="A6" s="106">
        <v>20</v>
      </c>
      <c r="B6" s="106">
        <v>1</v>
      </c>
      <c r="C6" s="187" t="s">
        <v>44</v>
      </c>
      <c r="D6" s="187" t="s">
        <v>1</v>
      </c>
      <c r="E6" s="19" t="s">
        <v>1847</v>
      </c>
      <c r="F6" s="183" t="s">
        <v>81</v>
      </c>
      <c r="G6" s="14">
        <v>50</v>
      </c>
      <c r="H6" s="184" t="s">
        <v>1756</v>
      </c>
    </row>
    <row r="7" spans="1:8" ht="31.15" x14ac:dyDescent="0.25">
      <c r="A7" s="106">
        <v>20</v>
      </c>
      <c r="B7" s="106">
        <v>1</v>
      </c>
      <c r="C7" s="187" t="s">
        <v>44</v>
      </c>
      <c r="D7" s="187" t="s">
        <v>1</v>
      </c>
      <c r="E7" s="19" t="s">
        <v>1848</v>
      </c>
      <c r="F7" s="183" t="s">
        <v>81</v>
      </c>
      <c r="G7" s="14">
        <v>4</v>
      </c>
      <c r="H7" s="184" t="s">
        <v>1734</v>
      </c>
    </row>
    <row r="8" spans="1:8" ht="31.15" x14ac:dyDescent="0.25">
      <c r="A8" s="106">
        <v>20</v>
      </c>
      <c r="B8" s="106">
        <v>1</v>
      </c>
      <c r="C8" s="187" t="s">
        <v>44</v>
      </c>
      <c r="D8" s="187" t="s">
        <v>83</v>
      </c>
      <c r="E8" s="19" t="s">
        <v>1849</v>
      </c>
      <c r="F8" s="183" t="s">
        <v>81</v>
      </c>
      <c r="G8" s="14">
        <v>215</v>
      </c>
      <c r="H8" s="184" t="s">
        <v>1733</v>
      </c>
    </row>
    <row r="9" spans="1:8" ht="93.6" x14ac:dyDescent="0.25">
      <c r="A9" s="106">
        <v>10</v>
      </c>
      <c r="B9" s="106">
        <v>1</v>
      </c>
      <c r="C9" s="187" t="s">
        <v>34</v>
      </c>
      <c r="D9" s="187" t="s">
        <v>1</v>
      </c>
      <c r="E9" s="19" t="s">
        <v>1885</v>
      </c>
      <c r="F9" s="15" t="s">
        <v>81</v>
      </c>
      <c r="G9" s="14">
        <v>66</v>
      </c>
      <c r="H9" s="108" t="s">
        <v>1735</v>
      </c>
    </row>
    <row r="10" spans="1:8" ht="62.45" x14ac:dyDescent="0.25">
      <c r="A10" s="106">
        <v>10</v>
      </c>
      <c r="B10" s="106">
        <v>1</v>
      </c>
      <c r="C10" s="187" t="s">
        <v>34</v>
      </c>
      <c r="D10" s="19" t="s">
        <v>83</v>
      </c>
      <c r="E10" s="19" t="s">
        <v>1886</v>
      </c>
      <c r="F10" s="19" t="s">
        <v>69</v>
      </c>
      <c r="G10" s="20">
        <v>9</v>
      </c>
      <c r="H10" s="108" t="s">
        <v>1887</v>
      </c>
    </row>
    <row r="11" spans="1:8" ht="46.9" x14ac:dyDescent="0.25">
      <c r="A11" s="106">
        <v>16</v>
      </c>
      <c r="B11" s="106">
        <v>1</v>
      </c>
      <c r="C11" s="187" t="s">
        <v>40</v>
      </c>
      <c r="D11" s="187" t="s">
        <v>1</v>
      </c>
      <c r="E11" s="19" t="s">
        <v>1736</v>
      </c>
      <c r="F11" s="15" t="s">
        <v>81</v>
      </c>
      <c r="G11" s="14">
        <v>31</v>
      </c>
      <c r="H11" s="108" t="s">
        <v>1923</v>
      </c>
    </row>
    <row r="12" spans="1:8" ht="46.9" x14ac:dyDescent="0.25">
      <c r="A12" s="106">
        <v>16</v>
      </c>
      <c r="B12" s="106">
        <v>1</v>
      </c>
      <c r="C12" s="187" t="s">
        <v>40</v>
      </c>
      <c r="D12" s="187" t="s">
        <v>1</v>
      </c>
      <c r="E12" s="19" t="s">
        <v>1924</v>
      </c>
      <c r="F12" s="15" t="s">
        <v>69</v>
      </c>
      <c r="G12" s="14">
        <v>30</v>
      </c>
      <c r="H12" s="108" t="s">
        <v>1925</v>
      </c>
    </row>
    <row r="13" spans="1:8" ht="15.6" x14ac:dyDescent="0.25">
      <c r="A13" s="106">
        <v>16</v>
      </c>
      <c r="B13" s="106">
        <v>1</v>
      </c>
      <c r="C13" s="187" t="s">
        <v>40</v>
      </c>
      <c r="D13" s="15" t="s">
        <v>83</v>
      </c>
      <c r="E13" s="19" t="s">
        <v>1738</v>
      </c>
      <c r="F13" s="15" t="s">
        <v>69</v>
      </c>
      <c r="G13" s="14">
        <v>1</v>
      </c>
      <c r="H13" s="108" t="s">
        <v>1739</v>
      </c>
    </row>
    <row r="14" spans="1:8" ht="31.15" x14ac:dyDescent="0.25">
      <c r="A14" s="106">
        <v>16</v>
      </c>
      <c r="B14" s="106">
        <v>1</v>
      </c>
      <c r="C14" s="187" t="s">
        <v>40</v>
      </c>
      <c r="D14" s="15" t="s">
        <v>83</v>
      </c>
      <c r="E14" s="19" t="s">
        <v>1926</v>
      </c>
      <c r="F14" s="15" t="s">
        <v>81</v>
      </c>
      <c r="G14" s="14">
        <v>1</v>
      </c>
      <c r="H14" s="108" t="s">
        <v>1737</v>
      </c>
    </row>
    <row r="15" spans="1:8" ht="31.15" x14ac:dyDescent="0.25">
      <c r="A15" s="106">
        <v>24</v>
      </c>
      <c r="B15" s="106">
        <v>1</v>
      </c>
      <c r="C15" s="187" t="s">
        <v>48</v>
      </c>
      <c r="D15" s="15" t="s">
        <v>0</v>
      </c>
      <c r="E15" s="19" t="s">
        <v>1962</v>
      </c>
      <c r="F15" s="15" t="s">
        <v>69</v>
      </c>
      <c r="G15" s="20" t="s">
        <v>1744</v>
      </c>
      <c r="H15" s="108" t="s">
        <v>1963</v>
      </c>
    </row>
    <row r="16" spans="1:8" ht="31.15" x14ac:dyDescent="0.25">
      <c r="A16" s="106">
        <v>24</v>
      </c>
      <c r="B16" s="106">
        <v>1</v>
      </c>
      <c r="C16" s="187" t="s">
        <v>48</v>
      </c>
      <c r="D16" s="15" t="s">
        <v>0</v>
      </c>
      <c r="E16" s="19" t="s">
        <v>1964</v>
      </c>
      <c r="F16" s="15" t="s">
        <v>69</v>
      </c>
      <c r="G16" s="14">
        <v>144</v>
      </c>
      <c r="H16" s="108" t="s">
        <v>1965</v>
      </c>
    </row>
    <row r="17" spans="1:8" ht="31.15" x14ac:dyDescent="0.25">
      <c r="A17" s="106">
        <v>24</v>
      </c>
      <c r="B17" s="106">
        <v>1</v>
      </c>
      <c r="C17" s="187" t="s">
        <v>48</v>
      </c>
      <c r="D17" s="15" t="s">
        <v>1731</v>
      </c>
      <c r="E17" s="19" t="s">
        <v>1774</v>
      </c>
      <c r="F17" s="15" t="s">
        <v>69</v>
      </c>
      <c r="G17" s="14">
        <v>1</v>
      </c>
      <c r="H17" s="108" t="s">
        <v>1842</v>
      </c>
    </row>
    <row r="18" spans="1:8" ht="31.15" x14ac:dyDescent="0.25">
      <c r="A18" s="106">
        <v>24</v>
      </c>
      <c r="B18" s="106">
        <v>1</v>
      </c>
      <c r="C18" s="187" t="s">
        <v>48</v>
      </c>
      <c r="D18" s="15" t="s">
        <v>1731</v>
      </c>
      <c r="E18" s="19" t="s">
        <v>1966</v>
      </c>
      <c r="F18" s="15" t="s">
        <v>81</v>
      </c>
      <c r="G18" s="14">
        <v>8</v>
      </c>
      <c r="H18" s="108" t="s">
        <v>1967</v>
      </c>
    </row>
    <row r="19" spans="1:8" ht="46.9" x14ac:dyDescent="0.25">
      <c r="A19" s="106">
        <v>24</v>
      </c>
      <c r="B19" s="106">
        <v>1</v>
      </c>
      <c r="C19" s="187" t="s">
        <v>48</v>
      </c>
      <c r="D19" s="15" t="s">
        <v>1731</v>
      </c>
      <c r="E19" s="19" t="s">
        <v>1968</v>
      </c>
      <c r="F19" s="15" t="s">
        <v>81</v>
      </c>
      <c r="G19" s="14">
        <v>6</v>
      </c>
      <c r="H19" s="108" t="s">
        <v>1969</v>
      </c>
    </row>
    <row r="20" spans="1:8" ht="46.9" x14ac:dyDescent="0.25">
      <c r="A20" s="106">
        <v>24</v>
      </c>
      <c r="B20" s="106">
        <v>1</v>
      </c>
      <c r="C20" s="187" t="s">
        <v>48</v>
      </c>
      <c r="D20" s="15" t="s">
        <v>1731</v>
      </c>
      <c r="E20" s="19" t="s">
        <v>1970</v>
      </c>
      <c r="F20" s="15" t="s">
        <v>81</v>
      </c>
      <c r="G20" s="14">
        <v>58</v>
      </c>
      <c r="H20" s="108" t="s">
        <v>1971</v>
      </c>
    </row>
    <row r="21" spans="1:8" ht="46.9" x14ac:dyDescent="0.25">
      <c r="A21" s="106">
        <v>24</v>
      </c>
      <c r="B21" s="106">
        <v>1</v>
      </c>
      <c r="C21" s="187" t="s">
        <v>48</v>
      </c>
      <c r="D21" s="15" t="s">
        <v>1731</v>
      </c>
      <c r="E21" s="19" t="s">
        <v>1972</v>
      </c>
      <c r="F21" s="15" t="s">
        <v>69</v>
      </c>
      <c r="G21" s="14">
        <v>66</v>
      </c>
      <c r="H21" s="108" t="s">
        <v>1969</v>
      </c>
    </row>
    <row r="22" spans="1:8" ht="31.15" x14ac:dyDescent="0.25">
      <c r="A22" s="202">
        <v>24</v>
      </c>
      <c r="B22" s="14">
        <v>1</v>
      </c>
      <c r="C22" s="187" t="s">
        <v>48</v>
      </c>
      <c r="D22" s="187" t="s">
        <v>1</v>
      </c>
      <c r="E22" s="19" t="s">
        <v>1973</v>
      </c>
      <c r="F22" s="15" t="s">
        <v>81</v>
      </c>
      <c r="G22" s="14">
        <v>55</v>
      </c>
      <c r="H22" s="108" t="s">
        <v>1742</v>
      </c>
    </row>
    <row r="23" spans="1:8" ht="31.15" x14ac:dyDescent="0.25">
      <c r="A23" s="202">
        <v>24</v>
      </c>
      <c r="B23" s="14">
        <v>1</v>
      </c>
      <c r="C23" s="187" t="s">
        <v>48</v>
      </c>
      <c r="D23" s="187" t="s">
        <v>1</v>
      </c>
      <c r="E23" s="19" t="s">
        <v>1974</v>
      </c>
      <c r="F23" s="15" t="s">
        <v>69</v>
      </c>
      <c r="G23" s="20">
        <v>39</v>
      </c>
      <c r="H23" s="108" t="s">
        <v>1975</v>
      </c>
    </row>
    <row r="24" spans="1:8" ht="46.9" x14ac:dyDescent="0.25">
      <c r="A24" s="202">
        <v>24</v>
      </c>
      <c r="B24" s="14">
        <v>1</v>
      </c>
      <c r="C24" s="187" t="s">
        <v>48</v>
      </c>
      <c r="D24" s="187" t="s">
        <v>1</v>
      </c>
      <c r="E24" s="19" t="s">
        <v>1976</v>
      </c>
      <c r="F24" s="15" t="s">
        <v>81</v>
      </c>
      <c r="G24" s="14">
        <v>3</v>
      </c>
      <c r="H24" s="108" t="s">
        <v>1740</v>
      </c>
    </row>
    <row r="25" spans="1:8" ht="46.9" x14ac:dyDescent="0.25">
      <c r="A25" s="202">
        <v>24</v>
      </c>
      <c r="B25" s="14">
        <v>1</v>
      </c>
      <c r="C25" s="187" t="s">
        <v>48</v>
      </c>
      <c r="D25" s="15" t="s">
        <v>83</v>
      </c>
      <c r="E25" s="19" t="s">
        <v>1977</v>
      </c>
      <c r="F25" s="15" t="s">
        <v>69</v>
      </c>
      <c r="G25" s="14">
        <v>7</v>
      </c>
      <c r="H25" s="108" t="s">
        <v>1978</v>
      </c>
    </row>
    <row r="26" spans="1:8" ht="31.15" x14ac:dyDescent="0.25">
      <c r="A26" s="202">
        <v>24</v>
      </c>
      <c r="B26" s="14">
        <v>1</v>
      </c>
      <c r="C26" s="187" t="s">
        <v>48</v>
      </c>
      <c r="D26" s="15" t="s">
        <v>83</v>
      </c>
      <c r="E26" s="19" t="s">
        <v>1979</v>
      </c>
      <c r="F26" s="15" t="s">
        <v>69</v>
      </c>
      <c r="G26" s="14">
        <v>108</v>
      </c>
      <c r="H26" s="108" t="s">
        <v>1980</v>
      </c>
    </row>
    <row r="27" spans="1:8" ht="31.15" x14ac:dyDescent="0.25">
      <c r="A27" s="202">
        <v>24</v>
      </c>
      <c r="B27" s="14">
        <v>1</v>
      </c>
      <c r="C27" s="187" t="s">
        <v>48</v>
      </c>
      <c r="D27" s="15" t="s">
        <v>83</v>
      </c>
      <c r="E27" s="19" t="s">
        <v>1741</v>
      </c>
      <c r="F27" s="15" t="s">
        <v>81</v>
      </c>
      <c r="G27" s="14">
        <v>1</v>
      </c>
      <c r="H27" s="108" t="s">
        <v>1981</v>
      </c>
    </row>
    <row r="28" spans="1:8" ht="31.15" x14ac:dyDescent="0.25">
      <c r="A28" s="202">
        <v>24</v>
      </c>
      <c r="B28" s="14">
        <v>1</v>
      </c>
      <c r="C28" s="187" t="s">
        <v>48</v>
      </c>
      <c r="D28" s="15" t="s">
        <v>83</v>
      </c>
      <c r="E28" s="19" t="s">
        <v>1982</v>
      </c>
      <c r="F28" s="15" t="s">
        <v>81</v>
      </c>
      <c r="G28" s="14">
        <v>2</v>
      </c>
      <c r="H28" s="108" t="s">
        <v>1981</v>
      </c>
    </row>
    <row r="29" spans="1:8" ht="62.45" x14ac:dyDescent="0.25">
      <c r="A29" s="202">
        <v>14</v>
      </c>
      <c r="B29" s="14">
        <v>1</v>
      </c>
      <c r="C29" s="187" t="s">
        <v>38</v>
      </c>
      <c r="D29" s="187" t="s">
        <v>4</v>
      </c>
      <c r="E29" s="19" t="s">
        <v>2006</v>
      </c>
      <c r="F29" s="183" t="s">
        <v>69</v>
      </c>
      <c r="G29" s="14">
        <v>1</v>
      </c>
      <c r="H29" s="184" t="s">
        <v>1745</v>
      </c>
    </row>
    <row r="30" spans="1:8" ht="46.9" x14ac:dyDescent="0.25">
      <c r="A30" s="202">
        <v>14</v>
      </c>
      <c r="B30" s="14">
        <v>1</v>
      </c>
      <c r="C30" s="187" t="s">
        <v>38</v>
      </c>
      <c r="D30" s="187" t="s">
        <v>4</v>
      </c>
      <c r="E30" s="19" t="s">
        <v>1747</v>
      </c>
      <c r="F30" s="183" t="s">
        <v>69</v>
      </c>
      <c r="G30" s="14">
        <v>160</v>
      </c>
      <c r="H30" s="184" t="s">
        <v>1755</v>
      </c>
    </row>
    <row r="31" spans="1:8" ht="62.45" x14ac:dyDescent="0.25">
      <c r="A31" s="202">
        <v>14</v>
      </c>
      <c r="B31" s="14">
        <v>1</v>
      </c>
      <c r="C31" s="187" t="s">
        <v>38</v>
      </c>
      <c r="D31" s="187" t="s">
        <v>137</v>
      </c>
      <c r="E31" s="19" t="s">
        <v>1772</v>
      </c>
      <c r="F31" s="183" t="s">
        <v>69</v>
      </c>
      <c r="G31" s="14">
        <v>82</v>
      </c>
      <c r="H31" s="184" t="s">
        <v>1754</v>
      </c>
    </row>
    <row r="32" spans="1:8" ht="78" x14ac:dyDescent="0.25">
      <c r="A32" s="202">
        <v>14</v>
      </c>
      <c r="B32" s="14">
        <v>1</v>
      </c>
      <c r="C32" s="187" t="s">
        <v>38</v>
      </c>
      <c r="D32" s="187" t="s">
        <v>137</v>
      </c>
      <c r="E32" s="19" t="s">
        <v>2007</v>
      </c>
      <c r="F32" s="183" t="s">
        <v>69</v>
      </c>
      <c r="G32" s="14">
        <v>5</v>
      </c>
      <c r="H32" s="184" t="s">
        <v>1752</v>
      </c>
    </row>
    <row r="33" spans="1:8" ht="15.6" x14ac:dyDescent="0.25">
      <c r="A33" s="14">
        <v>14</v>
      </c>
      <c r="B33" s="14">
        <v>1</v>
      </c>
      <c r="C33" s="187" t="s">
        <v>38</v>
      </c>
      <c r="D33" s="187" t="s">
        <v>137</v>
      </c>
      <c r="E33" s="19" t="s">
        <v>1773</v>
      </c>
      <c r="F33" s="183" t="s">
        <v>69</v>
      </c>
      <c r="G33" s="14">
        <v>5</v>
      </c>
      <c r="H33" s="184" t="s">
        <v>2008</v>
      </c>
    </row>
    <row r="34" spans="1:8" ht="46.9" x14ac:dyDescent="0.25">
      <c r="A34" s="14">
        <v>14</v>
      </c>
      <c r="B34" s="14">
        <v>1</v>
      </c>
      <c r="C34" s="187" t="s">
        <v>38</v>
      </c>
      <c r="D34" s="187" t="s">
        <v>1</v>
      </c>
      <c r="E34" s="19" t="s">
        <v>2009</v>
      </c>
      <c r="F34" s="183" t="s">
        <v>69</v>
      </c>
      <c r="G34" s="14">
        <v>573</v>
      </c>
      <c r="H34" s="184" t="s">
        <v>1753</v>
      </c>
    </row>
    <row r="35" spans="1:8" ht="46.9" x14ac:dyDescent="0.25">
      <c r="A35" s="106">
        <v>14</v>
      </c>
      <c r="B35" s="106">
        <v>1</v>
      </c>
      <c r="C35" s="187" t="s">
        <v>38</v>
      </c>
      <c r="D35" s="187" t="s">
        <v>1</v>
      </c>
      <c r="E35" s="19" t="s">
        <v>2010</v>
      </c>
      <c r="F35" s="183" t="s">
        <v>69</v>
      </c>
      <c r="G35" s="14">
        <v>302</v>
      </c>
      <c r="H35" s="184" t="s">
        <v>1753</v>
      </c>
    </row>
    <row r="36" spans="1:8" ht="46.9" x14ac:dyDescent="0.25">
      <c r="A36" s="106">
        <v>14</v>
      </c>
      <c r="B36" s="106">
        <v>1</v>
      </c>
      <c r="C36" s="187" t="s">
        <v>38</v>
      </c>
      <c r="D36" s="187" t="s">
        <v>1</v>
      </c>
      <c r="E36" s="183" t="s">
        <v>2011</v>
      </c>
      <c r="F36" s="183" t="s">
        <v>81</v>
      </c>
      <c r="G36" s="14">
        <v>65</v>
      </c>
      <c r="H36" s="184" t="s">
        <v>1746</v>
      </c>
    </row>
    <row r="37" spans="1:8" ht="46.9" x14ac:dyDescent="0.25">
      <c r="A37" s="106">
        <v>14</v>
      </c>
      <c r="B37" s="106">
        <v>1</v>
      </c>
      <c r="C37" s="187" t="s">
        <v>38</v>
      </c>
      <c r="D37" s="187" t="s">
        <v>83</v>
      </c>
      <c r="E37" s="183" t="s">
        <v>2012</v>
      </c>
      <c r="F37" s="183" t="s">
        <v>69</v>
      </c>
      <c r="G37" s="14">
        <v>23</v>
      </c>
      <c r="H37" s="184" t="s">
        <v>1757</v>
      </c>
    </row>
    <row r="38" spans="1:8" ht="46.9" x14ac:dyDescent="0.25">
      <c r="A38" s="106">
        <v>14</v>
      </c>
      <c r="B38" s="106">
        <v>1</v>
      </c>
      <c r="C38" s="187" t="s">
        <v>38</v>
      </c>
      <c r="D38" s="187" t="s">
        <v>83</v>
      </c>
      <c r="E38" s="183" t="s">
        <v>2013</v>
      </c>
      <c r="F38" s="183" t="s">
        <v>69</v>
      </c>
      <c r="G38" s="14">
        <v>2</v>
      </c>
      <c r="H38" s="184" t="s">
        <v>1755</v>
      </c>
    </row>
    <row r="39" spans="1:8" ht="46.9" x14ac:dyDescent="0.25">
      <c r="A39" s="106">
        <v>26</v>
      </c>
      <c r="B39" s="106">
        <v>1</v>
      </c>
      <c r="C39" s="187" t="s">
        <v>50</v>
      </c>
      <c r="D39" s="15" t="s">
        <v>0</v>
      </c>
      <c r="E39" s="19" t="s">
        <v>2056</v>
      </c>
      <c r="F39" s="15" t="s">
        <v>81</v>
      </c>
      <c r="G39" s="14">
        <v>19</v>
      </c>
      <c r="H39" s="108" t="s">
        <v>1750</v>
      </c>
    </row>
    <row r="40" spans="1:8" ht="31.15" x14ac:dyDescent="0.25">
      <c r="A40" s="106">
        <v>26</v>
      </c>
      <c r="B40" s="106">
        <v>1</v>
      </c>
      <c r="C40" s="187" t="s">
        <v>50</v>
      </c>
      <c r="D40" s="15" t="s">
        <v>0</v>
      </c>
      <c r="E40" s="19" t="s">
        <v>2057</v>
      </c>
      <c r="F40" s="15" t="s">
        <v>69</v>
      </c>
      <c r="G40" s="14">
        <v>38</v>
      </c>
      <c r="H40" s="108" t="s">
        <v>2058</v>
      </c>
    </row>
    <row r="41" spans="1:8" ht="31.15" x14ac:dyDescent="0.25">
      <c r="A41" s="106">
        <v>26</v>
      </c>
      <c r="B41" s="106">
        <v>1</v>
      </c>
      <c r="C41" s="187" t="s">
        <v>50</v>
      </c>
      <c r="D41" s="15" t="s">
        <v>0</v>
      </c>
      <c r="E41" s="19" t="s">
        <v>2059</v>
      </c>
      <c r="F41" s="15" t="s">
        <v>81</v>
      </c>
      <c r="G41" s="14">
        <v>35</v>
      </c>
      <c r="H41" s="108" t="s">
        <v>1759</v>
      </c>
    </row>
    <row r="42" spans="1:8" ht="31.15" x14ac:dyDescent="0.25">
      <c r="A42" s="106">
        <v>26</v>
      </c>
      <c r="B42" s="106">
        <v>1</v>
      </c>
      <c r="C42" s="187" t="s">
        <v>50</v>
      </c>
      <c r="D42" s="15" t="s">
        <v>0</v>
      </c>
      <c r="E42" s="19" t="s">
        <v>2060</v>
      </c>
      <c r="F42" s="15" t="s">
        <v>81</v>
      </c>
      <c r="G42" s="14">
        <v>33</v>
      </c>
      <c r="H42" s="108" t="s">
        <v>1759</v>
      </c>
    </row>
    <row r="43" spans="1:8" ht="31.15" x14ac:dyDescent="0.25">
      <c r="A43" s="106">
        <v>26</v>
      </c>
      <c r="B43" s="106">
        <v>1</v>
      </c>
      <c r="C43" s="187" t="s">
        <v>50</v>
      </c>
      <c r="D43" s="15" t="s">
        <v>0</v>
      </c>
      <c r="E43" s="19" t="s">
        <v>2061</v>
      </c>
      <c r="F43" s="15" t="s">
        <v>81</v>
      </c>
      <c r="G43" s="14">
        <v>27</v>
      </c>
      <c r="H43" s="108" t="s">
        <v>1759</v>
      </c>
    </row>
    <row r="44" spans="1:8" ht="31.15" x14ac:dyDescent="0.25">
      <c r="A44" s="106">
        <v>26</v>
      </c>
      <c r="B44" s="106">
        <v>1</v>
      </c>
      <c r="C44" s="187" t="s">
        <v>50</v>
      </c>
      <c r="D44" s="15" t="s">
        <v>0</v>
      </c>
      <c r="E44" s="19" t="s">
        <v>2062</v>
      </c>
      <c r="F44" s="15" t="s">
        <v>69</v>
      </c>
      <c r="G44" s="14">
        <v>164</v>
      </c>
      <c r="H44" s="108" t="s">
        <v>2063</v>
      </c>
    </row>
    <row r="45" spans="1:8" ht="31.15" x14ac:dyDescent="0.25">
      <c r="A45" s="14">
        <v>26</v>
      </c>
      <c r="B45" s="14">
        <v>1</v>
      </c>
      <c r="C45" s="187" t="s">
        <v>50</v>
      </c>
      <c r="D45" s="15" t="s">
        <v>559</v>
      </c>
      <c r="E45" s="19" t="s">
        <v>2064</v>
      </c>
      <c r="F45" s="15" t="s">
        <v>81</v>
      </c>
      <c r="G45" s="14">
        <v>5</v>
      </c>
      <c r="H45" s="108" t="s">
        <v>2065</v>
      </c>
    </row>
    <row r="46" spans="1:8" ht="31.15" x14ac:dyDescent="0.25">
      <c r="A46" s="14">
        <v>26</v>
      </c>
      <c r="B46" s="14">
        <v>1</v>
      </c>
      <c r="C46" s="187" t="s">
        <v>50</v>
      </c>
      <c r="D46" s="187" t="s">
        <v>1</v>
      </c>
      <c r="E46" s="19" t="s">
        <v>2066</v>
      </c>
      <c r="F46" s="15" t="s">
        <v>81</v>
      </c>
      <c r="G46" s="14">
        <v>37</v>
      </c>
      <c r="H46" s="108" t="s">
        <v>2067</v>
      </c>
    </row>
    <row r="47" spans="1:8" ht="15.6" x14ac:dyDescent="0.25">
      <c r="A47" s="14">
        <v>26</v>
      </c>
      <c r="B47" s="14">
        <v>1</v>
      </c>
      <c r="C47" s="187" t="s">
        <v>50</v>
      </c>
      <c r="D47" s="187" t="s">
        <v>1</v>
      </c>
      <c r="E47" s="19" t="s">
        <v>2068</v>
      </c>
      <c r="F47" s="15" t="s">
        <v>81</v>
      </c>
      <c r="G47" s="14">
        <v>42</v>
      </c>
      <c r="H47" s="108" t="s">
        <v>2067</v>
      </c>
    </row>
    <row r="48" spans="1:8" ht="31.15" x14ac:dyDescent="0.25">
      <c r="A48" s="14">
        <v>26</v>
      </c>
      <c r="B48" s="14">
        <v>1</v>
      </c>
      <c r="C48" s="187" t="s">
        <v>50</v>
      </c>
      <c r="D48" s="187" t="s">
        <v>1</v>
      </c>
      <c r="E48" s="19" t="s">
        <v>2069</v>
      </c>
      <c r="F48" s="15" t="s">
        <v>81</v>
      </c>
      <c r="G48" s="14">
        <v>70</v>
      </c>
      <c r="H48" s="108" t="s">
        <v>2067</v>
      </c>
    </row>
    <row r="49" spans="1:8" ht="31.15" x14ac:dyDescent="0.25">
      <c r="A49" s="14">
        <v>26</v>
      </c>
      <c r="B49" s="14">
        <v>1</v>
      </c>
      <c r="C49" s="187" t="s">
        <v>50</v>
      </c>
      <c r="D49" s="187" t="s">
        <v>1</v>
      </c>
      <c r="E49" s="19" t="s">
        <v>2070</v>
      </c>
      <c r="F49" s="15" t="s">
        <v>81</v>
      </c>
      <c r="G49" s="14">
        <v>114</v>
      </c>
      <c r="H49" s="108" t="s">
        <v>2067</v>
      </c>
    </row>
    <row r="50" spans="1:8" ht="31.15" x14ac:dyDescent="0.25">
      <c r="A50" s="14">
        <v>26</v>
      </c>
      <c r="B50" s="14">
        <v>1</v>
      </c>
      <c r="C50" s="187" t="s">
        <v>50</v>
      </c>
      <c r="D50" s="187" t="s">
        <v>1</v>
      </c>
      <c r="E50" s="19" t="s">
        <v>2071</v>
      </c>
      <c r="F50" s="15" t="s">
        <v>81</v>
      </c>
      <c r="G50" s="14">
        <v>44</v>
      </c>
      <c r="H50" s="108" t="s">
        <v>2067</v>
      </c>
    </row>
    <row r="51" spans="1:8" ht="31.15" x14ac:dyDescent="0.25">
      <c r="A51" s="14">
        <v>26</v>
      </c>
      <c r="B51" s="14">
        <v>1</v>
      </c>
      <c r="C51" s="187" t="s">
        <v>50</v>
      </c>
      <c r="D51" s="187" t="s">
        <v>1</v>
      </c>
      <c r="E51" s="19" t="s">
        <v>2072</v>
      </c>
      <c r="F51" s="15" t="s">
        <v>81</v>
      </c>
      <c r="G51" s="14">
        <v>54</v>
      </c>
      <c r="H51" s="108" t="s">
        <v>2067</v>
      </c>
    </row>
    <row r="52" spans="1:8" ht="31.15" x14ac:dyDescent="0.25">
      <c r="A52" s="14">
        <v>26</v>
      </c>
      <c r="B52" s="14">
        <v>1</v>
      </c>
      <c r="C52" s="187" t="s">
        <v>50</v>
      </c>
      <c r="D52" s="187" t="s">
        <v>1</v>
      </c>
      <c r="E52" s="19" t="s">
        <v>2073</v>
      </c>
      <c r="F52" s="15" t="s">
        <v>81</v>
      </c>
      <c r="G52" s="14">
        <v>41</v>
      </c>
      <c r="H52" s="108" t="s">
        <v>2067</v>
      </c>
    </row>
    <row r="53" spans="1:8" ht="31.15" x14ac:dyDescent="0.25">
      <c r="A53" s="14">
        <v>26</v>
      </c>
      <c r="B53" s="14">
        <v>1</v>
      </c>
      <c r="C53" s="187" t="s">
        <v>50</v>
      </c>
      <c r="D53" s="187" t="s">
        <v>1</v>
      </c>
      <c r="E53" s="19" t="s">
        <v>1760</v>
      </c>
      <c r="F53" s="15" t="s">
        <v>69</v>
      </c>
      <c r="G53" s="14">
        <v>18</v>
      </c>
      <c r="H53" s="108" t="s">
        <v>1761</v>
      </c>
    </row>
    <row r="54" spans="1:8" ht="31.15" x14ac:dyDescent="0.25">
      <c r="A54" s="14">
        <v>26</v>
      </c>
      <c r="B54" s="14">
        <v>1</v>
      </c>
      <c r="C54" s="187" t="s">
        <v>50</v>
      </c>
      <c r="D54" s="187" t="s">
        <v>1</v>
      </c>
      <c r="E54" s="19" t="s">
        <v>1749</v>
      </c>
      <c r="F54" s="15" t="s">
        <v>69</v>
      </c>
      <c r="G54" s="14" t="s">
        <v>412</v>
      </c>
      <c r="H54" s="108" t="s">
        <v>2067</v>
      </c>
    </row>
    <row r="55" spans="1:8" ht="31.15" x14ac:dyDescent="0.25">
      <c r="A55" s="14">
        <v>26</v>
      </c>
      <c r="B55" s="14">
        <v>1</v>
      </c>
      <c r="C55" s="187" t="s">
        <v>50</v>
      </c>
      <c r="D55" s="187" t="s">
        <v>1</v>
      </c>
      <c r="E55" s="19" t="s">
        <v>2074</v>
      </c>
      <c r="F55" s="15" t="s">
        <v>81</v>
      </c>
      <c r="G55" s="14">
        <v>62</v>
      </c>
      <c r="H55" s="108" t="s">
        <v>2067</v>
      </c>
    </row>
    <row r="56" spans="1:8" ht="31.15" x14ac:dyDescent="0.25">
      <c r="A56" s="14">
        <v>26</v>
      </c>
      <c r="B56" s="14">
        <v>1</v>
      </c>
      <c r="C56" s="187" t="s">
        <v>50</v>
      </c>
      <c r="D56" s="187" t="s">
        <v>1</v>
      </c>
      <c r="E56" s="19" t="s">
        <v>2075</v>
      </c>
      <c r="F56" s="15" t="s">
        <v>69</v>
      </c>
      <c r="G56" s="14">
        <v>75</v>
      </c>
      <c r="H56" s="108" t="s">
        <v>2067</v>
      </c>
    </row>
    <row r="57" spans="1:8" ht="31.15" x14ac:dyDescent="0.25">
      <c r="A57" s="14">
        <v>26</v>
      </c>
      <c r="B57" s="14">
        <v>1</v>
      </c>
      <c r="C57" s="187" t="s">
        <v>50</v>
      </c>
      <c r="D57" s="187" t="s">
        <v>1</v>
      </c>
      <c r="E57" s="19" t="s">
        <v>2076</v>
      </c>
      <c r="F57" s="15" t="s">
        <v>81</v>
      </c>
      <c r="G57" s="14">
        <v>36</v>
      </c>
      <c r="H57" s="108" t="s">
        <v>2067</v>
      </c>
    </row>
    <row r="58" spans="1:8" ht="15.6" x14ac:dyDescent="0.25">
      <c r="A58" s="14">
        <v>26</v>
      </c>
      <c r="B58" s="14">
        <v>1</v>
      </c>
      <c r="C58" s="187" t="s">
        <v>50</v>
      </c>
      <c r="D58" s="187" t="s">
        <v>1</v>
      </c>
      <c r="E58" s="19" t="s">
        <v>2077</v>
      </c>
      <c r="F58" s="15" t="s">
        <v>81</v>
      </c>
      <c r="G58" s="14">
        <v>2</v>
      </c>
      <c r="H58" s="108" t="s">
        <v>1748</v>
      </c>
    </row>
    <row r="59" spans="1:8" ht="31.15" x14ac:dyDescent="0.25">
      <c r="A59" s="106">
        <v>26</v>
      </c>
      <c r="B59" s="106">
        <v>1</v>
      </c>
      <c r="C59" s="187" t="s">
        <v>50</v>
      </c>
      <c r="D59" s="15" t="s">
        <v>83</v>
      </c>
      <c r="E59" s="19" t="s">
        <v>2078</v>
      </c>
      <c r="F59" s="15" t="s">
        <v>69</v>
      </c>
      <c r="G59" s="14">
        <v>9</v>
      </c>
      <c r="H59" s="108" t="s">
        <v>1758</v>
      </c>
    </row>
    <row r="60" spans="1:8" ht="31.15" x14ac:dyDescent="0.25">
      <c r="A60" s="106">
        <v>26</v>
      </c>
      <c r="B60" s="106">
        <v>1</v>
      </c>
      <c r="C60" s="187" t="s">
        <v>50</v>
      </c>
      <c r="D60" s="15" t="s">
        <v>83</v>
      </c>
      <c r="E60" s="19" t="s">
        <v>2079</v>
      </c>
      <c r="F60" s="15" t="s">
        <v>81</v>
      </c>
      <c r="G60" s="14">
        <v>49</v>
      </c>
      <c r="H60" s="108" t="s">
        <v>2080</v>
      </c>
    </row>
    <row r="61" spans="1:8" ht="31.15" x14ac:dyDescent="0.25">
      <c r="A61" s="106">
        <v>26</v>
      </c>
      <c r="B61" s="106">
        <v>1</v>
      </c>
      <c r="C61" s="187" t="s">
        <v>50</v>
      </c>
      <c r="D61" s="15" t="s">
        <v>83</v>
      </c>
      <c r="E61" s="19" t="s">
        <v>2081</v>
      </c>
      <c r="F61" s="15" t="s">
        <v>69</v>
      </c>
      <c r="G61" s="14">
        <v>75</v>
      </c>
      <c r="H61" s="108" t="s">
        <v>2080</v>
      </c>
    </row>
    <row r="62" spans="1:8" ht="31.15" x14ac:dyDescent="0.25">
      <c r="A62" s="106">
        <v>22</v>
      </c>
      <c r="B62" s="106">
        <v>1</v>
      </c>
      <c r="C62" s="187" t="s">
        <v>46</v>
      </c>
      <c r="D62" s="15" t="s">
        <v>83</v>
      </c>
      <c r="E62" s="19" t="s">
        <v>2119</v>
      </c>
      <c r="F62" s="15" t="s">
        <v>69</v>
      </c>
      <c r="G62" s="14" t="s">
        <v>93</v>
      </c>
      <c r="H62" s="108" t="s">
        <v>2120</v>
      </c>
    </row>
    <row r="63" spans="1:8" ht="171.6" x14ac:dyDescent="0.25">
      <c r="A63" s="106">
        <v>12</v>
      </c>
      <c r="B63" s="106">
        <v>1</v>
      </c>
      <c r="C63" s="187" t="s">
        <v>36</v>
      </c>
      <c r="D63" s="15" t="s">
        <v>4</v>
      </c>
      <c r="E63" s="19" t="s">
        <v>2131</v>
      </c>
      <c r="F63" s="15" t="s">
        <v>81</v>
      </c>
      <c r="G63" s="14">
        <v>30</v>
      </c>
      <c r="H63" s="108" t="s">
        <v>2132</v>
      </c>
    </row>
    <row r="64" spans="1:8" ht="46.9" x14ac:dyDescent="0.25">
      <c r="A64" s="106">
        <v>12</v>
      </c>
      <c r="B64" s="106">
        <v>1</v>
      </c>
      <c r="C64" s="187" t="s">
        <v>36</v>
      </c>
      <c r="D64" s="187" t="s">
        <v>1</v>
      </c>
      <c r="E64" s="19" t="s">
        <v>1751</v>
      </c>
      <c r="F64" s="15" t="s">
        <v>81</v>
      </c>
      <c r="G64" s="14">
        <v>13</v>
      </c>
      <c r="H64" s="108" t="s">
        <v>2133</v>
      </c>
    </row>
    <row r="65" spans="1:8" ht="31.15" x14ac:dyDescent="0.25">
      <c r="A65" s="14">
        <v>12</v>
      </c>
      <c r="B65" s="14">
        <v>1</v>
      </c>
      <c r="C65" s="187" t="s">
        <v>36</v>
      </c>
      <c r="D65" s="187" t="s">
        <v>83</v>
      </c>
      <c r="E65" s="19" t="s">
        <v>1835</v>
      </c>
      <c r="F65" s="183" t="s">
        <v>69</v>
      </c>
      <c r="G65" s="14">
        <v>2</v>
      </c>
      <c r="H65" s="184" t="s">
        <v>1836</v>
      </c>
    </row>
    <row r="66" spans="1:8" ht="46.9" x14ac:dyDescent="0.25">
      <c r="A66" s="14">
        <v>6</v>
      </c>
      <c r="B66" s="14">
        <v>1</v>
      </c>
      <c r="C66" s="187" t="s">
        <v>117</v>
      </c>
      <c r="D66" s="19" t="s">
        <v>4</v>
      </c>
      <c r="E66" s="19" t="s">
        <v>2156</v>
      </c>
      <c r="F66" s="19" t="s">
        <v>81</v>
      </c>
      <c r="G66" s="20">
        <v>15</v>
      </c>
      <c r="H66" s="108" t="s">
        <v>2157</v>
      </c>
    </row>
    <row r="67" spans="1:8" ht="31.15" x14ac:dyDescent="0.25">
      <c r="A67" s="14">
        <v>6</v>
      </c>
      <c r="B67" s="14">
        <v>1</v>
      </c>
      <c r="C67" s="187" t="s">
        <v>117</v>
      </c>
      <c r="D67" s="19" t="s">
        <v>1731</v>
      </c>
      <c r="E67" s="19" t="s">
        <v>2158</v>
      </c>
      <c r="F67" s="19" t="s">
        <v>81</v>
      </c>
      <c r="G67" s="20">
        <v>541</v>
      </c>
      <c r="H67" s="108" t="s">
        <v>1771</v>
      </c>
    </row>
    <row r="68" spans="1:8" ht="15.6" x14ac:dyDescent="0.25">
      <c r="A68" s="14">
        <v>6</v>
      </c>
      <c r="B68" s="14">
        <v>1</v>
      </c>
      <c r="C68" s="187" t="s">
        <v>117</v>
      </c>
      <c r="D68" s="187" t="s">
        <v>1</v>
      </c>
      <c r="E68" s="19" t="s">
        <v>2159</v>
      </c>
      <c r="F68" s="183" t="s">
        <v>81</v>
      </c>
      <c r="G68" s="14">
        <v>30</v>
      </c>
      <c r="H68" s="184" t="s">
        <v>1764</v>
      </c>
    </row>
    <row r="69" spans="1:8" ht="15.6" x14ac:dyDescent="0.25">
      <c r="A69" s="14">
        <v>6</v>
      </c>
      <c r="B69" s="14">
        <v>1</v>
      </c>
      <c r="C69" s="187" t="s">
        <v>117</v>
      </c>
      <c r="D69" s="187" t="s">
        <v>1</v>
      </c>
      <c r="E69" s="19" t="s">
        <v>2160</v>
      </c>
      <c r="F69" s="183" t="s">
        <v>81</v>
      </c>
      <c r="G69" s="14">
        <v>34</v>
      </c>
      <c r="H69" s="184" t="s">
        <v>1550</v>
      </c>
    </row>
    <row r="70" spans="1:8" ht="15.6" x14ac:dyDescent="0.25">
      <c r="A70" s="14">
        <v>6</v>
      </c>
      <c r="B70" s="14">
        <v>1</v>
      </c>
      <c r="C70" s="187" t="s">
        <v>117</v>
      </c>
      <c r="D70" s="187" t="s">
        <v>1</v>
      </c>
      <c r="E70" s="19" t="s">
        <v>2161</v>
      </c>
      <c r="F70" s="183" t="s">
        <v>81</v>
      </c>
      <c r="G70" s="14">
        <v>49</v>
      </c>
      <c r="H70" s="184" t="s">
        <v>1550</v>
      </c>
    </row>
    <row r="71" spans="1:8" ht="15.6" x14ac:dyDescent="0.25">
      <c r="A71" s="14">
        <v>6</v>
      </c>
      <c r="B71" s="14">
        <v>1</v>
      </c>
      <c r="C71" s="187" t="s">
        <v>117</v>
      </c>
      <c r="D71" s="187" t="s">
        <v>1</v>
      </c>
      <c r="E71" s="19" t="s">
        <v>2162</v>
      </c>
      <c r="F71" s="183" t="s">
        <v>81</v>
      </c>
      <c r="G71" s="14">
        <v>29</v>
      </c>
      <c r="H71" s="184" t="s">
        <v>2163</v>
      </c>
    </row>
    <row r="72" spans="1:8" ht="15.6" x14ac:dyDescent="0.25">
      <c r="A72" s="14">
        <v>6</v>
      </c>
      <c r="B72" s="14">
        <v>1</v>
      </c>
      <c r="C72" s="187" t="s">
        <v>117</v>
      </c>
      <c r="D72" s="187" t="s">
        <v>1</v>
      </c>
      <c r="E72" s="19" t="s">
        <v>2164</v>
      </c>
      <c r="F72" s="183" t="s">
        <v>81</v>
      </c>
      <c r="G72" s="14">
        <v>29</v>
      </c>
      <c r="H72" s="184" t="s">
        <v>1550</v>
      </c>
    </row>
    <row r="73" spans="1:8" ht="15.6" x14ac:dyDescent="0.25">
      <c r="A73" s="14">
        <v>6</v>
      </c>
      <c r="B73" s="14">
        <v>1</v>
      </c>
      <c r="C73" s="187" t="s">
        <v>117</v>
      </c>
      <c r="D73" s="187" t="s">
        <v>1</v>
      </c>
      <c r="E73" s="19" t="s">
        <v>2165</v>
      </c>
      <c r="F73" s="183" t="s">
        <v>81</v>
      </c>
      <c r="G73" s="14">
        <v>32</v>
      </c>
      <c r="H73" s="184" t="s">
        <v>2166</v>
      </c>
    </row>
    <row r="74" spans="1:8" ht="15.6" x14ac:dyDescent="0.25">
      <c r="A74" s="14">
        <v>6</v>
      </c>
      <c r="B74" s="14">
        <v>1</v>
      </c>
      <c r="C74" s="187" t="s">
        <v>117</v>
      </c>
      <c r="D74" s="187" t="s">
        <v>1</v>
      </c>
      <c r="E74" s="19" t="s">
        <v>2167</v>
      </c>
      <c r="F74" s="183" t="s">
        <v>81</v>
      </c>
      <c r="G74" s="14">
        <v>8</v>
      </c>
      <c r="H74" s="184" t="s">
        <v>2168</v>
      </c>
    </row>
    <row r="75" spans="1:8" ht="15.6" x14ac:dyDescent="0.25">
      <c r="A75" s="14">
        <v>6</v>
      </c>
      <c r="B75" s="14">
        <v>1</v>
      </c>
      <c r="C75" s="187" t="s">
        <v>117</v>
      </c>
      <c r="D75" s="187" t="s">
        <v>1</v>
      </c>
      <c r="E75" s="19" t="s">
        <v>2169</v>
      </c>
      <c r="F75" s="183" t="s">
        <v>81</v>
      </c>
      <c r="G75" s="14">
        <v>38</v>
      </c>
      <c r="H75" s="184" t="s">
        <v>1550</v>
      </c>
    </row>
    <row r="76" spans="1:8" ht="15.6" x14ac:dyDescent="0.25">
      <c r="A76" s="14">
        <v>6</v>
      </c>
      <c r="B76" s="14">
        <v>1</v>
      </c>
      <c r="C76" s="187" t="s">
        <v>117</v>
      </c>
      <c r="D76" s="187" t="s">
        <v>1</v>
      </c>
      <c r="E76" s="19" t="s">
        <v>2170</v>
      </c>
      <c r="F76" s="183" t="s">
        <v>81</v>
      </c>
      <c r="G76" s="14">
        <v>4</v>
      </c>
      <c r="H76" s="184" t="s">
        <v>2171</v>
      </c>
    </row>
    <row r="77" spans="1:8" ht="15.6" x14ac:dyDescent="0.25">
      <c r="A77" s="14">
        <v>6</v>
      </c>
      <c r="B77" s="14">
        <v>1</v>
      </c>
      <c r="C77" s="187" t="s">
        <v>117</v>
      </c>
      <c r="D77" s="187" t="s">
        <v>1</v>
      </c>
      <c r="E77" s="19" t="s">
        <v>2172</v>
      </c>
      <c r="F77" s="183" t="s">
        <v>81</v>
      </c>
      <c r="G77" s="14">
        <v>22</v>
      </c>
      <c r="H77" s="184" t="s">
        <v>2173</v>
      </c>
    </row>
    <row r="78" spans="1:8" ht="15.6" x14ac:dyDescent="0.25">
      <c r="A78" s="14">
        <v>6</v>
      </c>
      <c r="B78" s="14">
        <v>1</v>
      </c>
      <c r="C78" s="187" t="s">
        <v>117</v>
      </c>
      <c r="D78" s="187" t="s">
        <v>1</v>
      </c>
      <c r="E78" s="19" t="s">
        <v>2174</v>
      </c>
      <c r="F78" s="183" t="s">
        <v>81</v>
      </c>
      <c r="G78" s="14">
        <v>4</v>
      </c>
      <c r="H78" s="184" t="s">
        <v>1765</v>
      </c>
    </row>
    <row r="79" spans="1:8" ht="15.6" x14ac:dyDescent="0.25">
      <c r="A79" s="14">
        <v>6</v>
      </c>
      <c r="B79" s="14">
        <v>1</v>
      </c>
      <c r="C79" s="187" t="s">
        <v>117</v>
      </c>
      <c r="D79" s="187" t="s">
        <v>1</v>
      </c>
      <c r="E79" s="19" t="s">
        <v>2175</v>
      </c>
      <c r="F79" s="183" t="s">
        <v>81</v>
      </c>
      <c r="G79" s="14">
        <v>6</v>
      </c>
      <c r="H79" s="184" t="s">
        <v>1550</v>
      </c>
    </row>
    <row r="80" spans="1:8" ht="15.6" x14ac:dyDescent="0.25">
      <c r="A80" s="14">
        <v>6</v>
      </c>
      <c r="B80" s="14">
        <v>1</v>
      </c>
      <c r="C80" s="187" t="s">
        <v>117</v>
      </c>
      <c r="D80" s="187" t="s">
        <v>1</v>
      </c>
      <c r="E80" s="19" t="s">
        <v>2176</v>
      </c>
      <c r="F80" s="183" t="s">
        <v>81</v>
      </c>
      <c r="G80" s="14">
        <v>24</v>
      </c>
      <c r="H80" s="184" t="s">
        <v>2177</v>
      </c>
    </row>
    <row r="81" spans="1:8" ht="15.6" x14ac:dyDescent="0.25">
      <c r="A81" s="14">
        <v>6</v>
      </c>
      <c r="B81" s="14">
        <v>1</v>
      </c>
      <c r="C81" s="187" t="s">
        <v>117</v>
      </c>
      <c r="D81" s="187" t="s">
        <v>1</v>
      </c>
      <c r="E81" s="19" t="s">
        <v>2178</v>
      </c>
      <c r="F81" s="19" t="s">
        <v>81</v>
      </c>
      <c r="G81" s="20">
        <v>28</v>
      </c>
      <c r="H81" s="108" t="s">
        <v>2179</v>
      </c>
    </row>
    <row r="82" spans="1:8" ht="15.6" x14ac:dyDescent="0.25">
      <c r="A82" s="14">
        <v>6</v>
      </c>
      <c r="B82" s="14">
        <v>1</v>
      </c>
      <c r="C82" s="187" t="s">
        <v>117</v>
      </c>
      <c r="D82" s="187" t="s">
        <v>1</v>
      </c>
      <c r="E82" s="19" t="s">
        <v>2180</v>
      </c>
      <c r="F82" s="19" t="s">
        <v>81</v>
      </c>
      <c r="G82" s="20">
        <v>12</v>
      </c>
      <c r="H82" s="108" t="s">
        <v>1550</v>
      </c>
    </row>
    <row r="83" spans="1:8" ht="15.6" x14ac:dyDescent="0.25">
      <c r="A83" s="14">
        <v>6</v>
      </c>
      <c r="B83" s="14">
        <v>1</v>
      </c>
      <c r="C83" s="187" t="s">
        <v>117</v>
      </c>
      <c r="D83" s="187" t="s">
        <v>1</v>
      </c>
      <c r="E83" s="19" t="s">
        <v>2181</v>
      </c>
      <c r="F83" s="19" t="s">
        <v>81</v>
      </c>
      <c r="G83" s="20">
        <v>9</v>
      </c>
      <c r="H83" s="108" t="s">
        <v>2182</v>
      </c>
    </row>
    <row r="84" spans="1:8" ht="46.9" x14ac:dyDescent="0.25">
      <c r="A84" s="14">
        <v>6</v>
      </c>
      <c r="B84" s="14">
        <v>1</v>
      </c>
      <c r="C84" s="187" t="s">
        <v>117</v>
      </c>
      <c r="D84" s="187" t="s">
        <v>1</v>
      </c>
      <c r="E84" s="19" t="s">
        <v>2183</v>
      </c>
      <c r="F84" s="19" t="s">
        <v>81</v>
      </c>
      <c r="G84" s="20">
        <v>1</v>
      </c>
      <c r="H84" s="108" t="s">
        <v>2184</v>
      </c>
    </row>
    <row r="85" spans="1:8" ht="31.15" x14ac:dyDescent="0.25">
      <c r="A85" s="14">
        <v>6</v>
      </c>
      <c r="B85" s="14">
        <v>1</v>
      </c>
      <c r="C85" s="187" t="s">
        <v>117</v>
      </c>
      <c r="D85" s="187" t="s">
        <v>1</v>
      </c>
      <c r="E85" s="19" t="s">
        <v>1537</v>
      </c>
      <c r="F85" s="183" t="s">
        <v>69</v>
      </c>
      <c r="G85" s="14">
        <v>3</v>
      </c>
      <c r="H85" s="184" t="s">
        <v>1762</v>
      </c>
    </row>
    <row r="86" spans="1:8" ht="31.15" x14ac:dyDescent="0.25">
      <c r="A86" s="14">
        <v>6</v>
      </c>
      <c r="B86" s="14">
        <v>1</v>
      </c>
      <c r="C86" s="187" t="s">
        <v>117</v>
      </c>
      <c r="D86" s="187" t="s">
        <v>1</v>
      </c>
      <c r="E86" s="19" t="s">
        <v>2185</v>
      </c>
      <c r="F86" s="183" t="s">
        <v>69</v>
      </c>
      <c r="G86" s="14">
        <v>9</v>
      </c>
      <c r="H86" s="184" t="s">
        <v>1763</v>
      </c>
    </row>
    <row r="87" spans="1:8" ht="15.6" x14ac:dyDescent="0.25">
      <c r="A87" s="14">
        <v>6</v>
      </c>
      <c r="B87" s="14">
        <v>1</v>
      </c>
      <c r="C87" s="187" t="s">
        <v>117</v>
      </c>
      <c r="D87" s="187" t="s">
        <v>1</v>
      </c>
      <c r="E87" s="19" t="s">
        <v>1768</v>
      </c>
      <c r="F87" s="19" t="s">
        <v>81</v>
      </c>
      <c r="G87" s="20">
        <v>20</v>
      </c>
      <c r="H87" s="108" t="s">
        <v>1769</v>
      </c>
    </row>
    <row r="88" spans="1:8" ht="15.6" x14ac:dyDescent="0.25">
      <c r="A88" s="14">
        <v>6</v>
      </c>
      <c r="B88" s="14">
        <v>1</v>
      </c>
      <c r="C88" s="187" t="s">
        <v>117</v>
      </c>
      <c r="D88" s="187" t="s">
        <v>1</v>
      </c>
      <c r="E88" s="19" t="s">
        <v>2186</v>
      </c>
      <c r="F88" s="19" t="s">
        <v>81</v>
      </c>
      <c r="G88" s="20">
        <v>1</v>
      </c>
      <c r="H88" s="108" t="s">
        <v>1770</v>
      </c>
    </row>
    <row r="89" spans="1:8" ht="15.6" x14ac:dyDescent="0.25">
      <c r="A89" s="14">
        <v>6</v>
      </c>
      <c r="B89" s="14">
        <v>1</v>
      </c>
      <c r="C89" s="187" t="s">
        <v>117</v>
      </c>
      <c r="D89" s="19" t="s">
        <v>83</v>
      </c>
      <c r="E89" s="19" t="s">
        <v>2187</v>
      </c>
      <c r="F89" s="19" t="s">
        <v>81</v>
      </c>
      <c r="G89" s="20">
        <v>66</v>
      </c>
      <c r="H89" s="108" t="s">
        <v>2188</v>
      </c>
    </row>
    <row r="90" spans="1:8" ht="31.15" x14ac:dyDescent="0.25">
      <c r="A90" s="14">
        <v>6</v>
      </c>
      <c r="B90" s="14">
        <v>1</v>
      </c>
      <c r="C90" s="187" t="s">
        <v>117</v>
      </c>
      <c r="D90" s="19" t="s">
        <v>83</v>
      </c>
      <c r="E90" s="19" t="s">
        <v>2189</v>
      </c>
      <c r="F90" s="19" t="s">
        <v>81</v>
      </c>
      <c r="G90" s="20">
        <v>10</v>
      </c>
      <c r="H90" s="108" t="s">
        <v>1578</v>
      </c>
    </row>
    <row r="91" spans="1:8" ht="15.6" x14ac:dyDescent="0.25">
      <c r="A91" s="14">
        <v>6</v>
      </c>
      <c r="B91" s="14">
        <v>1</v>
      </c>
      <c r="C91" s="187" t="s">
        <v>117</v>
      </c>
      <c r="D91" s="19" t="s">
        <v>83</v>
      </c>
      <c r="E91" s="19" t="s">
        <v>2190</v>
      </c>
      <c r="F91" s="19" t="s">
        <v>81</v>
      </c>
      <c r="G91" s="20">
        <v>2</v>
      </c>
      <c r="H91" s="108" t="s">
        <v>2191</v>
      </c>
    </row>
    <row r="92" spans="1:8" ht="46.9" x14ac:dyDescent="0.25">
      <c r="A92" s="106">
        <v>6</v>
      </c>
      <c r="B92" s="106">
        <v>1</v>
      </c>
      <c r="C92" s="187" t="s">
        <v>117</v>
      </c>
      <c r="D92" s="187" t="s">
        <v>83</v>
      </c>
      <c r="E92" s="19" t="s">
        <v>2192</v>
      </c>
      <c r="F92" s="183" t="s">
        <v>69</v>
      </c>
      <c r="G92" s="14">
        <v>279</v>
      </c>
      <c r="H92" s="184" t="s">
        <v>1838</v>
      </c>
    </row>
    <row r="93" spans="1:8" ht="15.6" x14ac:dyDescent="0.25">
      <c r="A93" s="106">
        <v>6</v>
      </c>
      <c r="B93" s="106">
        <v>1</v>
      </c>
      <c r="C93" s="187" t="s">
        <v>117</v>
      </c>
      <c r="D93" s="19" t="s">
        <v>83</v>
      </c>
      <c r="E93" s="19" t="s">
        <v>2193</v>
      </c>
      <c r="F93" s="19" t="s">
        <v>81</v>
      </c>
      <c r="G93" s="20">
        <v>1</v>
      </c>
      <c r="H93" s="108" t="s">
        <v>1766</v>
      </c>
    </row>
    <row r="94" spans="1:8" ht="15.6" x14ac:dyDescent="0.25">
      <c r="A94" s="106">
        <v>6</v>
      </c>
      <c r="B94" s="106">
        <v>1</v>
      </c>
      <c r="C94" s="187" t="s">
        <v>117</v>
      </c>
      <c r="D94" s="19" t="s">
        <v>83</v>
      </c>
      <c r="E94" s="19" t="s">
        <v>2194</v>
      </c>
      <c r="F94" s="19" t="s">
        <v>81</v>
      </c>
      <c r="G94" s="20">
        <v>1</v>
      </c>
      <c r="H94" s="108" t="s">
        <v>1767</v>
      </c>
    </row>
    <row r="95" spans="1:8" ht="31.15" x14ac:dyDescent="0.25">
      <c r="A95" s="106">
        <v>17</v>
      </c>
      <c r="B95" s="106">
        <v>1</v>
      </c>
      <c r="C95" s="187" t="s">
        <v>41</v>
      </c>
      <c r="D95" s="19" t="s">
        <v>137</v>
      </c>
      <c r="E95" s="19" t="s">
        <v>2268</v>
      </c>
      <c r="F95" s="19" t="s">
        <v>69</v>
      </c>
      <c r="G95" s="20">
        <v>1</v>
      </c>
      <c r="H95" s="108" t="s">
        <v>2269</v>
      </c>
    </row>
    <row r="96" spans="1:8" ht="31.15" x14ac:dyDescent="0.25">
      <c r="A96" s="106">
        <v>17</v>
      </c>
      <c r="B96" s="106">
        <v>1</v>
      </c>
      <c r="C96" s="187" t="s">
        <v>41</v>
      </c>
      <c r="D96" s="15" t="s">
        <v>137</v>
      </c>
      <c r="E96" s="19" t="s">
        <v>2270</v>
      </c>
      <c r="F96" s="15" t="s">
        <v>81</v>
      </c>
      <c r="G96" s="14">
        <v>35</v>
      </c>
      <c r="H96" s="108" t="s">
        <v>2271</v>
      </c>
    </row>
    <row r="97" spans="1:8" ht="46.9" x14ac:dyDescent="0.25">
      <c r="A97" s="106">
        <v>17</v>
      </c>
      <c r="B97" s="106">
        <v>1</v>
      </c>
      <c r="C97" s="187" t="s">
        <v>41</v>
      </c>
      <c r="D97" s="15" t="s">
        <v>0</v>
      </c>
      <c r="E97" s="19" t="s">
        <v>2272</v>
      </c>
      <c r="F97" s="15" t="s">
        <v>69</v>
      </c>
      <c r="G97" s="14">
        <v>20</v>
      </c>
      <c r="H97" s="108" t="s">
        <v>2273</v>
      </c>
    </row>
    <row r="98" spans="1:8" ht="31.15" x14ac:dyDescent="0.25">
      <c r="A98" s="106">
        <v>17</v>
      </c>
      <c r="B98" s="106">
        <v>1</v>
      </c>
      <c r="C98" s="187" t="s">
        <v>41</v>
      </c>
      <c r="D98" s="187" t="s">
        <v>1</v>
      </c>
      <c r="E98" s="19" t="s">
        <v>2274</v>
      </c>
      <c r="F98" s="15" t="s">
        <v>81</v>
      </c>
      <c r="G98" s="14">
        <v>104</v>
      </c>
      <c r="H98" s="108" t="s">
        <v>2275</v>
      </c>
    </row>
    <row r="99" spans="1:8" ht="31.15" x14ac:dyDescent="0.25">
      <c r="A99" s="106">
        <v>17</v>
      </c>
      <c r="B99" s="106">
        <v>1</v>
      </c>
      <c r="C99" s="187" t="s">
        <v>41</v>
      </c>
      <c r="D99" s="15" t="s">
        <v>1</v>
      </c>
      <c r="E99" s="19" t="s">
        <v>2276</v>
      </c>
      <c r="F99" s="15" t="s">
        <v>81</v>
      </c>
      <c r="G99" s="14">
        <v>48</v>
      </c>
      <c r="H99" s="108" t="s">
        <v>2277</v>
      </c>
    </row>
    <row r="100" spans="1:8" ht="46.9" x14ac:dyDescent="0.25">
      <c r="A100" s="106">
        <v>17</v>
      </c>
      <c r="B100" s="106">
        <v>1</v>
      </c>
      <c r="C100" s="187" t="s">
        <v>41</v>
      </c>
      <c r="D100" s="19" t="s">
        <v>83</v>
      </c>
      <c r="E100" s="19" t="s">
        <v>2278</v>
      </c>
      <c r="F100" s="19" t="s">
        <v>69</v>
      </c>
      <c r="G100" s="20">
        <v>87</v>
      </c>
      <c r="H100" s="108" t="s">
        <v>2279</v>
      </c>
    </row>
    <row r="101" spans="1:8" ht="46.9" x14ac:dyDescent="0.25">
      <c r="A101" s="106">
        <v>17</v>
      </c>
      <c r="B101" s="106">
        <v>1</v>
      </c>
      <c r="C101" s="187" t="s">
        <v>41</v>
      </c>
      <c r="D101" s="15" t="s">
        <v>83</v>
      </c>
      <c r="E101" s="19" t="s">
        <v>2280</v>
      </c>
      <c r="F101" s="15" t="s">
        <v>69</v>
      </c>
      <c r="G101" s="14">
        <v>20</v>
      </c>
      <c r="H101" s="108" t="s">
        <v>2281</v>
      </c>
    </row>
    <row r="102" spans="1:8" ht="46.9" x14ac:dyDescent="0.25">
      <c r="A102" s="14">
        <v>17</v>
      </c>
      <c r="B102" s="14">
        <v>1</v>
      </c>
      <c r="C102" s="187" t="s">
        <v>41</v>
      </c>
      <c r="D102" s="19" t="s">
        <v>83</v>
      </c>
      <c r="E102" s="19" t="s">
        <v>2282</v>
      </c>
      <c r="F102" s="19" t="s">
        <v>81</v>
      </c>
      <c r="G102" s="20">
        <v>65</v>
      </c>
      <c r="H102" s="108" t="s">
        <v>2279</v>
      </c>
    </row>
    <row r="103" spans="1:8" ht="31.15" x14ac:dyDescent="0.25">
      <c r="A103" s="14">
        <v>17</v>
      </c>
      <c r="B103" s="14">
        <v>1</v>
      </c>
      <c r="C103" s="187" t="s">
        <v>41</v>
      </c>
      <c r="D103" s="15" t="s">
        <v>83</v>
      </c>
      <c r="E103" s="19" t="s">
        <v>2283</v>
      </c>
      <c r="F103" s="15" t="s">
        <v>81</v>
      </c>
      <c r="G103" s="14">
        <v>4</v>
      </c>
      <c r="H103" s="108" t="s">
        <v>2277</v>
      </c>
    </row>
    <row r="104" spans="1:8" ht="15.6" x14ac:dyDescent="0.25">
      <c r="A104" s="14">
        <v>8</v>
      </c>
      <c r="B104" s="14">
        <v>1</v>
      </c>
      <c r="C104" s="187" t="s">
        <v>32</v>
      </c>
      <c r="D104" s="15" t="s">
        <v>137</v>
      </c>
      <c r="E104" s="19" t="s">
        <v>2321</v>
      </c>
      <c r="F104" s="15" t="s">
        <v>81</v>
      </c>
      <c r="G104" s="14">
        <v>2</v>
      </c>
      <c r="H104" s="108" t="s">
        <v>2322</v>
      </c>
    </row>
    <row r="105" spans="1:8" ht="15.6" x14ac:dyDescent="0.25">
      <c r="A105" s="14">
        <v>8</v>
      </c>
      <c r="B105" s="14">
        <v>1</v>
      </c>
      <c r="C105" s="187" t="s">
        <v>32</v>
      </c>
      <c r="D105" s="15" t="s">
        <v>137</v>
      </c>
      <c r="E105" s="19" t="s">
        <v>2323</v>
      </c>
      <c r="F105" s="15" t="s">
        <v>81</v>
      </c>
      <c r="G105" s="14">
        <v>1</v>
      </c>
      <c r="H105" s="108" t="s">
        <v>2324</v>
      </c>
    </row>
    <row r="106" spans="1:8" ht="31.15" x14ac:dyDescent="0.25">
      <c r="A106" s="14">
        <v>8</v>
      </c>
      <c r="B106" s="14">
        <v>1</v>
      </c>
      <c r="C106" s="187" t="s">
        <v>32</v>
      </c>
      <c r="D106" s="15" t="s">
        <v>0</v>
      </c>
      <c r="E106" s="19" t="s">
        <v>2325</v>
      </c>
      <c r="F106" s="15" t="s">
        <v>69</v>
      </c>
      <c r="G106" s="14">
        <v>1</v>
      </c>
      <c r="H106" s="108" t="s">
        <v>2326</v>
      </c>
    </row>
    <row r="107" spans="1:8" ht="15.6" x14ac:dyDescent="0.25">
      <c r="A107" s="14">
        <v>8</v>
      </c>
      <c r="B107" s="14">
        <v>1</v>
      </c>
      <c r="C107" s="187" t="s">
        <v>32</v>
      </c>
      <c r="D107" s="15" t="s">
        <v>0</v>
      </c>
      <c r="E107" s="19" t="s">
        <v>2327</v>
      </c>
      <c r="F107" s="15" t="s">
        <v>69</v>
      </c>
      <c r="G107" s="14">
        <v>13</v>
      </c>
      <c r="H107" s="108" t="s">
        <v>2328</v>
      </c>
    </row>
    <row r="108" spans="1:8" ht="15.6" x14ac:dyDescent="0.25">
      <c r="A108" s="14">
        <v>8</v>
      </c>
      <c r="B108" s="14">
        <v>1</v>
      </c>
      <c r="C108" s="187" t="s">
        <v>32</v>
      </c>
      <c r="D108" s="15" t="s">
        <v>0</v>
      </c>
      <c r="E108" s="19" t="s">
        <v>2329</v>
      </c>
      <c r="F108" s="15" t="s">
        <v>69</v>
      </c>
      <c r="G108" s="14">
        <v>11</v>
      </c>
      <c r="H108" s="108" t="s">
        <v>2330</v>
      </c>
    </row>
    <row r="109" spans="1:8" ht="15.6" x14ac:dyDescent="0.25">
      <c r="A109" s="106">
        <v>8</v>
      </c>
      <c r="B109" s="106">
        <v>1</v>
      </c>
      <c r="C109" s="187" t="s">
        <v>32</v>
      </c>
      <c r="D109" s="187" t="s">
        <v>1</v>
      </c>
      <c r="E109" s="19" t="s">
        <v>2331</v>
      </c>
      <c r="F109" s="15" t="s">
        <v>81</v>
      </c>
      <c r="G109" s="14">
        <v>222</v>
      </c>
      <c r="H109" s="108" t="s">
        <v>2332</v>
      </c>
    </row>
    <row r="110" spans="1:8" ht="31.15" x14ac:dyDescent="0.25">
      <c r="A110" s="106">
        <v>8</v>
      </c>
      <c r="B110" s="106">
        <v>1</v>
      </c>
      <c r="C110" s="187" t="s">
        <v>32</v>
      </c>
      <c r="D110" s="187" t="s">
        <v>1</v>
      </c>
      <c r="E110" s="19" t="s">
        <v>2333</v>
      </c>
      <c r="F110" s="15" t="s">
        <v>81</v>
      </c>
      <c r="G110" s="14">
        <v>9</v>
      </c>
      <c r="H110" s="108" t="s">
        <v>2334</v>
      </c>
    </row>
    <row r="111" spans="1:8" ht="15.6" x14ac:dyDescent="0.25">
      <c r="A111" s="106">
        <v>8</v>
      </c>
      <c r="B111" s="106">
        <v>1</v>
      </c>
      <c r="C111" s="187" t="s">
        <v>32</v>
      </c>
      <c r="D111" s="15" t="s">
        <v>83</v>
      </c>
      <c r="E111" s="19" t="s">
        <v>2335</v>
      </c>
      <c r="F111" s="15" t="s">
        <v>69</v>
      </c>
      <c r="G111" s="14">
        <v>3</v>
      </c>
      <c r="H111" s="108" t="s">
        <v>2336</v>
      </c>
    </row>
    <row r="112" spans="1:8" ht="15.6" x14ac:dyDescent="0.25">
      <c r="A112" s="106">
        <v>8</v>
      </c>
      <c r="B112" s="106">
        <v>1</v>
      </c>
      <c r="C112" s="187" t="s">
        <v>32</v>
      </c>
      <c r="D112" s="15" t="s">
        <v>83</v>
      </c>
      <c r="E112" s="19" t="s">
        <v>2337</v>
      </c>
      <c r="F112" s="15" t="s">
        <v>69</v>
      </c>
      <c r="G112" s="14">
        <v>10</v>
      </c>
      <c r="H112" s="108" t="s">
        <v>2338</v>
      </c>
    </row>
    <row r="113" spans="1:8" ht="15.6" x14ac:dyDescent="0.25">
      <c r="A113" s="106">
        <v>8</v>
      </c>
      <c r="B113" s="106">
        <v>1</v>
      </c>
      <c r="C113" s="187" t="s">
        <v>32</v>
      </c>
      <c r="D113" s="15" t="s">
        <v>83</v>
      </c>
      <c r="E113" s="19" t="s">
        <v>2339</v>
      </c>
      <c r="F113" s="15" t="s">
        <v>81</v>
      </c>
      <c r="G113" s="14">
        <v>13</v>
      </c>
      <c r="H113" s="108" t="s">
        <v>2340</v>
      </c>
    </row>
    <row r="114" spans="1:8" ht="15.6" x14ac:dyDescent="0.25">
      <c r="A114" s="106">
        <v>8</v>
      </c>
      <c r="B114" s="106">
        <v>1</v>
      </c>
      <c r="C114" s="187" t="s">
        <v>32</v>
      </c>
      <c r="D114" s="15" t="s">
        <v>83</v>
      </c>
      <c r="E114" s="19" t="s">
        <v>2341</v>
      </c>
      <c r="F114" s="15" t="s">
        <v>69</v>
      </c>
      <c r="G114" s="14">
        <v>13</v>
      </c>
      <c r="H114" s="108" t="s">
        <v>2342</v>
      </c>
    </row>
    <row r="115" spans="1:8" ht="15.6" x14ac:dyDescent="0.25">
      <c r="A115" s="106">
        <v>8</v>
      </c>
      <c r="B115" s="106">
        <v>1</v>
      </c>
      <c r="C115" s="187" t="s">
        <v>32</v>
      </c>
      <c r="D115" s="15" t="s">
        <v>83</v>
      </c>
      <c r="E115" s="19" t="s">
        <v>2343</v>
      </c>
      <c r="F115" s="15" t="s">
        <v>69</v>
      </c>
      <c r="G115" s="14">
        <v>5</v>
      </c>
      <c r="H115" s="108" t="s">
        <v>2344</v>
      </c>
    </row>
    <row r="116" spans="1:8" ht="31.15" x14ac:dyDescent="0.25">
      <c r="A116" s="106">
        <v>19</v>
      </c>
      <c r="B116" s="106">
        <v>1</v>
      </c>
      <c r="C116" s="187" t="s">
        <v>43</v>
      </c>
      <c r="D116" s="187" t="s">
        <v>1</v>
      </c>
      <c r="E116" s="19" t="s">
        <v>2384</v>
      </c>
      <c r="F116" s="183" t="s">
        <v>81</v>
      </c>
      <c r="G116" s="14">
        <v>15</v>
      </c>
      <c r="H116" s="184" t="s">
        <v>2385</v>
      </c>
    </row>
    <row r="117" spans="1:8" ht="46.9" x14ac:dyDescent="0.25">
      <c r="A117" s="106">
        <v>19</v>
      </c>
      <c r="B117" s="106">
        <v>1</v>
      </c>
      <c r="C117" s="187" t="s">
        <v>43</v>
      </c>
      <c r="D117" s="187" t="s">
        <v>1</v>
      </c>
      <c r="E117" s="19" t="s">
        <v>2386</v>
      </c>
      <c r="F117" s="183" t="s">
        <v>69</v>
      </c>
      <c r="G117" s="14">
        <v>40</v>
      </c>
      <c r="H117" s="184" t="s">
        <v>2387</v>
      </c>
    </row>
    <row r="118" spans="1:8" ht="31.15" x14ac:dyDescent="0.25">
      <c r="A118" s="106">
        <v>19</v>
      </c>
      <c r="B118" s="106">
        <v>1</v>
      </c>
      <c r="C118" s="187" t="s">
        <v>43</v>
      </c>
      <c r="D118" s="187" t="s">
        <v>1</v>
      </c>
      <c r="E118" s="19" t="s">
        <v>2388</v>
      </c>
      <c r="F118" s="183" t="s">
        <v>81</v>
      </c>
      <c r="G118" s="14" t="s">
        <v>2389</v>
      </c>
      <c r="H118" s="184" t="s">
        <v>2390</v>
      </c>
    </row>
    <row r="119" spans="1:8" ht="46.9" x14ac:dyDescent="0.25">
      <c r="A119" s="106">
        <v>19</v>
      </c>
      <c r="B119" s="106">
        <v>1</v>
      </c>
      <c r="C119" s="187" t="s">
        <v>43</v>
      </c>
      <c r="D119" s="187" t="s">
        <v>1</v>
      </c>
      <c r="E119" s="19" t="s">
        <v>2391</v>
      </c>
      <c r="F119" s="183" t="s">
        <v>81</v>
      </c>
      <c r="G119" s="14">
        <v>22</v>
      </c>
      <c r="H119" s="184" t="s">
        <v>2392</v>
      </c>
    </row>
    <row r="120" spans="1:8" ht="31.15" x14ac:dyDescent="0.25">
      <c r="A120" s="106">
        <v>19</v>
      </c>
      <c r="B120" s="106">
        <v>1</v>
      </c>
      <c r="C120" s="187" t="s">
        <v>43</v>
      </c>
      <c r="D120" s="187" t="s">
        <v>1</v>
      </c>
      <c r="E120" s="19" t="s">
        <v>2393</v>
      </c>
      <c r="F120" s="183" t="s">
        <v>69</v>
      </c>
      <c r="G120" s="14">
        <v>9</v>
      </c>
      <c r="H120" s="184" t="s">
        <v>2394</v>
      </c>
    </row>
    <row r="121" spans="1:8" ht="31.15" x14ac:dyDescent="0.25">
      <c r="A121" s="106">
        <v>28</v>
      </c>
      <c r="B121" s="106">
        <v>1</v>
      </c>
      <c r="C121" s="187" t="s">
        <v>52</v>
      </c>
      <c r="D121" s="15" t="s">
        <v>0</v>
      </c>
      <c r="E121" s="19" t="s">
        <v>2437</v>
      </c>
      <c r="F121" s="15" t="s">
        <v>69</v>
      </c>
      <c r="G121" s="14">
        <v>164</v>
      </c>
      <c r="H121" s="108" t="s">
        <v>2063</v>
      </c>
    </row>
    <row r="122" spans="1:8" ht="31.15" x14ac:dyDescent="0.25">
      <c r="A122" s="106">
        <v>28</v>
      </c>
      <c r="B122" s="106">
        <v>1</v>
      </c>
      <c r="C122" s="187" t="s">
        <v>52</v>
      </c>
      <c r="D122" s="15" t="s">
        <v>0</v>
      </c>
      <c r="E122" s="19" t="s">
        <v>2438</v>
      </c>
      <c r="F122" s="15" t="s">
        <v>69</v>
      </c>
      <c r="G122" s="14">
        <v>38</v>
      </c>
      <c r="H122" s="108" t="s">
        <v>2058</v>
      </c>
    </row>
    <row r="123" spans="1:8" ht="31.15" x14ac:dyDescent="0.25">
      <c r="A123" s="106">
        <v>28</v>
      </c>
      <c r="B123" s="106">
        <v>1</v>
      </c>
      <c r="C123" s="187" t="s">
        <v>52</v>
      </c>
      <c r="D123" s="187" t="s">
        <v>1</v>
      </c>
      <c r="E123" s="19" t="s">
        <v>2439</v>
      </c>
      <c r="F123" s="15" t="s">
        <v>69</v>
      </c>
      <c r="G123" s="14">
        <v>327</v>
      </c>
      <c r="H123" s="108" t="s">
        <v>2440</v>
      </c>
    </row>
    <row r="124" spans="1:8" ht="31.15" x14ac:dyDescent="0.25">
      <c r="A124" s="106">
        <v>28</v>
      </c>
      <c r="B124" s="106">
        <v>1</v>
      </c>
      <c r="C124" s="187" t="s">
        <v>52</v>
      </c>
      <c r="D124" s="187" t="s">
        <v>1</v>
      </c>
      <c r="E124" s="19" t="s">
        <v>2441</v>
      </c>
      <c r="F124" s="15" t="s">
        <v>69</v>
      </c>
      <c r="G124" s="14">
        <v>41</v>
      </c>
      <c r="H124" s="108" t="s">
        <v>2442</v>
      </c>
    </row>
    <row r="125" spans="1:8" ht="31.15" x14ac:dyDescent="0.25">
      <c r="A125" s="106">
        <v>28</v>
      </c>
      <c r="B125" s="106">
        <v>1</v>
      </c>
      <c r="C125" s="187" t="s">
        <v>52</v>
      </c>
      <c r="D125" s="15" t="s">
        <v>1</v>
      </c>
      <c r="E125" s="19" t="s">
        <v>2443</v>
      </c>
      <c r="F125" s="15" t="s">
        <v>69</v>
      </c>
      <c r="G125" s="14">
        <v>58</v>
      </c>
      <c r="H125" s="108" t="s">
        <v>2444</v>
      </c>
    </row>
    <row r="126" spans="1:8" ht="31.15" x14ac:dyDescent="0.25">
      <c r="A126" s="106">
        <v>28</v>
      </c>
      <c r="B126" s="106">
        <v>1</v>
      </c>
      <c r="C126" s="187" t="s">
        <v>52</v>
      </c>
      <c r="D126" s="15" t="s">
        <v>83</v>
      </c>
      <c r="E126" s="19" t="s">
        <v>2445</v>
      </c>
      <c r="F126" s="15" t="s">
        <v>69</v>
      </c>
      <c r="G126" s="14">
        <v>444</v>
      </c>
      <c r="H126" s="108" t="s">
        <v>2446</v>
      </c>
    </row>
    <row r="127" spans="1:8" ht="31.15" x14ac:dyDescent="0.25">
      <c r="A127" s="106">
        <v>28</v>
      </c>
      <c r="B127" s="106">
        <v>1</v>
      </c>
      <c r="C127" s="187" t="s">
        <v>52</v>
      </c>
      <c r="D127" s="15" t="s">
        <v>83</v>
      </c>
      <c r="E127" s="19" t="s">
        <v>2447</v>
      </c>
      <c r="F127" s="15" t="s">
        <v>69</v>
      </c>
      <c r="G127" s="14">
        <v>497</v>
      </c>
      <c r="H127" s="108" t="s">
        <v>2448</v>
      </c>
    </row>
    <row r="128" spans="1:8" ht="46.9" x14ac:dyDescent="0.25">
      <c r="A128" s="106">
        <v>28</v>
      </c>
      <c r="B128" s="106">
        <v>1</v>
      </c>
      <c r="C128" s="187" t="s">
        <v>52</v>
      </c>
      <c r="D128" s="15" t="s">
        <v>83</v>
      </c>
      <c r="E128" s="19" t="s">
        <v>2449</v>
      </c>
      <c r="F128" s="15" t="s">
        <v>69</v>
      </c>
      <c r="G128" s="14">
        <v>333</v>
      </c>
      <c r="H128" s="108" t="s">
        <v>2450</v>
      </c>
    </row>
    <row r="129" spans="1:8" ht="46.9" x14ac:dyDescent="0.25">
      <c r="A129" s="106">
        <v>13</v>
      </c>
      <c r="B129" s="106">
        <v>1</v>
      </c>
      <c r="C129" s="187" t="s">
        <v>37</v>
      </c>
      <c r="D129" s="15" t="s">
        <v>137</v>
      </c>
      <c r="E129" s="19" t="s">
        <v>2533</v>
      </c>
      <c r="F129" s="15" t="s">
        <v>81</v>
      </c>
      <c r="G129" s="14">
        <v>54</v>
      </c>
      <c r="H129" s="108" t="s">
        <v>2534</v>
      </c>
    </row>
    <row r="130" spans="1:8" ht="31.15" x14ac:dyDescent="0.25">
      <c r="A130" s="106">
        <v>13</v>
      </c>
      <c r="B130" s="106">
        <v>1</v>
      </c>
      <c r="C130" s="187" t="s">
        <v>37</v>
      </c>
      <c r="D130" s="15" t="s">
        <v>0</v>
      </c>
      <c r="E130" s="19" t="s">
        <v>2535</v>
      </c>
      <c r="F130" s="15" t="s">
        <v>81</v>
      </c>
      <c r="G130" s="14">
        <v>9</v>
      </c>
      <c r="H130" s="108" t="s">
        <v>2536</v>
      </c>
    </row>
    <row r="131" spans="1:8" ht="15.6" x14ac:dyDescent="0.25">
      <c r="A131" s="106">
        <v>13</v>
      </c>
      <c r="B131" s="106">
        <v>1</v>
      </c>
      <c r="C131" s="187" t="s">
        <v>37</v>
      </c>
      <c r="D131" s="187" t="s">
        <v>0</v>
      </c>
      <c r="E131" s="183" t="s">
        <v>2537</v>
      </c>
      <c r="F131" s="183" t="s">
        <v>81</v>
      </c>
      <c r="G131" s="14">
        <v>25</v>
      </c>
      <c r="H131" s="184" t="s">
        <v>220</v>
      </c>
    </row>
    <row r="132" spans="1:8" ht="62.45" x14ac:dyDescent="0.25">
      <c r="A132" s="106">
        <v>13</v>
      </c>
      <c r="B132" s="106">
        <v>1</v>
      </c>
      <c r="C132" s="187" t="s">
        <v>37</v>
      </c>
      <c r="D132" s="187" t="s">
        <v>1</v>
      </c>
      <c r="E132" s="19" t="s">
        <v>2538</v>
      </c>
      <c r="F132" s="15" t="s">
        <v>81</v>
      </c>
      <c r="G132" s="14">
        <v>40</v>
      </c>
      <c r="H132" s="108" t="s">
        <v>2539</v>
      </c>
    </row>
    <row r="133" spans="1:8" ht="31.15" x14ac:dyDescent="0.25">
      <c r="A133" s="106">
        <v>13</v>
      </c>
      <c r="B133" s="106">
        <v>1</v>
      </c>
      <c r="C133" s="187" t="s">
        <v>37</v>
      </c>
      <c r="D133" s="187" t="s">
        <v>1</v>
      </c>
      <c r="E133" s="19" t="s">
        <v>2540</v>
      </c>
      <c r="F133" s="15" t="s">
        <v>81</v>
      </c>
      <c r="G133" s="14">
        <v>29</v>
      </c>
      <c r="H133" s="108" t="s">
        <v>2541</v>
      </c>
    </row>
    <row r="134" spans="1:8" ht="31.15" x14ac:dyDescent="0.25">
      <c r="A134" s="106">
        <v>13</v>
      </c>
      <c r="B134" s="106">
        <v>1</v>
      </c>
      <c r="C134" s="187" t="s">
        <v>37</v>
      </c>
      <c r="D134" s="187" t="s">
        <v>1</v>
      </c>
      <c r="E134" s="19" t="s">
        <v>2542</v>
      </c>
      <c r="F134" s="15" t="s">
        <v>81</v>
      </c>
      <c r="G134" s="14">
        <v>30</v>
      </c>
      <c r="H134" s="108" t="s">
        <v>2543</v>
      </c>
    </row>
    <row r="135" spans="1:8" ht="31.15" x14ac:dyDescent="0.25">
      <c r="A135" s="14">
        <v>13</v>
      </c>
      <c r="B135" s="14">
        <v>1</v>
      </c>
      <c r="C135" s="187" t="s">
        <v>37</v>
      </c>
      <c r="D135" s="187" t="s">
        <v>1</v>
      </c>
      <c r="E135" s="19" t="s">
        <v>2544</v>
      </c>
      <c r="F135" s="15" t="s">
        <v>81</v>
      </c>
      <c r="G135" s="14">
        <v>52</v>
      </c>
      <c r="H135" s="108" t="s">
        <v>2541</v>
      </c>
    </row>
    <row r="136" spans="1:8" ht="46.9" x14ac:dyDescent="0.25">
      <c r="A136" s="14">
        <v>13</v>
      </c>
      <c r="B136" s="14">
        <v>1</v>
      </c>
      <c r="C136" s="187" t="s">
        <v>37</v>
      </c>
      <c r="D136" s="187" t="s">
        <v>1</v>
      </c>
      <c r="E136" s="19" t="s">
        <v>2545</v>
      </c>
      <c r="F136" s="15" t="s">
        <v>81</v>
      </c>
      <c r="G136" s="14">
        <v>58</v>
      </c>
      <c r="H136" s="108" t="s">
        <v>2534</v>
      </c>
    </row>
    <row r="137" spans="1:8" ht="15.6" x14ac:dyDescent="0.25">
      <c r="A137" s="14">
        <v>13</v>
      </c>
      <c r="B137" s="14">
        <v>1</v>
      </c>
      <c r="C137" s="187" t="s">
        <v>37</v>
      </c>
      <c r="D137" s="187" t="s">
        <v>1</v>
      </c>
      <c r="E137" s="19" t="s">
        <v>2546</v>
      </c>
      <c r="F137" s="15" t="s">
        <v>81</v>
      </c>
      <c r="G137" s="14">
        <v>33</v>
      </c>
      <c r="H137" s="108" t="s">
        <v>217</v>
      </c>
    </row>
    <row r="138" spans="1:8" ht="31.15" x14ac:dyDescent="0.25">
      <c r="A138" s="14">
        <v>13</v>
      </c>
      <c r="B138" s="14">
        <v>1</v>
      </c>
      <c r="C138" s="187" t="s">
        <v>37</v>
      </c>
      <c r="D138" s="187" t="s">
        <v>1</v>
      </c>
      <c r="E138" s="19" t="s">
        <v>2547</v>
      </c>
      <c r="F138" s="15" t="s">
        <v>81</v>
      </c>
      <c r="G138" s="14">
        <v>17</v>
      </c>
      <c r="H138" s="108" t="s">
        <v>2541</v>
      </c>
    </row>
    <row r="139" spans="1:8" ht="15.6" x14ac:dyDescent="0.25">
      <c r="A139" s="14">
        <v>13</v>
      </c>
      <c r="B139" s="14">
        <v>1</v>
      </c>
      <c r="C139" s="187" t="s">
        <v>37</v>
      </c>
      <c r="D139" s="187" t="s">
        <v>1</v>
      </c>
      <c r="E139" s="19" t="s">
        <v>2548</v>
      </c>
      <c r="F139" s="183" t="s">
        <v>81</v>
      </c>
      <c r="G139" s="14">
        <v>33</v>
      </c>
      <c r="H139" s="184" t="s">
        <v>217</v>
      </c>
    </row>
    <row r="140" spans="1:8" ht="31.15" x14ac:dyDescent="0.25">
      <c r="A140" s="14">
        <v>13</v>
      </c>
      <c r="B140" s="14">
        <v>1</v>
      </c>
      <c r="C140" s="187" t="s">
        <v>37</v>
      </c>
      <c r="D140" s="15" t="s">
        <v>83</v>
      </c>
      <c r="E140" s="19" t="s">
        <v>2549</v>
      </c>
      <c r="F140" s="15" t="s">
        <v>69</v>
      </c>
      <c r="G140" s="14">
        <v>76</v>
      </c>
      <c r="H140" s="108" t="s">
        <v>2550</v>
      </c>
    </row>
    <row r="141" spans="1:8" ht="31.15" x14ac:dyDescent="0.25">
      <c r="A141" s="14">
        <v>13</v>
      </c>
      <c r="B141" s="14">
        <v>1</v>
      </c>
      <c r="C141" s="187" t="s">
        <v>37</v>
      </c>
      <c r="D141" s="15" t="s">
        <v>83</v>
      </c>
      <c r="E141" s="19" t="s">
        <v>2551</v>
      </c>
      <c r="F141" s="15" t="s">
        <v>81</v>
      </c>
      <c r="G141" s="14">
        <v>1</v>
      </c>
      <c r="H141" s="108" t="s">
        <v>2552</v>
      </c>
    </row>
    <row r="142" spans="1:8" ht="46.9" x14ac:dyDescent="0.25">
      <c r="A142" s="14">
        <v>23</v>
      </c>
      <c r="B142" s="14">
        <v>1</v>
      </c>
      <c r="C142" s="187" t="s">
        <v>47</v>
      </c>
      <c r="D142" s="15" t="s">
        <v>1731</v>
      </c>
      <c r="E142" s="19" t="s">
        <v>2605</v>
      </c>
      <c r="F142" s="15" t="s">
        <v>81</v>
      </c>
      <c r="G142" s="14">
        <v>59</v>
      </c>
      <c r="H142" s="108" t="s">
        <v>2606</v>
      </c>
    </row>
    <row r="143" spans="1:8" ht="93.6" x14ac:dyDescent="0.25">
      <c r="A143" s="14">
        <v>23</v>
      </c>
      <c r="B143" s="14">
        <v>1</v>
      </c>
      <c r="C143" s="187" t="s">
        <v>47</v>
      </c>
      <c r="D143" s="187" t="s">
        <v>1</v>
      </c>
      <c r="E143" s="19" t="s">
        <v>2607</v>
      </c>
      <c r="F143" s="15" t="s">
        <v>81</v>
      </c>
      <c r="G143" s="14">
        <v>104</v>
      </c>
      <c r="H143" s="108" t="s">
        <v>2608</v>
      </c>
    </row>
    <row r="144" spans="1:8" ht="78" x14ac:dyDescent="0.25">
      <c r="A144" s="14">
        <v>23</v>
      </c>
      <c r="B144" s="14">
        <v>1</v>
      </c>
      <c r="C144" s="187" t="s">
        <v>47</v>
      </c>
      <c r="D144" s="187" t="s">
        <v>1</v>
      </c>
      <c r="E144" s="19" t="s">
        <v>2609</v>
      </c>
      <c r="F144" s="15" t="s">
        <v>81</v>
      </c>
      <c r="G144" s="14">
        <v>111</v>
      </c>
      <c r="H144" s="108" t="s">
        <v>2610</v>
      </c>
    </row>
    <row r="145" spans="1:8" ht="78" x14ac:dyDescent="0.25">
      <c r="A145" s="14">
        <v>23</v>
      </c>
      <c r="B145" s="14">
        <v>1</v>
      </c>
      <c r="C145" s="187" t="s">
        <v>47</v>
      </c>
      <c r="D145" s="187" t="s">
        <v>1</v>
      </c>
      <c r="E145" s="19" t="s">
        <v>2611</v>
      </c>
      <c r="F145" s="15" t="s">
        <v>81</v>
      </c>
      <c r="G145" s="14">
        <v>130</v>
      </c>
      <c r="H145" s="108" t="s">
        <v>2612</v>
      </c>
    </row>
    <row r="146" spans="1:8" ht="46.9" x14ac:dyDescent="0.25">
      <c r="A146" s="14">
        <v>23</v>
      </c>
      <c r="B146" s="14">
        <v>1</v>
      </c>
      <c r="C146" s="187" t="s">
        <v>47</v>
      </c>
      <c r="D146" s="187" t="s">
        <v>1</v>
      </c>
      <c r="E146" s="19" t="s">
        <v>1366</v>
      </c>
      <c r="F146" s="15" t="s">
        <v>81</v>
      </c>
      <c r="G146" s="14">
        <v>1</v>
      </c>
      <c r="H146" s="108" t="s">
        <v>2613</v>
      </c>
    </row>
    <row r="147" spans="1:8" ht="46.9" x14ac:dyDescent="0.25">
      <c r="A147" s="14">
        <v>23</v>
      </c>
      <c r="B147" s="14">
        <v>1</v>
      </c>
      <c r="C147" s="187" t="s">
        <v>47</v>
      </c>
      <c r="D147" s="15" t="s">
        <v>83</v>
      </c>
      <c r="E147" s="19" t="s">
        <v>2614</v>
      </c>
      <c r="F147" s="15" t="s">
        <v>69</v>
      </c>
      <c r="G147" s="14">
        <v>36</v>
      </c>
      <c r="H147" s="108" t="s">
        <v>2615</v>
      </c>
    </row>
    <row r="148" spans="1:8" ht="15.6" x14ac:dyDescent="0.25">
      <c r="A148" s="14">
        <v>23</v>
      </c>
      <c r="B148" s="14">
        <v>1</v>
      </c>
      <c r="C148" s="187" t="s">
        <v>47</v>
      </c>
      <c r="D148" s="15" t="s">
        <v>83</v>
      </c>
      <c r="E148" s="19" t="s">
        <v>2616</v>
      </c>
      <c r="F148" s="15" t="s">
        <v>69</v>
      </c>
      <c r="G148" s="14">
        <v>12</v>
      </c>
      <c r="H148" s="108" t="s">
        <v>2617</v>
      </c>
    </row>
    <row r="149" spans="1:8" ht="46.9" x14ac:dyDescent="0.25">
      <c r="A149" s="14">
        <v>27</v>
      </c>
      <c r="B149" s="14">
        <v>1</v>
      </c>
      <c r="C149" s="187" t="s">
        <v>51</v>
      </c>
      <c r="D149" s="187" t="s">
        <v>1</v>
      </c>
      <c r="E149" s="19" t="s">
        <v>2657</v>
      </c>
      <c r="F149" s="15" t="s">
        <v>69</v>
      </c>
      <c r="G149" s="14">
        <v>20</v>
      </c>
      <c r="H149" s="108" t="s">
        <v>2658</v>
      </c>
    </row>
    <row r="150" spans="1:8" ht="15.6" x14ac:dyDescent="0.25">
      <c r="A150" s="14">
        <v>27</v>
      </c>
      <c r="B150" s="14">
        <v>1</v>
      </c>
      <c r="C150" s="187" t="s">
        <v>51</v>
      </c>
      <c r="D150" s="187" t="s">
        <v>1</v>
      </c>
      <c r="E150" s="19" t="s">
        <v>2659</v>
      </c>
      <c r="F150" s="15" t="s">
        <v>69</v>
      </c>
      <c r="G150" s="14">
        <v>60</v>
      </c>
      <c r="H150" s="108" t="s">
        <v>2660</v>
      </c>
    </row>
    <row r="151" spans="1:8" ht="46.9" x14ac:dyDescent="0.25">
      <c r="A151" s="14">
        <v>27</v>
      </c>
      <c r="B151" s="14">
        <v>1</v>
      </c>
      <c r="C151" s="187" t="s">
        <v>51</v>
      </c>
      <c r="D151" s="187" t="s">
        <v>1</v>
      </c>
      <c r="E151" s="19" t="s">
        <v>2661</v>
      </c>
      <c r="F151" s="15" t="s">
        <v>81</v>
      </c>
      <c r="G151" s="14">
        <v>75</v>
      </c>
      <c r="H151" s="108" t="s">
        <v>2662</v>
      </c>
    </row>
    <row r="152" spans="1:8" ht="31.15" x14ac:dyDescent="0.25">
      <c r="A152" s="14">
        <v>27</v>
      </c>
      <c r="B152" s="14">
        <v>1</v>
      </c>
      <c r="C152" s="187" t="s">
        <v>51</v>
      </c>
      <c r="D152" s="187" t="s">
        <v>1</v>
      </c>
      <c r="E152" s="19" t="s">
        <v>2663</v>
      </c>
      <c r="F152" s="15" t="s">
        <v>69</v>
      </c>
      <c r="G152" s="14">
        <v>60</v>
      </c>
      <c r="H152" s="108" t="s">
        <v>2664</v>
      </c>
    </row>
    <row r="153" spans="1:8" ht="46.9" x14ac:dyDescent="0.25">
      <c r="A153" s="14">
        <v>27</v>
      </c>
      <c r="B153" s="14">
        <v>1</v>
      </c>
      <c r="C153" s="187" t="s">
        <v>51</v>
      </c>
      <c r="D153" s="15" t="s">
        <v>83</v>
      </c>
      <c r="E153" s="19" t="s">
        <v>2665</v>
      </c>
      <c r="F153" s="15" t="s">
        <v>69</v>
      </c>
      <c r="G153" s="14">
        <v>2</v>
      </c>
      <c r="H153" s="108" t="s">
        <v>2666</v>
      </c>
    </row>
    <row r="154" spans="1:8" ht="31.15" x14ac:dyDescent="0.25">
      <c r="A154" s="14">
        <v>27</v>
      </c>
      <c r="B154" s="14">
        <v>1</v>
      </c>
      <c r="C154" s="187" t="s">
        <v>51</v>
      </c>
      <c r="D154" s="15" t="s">
        <v>1</v>
      </c>
      <c r="E154" s="19" t="s">
        <v>2667</v>
      </c>
      <c r="F154" s="15" t="s">
        <v>69</v>
      </c>
      <c r="G154" s="14">
        <v>60</v>
      </c>
      <c r="H154" s="108" t="s">
        <v>2668</v>
      </c>
    </row>
    <row r="155" spans="1:8" ht="15.6" x14ac:dyDescent="0.25">
      <c r="A155" s="14">
        <v>27</v>
      </c>
      <c r="B155" s="14">
        <v>1</v>
      </c>
      <c r="C155" s="187" t="s">
        <v>51</v>
      </c>
      <c r="D155" s="187" t="s">
        <v>83</v>
      </c>
      <c r="E155" s="19" t="s">
        <v>2669</v>
      </c>
      <c r="F155" s="15" t="s">
        <v>69</v>
      </c>
      <c r="G155" s="14">
        <v>2</v>
      </c>
      <c r="H155" s="108" t="s">
        <v>2670</v>
      </c>
    </row>
    <row r="156" spans="1:8" ht="62.45" x14ac:dyDescent="0.25">
      <c r="A156" s="14">
        <v>4</v>
      </c>
      <c r="B156" s="14">
        <v>1</v>
      </c>
      <c r="C156" s="187" t="s">
        <v>95</v>
      </c>
      <c r="D156" s="15" t="s">
        <v>0</v>
      </c>
      <c r="E156" s="19" t="s">
        <v>2695</v>
      </c>
      <c r="F156" s="15" t="s">
        <v>69</v>
      </c>
      <c r="G156" s="14">
        <v>3</v>
      </c>
      <c r="H156" s="108" t="s">
        <v>2696</v>
      </c>
    </row>
    <row r="157" spans="1:8" ht="46.9" x14ac:dyDescent="0.25">
      <c r="A157" s="14">
        <v>4</v>
      </c>
      <c r="B157" s="14">
        <v>1</v>
      </c>
      <c r="C157" s="187" t="s">
        <v>95</v>
      </c>
      <c r="D157" s="187" t="s">
        <v>1</v>
      </c>
      <c r="E157" s="19" t="s">
        <v>2697</v>
      </c>
      <c r="F157" s="15" t="s">
        <v>69</v>
      </c>
      <c r="G157" s="14">
        <v>210</v>
      </c>
      <c r="H157" s="108" t="s">
        <v>2698</v>
      </c>
    </row>
    <row r="158" spans="1:8" ht="46.9" x14ac:dyDescent="0.25">
      <c r="A158" s="14">
        <v>4</v>
      </c>
      <c r="B158" s="14">
        <v>1</v>
      </c>
      <c r="C158" s="187" t="s">
        <v>95</v>
      </c>
      <c r="D158" s="187" t="s">
        <v>1</v>
      </c>
      <c r="E158" s="19" t="s">
        <v>2699</v>
      </c>
      <c r="F158" s="15" t="s">
        <v>69</v>
      </c>
      <c r="G158" s="14">
        <v>403</v>
      </c>
      <c r="H158" s="108" t="s">
        <v>2700</v>
      </c>
    </row>
    <row r="159" spans="1:8" ht="31.15" x14ac:dyDescent="0.25">
      <c r="A159" s="14">
        <v>4</v>
      </c>
      <c r="B159" s="14">
        <v>1</v>
      </c>
      <c r="C159" s="187" t="s">
        <v>95</v>
      </c>
      <c r="D159" s="187" t="s">
        <v>1</v>
      </c>
      <c r="E159" s="19" t="s">
        <v>2701</v>
      </c>
      <c r="F159" s="15" t="s">
        <v>69</v>
      </c>
      <c r="G159" s="14">
        <v>1</v>
      </c>
      <c r="H159" s="108" t="s">
        <v>2702</v>
      </c>
    </row>
    <row r="160" spans="1:8" ht="93.6" x14ac:dyDescent="0.25">
      <c r="A160" s="14">
        <v>4</v>
      </c>
      <c r="B160" s="14">
        <v>1</v>
      </c>
      <c r="C160" s="187" t="s">
        <v>95</v>
      </c>
      <c r="D160" s="15" t="s">
        <v>83</v>
      </c>
      <c r="E160" s="19" t="s">
        <v>2703</v>
      </c>
      <c r="F160" s="15" t="s">
        <v>69</v>
      </c>
      <c r="G160" s="14">
        <v>18</v>
      </c>
      <c r="H160" s="108" t="s">
        <v>106</v>
      </c>
    </row>
    <row r="161" spans="1:8" ht="109.15" x14ac:dyDescent="0.25">
      <c r="A161" s="14">
        <v>4</v>
      </c>
      <c r="B161" s="14">
        <v>1</v>
      </c>
      <c r="C161" s="187" t="s">
        <v>95</v>
      </c>
      <c r="D161" s="15" t="s">
        <v>83</v>
      </c>
      <c r="E161" s="19" t="s">
        <v>2704</v>
      </c>
      <c r="F161" s="15" t="s">
        <v>69</v>
      </c>
      <c r="G161" s="14">
        <v>7</v>
      </c>
      <c r="H161" s="108" t="s">
        <v>2705</v>
      </c>
    </row>
    <row r="162" spans="1:8" ht="31.15" x14ac:dyDescent="0.25">
      <c r="A162" s="14">
        <v>4</v>
      </c>
      <c r="B162" s="14">
        <v>1</v>
      </c>
      <c r="C162" s="187" t="s">
        <v>95</v>
      </c>
      <c r="D162" s="15" t="s">
        <v>83</v>
      </c>
      <c r="E162" s="19" t="s">
        <v>2706</v>
      </c>
      <c r="F162" s="15" t="s">
        <v>69</v>
      </c>
      <c r="G162" s="14">
        <v>17</v>
      </c>
      <c r="H162" s="108" t="s">
        <v>2707</v>
      </c>
    </row>
    <row r="163" spans="1:8" ht="31.15" x14ac:dyDescent="0.25">
      <c r="A163" s="14">
        <v>4</v>
      </c>
      <c r="B163" s="14">
        <v>1</v>
      </c>
      <c r="C163" s="187" t="s">
        <v>95</v>
      </c>
      <c r="D163" s="15" t="s">
        <v>83</v>
      </c>
      <c r="E163" s="19" t="s">
        <v>2708</v>
      </c>
      <c r="F163" s="15" t="s">
        <v>69</v>
      </c>
      <c r="G163" s="14">
        <v>13</v>
      </c>
      <c r="H163" s="108" t="s">
        <v>106</v>
      </c>
    </row>
    <row r="164" spans="1:8" ht="93.6" x14ac:dyDescent="0.25">
      <c r="A164" s="14">
        <v>4</v>
      </c>
      <c r="B164" s="14">
        <v>1</v>
      </c>
      <c r="C164" s="187" t="s">
        <v>95</v>
      </c>
      <c r="D164" s="15" t="s">
        <v>83</v>
      </c>
      <c r="E164" s="19" t="s">
        <v>2709</v>
      </c>
      <c r="F164" s="15" t="s">
        <v>69</v>
      </c>
      <c r="G164" s="14">
        <v>6</v>
      </c>
      <c r="H164" s="108" t="s">
        <v>106</v>
      </c>
    </row>
    <row r="165" spans="1:8" ht="31.15" x14ac:dyDescent="0.25">
      <c r="A165" s="14">
        <v>4</v>
      </c>
      <c r="B165" s="14">
        <v>1</v>
      </c>
      <c r="C165" s="187" t="s">
        <v>95</v>
      </c>
      <c r="D165" s="15" t="s">
        <v>83</v>
      </c>
      <c r="E165" s="19" t="s">
        <v>2710</v>
      </c>
      <c r="F165" s="15" t="s">
        <v>81</v>
      </c>
      <c r="G165" s="14">
        <v>4</v>
      </c>
      <c r="H165" s="108" t="s">
        <v>2711</v>
      </c>
    </row>
    <row r="166" spans="1:8" ht="31.15" x14ac:dyDescent="0.25">
      <c r="A166" s="14">
        <v>4</v>
      </c>
      <c r="B166" s="14">
        <v>1</v>
      </c>
      <c r="C166" s="187" t="s">
        <v>95</v>
      </c>
      <c r="D166" s="15" t="s">
        <v>83</v>
      </c>
      <c r="E166" s="19" t="s">
        <v>2712</v>
      </c>
      <c r="F166" s="15" t="s">
        <v>81</v>
      </c>
      <c r="G166" s="14">
        <v>4</v>
      </c>
      <c r="H166" s="108" t="s">
        <v>2713</v>
      </c>
    </row>
    <row r="167" spans="1:8" ht="31.15" x14ac:dyDescent="0.25">
      <c r="A167" s="14">
        <v>4</v>
      </c>
      <c r="B167" s="14">
        <v>1</v>
      </c>
      <c r="C167" s="187" t="s">
        <v>95</v>
      </c>
      <c r="D167" s="15" t="s">
        <v>83</v>
      </c>
      <c r="E167" s="19" t="s">
        <v>2714</v>
      </c>
      <c r="F167" s="15" t="s">
        <v>81</v>
      </c>
      <c r="G167" s="14">
        <v>2</v>
      </c>
      <c r="H167" s="108" t="s">
        <v>2715</v>
      </c>
    </row>
    <row r="168" spans="1:8" ht="46.9" x14ac:dyDescent="0.25">
      <c r="A168" s="14">
        <v>4</v>
      </c>
      <c r="B168" s="14">
        <v>1</v>
      </c>
      <c r="C168" s="187" t="s">
        <v>95</v>
      </c>
      <c r="D168" s="15" t="s">
        <v>83</v>
      </c>
      <c r="E168" s="19" t="s">
        <v>2716</v>
      </c>
      <c r="F168" s="15" t="s">
        <v>81</v>
      </c>
      <c r="G168" s="14">
        <v>18</v>
      </c>
      <c r="H168" s="108" t="s">
        <v>2717</v>
      </c>
    </row>
    <row r="169" spans="1:8" ht="31.15" x14ac:dyDescent="0.25">
      <c r="A169" s="200">
        <v>4</v>
      </c>
      <c r="B169" s="14">
        <v>1</v>
      </c>
      <c r="C169" s="187" t="s">
        <v>95</v>
      </c>
      <c r="D169" s="15" t="s">
        <v>83</v>
      </c>
      <c r="E169" s="19" t="s">
        <v>2708</v>
      </c>
      <c r="F169" s="15" t="s">
        <v>69</v>
      </c>
      <c r="G169" s="14">
        <v>13</v>
      </c>
      <c r="H169" s="108" t="s">
        <v>106</v>
      </c>
    </row>
    <row r="170" spans="1:8" ht="78" x14ac:dyDescent="0.25">
      <c r="A170" s="14">
        <v>3</v>
      </c>
      <c r="B170" s="14">
        <v>1</v>
      </c>
      <c r="C170" s="187" t="s">
        <v>27</v>
      </c>
      <c r="D170" s="187" t="s">
        <v>1</v>
      </c>
      <c r="E170" s="19" t="s">
        <v>2791</v>
      </c>
      <c r="F170" s="183" t="s">
        <v>69</v>
      </c>
      <c r="G170" s="14">
        <v>2</v>
      </c>
      <c r="H170" s="184" t="s">
        <v>2792</v>
      </c>
    </row>
    <row r="171" spans="1:8" ht="109.15" x14ac:dyDescent="0.25">
      <c r="A171" s="14">
        <v>3</v>
      </c>
      <c r="B171" s="14">
        <v>1</v>
      </c>
      <c r="C171" s="187" t="s">
        <v>27</v>
      </c>
      <c r="D171" s="187" t="s">
        <v>1</v>
      </c>
      <c r="E171" s="19" t="s">
        <v>2793</v>
      </c>
      <c r="F171" s="183" t="s">
        <v>69</v>
      </c>
      <c r="G171" s="14">
        <v>10</v>
      </c>
      <c r="H171" s="184" t="s">
        <v>2794</v>
      </c>
    </row>
    <row r="172" spans="1:8" ht="78" x14ac:dyDescent="0.25">
      <c r="A172" s="14">
        <v>3</v>
      </c>
      <c r="B172" s="14">
        <v>1</v>
      </c>
      <c r="C172" s="187" t="s">
        <v>27</v>
      </c>
      <c r="D172" s="187" t="s">
        <v>83</v>
      </c>
      <c r="E172" s="19" t="s">
        <v>2795</v>
      </c>
      <c r="F172" s="183" t="s">
        <v>69</v>
      </c>
      <c r="G172" s="14" t="s">
        <v>93</v>
      </c>
      <c r="H172" s="184" t="s">
        <v>106</v>
      </c>
    </row>
    <row r="173" spans="1:8" ht="109.15" x14ac:dyDescent="0.25">
      <c r="A173" s="14">
        <v>3</v>
      </c>
      <c r="B173" s="14">
        <v>1</v>
      </c>
      <c r="C173" s="187" t="s">
        <v>27</v>
      </c>
      <c r="D173" s="187" t="s">
        <v>83</v>
      </c>
      <c r="E173" s="19" t="s">
        <v>2796</v>
      </c>
      <c r="F173" s="183" t="s">
        <v>69</v>
      </c>
      <c r="G173" s="14" t="s">
        <v>412</v>
      </c>
      <c r="H173" s="184" t="s">
        <v>106</v>
      </c>
    </row>
    <row r="174" spans="1:8" ht="109.15" x14ac:dyDescent="0.25">
      <c r="A174" s="14">
        <v>3</v>
      </c>
      <c r="B174" s="14">
        <v>1</v>
      </c>
      <c r="C174" s="187" t="s">
        <v>27</v>
      </c>
      <c r="D174" s="187" t="s">
        <v>83</v>
      </c>
      <c r="E174" s="19" t="s">
        <v>2797</v>
      </c>
      <c r="F174" s="183" t="s">
        <v>69</v>
      </c>
      <c r="G174" s="14">
        <v>43</v>
      </c>
      <c r="H174" s="184" t="s">
        <v>2798</v>
      </c>
    </row>
    <row r="175" spans="1:8" ht="15.6" x14ac:dyDescent="0.25">
      <c r="A175" s="14">
        <v>3</v>
      </c>
      <c r="B175" s="14">
        <v>1</v>
      </c>
      <c r="C175" s="187" t="s">
        <v>27</v>
      </c>
      <c r="D175" s="187" t="s">
        <v>83</v>
      </c>
      <c r="E175" s="19" t="s">
        <v>2799</v>
      </c>
      <c r="F175" s="183" t="s">
        <v>69</v>
      </c>
      <c r="G175" s="14">
        <v>4</v>
      </c>
      <c r="H175" s="184" t="s">
        <v>2800</v>
      </c>
    </row>
    <row r="176" spans="1:8" ht="15.6" x14ac:dyDescent="0.25">
      <c r="A176" s="14">
        <v>3</v>
      </c>
      <c r="B176" s="14">
        <v>1</v>
      </c>
      <c r="C176" s="187" t="s">
        <v>27</v>
      </c>
      <c r="D176" s="15" t="s">
        <v>83</v>
      </c>
      <c r="E176" s="19" t="s">
        <v>2801</v>
      </c>
      <c r="F176" s="15" t="s">
        <v>69</v>
      </c>
      <c r="G176" s="14">
        <v>1</v>
      </c>
      <c r="H176" s="108" t="s">
        <v>2802</v>
      </c>
    </row>
    <row r="177" spans="1:8" ht="15.6" x14ac:dyDescent="0.25">
      <c r="A177" s="14">
        <v>3</v>
      </c>
      <c r="B177" s="14">
        <v>1</v>
      </c>
      <c r="C177" s="187" t="s">
        <v>27</v>
      </c>
      <c r="D177" s="15" t="s">
        <v>83</v>
      </c>
      <c r="E177" s="19" t="s">
        <v>2803</v>
      </c>
      <c r="F177" s="15" t="s">
        <v>69</v>
      </c>
      <c r="G177" s="14">
        <v>2</v>
      </c>
      <c r="H177" s="108" t="s">
        <v>2804</v>
      </c>
    </row>
    <row r="178" spans="1:8" ht="46.9" x14ac:dyDescent="0.25">
      <c r="A178" s="106">
        <v>7</v>
      </c>
      <c r="B178" s="106">
        <v>1</v>
      </c>
      <c r="C178" s="187" t="s">
        <v>31</v>
      </c>
      <c r="D178" s="15" t="s">
        <v>4</v>
      </c>
      <c r="E178" s="19" t="s">
        <v>2825</v>
      </c>
      <c r="F178" s="15" t="s">
        <v>81</v>
      </c>
      <c r="G178" s="14">
        <v>50</v>
      </c>
      <c r="H178" s="108" t="s">
        <v>2826</v>
      </c>
    </row>
    <row r="179" spans="1:8" ht="31.15" x14ac:dyDescent="0.25">
      <c r="A179" s="106">
        <v>7</v>
      </c>
      <c r="B179" s="106">
        <v>1</v>
      </c>
      <c r="C179" s="187" t="s">
        <v>31</v>
      </c>
      <c r="D179" s="15" t="s">
        <v>1731</v>
      </c>
      <c r="E179" s="19" t="s">
        <v>2827</v>
      </c>
      <c r="F179" s="15" t="s">
        <v>81</v>
      </c>
      <c r="G179" s="14">
        <v>62</v>
      </c>
      <c r="H179" s="108" t="s">
        <v>2828</v>
      </c>
    </row>
    <row r="180" spans="1:8" ht="31.15" x14ac:dyDescent="0.25">
      <c r="A180" s="106">
        <v>7</v>
      </c>
      <c r="B180" s="106">
        <v>1</v>
      </c>
      <c r="C180" s="187" t="s">
        <v>31</v>
      </c>
      <c r="D180" s="187" t="s">
        <v>1</v>
      </c>
      <c r="E180" s="19" t="s">
        <v>2829</v>
      </c>
      <c r="F180" s="15" t="s">
        <v>81</v>
      </c>
      <c r="G180" s="14">
        <v>541</v>
      </c>
      <c r="H180" s="108" t="s">
        <v>2830</v>
      </c>
    </row>
    <row r="181" spans="1:8" ht="31.15" x14ac:dyDescent="0.25">
      <c r="A181" s="106">
        <v>7</v>
      </c>
      <c r="B181" s="106">
        <v>1</v>
      </c>
      <c r="C181" s="187" t="s">
        <v>31</v>
      </c>
      <c r="D181" s="187" t="s">
        <v>1</v>
      </c>
      <c r="E181" s="19" t="s">
        <v>2831</v>
      </c>
      <c r="F181" s="15" t="s">
        <v>81</v>
      </c>
      <c r="G181" s="14">
        <v>25</v>
      </c>
      <c r="H181" s="108" t="s">
        <v>2830</v>
      </c>
    </row>
    <row r="182" spans="1:8" ht="31.15" x14ac:dyDescent="0.25">
      <c r="A182" s="106">
        <v>7</v>
      </c>
      <c r="B182" s="106">
        <v>1</v>
      </c>
      <c r="C182" s="187" t="s">
        <v>31</v>
      </c>
      <c r="D182" s="187" t="s">
        <v>1</v>
      </c>
      <c r="E182" s="19" t="s">
        <v>2832</v>
      </c>
      <c r="F182" s="15" t="s">
        <v>81</v>
      </c>
      <c r="G182" s="14">
        <v>117</v>
      </c>
      <c r="H182" s="108" t="s">
        <v>2830</v>
      </c>
    </row>
    <row r="183" spans="1:8" ht="31.15" x14ac:dyDescent="0.25">
      <c r="A183" s="106">
        <v>7</v>
      </c>
      <c r="B183" s="106">
        <v>1</v>
      </c>
      <c r="C183" s="187" t="s">
        <v>31</v>
      </c>
      <c r="D183" s="187" t="s">
        <v>1</v>
      </c>
      <c r="E183" s="19" t="s">
        <v>2833</v>
      </c>
      <c r="F183" s="15" t="s">
        <v>81</v>
      </c>
      <c r="G183" s="14">
        <v>56</v>
      </c>
      <c r="H183" s="108" t="s">
        <v>2830</v>
      </c>
    </row>
    <row r="184" spans="1:8" ht="31.15" x14ac:dyDescent="0.25">
      <c r="A184" s="106">
        <v>7</v>
      </c>
      <c r="B184" s="106">
        <v>1</v>
      </c>
      <c r="C184" s="187" t="s">
        <v>31</v>
      </c>
      <c r="D184" s="187" t="s">
        <v>1</v>
      </c>
      <c r="E184" s="19" t="s">
        <v>2834</v>
      </c>
      <c r="F184" s="15" t="s">
        <v>81</v>
      </c>
      <c r="G184" s="14">
        <v>1</v>
      </c>
      <c r="H184" s="108" t="s">
        <v>2835</v>
      </c>
    </row>
    <row r="185" spans="1:8" ht="31.15" x14ac:dyDescent="0.25">
      <c r="A185" s="106">
        <v>7</v>
      </c>
      <c r="B185" s="106">
        <v>1</v>
      </c>
      <c r="C185" s="187" t="s">
        <v>31</v>
      </c>
      <c r="D185" s="15" t="s">
        <v>83</v>
      </c>
      <c r="E185" s="19" t="s">
        <v>2836</v>
      </c>
      <c r="F185" s="15" t="s">
        <v>81</v>
      </c>
      <c r="G185" s="14">
        <v>62</v>
      </c>
      <c r="H185" s="108" t="s">
        <v>2837</v>
      </c>
    </row>
    <row r="186" spans="1:8" ht="31.15" x14ac:dyDescent="0.25">
      <c r="A186" s="106">
        <v>7</v>
      </c>
      <c r="B186" s="106">
        <v>1</v>
      </c>
      <c r="C186" s="187" t="s">
        <v>31</v>
      </c>
      <c r="D186" s="15" t="s">
        <v>83</v>
      </c>
      <c r="E186" s="19" t="s">
        <v>2838</v>
      </c>
      <c r="F186" s="15" t="s">
        <v>81</v>
      </c>
      <c r="G186" s="14">
        <v>6</v>
      </c>
      <c r="H186" s="108" t="s">
        <v>2839</v>
      </c>
    </row>
    <row r="187" spans="1:8" ht="46.9" x14ac:dyDescent="0.25">
      <c r="A187" s="106">
        <v>1</v>
      </c>
      <c r="B187" s="106">
        <v>1</v>
      </c>
      <c r="C187" s="187" t="s">
        <v>25</v>
      </c>
      <c r="D187" s="187" t="s">
        <v>1731</v>
      </c>
      <c r="E187" s="203" t="s">
        <v>2873</v>
      </c>
      <c r="F187" s="183" t="s">
        <v>81</v>
      </c>
      <c r="G187" s="14">
        <v>6</v>
      </c>
      <c r="H187" s="184" t="s">
        <v>2874</v>
      </c>
    </row>
    <row r="188" spans="1:8" ht="46.9" x14ac:dyDescent="0.25">
      <c r="A188" s="106">
        <v>1</v>
      </c>
      <c r="B188" s="106">
        <v>1</v>
      </c>
      <c r="C188" s="187" t="s">
        <v>25</v>
      </c>
      <c r="D188" s="187" t="s">
        <v>1</v>
      </c>
      <c r="E188" s="183" t="s">
        <v>2875</v>
      </c>
      <c r="F188" s="183" t="s">
        <v>81</v>
      </c>
      <c r="G188" s="14">
        <v>48</v>
      </c>
      <c r="H188" s="184" t="s">
        <v>2876</v>
      </c>
    </row>
    <row r="189" spans="1:8" ht="78" x14ac:dyDescent="0.25">
      <c r="A189" s="106">
        <v>1</v>
      </c>
      <c r="B189" s="106">
        <v>1</v>
      </c>
      <c r="C189" s="187" t="s">
        <v>25</v>
      </c>
      <c r="D189" s="187" t="s">
        <v>1</v>
      </c>
      <c r="E189" s="183" t="s">
        <v>2877</v>
      </c>
      <c r="F189" s="183" t="s">
        <v>69</v>
      </c>
      <c r="G189" s="14">
        <v>52</v>
      </c>
      <c r="H189" s="184" t="s">
        <v>2878</v>
      </c>
    </row>
    <row r="190" spans="1:8" ht="31.15" x14ac:dyDescent="0.25">
      <c r="A190" s="106">
        <v>1</v>
      </c>
      <c r="B190" s="106">
        <v>1</v>
      </c>
      <c r="C190" s="187" t="s">
        <v>25</v>
      </c>
      <c r="D190" s="187" t="s">
        <v>83</v>
      </c>
      <c r="E190" s="19" t="s">
        <v>2879</v>
      </c>
      <c r="F190" s="15" t="s">
        <v>69</v>
      </c>
      <c r="G190" s="14">
        <v>6</v>
      </c>
      <c r="H190" s="108" t="s">
        <v>2880</v>
      </c>
    </row>
    <row r="191" spans="1:8" ht="46.9" x14ac:dyDescent="0.25">
      <c r="A191" s="106">
        <v>11</v>
      </c>
      <c r="B191" s="106">
        <v>1</v>
      </c>
      <c r="C191" s="187" t="s">
        <v>35</v>
      </c>
      <c r="D191" s="15" t="s">
        <v>137</v>
      </c>
      <c r="E191" s="19" t="s">
        <v>2900</v>
      </c>
      <c r="F191" s="15" t="s">
        <v>69</v>
      </c>
      <c r="G191" s="14">
        <v>42</v>
      </c>
      <c r="H191" s="108" t="s">
        <v>2901</v>
      </c>
    </row>
    <row r="192" spans="1:8" ht="31.15" x14ac:dyDescent="0.25">
      <c r="A192" s="106">
        <v>11</v>
      </c>
      <c r="B192" s="106">
        <v>1</v>
      </c>
      <c r="C192" s="187" t="s">
        <v>35</v>
      </c>
      <c r="D192" s="15" t="s">
        <v>1731</v>
      </c>
      <c r="E192" s="19" t="s">
        <v>2902</v>
      </c>
      <c r="F192" s="15" t="s">
        <v>69</v>
      </c>
      <c r="G192" s="14">
        <v>1</v>
      </c>
      <c r="H192" s="108" t="s">
        <v>2903</v>
      </c>
    </row>
    <row r="193" spans="1:8" ht="15.6" x14ac:dyDescent="0.25">
      <c r="A193" s="106">
        <v>11</v>
      </c>
      <c r="B193" s="106">
        <v>1</v>
      </c>
      <c r="C193" s="187" t="s">
        <v>35</v>
      </c>
      <c r="D193" s="15" t="s">
        <v>1731</v>
      </c>
      <c r="E193" s="19" t="s">
        <v>2904</v>
      </c>
      <c r="F193" s="15" t="s">
        <v>81</v>
      </c>
      <c r="G193" s="14">
        <v>4</v>
      </c>
      <c r="H193" s="108" t="s">
        <v>2905</v>
      </c>
    </row>
    <row r="194" spans="1:8" ht="31.15" x14ac:dyDescent="0.25">
      <c r="A194" s="106">
        <v>11</v>
      </c>
      <c r="B194" s="106">
        <v>1</v>
      </c>
      <c r="C194" s="187" t="s">
        <v>35</v>
      </c>
      <c r="D194" s="15" t="s">
        <v>83</v>
      </c>
      <c r="E194" s="19" t="s">
        <v>2879</v>
      </c>
      <c r="F194" s="15" t="s">
        <v>69</v>
      </c>
      <c r="G194" s="14">
        <v>6</v>
      </c>
      <c r="H194" s="108" t="s">
        <v>2880</v>
      </c>
    </row>
    <row r="195" spans="1:8" ht="62.45" x14ac:dyDescent="0.25">
      <c r="A195" s="14">
        <v>15</v>
      </c>
      <c r="B195" s="14">
        <v>1</v>
      </c>
      <c r="C195" s="187" t="s">
        <v>39</v>
      </c>
      <c r="D195" s="15" t="s">
        <v>83</v>
      </c>
      <c r="E195" s="19" t="s">
        <v>2940</v>
      </c>
      <c r="F195" s="15" t="s">
        <v>69</v>
      </c>
      <c r="G195" s="14">
        <v>193</v>
      </c>
      <c r="H195" s="108" t="s">
        <v>2941</v>
      </c>
    </row>
    <row r="196" spans="1:8" ht="78" x14ac:dyDescent="0.25">
      <c r="A196" s="14">
        <v>15</v>
      </c>
      <c r="B196" s="14">
        <v>1</v>
      </c>
      <c r="C196" s="187" t="s">
        <v>39</v>
      </c>
      <c r="D196" s="15" t="s">
        <v>83</v>
      </c>
      <c r="E196" s="19" t="s">
        <v>2942</v>
      </c>
      <c r="F196" s="15" t="s">
        <v>69</v>
      </c>
      <c r="G196" s="14">
        <v>12</v>
      </c>
      <c r="H196" s="108" t="s">
        <v>2943</v>
      </c>
    </row>
    <row r="197" spans="1:8" ht="15.6" x14ac:dyDescent="0.25">
      <c r="A197" s="14">
        <v>15</v>
      </c>
      <c r="B197" s="14">
        <v>1</v>
      </c>
      <c r="C197" s="187" t="s">
        <v>39</v>
      </c>
      <c r="D197" s="15" t="s">
        <v>83</v>
      </c>
      <c r="E197" s="19" t="s">
        <v>2944</v>
      </c>
      <c r="F197" s="15" t="s">
        <v>69</v>
      </c>
      <c r="G197" s="14">
        <v>350</v>
      </c>
      <c r="H197" s="108" t="s">
        <v>2945</v>
      </c>
    </row>
    <row r="198" spans="1:8" ht="15.6" x14ac:dyDescent="0.25">
      <c r="A198" s="14">
        <v>2</v>
      </c>
      <c r="B198" s="14">
        <v>1</v>
      </c>
      <c r="C198" s="187" t="s">
        <v>26</v>
      </c>
      <c r="D198" s="187" t="s">
        <v>0</v>
      </c>
      <c r="E198" s="19" t="s">
        <v>2982</v>
      </c>
      <c r="F198" s="183" t="s">
        <v>81</v>
      </c>
      <c r="G198" s="14">
        <v>35</v>
      </c>
      <c r="H198" s="184" t="s">
        <v>2983</v>
      </c>
    </row>
    <row r="199" spans="1:8" ht="31.15" x14ac:dyDescent="0.25">
      <c r="A199" s="14">
        <v>2</v>
      </c>
      <c r="B199" s="14">
        <v>1</v>
      </c>
      <c r="C199" s="187" t="s">
        <v>26</v>
      </c>
      <c r="D199" s="187" t="s">
        <v>1</v>
      </c>
      <c r="E199" s="183" t="s">
        <v>2984</v>
      </c>
      <c r="F199" s="183" t="s">
        <v>81</v>
      </c>
      <c r="G199" s="14">
        <v>23</v>
      </c>
      <c r="H199" s="184" t="s">
        <v>2985</v>
      </c>
    </row>
    <row r="200" spans="1:8" ht="15.6" x14ac:dyDescent="0.25">
      <c r="A200" s="14">
        <v>2</v>
      </c>
      <c r="B200" s="14">
        <v>1</v>
      </c>
      <c r="C200" s="187" t="s">
        <v>26</v>
      </c>
      <c r="D200" s="187" t="s">
        <v>1</v>
      </c>
      <c r="E200" s="183" t="s">
        <v>2986</v>
      </c>
      <c r="F200" s="183" t="s">
        <v>81</v>
      </c>
      <c r="G200" s="14">
        <v>32</v>
      </c>
      <c r="H200" s="184" t="s">
        <v>2987</v>
      </c>
    </row>
    <row r="201" spans="1:8" ht="31.15" x14ac:dyDescent="0.25">
      <c r="A201" s="14">
        <v>2</v>
      </c>
      <c r="B201" s="14">
        <v>1</v>
      </c>
      <c r="C201" s="187" t="s">
        <v>26</v>
      </c>
      <c r="D201" s="187" t="s">
        <v>1</v>
      </c>
      <c r="E201" s="19" t="s">
        <v>2988</v>
      </c>
      <c r="F201" s="183" t="s">
        <v>81</v>
      </c>
      <c r="G201" s="14">
        <v>51</v>
      </c>
      <c r="H201" s="184" t="s">
        <v>2989</v>
      </c>
    </row>
    <row r="202" spans="1:8" ht="15.6" x14ac:dyDescent="0.25">
      <c r="A202" s="14">
        <v>2</v>
      </c>
      <c r="B202" s="14">
        <v>1</v>
      </c>
      <c r="C202" s="187" t="s">
        <v>26</v>
      </c>
      <c r="D202" s="187" t="s">
        <v>1</v>
      </c>
      <c r="E202" s="183" t="s">
        <v>2990</v>
      </c>
      <c r="F202" s="183" t="s">
        <v>81</v>
      </c>
      <c r="G202" s="14">
        <v>20</v>
      </c>
      <c r="H202" s="184" t="s">
        <v>2991</v>
      </c>
    </row>
    <row r="203" spans="1:8" ht="15.6" x14ac:dyDescent="0.25">
      <c r="A203" s="14">
        <v>2</v>
      </c>
      <c r="B203" s="14">
        <v>1</v>
      </c>
      <c r="C203" s="187" t="s">
        <v>26</v>
      </c>
      <c r="D203" s="187" t="s">
        <v>83</v>
      </c>
      <c r="E203" s="183" t="s">
        <v>2992</v>
      </c>
      <c r="F203" s="183" t="s">
        <v>81</v>
      </c>
      <c r="G203" s="14">
        <v>35</v>
      </c>
      <c r="H203" s="184" t="s">
        <v>2983</v>
      </c>
    </row>
    <row r="204" spans="1:8" ht="15.6" x14ac:dyDescent="0.25">
      <c r="A204" s="14">
        <v>2</v>
      </c>
      <c r="B204" s="14">
        <v>1</v>
      </c>
      <c r="C204" s="187" t="s">
        <v>26</v>
      </c>
      <c r="D204" s="187" t="s">
        <v>83</v>
      </c>
      <c r="E204" s="183" t="s">
        <v>2993</v>
      </c>
      <c r="F204" s="183" t="s">
        <v>69</v>
      </c>
      <c r="G204" s="14">
        <v>90</v>
      </c>
      <c r="H204" s="184" t="s">
        <v>2983</v>
      </c>
    </row>
    <row r="205" spans="1:8" ht="15.6" x14ac:dyDescent="0.25">
      <c r="A205" s="14">
        <v>2</v>
      </c>
      <c r="B205" s="14">
        <v>1</v>
      </c>
      <c r="C205" s="187" t="s">
        <v>26</v>
      </c>
      <c r="D205" s="187" t="s">
        <v>83</v>
      </c>
      <c r="E205" s="183" t="s">
        <v>2994</v>
      </c>
      <c r="F205" s="183" t="s">
        <v>81</v>
      </c>
      <c r="G205" s="14">
        <v>15</v>
      </c>
      <c r="H205" s="184" t="s">
        <v>2995</v>
      </c>
    </row>
    <row r="206" spans="1:8" ht="15.6" x14ac:dyDescent="0.25">
      <c r="A206" s="14">
        <v>2</v>
      </c>
      <c r="B206" s="14">
        <v>1</v>
      </c>
      <c r="C206" s="187" t="s">
        <v>26</v>
      </c>
      <c r="D206" s="187" t="s">
        <v>83</v>
      </c>
      <c r="E206" s="183" t="s">
        <v>2996</v>
      </c>
      <c r="F206" s="183" t="s">
        <v>69</v>
      </c>
      <c r="G206" s="14">
        <v>20</v>
      </c>
      <c r="H206" s="184" t="s">
        <v>2983</v>
      </c>
    </row>
    <row r="207" spans="1:8" ht="15.6" x14ac:dyDescent="0.25">
      <c r="A207" s="14">
        <v>2</v>
      </c>
      <c r="B207" s="14">
        <v>1</v>
      </c>
      <c r="C207" s="187" t="s">
        <v>26</v>
      </c>
      <c r="D207" s="187" t="s">
        <v>83</v>
      </c>
      <c r="E207" s="183" t="s">
        <v>2997</v>
      </c>
      <c r="F207" s="183" t="s">
        <v>81</v>
      </c>
      <c r="G207" s="14">
        <v>135</v>
      </c>
      <c r="H207" s="184" t="s">
        <v>2998</v>
      </c>
    </row>
    <row r="208" spans="1:8" ht="15.6" x14ac:dyDescent="0.25">
      <c r="A208" s="14">
        <v>2</v>
      </c>
      <c r="B208" s="14">
        <v>1</v>
      </c>
      <c r="C208" s="187" t="s">
        <v>26</v>
      </c>
      <c r="D208" s="187" t="s">
        <v>83</v>
      </c>
      <c r="E208" s="183" t="s">
        <v>2999</v>
      </c>
      <c r="F208" s="183" t="s">
        <v>81</v>
      </c>
      <c r="G208" s="14">
        <v>45</v>
      </c>
      <c r="H208" s="184" t="s">
        <v>2998</v>
      </c>
    </row>
    <row r="209" spans="1:8" ht="31.15" x14ac:dyDescent="0.25">
      <c r="A209" s="14">
        <v>2</v>
      </c>
      <c r="B209" s="14">
        <v>1</v>
      </c>
      <c r="C209" s="187" t="s">
        <v>26</v>
      </c>
      <c r="D209" s="187" t="s">
        <v>83</v>
      </c>
      <c r="E209" s="183" t="s">
        <v>3000</v>
      </c>
      <c r="F209" s="183" t="s">
        <v>69</v>
      </c>
      <c r="G209" s="14">
        <v>43</v>
      </c>
      <c r="H209" s="184" t="s">
        <v>3001</v>
      </c>
    </row>
    <row r="210" spans="1:8" ht="31.15" x14ac:dyDescent="0.25">
      <c r="A210" s="14">
        <v>2</v>
      </c>
      <c r="B210" s="14">
        <v>1</v>
      </c>
      <c r="C210" s="187" t="s">
        <v>26</v>
      </c>
      <c r="D210" s="187" t="s">
        <v>83</v>
      </c>
      <c r="E210" s="183" t="s">
        <v>3002</v>
      </c>
      <c r="F210" s="183" t="s">
        <v>69</v>
      </c>
      <c r="G210" s="14">
        <v>4</v>
      </c>
      <c r="H210" s="184" t="s">
        <v>3003</v>
      </c>
    </row>
    <row r="211" spans="1:8" ht="78" x14ac:dyDescent="0.25">
      <c r="A211" s="14">
        <v>21</v>
      </c>
      <c r="B211" s="14">
        <v>1</v>
      </c>
      <c r="C211" s="187" t="s">
        <v>45</v>
      </c>
      <c r="D211" s="15" t="s">
        <v>83</v>
      </c>
      <c r="E211" s="19" t="s">
        <v>3085</v>
      </c>
      <c r="F211" s="15" t="s">
        <v>81</v>
      </c>
      <c r="G211" s="14">
        <v>3</v>
      </c>
      <c r="H211" s="108" t="s">
        <v>3086</v>
      </c>
    </row>
    <row r="212" spans="1:8" ht="31.15" x14ac:dyDescent="0.25">
      <c r="A212" s="14">
        <v>18</v>
      </c>
      <c r="B212" s="14">
        <v>1</v>
      </c>
      <c r="C212" s="187" t="s">
        <v>261</v>
      </c>
      <c r="D212" s="187" t="s">
        <v>0</v>
      </c>
      <c r="E212" s="19" t="s">
        <v>3087</v>
      </c>
      <c r="F212" s="183" t="s">
        <v>81</v>
      </c>
      <c r="G212" s="14">
        <v>26</v>
      </c>
      <c r="H212" s="184" t="s">
        <v>3088</v>
      </c>
    </row>
    <row r="213" spans="1:8" ht="15.6" x14ac:dyDescent="0.25">
      <c r="A213" s="14">
        <v>18</v>
      </c>
      <c r="B213" s="14">
        <v>1</v>
      </c>
      <c r="C213" s="187" t="s">
        <v>261</v>
      </c>
      <c r="D213" s="187" t="s">
        <v>0</v>
      </c>
      <c r="E213" s="19" t="s">
        <v>3089</v>
      </c>
      <c r="F213" s="183" t="s">
        <v>81</v>
      </c>
      <c r="G213" s="14">
        <v>25</v>
      </c>
      <c r="H213" s="184" t="s">
        <v>3090</v>
      </c>
    </row>
    <row r="214" spans="1:8" ht="31.15" x14ac:dyDescent="0.25">
      <c r="A214" s="14">
        <v>18</v>
      </c>
      <c r="B214" s="14">
        <v>1</v>
      </c>
      <c r="C214" s="187" t="s">
        <v>261</v>
      </c>
      <c r="D214" s="187" t="s">
        <v>1</v>
      </c>
      <c r="E214" s="19" t="s">
        <v>3091</v>
      </c>
      <c r="F214" s="183" t="s">
        <v>81</v>
      </c>
      <c r="G214" s="14">
        <v>23</v>
      </c>
      <c r="H214" s="184" t="s">
        <v>3092</v>
      </c>
    </row>
    <row r="215" spans="1:8" ht="15.6" x14ac:dyDescent="0.25">
      <c r="A215" s="14">
        <v>18</v>
      </c>
      <c r="B215" s="14">
        <v>1</v>
      </c>
      <c r="C215" s="187" t="s">
        <v>261</v>
      </c>
      <c r="D215" s="187" t="s">
        <v>1</v>
      </c>
      <c r="E215" s="19" t="s">
        <v>3093</v>
      </c>
      <c r="F215" s="183" t="s">
        <v>81</v>
      </c>
      <c r="G215" s="14">
        <v>13</v>
      </c>
      <c r="H215" s="184" t="s">
        <v>3094</v>
      </c>
    </row>
    <row r="216" spans="1:8" ht="15.6" x14ac:dyDescent="0.25">
      <c r="A216" s="14">
        <v>18</v>
      </c>
      <c r="B216" s="14">
        <v>1</v>
      </c>
      <c r="C216" s="187" t="s">
        <v>261</v>
      </c>
      <c r="D216" s="187" t="s">
        <v>1</v>
      </c>
      <c r="E216" s="19" t="s">
        <v>3095</v>
      </c>
      <c r="F216" s="183" t="s">
        <v>81</v>
      </c>
      <c r="G216" s="14">
        <v>12</v>
      </c>
      <c r="H216" s="184" t="s">
        <v>3090</v>
      </c>
    </row>
    <row r="217" spans="1:8" ht="15.6" x14ac:dyDescent="0.25">
      <c r="A217" s="106">
        <v>18</v>
      </c>
      <c r="B217" s="106">
        <v>1</v>
      </c>
      <c r="C217" s="187" t="s">
        <v>261</v>
      </c>
      <c r="D217" s="187" t="s">
        <v>1</v>
      </c>
      <c r="E217" s="19" t="s">
        <v>3096</v>
      </c>
      <c r="F217" s="183" t="s">
        <v>81</v>
      </c>
      <c r="G217" s="14">
        <v>12</v>
      </c>
      <c r="H217" s="184" t="s">
        <v>3090</v>
      </c>
    </row>
    <row r="218" spans="1:8" ht="31.15" x14ac:dyDescent="0.25">
      <c r="A218" s="106">
        <v>18</v>
      </c>
      <c r="B218" s="106">
        <v>1</v>
      </c>
      <c r="C218" s="187" t="s">
        <v>261</v>
      </c>
      <c r="D218" s="187" t="s">
        <v>83</v>
      </c>
      <c r="E218" s="19" t="s">
        <v>3097</v>
      </c>
      <c r="F218" s="183" t="s">
        <v>81</v>
      </c>
      <c r="G218" s="14">
        <v>42</v>
      </c>
      <c r="H218" s="184" t="s">
        <v>3098</v>
      </c>
    </row>
    <row r="219" spans="1:8" ht="46.9" x14ac:dyDescent="0.25">
      <c r="A219" s="106">
        <v>5</v>
      </c>
      <c r="B219" s="106">
        <v>1</v>
      </c>
      <c r="C219" s="187" t="s">
        <v>113</v>
      </c>
      <c r="D219" s="187" t="s">
        <v>1</v>
      </c>
      <c r="E219" s="183" t="s">
        <v>3123</v>
      </c>
      <c r="F219" s="183" t="s">
        <v>69</v>
      </c>
      <c r="G219" s="14">
        <v>84</v>
      </c>
      <c r="H219" s="184" t="s">
        <v>3124</v>
      </c>
    </row>
    <row r="220" spans="1:8" ht="31.15" x14ac:dyDescent="0.25">
      <c r="A220" s="106">
        <v>5</v>
      </c>
      <c r="B220" s="106">
        <v>1</v>
      </c>
      <c r="C220" s="187" t="s">
        <v>113</v>
      </c>
      <c r="D220" s="187" t="s">
        <v>1</v>
      </c>
      <c r="E220" s="19" t="s">
        <v>3125</v>
      </c>
      <c r="F220" s="183" t="s">
        <v>69</v>
      </c>
      <c r="G220" s="14">
        <v>4</v>
      </c>
      <c r="H220" s="184" t="s">
        <v>3126</v>
      </c>
    </row>
    <row r="221" spans="1:8" ht="15.6" x14ac:dyDescent="0.25">
      <c r="A221" s="106">
        <v>5</v>
      </c>
      <c r="B221" s="106">
        <v>1</v>
      </c>
      <c r="C221" s="187" t="s">
        <v>113</v>
      </c>
      <c r="D221" s="187" t="s">
        <v>83</v>
      </c>
      <c r="E221" s="187" t="s">
        <v>3127</v>
      </c>
      <c r="F221" s="183" t="s">
        <v>81</v>
      </c>
      <c r="G221" s="14">
        <v>3</v>
      </c>
      <c r="H221" s="184" t="s">
        <v>3128</v>
      </c>
    </row>
    <row r="222" spans="1:8" ht="46.9" x14ac:dyDescent="0.25">
      <c r="A222" s="14">
        <v>5</v>
      </c>
      <c r="B222" s="14">
        <v>1</v>
      </c>
      <c r="C222" s="187" t="s">
        <v>113</v>
      </c>
      <c r="D222" s="187" t="s">
        <v>83</v>
      </c>
      <c r="E222" s="19" t="s">
        <v>3129</v>
      </c>
      <c r="F222" s="183" t="s">
        <v>69</v>
      </c>
      <c r="G222" s="14">
        <v>54</v>
      </c>
      <c r="H222" s="184" t="s">
        <v>3130</v>
      </c>
    </row>
    <row r="223" spans="1:8" ht="31.15" x14ac:dyDescent="0.25">
      <c r="A223" s="14">
        <v>5</v>
      </c>
      <c r="B223" s="14">
        <v>1</v>
      </c>
      <c r="C223" s="187" t="s">
        <v>113</v>
      </c>
      <c r="D223" s="187" t="s">
        <v>83</v>
      </c>
      <c r="E223" s="19" t="s">
        <v>3131</v>
      </c>
      <c r="F223" s="183" t="s">
        <v>69</v>
      </c>
      <c r="G223" s="14">
        <v>597</v>
      </c>
      <c r="H223" s="184" t="s">
        <v>3132</v>
      </c>
    </row>
    <row r="224" spans="1:8" ht="46.9" x14ac:dyDescent="0.25">
      <c r="A224" s="106">
        <v>5</v>
      </c>
      <c r="B224" s="106">
        <v>1</v>
      </c>
      <c r="C224" s="187" t="s">
        <v>113</v>
      </c>
      <c r="D224" s="187" t="s">
        <v>83</v>
      </c>
      <c r="E224" s="19" t="s">
        <v>3133</v>
      </c>
      <c r="F224" s="183" t="s">
        <v>69</v>
      </c>
      <c r="G224" s="14">
        <v>18</v>
      </c>
      <c r="H224" s="184" t="s">
        <v>3134</v>
      </c>
    </row>
    <row r="225" spans="1:8" ht="46.9" x14ac:dyDescent="0.25">
      <c r="A225" s="106">
        <v>5</v>
      </c>
      <c r="B225" s="106">
        <v>1</v>
      </c>
      <c r="C225" s="187" t="s">
        <v>113</v>
      </c>
      <c r="D225" s="187" t="s">
        <v>83</v>
      </c>
      <c r="E225" s="183" t="s">
        <v>3135</v>
      </c>
      <c r="F225" s="183" t="s">
        <v>69</v>
      </c>
      <c r="G225" s="14">
        <v>39</v>
      </c>
      <c r="H225" s="184" t="s">
        <v>3136</v>
      </c>
    </row>
    <row r="226" spans="1:8" ht="15.6" x14ac:dyDescent="0.25">
      <c r="A226" s="106">
        <v>5</v>
      </c>
      <c r="B226" s="106">
        <v>1</v>
      </c>
      <c r="C226" s="187" t="s">
        <v>113</v>
      </c>
      <c r="D226" s="187" t="s">
        <v>83</v>
      </c>
      <c r="E226" s="19" t="s">
        <v>3137</v>
      </c>
      <c r="F226" s="183" t="s">
        <v>81</v>
      </c>
      <c r="G226" s="14">
        <v>2</v>
      </c>
      <c r="H226" s="184" t="s">
        <v>3138</v>
      </c>
    </row>
    <row r="227" spans="1:8" ht="15.6" x14ac:dyDescent="0.25">
      <c r="A227" s="106">
        <v>5</v>
      </c>
      <c r="B227" s="106">
        <v>1</v>
      </c>
      <c r="C227" s="187" t="s">
        <v>113</v>
      </c>
      <c r="D227" s="187" t="s">
        <v>83</v>
      </c>
      <c r="E227" s="19" t="s">
        <v>3139</v>
      </c>
      <c r="F227" s="183" t="s">
        <v>81</v>
      </c>
      <c r="G227" s="14">
        <v>10</v>
      </c>
      <c r="H227" s="184" t="s">
        <v>3140</v>
      </c>
    </row>
    <row r="228" spans="1:8" ht="15.6" x14ac:dyDescent="0.25">
      <c r="A228" s="106">
        <v>5</v>
      </c>
      <c r="B228" s="106">
        <v>1</v>
      </c>
      <c r="C228" s="187" t="s">
        <v>113</v>
      </c>
      <c r="D228" s="187" t="s">
        <v>83</v>
      </c>
      <c r="E228" s="19" t="s">
        <v>3141</v>
      </c>
      <c r="F228" s="183" t="s">
        <v>81</v>
      </c>
      <c r="G228" s="14">
        <v>4</v>
      </c>
      <c r="H228" s="184" t="s">
        <v>3142</v>
      </c>
    </row>
    <row r="229" spans="1:8" ht="31.15" x14ac:dyDescent="0.25">
      <c r="A229" s="106">
        <v>25</v>
      </c>
      <c r="B229" s="106">
        <v>1</v>
      </c>
      <c r="C229" s="187" t="s">
        <v>49</v>
      </c>
      <c r="D229" s="15" t="s">
        <v>137</v>
      </c>
      <c r="E229" s="19" t="s">
        <v>3217</v>
      </c>
      <c r="F229" s="15" t="s">
        <v>81</v>
      </c>
      <c r="G229" s="14">
        <v>29</v>
      </c>
      <c r="H229" s="108" t="s">
        <v>3218</v>
      </c>
    </row>
    <row r="230" spans="1:8" ht="62.45" x14ac:dyDescent="0.25">
      <c r="A230" s="106">
        <v>25</v>
      </c>
      <c r="B230" s="106">
        <v>1</v>
      </c>
      <c r="C230" s="187" t="s">
        <v>49</v>
      </c>
      <c r="D230" s="15" t="s">
        <v>1731</v>
      </c>
      <c r="E230" s="19" t="s">
        <v>3219</v>
      </c>
      <c r="F230" s="15" t="s">
        <v>69</v>
      </c>
      <c r="G230" s="14">
        <v>1</v>
      </c>
      <c r="H230" s="108" t="s">
        <v>3220</v>
      </c>
    </row>
    <row r="231" spans="1:8" ht="31.15" x14ac:dyDescent="0.25">
      <c r="A231" s="106">
        <v>25</v>
      </c>
      <c r="B231" s="106">
        <v>1</v>
      </c>
      <c r="C231" s="187" t="s">
        <v>49</v>
      </c>
      <c r="D231" s="187" t="s">
        <v>1</v>
      </c>
      <c r="E231" s="19" t="s">
        <v>3221</v>
      </c>
      <c r="F231" s="15" t="s">
        <v>81</v>
      </c>
      <c r="G231" s="14">
        <v>20</v>
      </c>
      <c r="H231" s="108" t="s">
        <v>3222</v>
      </c>
    </row>
    <row r="232" spans="1:8" ht="31.15" x14ac:dyDescent="0.25">
      <c r="A232" s="106">
        <v>25</v>
      </c>
      <c r="B232" s="106">
        <v>1</v>
      </c>
      <c r="C232" s="187" t="s">
        <v>49</v>
      </c>
      <c r="D232" s="187" t="s">
        <v>1</v>
      </c>
      <c r="E232" s="19" t="s">
        <v>3223</v>
      </c>
      <c r="F232" s="15" t="s">
        <v>81</v>
      </c>
      <c r="G232" s="14">
        <v>18</v>
      </c>
      <c r="H232" s="108" t="s">
        <v>3224</v>
      </c>
    </row>
    <row r="233" spans="1:8" ht="31.15" x14ac:dyDescent="0.25">
      <c r="A233" s="106">
        <v>25</v>
      </c>
      <c r="B233" s="106">
        <v>1</v>
      </c>
      <c r="C233" s="187" t="s">
        <v>49</v>
      </c>
      <c r="D233" s="187" t="s">
        <v>1</v>
      </c>
      <c r="E233" s="19" t="s">
        <v>3225</v>
      </c>
      <c r="F233" s="15" t="s">
        <v>81</v>
      </c>
      <c r="G233" s="14">
        <v>21</v>
      </c>
      <c r="H233" s="108" t="s">
        <v>3226</v>
      </c>
    </row>
    <row r="234" spans="1:8" ht="31.15" x14ac:dyDescent="0.25">
      <c r="A234" s="14">
        <v>25</v>
      </c>
      <c r="B234" s="14">
        <v>1</v>
      </c>
      <c r="C234" s="187" t="s">
        <v>49</v>
      </c>
      <c r="D234" s="187" t="s">
        <v>1</v>
      </c>
      <c r="E234" s="19" t="s">
        <v>3227</v>
      </c>
      <c r="F234" s="15" t="s">
        <v>81</v>
      </c>
      <c r="G234" s="14">
        <v>23</v>
      </c>
      <c r="H234" s="108" t="s">
        <v>3228</v>
      </c>
    </row>
    <row r="235" spans="1:8" ht="31.15" x14ac:dyDescent="0.25">
      <c r="A235" s="14">
        <v>25</v>
      </c>
      <c r="B235" s="14">
        <v>1</v>
      </c>
      <c r="C235" s="187" t="s">
        <v>49</v>
      </c>
      <c r="D235" s="187" t="s">
        <v>1</v>
      </c>
      <c r="E235" s="19" t="s">
        <v>3229</v>
      </c>
      <c r="F235" s="15" t="s">
        <v>81</v>
      </c>
      <c r="G235" s="14">
        <v>1</v>
      </c>
      <c r="H235" s="108" t="s">
        <v>3230</v>
      </c>
    </row>
    <row r="236" spans="1:8" ht="15.6" x14ac:dyDescent="0.25">
      <c r="A236" s="14">
        <v>25</v>
      </c>
      <c r="B236" s="14">
        <v>1</v>
      </c>
      <c r="C236" s="187" t="s">
        <v>49</v>
      </c>
      <c r="D236" s="187" t="s">
        <v>1</v>
      </c>
      <c r="E236" s="19" t="s">
        <v>3231</v>
      </c>
      <c r="F236" s="15" t="s">
        <v>81</v>
      </c>
      <c r="G236" s="14">
        <v>1</v>
      </c>
      <c r="H236" s="108" t="s">
        <v>3232</v>
      </c>
    </row>
    <row r="237" spans="1:8" ht="46.9" x14ac:dyDescent="0.25">
      <c r="A237" s="14">
        <v>25</v>
      </c>
      <c r="B237" s="14">
        <v>1</v>
      </c>
      <c r="C237" s="187" t="s">
        <v>49</v>
      </c>
      <c r="D237" s="15" t="s">
        <v>83</v>
      </c>
      <c r="E237" s="19" t="s">
        <v>3233</v>
      </c>
      <c r="F237" s="15" t="s">
        <v>69</v>
      </c>
      <c r="G237" s="14">
        <v>45</v>
      </c>
      <c r="H237" s="108" t="s">
        <v>3234</v>
      </c>
    </row>
    <row r="238" spans="1:8" ht="46.9" x14ac:dyDescent="0.25">
      <c r="A238" s="14">
        <v>25</v>
      </c>
      <c r="B238" s="14">
        <v>1</v>
      </c>
      <c r="C238" s="187" t="s">
        <v>49</v>
      </c>
      <c r="D238" s="15" t="s">
        <v>83</v>
      </c>
      <c r="E238" s="19" t="s">
        <v>3235</v>
      </c>
      <c r="F238" s="15" t="s">
        <v>81</v>
      </c>
      <c r="G238" s="14">
        <v>6</v>
      </c>
      <c r="H238" s="108" t="s">
        <v>3236</v>
      </c>
    </row>
    <row r="239" spans="1:8" ht="15.6" x14ac:dyDescent="0.25">
      <c r="A239" s="14">
        <v>9</v>
      </c>
      <c r="B239" s="14">
        <v>1</v>
      </c>
      <c r="C239" s="187" t="s">
        <v>33</v>
      </c>
      <c r="D239" s="187" t="s">
        <v>1</v>
      </c>
      <c r="E239" s="19" t="s">
        <v>3308</v>
      </c>
      <c r="F239" s="15" t="s">
        <v>81</v>
      </c>
      <c r="G239" s="14">
        <v>1</v>
      </c>
      <c r="H239" s="108" t="s">
        <v>3309</v>
      </c>
    </row>
    <row r="240" spans="1:8" ht="78" x14ac:dyDescent="0.25">
      <c r="A240" s="14">
        <v>9</v>
      </c>
      <c r="B240" s="14">
        <v>1</v>
      </c>
      <c r="C240" s="187" t="s">
        <v>33</v>
      </c>
      <c r="D240" s="15" t="s">
        <v>83</v>
      </c>
      <c r="E240" s="19" t="s">
        <v>3310</v>
      </c>
      <c r="F240" s="15" t="s">
        <v>69</v>
      </c>
      <c r="G240" s="14">
        <v>66</v>
      </c>
      <c r="H240" s="108" t="s">
        <v>3311</v>
      </c>
    </row>
    <row r="241" spans="1:8" ht="31.15" x14ac:dyDescent="0.25">
      <c r="A241" s="14">
        <v>9</v>
      </c>
      <c r="B241" s="14">
        <v>1</v>
      </c>
      <c r="C241" s="187" t="s">
        <v>33</v>
      </c>
      <c r="D241" s="15" t="s">
        <v>83</v>
      </c>
      <c r="E241" s="19" t="s">
        <v>3312</v>
      </c>
      <c r="F241" s="15" t="s">
        <v>81</v>
      </c>
      <c r="G241" s="14">
        <v>1</v>
      </c>
      <c r="H241" s="108" t="s">
        <v>3313</v>
      </c>
    </row>
    <row r="242" spans="1:8" ht="46.9" x14ac:dyDescent="0.25">
      <c r="A242" s="32">
        <v>20</v>
      </c>
      <c r="B242" s="32">
        <v>2</v>
      </c>
      <c r="C242" s="194" t="s">
        <v>44</v>
      </c>
      <c r="D242" s="33" t="s">
        <v>0</v>
      </c>
      <c r="E242" s="38" t="s">
        <v>1850</v>
      </c>
      <c r="F242" s="33" t="s">
        <v>81</v>
      </c>
      <c r="G242" s="32">
        <v>50</v>
      </c>
      <c r="H242" s="107" t="s">
        <v>1775</v>
      </c>
    </row>
    <row r="243" spans="1:8" ht="31.15" x14ac:dyDescent="0.25">
      <c r="A243" s="32">
        <v>20</v>
      </c>
      <c r="B243" s="32">
        <v>2</v>
      </c>
      <c r="C243" s="194" t="s">
        <v>44</v>
      </c>
      <c r="D243" s="33" t="s">
        <v>0</v>
      </c>
      <c r="E243" s="38" t="s">
        <v>1851</v>
      </c>
      <c r="F243" s="33" t="s">
        <v>81</v>
      </c>
      <c r="G243" s="32">
        <v>24</v>
      </c>
      <c r="H243" s="107" t="s">
        <v>1776</v>
      </c>
    </row>
    <row r="244" spans="1:8" ht="46.9" x14ac:dyDescent="0.25">
      <c r="A244" s="132">
        <v>20</v>
      </c>
      <c r="B244" s="132">
        <v>2</v>
      </c>
      <c r="C244" s="194" t="s">
        <v>44</v>
      </c>
      <c r="D244" s="33" t="s">
        <v>1</v>
      </c>
      <c r="E244" s="38" t="s">
        <v>1852</v>
      </c>
      <c r="F244" s="33" t="s">
        <v>81</v>
      </c>
      <c r="G244" s="32">
        <v>40</v>
      </c>
      <c r="H244" s="107" t="s">
        <v>1777</v>
      </c>
    </row>
    <row r="245" spans="1:8" ht="46.9" x14ac:dyDescent="0.25">
      <c r="A245" s="132">
        <v>20</v>
      </c>
      <c r="B245" s="132">
        <v>2</v>
      </c>
      <c r="C245" s="194" t="s">
        <v>44</v>
      </c>
      <c r="D245" s="33" t="s">
        <v>1</v>
      </c>
      <c r="E245" s="38" t="s">
        <v>1853</v>
      </c>
      <c r="F245" s="33" t="s">
        <v>81</v>
      </c>
      <c r="G245" s="32">
        <v>50</v>
      </c>
      <c r="H245" s="107" t="s">
        <v>1777</v>
      </c>
    </row>
    <row r="246" spans="1:8" ht="46.9" x14ac:dyDescent="0.25">
      <c r="A246" s="132">
        <v>20</v>
      </c>
      <c r="B246" s="132">
        <v>2</v>
      </c>
      <c r="C246" s="194" t="s">
        <v>44</v>
      </c>
      <c r="D246" s="33" t="s">
        <v>1</v>
      </c>
      <c r="E246" s="38" t="s">
        <v>1854</v>
      </c>
      <c r="F246" s="33" t="s">
        <v>81</v>
      </c>
      <c r="G246" s="32">
        <v>50</v>
      </c>
      <c r="H246" s="107" t="s">
        <v>1777</v>
      </c>
    </row>
    <row r="247" spans="1:8" ht="46.9" x14ac:dyDescent="0.25">
      <c r="A247" s="132">
        <v>20</v>
      </c>
      <c r="B247" s="132">
        <v>2</v>
      </c>
      <c r="C247" s="194" t="s">
        <v>44</v>
      </c>
      <c r="D247" s="33" t="s">
        <v>1</v>
      </c>
      <c r="E247" s="38" t="s">
        <v>1855</v>
      </c>
      <c r="F247" s="33" t="s">
        <v>81</v>
      </c>
      <c r="G247" s="32">
        <v>50</v>
      </c>
      <c r="H247" s="107" t="s">
        <v>1777</v>
      </c>
    </row>
    <row r="248" spans="1:8" ht="46.9" x14ac:dyDescent="0.25">
      <c r="A248" s="132">
        <v>20</v>
      </c>
      <c r="B248" s="132">
        <v>2</v>
      </c>
      <c r="C248" s="194" t="s">
        <v>44</v>
      </c>
      <c r="D248" s="199" t="s">
        <v>1</v>
      </c>
      <c r="E248" s="38" t="s">
        <v>1856</v>
      </c>
      <c r="F248" s="33" t="s">
        <v>81</v>
      </c>
      <c r="G248" s="32">
        <v>32</v>
      </c>
      <c r="H248" s="107" t="s">
        <v>1777</v>
      </c>
    </row>
    <row r="249" spans="1:8" ht="46.9" x14ac:dyDescent="0.25">
      <c r="A249" s="132">
        <v>20</v>
      </c>
      <c r="B249" s="132">
        <v>2</v>
      </c>
      <c r="C249" s="194" t="s">
        <v>44</v>
      </c>
      <c r="D249" s="33" t="s">
        <v>1</v>
      </c>
      <c r="E249" s="38" t="s">
        <v>1857</v>
      </c>
      <c r="F249" s="33" t="s">
        <v>81</v>
      </c>
      <c r="G249" s="32">
        <v>55</v>
      </c>
      <c r="H249" s="107" t="s">
        <v>1777</v>
      </c>
    </row>
    <row r="250" spans="1:8" ht="46.9" x14ac:dyDescent="0.25">
      <c r="A250" s="132">
        <v>20</v>
      </c>
      <c r="B250" s="132">
        <v>2</v>
      </c>
      <c r="C250" s="194" t="s">
        <v>44</v>
      </c>
      <c r="D250" s="199" t="s">
        <v>1</v>
      </c>
      <c r="E250" s="38" t="s">
        <v>1858</v>
      </c>
      <c r="F250" s="33" t="s">
        <v>81</v>
      </c>
      <c r="G250" s="32">
        <v>50</v>
      </c>
      <c r="H250" s="107" t="s">
        <v>1777</v>
      </c>
    </row>
    <row r="251" spans="1:8" ht="46.9" x14ac:dyDescent="0.25">
      <c r="A251" s="132">
        <v>20</v>
      </c>
      <c r="B251" s="132">
        <v>2</v>
      </c>
      <c r="C251" s="194" t="s">
        <v>44</v>
      </c>
      <c r="D251" s="33" t="s">
        <v>1</v>
      </c>
      <c r="E251" s="38" t="s">
        <v>1859</v>
      </c>
      <c r="F251" s="33" t="s">
        <v>81</v>
      </c>
      <c r="G251" s="32">
        <v>50</v>
      </c>
      <c r="H251" s="107" t="s">
        <v>1777</v>
      </c>
    </row>
    <row r="252" spans="1:8" ht="46.9" x14ac:dyDescent="0.25">
      <c r="A252" s="132">
        <v>20</v>
      </c>
      <c r="B252" s="132">
        <v>2</v>
      </c>
      <c r="C252" s="194" t="s">
        <v>44</v>
      </c>
      <c r="D252" s="33" t="s">
        <v>1</v>
      </c>
      <c r="E252" s="38" t="s">
        <v>1860</v>
      </c>
      <c r="F252" s="33" t="s">
        <v>81</v>
      </c>
      <c r="G252" s="32">
        <v>37</v>
      </c>
      <c r="H252" s="107" t="s">
        <v>1777</v>
      </c>
    </row>
    <row r="253" spans="1:8" ht="31.15" x14ac:dyDescent="0.25">
      <c r="A253" s="132">
        <v>20</v>
      </c>
      <c r="B253" s="132">
        <v>2</v>
      </c>
      <c r="C253" s="194" t="s">
        <v>44</v>
      </c>
      <c r="D253" s="33" t="s">
        <v>1</v>
      </c>
      <c r="E253" s="38" t="s">
        <v>1861</v>
      </c>
      <c r="F253" s="33" t="s">
        <v>81</v>
      </c>
      <c r="G253" s="32">
        <v>33</v>
      </c>
      <c r="H253" s="107" t="s">
        <v>1776</v>
      </c>
    </row>
    <row r="254" spans="1:8" ht="31.15" x14ac:dyDescent="0.25">
      <c r="A254" s="132">
        <v>20</v>
      </c>
      <c r="B254" s="132">
        <v>2</v>
      </c>
      <c r="C254" s="194" t="s">
        <v>44</v>
      </c>
      <c r="D254" s="199" t="s">
        <v>1</v>
      </c>
      <c r="E254" s="38" t="s">
        <v>1862</v>
      </c>
      <c r="F254" s="33" t="s">
        <v>81</v>
      </c>
      <c r="G254" s="32">
        <v>2</v>
      </c>
      <c r="H254" s="107" t="s">
        <v>1778</v>
      </c>
    </row>
    <row r="255" spans="1:8" ht="31.15" x14ac:dyDescent="0.25">
      <c r="A255" s="132">
        <v>10</v>
      </c>
      <c r="B255" s="132">
        <v>2</v>
      </c>
      <c r="C255" s="194" t="s">
        <v>34</v>
      </c>
      <c r="D255" s="199" t="s">
        <v>0</v>
      </c>
      <c r="E255" s="38" t="s">
        <v>1888</v>
      </c>
      <c r="F255" s="33" t="s">
        <v>81</v>
      </c>
      <c r="G255" s="32">
        <v>1</v>
      </c>
      <c r="H255" s="107" t="s">
        <v>1788</v>
      </c>
    </row>
    <row r="256" spans="1:8" ht="62.45" x14ac:dyDescent="0.25">
      <c r="A256" s="132">
        <v>10</v>
      </c>
      <c r="B256" s="132">
        <v>2</v>
      </c>
      <c r="C256" s="194" t="s">
        <v>34</v>
      </c>
      <c r="D256" s="33" t="s">
        <v>0</v>
      </c>
      <c r="E256" s="38" t="s">
        <v>1889</v>
      </c>
      <c r="F256" s="33" t="s">
        <v>81</v>
      </c>
      <c r="G256" s="32">
        <v>71</v>
      </c>
      <c r="H256" s="107" t="s">
        <v>1789</v>
      </c>
    </row>
    <row r="257" spans="1:8" ht="62.45" x14ac:dyDescent="0.25">
      <c r="A257" s="132">
        <v>10</v>
      </c>
      <c r="B257" s="132">
        <v>2</v>
      </c>
      <c r="C257" s="194" t="s">
        <v>34</v>
      </c>
      <c r="D257" s="199" t="s">
        <v>1</v>
      </c>
      <c r="E257" s="38" t="s">
        <v>1890</v>
      </c>
      <c r="F257" s="33" t="s">
        <v>81</v>
      </c>
      <c r="G257" s="32">
        <v>17</v>
      </c>
      <c r="H257" s="107" t="s">
        <v>1891</v>
      </c>
    </row>
    <row r="258" spans="1:8" ht="46.9" x14ac:dyDescent="0.25">
      <c r="A258" s="132">
        <v>10</v>
      </c>
      <c r="B258" s="132">
        <v>2</v>
      </c>
      <c r="C258" s="194" t="s">
        <v>34</v>
      </c>
      <c r="D258" s="33" t="s">
        <v>1</v>
      </c>
      <c r="E258" s="38" t="s">
        <v>1892</v>
      </c>
      <c r="F258" s="33" t="s">
        <v>81</v>
      </c>
      <c r="G258" s="32">
        <v>31</v>
      </c>
      <c r="H258" s="107" t="s">
        <v>1893</v>
      </c>
    </row>
    <row r="259" spans="1:8" ht="62.45" x14ac:dyDescent="0.25">
      <c r="A259" s="132">
        <v>10</v>
      </c>
      <c r="B259" s="132">
        <v>2</v>
      </c>
      <c r="C259" s="194" t="s">
        <v>34</v>
      </c>
      <c r="D259" s="199" t="s">
        <v>1</v>
      </c>
      <c r="E259" s="38" t="s">
        <v>1894</v>
      </c>
      <c r="F259" s="33" t="s">
        <v>81</v>
      </c>
      <c r="G259" s="32">
        <v>51</v>
      </c>
      <c r="H259" s="107" t="s">
        <v>1895</v>
      </c>
    </row>
    <row r="260" spans="1:8" ht="62.45" x14ac:dyDescent="0.25">
      <c r="A260" s="132">
        <v>10</v>
      </c>
      <c r="B260" s="132">
        <v>2</v>
      </c>
      <c r="C260" s="194" t="s">
        <v>34</v>
      </c>
      <c r="D260" s="199" t="s">
        <v>1</v>
      </c>
      <c r="E260" s="38" t="s">
        <v>1896</v>
      </c>
      <c r="F260" s="33" t="s">
        <v>81</v>
      </c>
      <c r="G260" s="32">
        <v>52</v>
      </c>
      <c r="H260" s="107" t="s">
        <v>1790</v>
      </c>
    </row>
    <row r="261" spans="1:8" ht="78" x14ac:dyDescent="0.25">
      <c r="A261" s="132">
        <v>10</v>
      </c>
      <c r="B261" s="132">
        <v>2</v>
      </c>
      <c r="C261" s="194" t="s">
        <v>34</v>
      </c>
      <c r="D261" s="199" t="s">
        <v>83</v>
      </c>
      <c r="E261" s="38" t="s">
        <v>1897</v>
      </c>
      <c r="F261" s="33" t="s">
        <v>69</v>
      </c>
      <c r="G261" s="32">
        <v>0</v>
      </c>
      <c r="H261" s="107" t="s">
        <v>1839</v>
      </c>
    </row>
    <row r="262" spans="1:8" ht="62.45" x14ac:dyDescent="0.25">
      <c r="A262" s="132">
        <v>10</v>
      </c>
      <c r="B262" s="132">
        <v>2</v>
      </c>
      <c r="C262" s="194" t="s">
        <v>34</v>
      </c>
      <c r="D262" s="199" t="s">
        <v>83</v>
      </c>
      <c r="E262" s="38" t="s">
        <v>1898</v>
      </c>
      <c r="F262" s="33" t="s">
        <v>69</v>
      </c>
      <c r="G262" s="32">
        <v>600</v>
      </c>
      <c r="H262" s="107" t="s">
        <v>1791</v>
      </c>
    </row>
    <row r="263" spans="1:8" ht="62.45" x14ac:dyDescent="0.25">
      <c r="A263" s="132">
        <v>10</v>
      </c>
      <c r="B263" s="132">
        <v>2</v>
      </c>
      <c r="C263" s="194" t="s">
        <v>34</v>
      </c>
      <c r="D263" s="199" t="s">
        <v>83</v>
      </c>
      <c r="E263" s="38" t="s">
        <v>1899</v>
      </c>
      <c r="F263" s="33" t="s">
        <v>69</v>
      </c>
      <c r="G263" s="32">
        <v>17</v>
      </c>
      <c r="H263" s="107" t="s">
        <v>1900</v>
      </c>
    </row>
    <row r="264" spans="1:8" ht="62.45" x14ac:dyDescent="0.25">
      <c r="A264" s="132">
        <v>10</v>
      </c>
      <c r="B264" s="132">
        <v>2</v>
      </c>
      <c r="C264" s="194" t="s">
        <v>34</v>
      </c>
      <c r="D264" s="33" t="s">
        <v>83</v>
      </c>
      <c r="E264" s="38" t="s">
        <v>1901</v>
      </c>
      <c r="F264" s="33" t="s">
        <v>69</v>
      </c>
      <c r="G264" s="32">
        <v>23</v>
      </c>
      <c r="H264" s="107" t="s">
        <v>1902</v>
      </c>
    </row>
    <row r="265" spans="1:8" ht="31.15" x14ac:dyDescent="0.25">
      <c r="A265" s="132">
        <v>16</v>
      </c>
      <c r="B265" s="132">
        <v>2</v>
      </c>
      <c r="C265" s="194" t="s">
        <v>40</v>
      </c>
      <c r="D265" s="199" t="s">
        <v>137</v>
      </c>
      <c r="E265" s="38" t="s">
        <v>1927</v>
      </c>
      <c r="F265" s="33" t="s">
        <v>81</v>
      </c>
      <c r="G265" s="32">
        <v>62</v>
      </c>
      <c r="H265" s="107" t="s">
        <v>1928</v>
      </c>
    </row>
    <row r="266" spans="1:8" ht="31.15" x14ac:dyDescent="0.25">
      <c r="A266" s="132">
        <v>16</v>
      </c>
      <c r="B266" s="132">
        <v>2</v>
      </c>
      <c r="C266" s="194" t="s">
        <v>40</v>
      </c>
      <c r="D266" s="33" t="s">
        <v>0</v>
      </c>
      <c r="E266" s="38" t="s">
        <v>1929</v>
      </c>
      <c r="F266" s="33" t="s">
        <v>69</v>
      </c>
      <c r="G266" s="32">
        <v>8</v>
      </c>
      <c r="H266" s="107" t="s">
        <v>1930</v>
      </c>
    </row>
    <row r="267" spans="1:8" ht="31.15" x14ac:dyDescent="0.25">
      <c r="A267" s="132">
        <v>16</v>
      </c>
      <c r="B267" s="132">
        <v>2</v>
      </c>
      <c r="C267" s="194" t="s">
        <v>40</v>
      </c>
      <c r="D267" s="199" t="s">
        <v>1</v>
      </c>
      <c r="E267" s="38" t="s">
        <v>1931</v>
      </c>
      <c r="F267" s="33" t="s">
        <v>69</v>
      </c>
      <c r="G267" s="32">
        <v>8</v>
      </c>
      <c r="H267" s="107" t="s">
        <v>1932</v>
      </c>
    </row>
    <row r="268" spans="1:8" ht="46.9" x14ac:dyDescent="0.25">
      <c r="A268" s="132">
        <v>16</v>
      </c>
      <c r="B268" s="132">
        <v>2</v>
      </c>
      <c r="C268" s="194" t="s">
        <v>40</v>
      </c>
      <c r="D268" s="33" t="s">
        <v>1</v>
      </c>
      <c r="E268" s="38" t="s">
        <v>1933</v>
      </c>
      <c r="F268" s="33" t="s">
        <v>81</v>
      </c>
      <c r="G268" s="32">
        <v>61</v>
      </c>
      <c r="H268" s="107" t="s">
        <v>1794</v>
      </c>
    </row>
    <row r="269" spans="1:8" ht="46.9" x14ac:dyDescent="0.25">
      <c r="A269" s="132">
        <v>16</v>
      </c>
      <c r="B269" s="132">
        <v>2</v>
      </c>
      <c r="C269" s="194" t="s">
        <v>40</v>
      </c>
      <c r="D269" s="199" t="s">
        <v>1</v>
      </c>
      <c r="E269" s="38" t="s">
        <v>1934</v>
      </c>
      <c r="F269" s="33" t="s">
        <v>81</v>
      </c>
      <c r="G269" s="32">
        <v>53</v>
      </c>
      <c r="H269" s="107" t="s">
        <v>1935</v>
      </c>
    </row>
    <row r="270" spans="1:8" ht="15.6" x14ac:dyDescent="0.25">
      <c r="A270" s="132">
        <v>16</v>
      </c>
      <c r="B270" s="132">
        <v>2</v>
      </c>
      <c r="C270" s="194" t="s">
        <v>40</v>
      </c>
      <c r="D270" s="33" t="s">
        <v>83</v>
      </c>
      <c r="E270" s="38" t="s">
        <v>1792</v>
      </c>
      <c r="F270" s="33" t="s">
        <v>69</v>
      </c>
      <c r="G270" s="32">
        <v>1</v>
      </c>
      <c r="H270" s="107" t="s">
        <v>1793</v>
      </c>
    </row>
    <row r="271" spans="1:8" ht="31.15" x14ac:dyDescent="0.25">
      <c r="A271" s="132">
        <v>24</v>
      </c>
      <c r="B271" s="132">
        <v>2</v>
      </c>
      <c r="C271" s="194" t="s">
        <v>48</v>
      </c>
      <c r="D271" s="33" t="s">
        <v>1</v>
      </c>
      <c r="E271" s="38" t="s">
        <v>1983</v>
      </c>
      <c r="F271" s="33" t="s">
        <v>69</v>
      </c>
      <c r="G271" s="32">
        <v>81</v>
      </c>
      <c r="H271" s="107" t="s">
        <v>1779</v>
      </c>
    </row>
    <row r="272" spans="1:8" ht="31.15" x14ac:dyDescent="0.25">
      <c r="A272" s="132">
        <v>24</v>
      </c>
      <c r="B272" s="132">
        <v>2</v>
      </c>
      <c r="C272" s="194" t="s">
        <v>48</v>
      </c>
      <c r="D272" s="33" t="s">
        <v>1</v>
      </c>
      <c r="E272" s="38" t="s">
        <v>1780</v>
      </c>
      <c r="F272" s="33" t="s">
        <v>81</v>
      </c>
      <c r="G272" s="32">
        <v>118</v>
      </c>
      <c r="H272" s="107" t="s">
        <v>1781</v>
      </c>
    </row>
    <row r="273" spans="1:8" ht="62.45" x14ac:dyDescent="0.25">
      <c r="A273" s="132">
        <v>24</v>
      </c>
      <c r="B273" s="132">
        <v>2</v>
      </c>
      <c r="C273" s="194" t="s">
        <v>48</v>
      </c>
      <c r="D273" s="199" t="s">
        <v>1</v>
      </c>
      <c r="E273" s="38" t="s">
        <v>1984</v>
      </c>
      <c r="F273" s="33" t="s">
        <v>81</v>
      </c>
      <c r="G273" s="32">
        <v>18</v>
      </c>
      <c r="H273" s="107" t="s">
        <v>1782</v>
      </c>
    </row>
    <row r="274" spans="1:8" ht="124.9" x14ac:dyDescent="0.25">
      <c r="A274" s="132">
        <v>24</v>
      </c>
      <c r="B274" s="132">
        <v>2</v>
      </c>
      <c r="C274" s="194" t="s">
        <v>48</v>
      </c>
      <c r="D274" s="33" t="s">
        <v>1</v>
      </c>
      <c r="E274" s="38" t="s">
        <v>1985</v>
      </c>
      <c r="F274" s="33" t="s">
        <v>81</v>
      </c>
      <c r="G274" s="32">
        <v>40</v>
      </c>
      <c r="H274" s="107" t="s">
        <v>1783</v>
      </c>
    </row>
    <row r="275" spans="1:8" ht="46.9" x14ac:dyDescent="0.25">
      <c r="A275" s="132">
        <v>24</v>
      </c>
      <c r="B275" s="132">
        <v>2</v>
      </c>
      <c r="C275" s="194" t="s">
        <v>48</v>
      </c>
      <c r="D275" s="199" t="s">
        <v>1</v>
      </c>
      <c r="E275" s="38" t="s">
        <v>1986</v>
      </c>
      <c r="F275" s="33" t="s">
        <v>69</v>
      </c>
      <c r="G275" s="32">
        <v>58</v>
      </c>
      <c r="H275" s="107" t="s">
        <v>1784</v>
      </c>
    </row>
    <row r="276" spans="1:8" ht="78" x14ac:dyDescent="0.25">
      <c r="A276" s="132">
        <v>24</v>
      </c>
      <c r="B276" s="132">
        <v>2</v>
      </c>
      <c r="C276" s="194" t="s">
        <v>48</v>
      </c>
      <c r="D276" s="199" t="s">
        <v>1</v>
      </c>
      <c r="E276" s="38" t="s">
        <v>1987</v>
      </c>
      <c r="F276" s="33" t="s">
        <v>69</v>
      </c>
      <c r="G276" s="32">
        <v>42</v>
      </c>
      <c r="H276" s="107" t="s">
        <v>1785</v>
      </c>
    </row>
    <row r="277" spans="1:8" ht="31.15" x14ac:dyDescent="0.25">
      <c r="A277" s="132">
        <v>24</v>
      </c>
      <c r="B277" s="132">
        <v>2</v>
      </c>
      <c r="C277" s="194" t="s">
        <v>48</v>
      </c>
      <c r="D277" s="33" t="s">
        <v>83</v>
      </c>
      <c r="E277" s="38" t="s">
        <v>1743</v>
      </c>
      <c r="F277" s="33" t="s">
        <v>69</v>
      </c>
      <c r="G277" s="32">
        <v>3</v>
      </c>
      <c r="H277" s="107" t="s">
        <v>1980</v>
      </c>
    </row>
    <row r="278" spans="1:8" ht="31.15" x14ac:dyDescent="0.25">
      <c r="A278" s="132">
        <v>24</v>
      </c>
      <c r="B278" s="132">
        <v>2</v>
      </c>
      <c r="C278" s="194" t="s">
        <v>48</v>
      </c>
      <c r="D278" s="33" t="s">
        <v>83</v>
      </c>
      <c r="E278" s="38" t="s">
        <v>1988</v>
      </c>
      <c r="F278" s="33" t="s">
        <v>69</v>
      </c>
      <c r="G278" s="32">
        <v>2</v>
      </c>
      <c r="H278" s="107" t="s">
        <v>1786</v>
      </c>
    </row>
    <row r="279" spans="1:8" ht="15.6" x14ac:dyDescent="0.25">
      <c r="A279" s="132">
        <v>24</v>
      </c>
      <c r="B279" s="132">
        <v>2</v>
      </c>
      <c r="C279" s="194" t="s">
        <v>48</v>
      </c>
      <c r="D279" s="199" t="s">
        <v>83</v>
      </c>
      <c r="E279" s="38" t="s">
        <v>1989</v>
      </c>
      <c r="F279" s="33" t="s">
        <v>69</v>
      </c>
      <c r="G279" s="32">
        <v>6</v>
      </c>
      <c r="H279" s="107" t="s">
        <v>1787</v>
      </c>
    </row>
    <row r="280" spans="1:8" ht="78" x14ac:dyDescent="0.25">
      <c r="A280" s="132">
        <v>24</v>
      </c>
      <c r="B280" s="132">
        <v>2</v>
      </c>
      <c r="C280" s="194" t="s">
        <v>48</v>
      </c>
      <c r="D280" s="199" t="s">
        <v>83</v>
      </c>
      <c r="E280" s="38" t="s">
        <v>1990</v>
      </c>
      <c r="F280" s="33" t="s">
        <v>69</v>
      </c>
      <c r="G280" s="32">
        <v>8</v>
      </c>
      <c r="H280" s="107" t="s">
        <v>1991</v>
      </c>
    </row>
    <row r="281" spans="1:8" ht="15.6" x14ac:dyDescent="0.25">
      <c r="A281" s="132">
        <v>14</v>
      </c>
      <c r="B281" s="132">
        <v>2</v>
      </c>
      <c r="C281" s="194" t="s">
        <v>38</v>
      </c>
      <c r="D281" s="194" t="s">
        <v>4</v>
      </c>
      <c r="E281" s="38" t="s">
        <v>2014</v>
      </c>
      <c r="F281" s="186" t="s">
        <v>69</v>
      </c>
      <c r="G281" s="32">
        <v>2</v>
      </c>
      <c r="H281" s="185" t="s">
        <v>1807</v>
      </c>
    </row>
    <row r="282" spans="1:8" ht="62.45" x14ac:dyDescent="0.25">
      <c r="A282" s="132">
        <v>14</v>
      </c>
      <c r="B282" s="132">
        <v>2</v>
      </c>
      <c r="C282" s="194" t="s">
        <v>38</v>
      </c>
      <c r="D282" s="194" t="s">
        <v>4</v>
      </c>
      <c r="E282" s="186" t="s">
        <v>2015</v>
      </c>
      <c r="F282" s="186" t="s">
        <v>81</v>
      </c>
      <c r="G282" s="32">
        <v>2</v>
      </c>
      <c r="H282" s="185" t="s">
        <v>1814</v>
      </c>
    </row>
    <row r="283" spans="1:8" ht="62.45" x14ac:dyDescent="0.25">
      <c r="A283" s="132">
        <v>14</v>
      </c>
      <c r="B283" s="132">
        <v>2</v>
      </c>
      <c r="C283" s="194" t="s">
        <v>38</v>
      </c>
      <c r="D283" s="204" t="s">
        <v>137</v>
      </c>
      <c r="E283" s="38" t="s">
        <v>2016</v>
      </c>
      <c r="F283" s="186" t="s">
        <v>69</v>
      </c>
      <c r="G283" s="32">
        <v>113</v>
      </c>
      <c r="H283" s="185" t="s">
        <v>1802</v>
      </c>
    </row>
    <row r="284" spans="1:8" ht="15.6" x14ac:dyDescent="0.25">
      <c r="A284" s="132">
        <v>14</v>
      </c>
      <c r="B284" s="132">
        <v>2</v>
      </c>
      <c r="C284" s="194" t="s">
        <v>38</v>
      </c>
      <c r="D284" s="194" t="s">
        <v>137</v>
      </c>
      <c r="E284" s="38" t="s">
        <v>1803</v>
      </c>
      <c r="F284" s="186" t="s">
        <v>69</v>
      </c>
      <c r="G284" s="32">
        <v>4</v>
      </c>
      <c r="H284" s="185" t="s">
        <v>1804</v>
      </c>
    </row>
    <row r="285" spans="1:8" ht="31.15" x14ac:dyDescent="0.25">
      <c r="A285" s="132">
        <v>14</v>
      </c>
      <c r="B285" s="132">
        <v>2</v>
      </c>
      <c r="C285" s="194" t="s">
        <v>38</v>
      </c>
      <c r="D285" s="194" t="s">
        <v>0</v>
      </c>
      <c r="E285" s="38" t="s">
        <v>1798</v>
      </c>
      <c r="F285" s="186" t="s">
        <v>69</v>
      </c>
      <c r="G285" s="32">
        <v>142</v>
      </c>
      <c r="H285" s="185" t="s">
        <v>1799</v>
      </c>
    </row>
    <row r="286" spans="1:8" ht="62.45" x14ac:dyDescent="0.25">
      <c r="A286" s="132">
        <v>14</v>
      </c>
      <c r="B286" s="132">
        <v>2</v>
      </c>
      <c r="C286" s="194" t="s">
        <v>38</v>
      </c>
      <c r="D286" s="194" t="s">
        <v>559</v>
      </c>
      <c r="E286" s="38" t="s">
        <v>1805</v>
      </c>
      <c r="F286" s="186" t="s">
        <v>69</v>
      </c>
      <c r="G286" s="32">
        <v>6</v>
      </c>
      <c r="H286" s="185" t="s">
        <v>1806</v>
      </c>
    </row>
    <row r="287" spans="1:8" ht="46.9" x14ac:dyDescent="0.25">
      <c r="A287" s="132">
        <v>14</v>
      </c>
      <c r="B287" s="132">
        <v>2</v>
      </c>
      <c r="C287" s="194" t="s">
        <v>38</v>
      </c>
      <c r="D287" s="194" t="s">
        <v>1</v>
      </c>
      <c r="E287" s="38" t="s">
        <v>1795</v>
      </c>
      <c r="F287" s="186" t="s">
        <v>69</v>
      </c>
      <c r="G287" s="32">
        <v>670</v>
      </c>
      <c r="H287" s="185" t="s">
        <v>1796</v>
      </c>
    </row>
    <row r="288" spans="1:8" ht="46.9" x14ac:dyDescent="0.25">
      <c r="A288" s="132">
        <v>14</v>
      </c>
      <c r="B288" s="132">
        <v>2</v>
      </c>
      <c r="C288" s="194" t="s">
        <v>38</v>
      </c>
      <c r="D288" s="194" t="s">
        <v>1</v>
      </c>
      <c r="E288" s="38" t="s">
        <v>1797</v>
      </c>
      <c r="F288" s="186" t="s">
        <v>69</v>
      </c>
      <c r="G288" s="32">
        <v>175</v>
      </c>
      <c r="H288" s="185" t="s">
        <v>1796</v>
      </c>
    </row>
    <row r="289" spans="1:8" ht="46.9" x14ac:dyDescent="0.25">
      <c r="A289" s="132">
        <v>14</v>
      </c>
      <c r="B289" s="132">
        <v>2</v>
      </c>
      <c r="C289" s="194" t="s">
        <v>38</v>
      </c>
      <c r="D289" s="194" t="s">
        <v>1</v>
      </c>
      <c r="E289" s="38" t="s">
        <v>1800</v>
      </c>
      <c r="F289" s="186" t="s">
        <v>69</v>
      </c>
      <c r="G289" s="32">
        <v>105</v>
      </c>
      <c r="H289" s="185" t="s">
        <v>1801</v>
      </c>
    </row>
    <row r="290" spans="1:8" ht="31.15" x14ac:dyDescent="0.25">
      <c r="A290" s="132">
        <v>14</v>
      </c>
      <c r="B290" s="132">
        <v>2</v>
      </c>
      <c r="C290" s="194" t="s">
        <v>38</v>
      </c>
      <c r="D290" s="194" t="s">
        <v>1</v>
      </c>
      <c r="E290" s="186" t="s">
        <v>1808</v>
      </c>
      <c r="F290" s="186" t="s">
        <v>69</v>
      </c>
      <c r="G290" s="32">
        <v>11</v>
      </c>
      <c r="H290" s="185" t="s">
        <v>1807</v>
      </c>
    </row>
    <row r="291" spans="1:8" ht="46.9" x14ac:dyDescent="0.25">
      <c r="A291" s="132">
        <v>14</v>
      </c>
      <c r="B291" s="132">
        <v>2</v>
      </c>
      <c r="C291" s="194" t="s">
        <v>38</v>
      </c>
      <c r="D291" s="194" t="s">
        <v>1</v>
      </c>
      <c r="E291" s="186" t="s">
        <v>2017</v>
      </c>
      <c r="F291" s="186" t="s">
        <v>69</v>
      </c>
      <c r="G291" s="32">
        <v>29</v>
      </c>
      <c r="H291" s="185" t="s">
        <v>1796</v>
      </c>
    </row>
    <row r="292" spans="1:8" ht="62.45" x14ac:dyDescent="0.25">
      <c r="A292" s="132">
        <v>14</v>
      </c>
      <c r="B292" s="132">
        <v>2</v>
      </c>
      <c r="C292" s="194" t="s">
        <v>38</v>
      </c>
      <c r="D292" s="194" t="s">
        <v>83</v>
      </c>
      <c r="E292" s="186" t="s">
        <v>2018</v>
      </c>
      <c r="F292" s="186" t="s">
        <v>69</v>
      </c>
      <c r="G292" s="32">
        <v>20</v>
      </c>
      <c r="H292" s="185" t="s">
        <v>1809</v>
      </c>
    </row>
    <row r="293" spans="1:8" ht="46.9" x14ac:dyDescent="0.25">
      <c r="A293" s="132">
        <v>14</v>
      </c>
      <c r="B293" s="132">
        <v>2</v>
      </c>
      <c r="C293" s="194" t="s">
        <v>38</v>
      </c>
      <c r="D293" s="194" t="s">
        <v>83</v>
      </c>
      <c r="E293" s="186" t="s">
        <v>1810</v>
      </c>
      <c r="F293" s="186" t="s">
        <v>69</v>
      </c>
      <c r="G293" s="32">
        <v>5</v>
      </c>
      <c r="H293" s="185" t="s">
        <v>1811</v>
      </c>
    </row>
    <row r="294" spans="1:8" ht="46.9" x14ac:dyDescent="0.25">
      <c r="A294" s="205">
        <v>14</v>
      </c>
      <c r="B294" s="32">
        <v>2</v>
      </c>
      <c r="C294" s="194" t="s">
        <v>38</v>
      </c>
      <c r="D294" s="194" t="s">
        <v>83</v>
      </c>
      <c r="E294" s="186" t="s">
        <v>1812</v>
      </c>
      <c r="F294" s="186" t="s">
        <v>69</v>
      </c>
      <c r="G294" s="32">
        <v>23</v>
      </c>
      <c r="H294" s="185" t="s">
        <v>1811</v>
      </c>
    </row>
    <row r="295" spans="1:8" ht="46.9" x14ac:dyDescent="0.25">
      <c r="A295" s="32">
        <v>14</v>
      </c>
      <c r="B295" s="32">
        <v>2</v>
      </c>
      <c r="C295" s="194" t="s">
        <v>38</v>
      </c>
      <c r="D295" s="194" t="s">
        <v>83</v>
      </c>
      <c r="E295" s="186" t="s">
        <v>1813</v>
      </c>
      <c r="F295" s="186" t="s">
        <v>69</v>
      </c>
      <c r="G295" s="32">
        <v>3</v>
      </c>
      <c r="H295" s="185" t="s">
        <v>1811</v>
      </c>
    </row>
    <row r="296" spans="1:8" ht="46.9" x14ac:dyDescent="0.25">
      <c r="A296" s="32">
        <v>14</v>
      </c>
      <c r="B296" s="32">
        <v>2</v>
      </c>
      <c r="C296" s="194" t="s">
        <v>38</v>
      </c>
      <c r="D296" s="194" t="s">
        <v>83</v>
      </c>
      <c r="E296" s="186" t="s">
        <v>2019</v>
      </c>
      <c r="F296" s="186" t="s">
        <v>69</v>
      </c>
      <c r="G296" s="32">
        <v>104</v>
      </c>
      <c r="H296" s="185" t="s">
        <v>2020</v>
      </c>
    </row>
    <row r="297" spans="1:8" ht="31.15" x14ac:dyDescent="0.25">
      <c r="A297" s="32">
        <v>26</v>
      </c>
      <c r="B297" s="32">
        <v>2</v>
      </c>
      <c r="C297" s="194" t="s">
        <v>50</v>
      </c>
      <c r="D297" s="33" t="s">
        <v>0</v>
      </c>
      <c r="E297" s="38" t="s">
        <v>2082</v>
      </c>
      <c r="F297" s="33" t="s">
        <v>81</v>
      </c>
      <c r="G297" s="32">
        <v>73</v>
      </c>
      <c r="H297" s="107" t="s">
        <v>2083</v>
      </c>
    </row>
    <row r="298" spans="1:8" ht="31.15" x14ac:dyDescent="0.25">
      <c r="A298" s="32">
        <v>26</v>
      </c>
      <c r="B298" s="32">
        <v>2</v>
      </c>
      <c r="C298" s="194" t="s">
        <v>50</v>
      </c>
      <c r="D298" s="33" t="s">
        <v>0</v>
      </c>
      <c r="E298" s="38" t="s">
        <v>1816</v>
      </c>
      <c r="F298" s="33" t="s">
        <v>81</v>
      </c>
      <c r="G298" s="32">
        <v>22</v>
      </c>
      <c r="H298" s="107" t="s">
        <v>2083</v>
      </c>
    </row>
    <row r="299" spans="1:8" ht="31.15" x14ac:dyDescent="0.25">
      <c r="A299" s="32">
        <v>26</v>
      </c>
      <c r="B299" s="32">
        <v>2</v>
      </c>
      <c r="C299" s="194" t="s">
        <v>50</v>
      </c>
      <c r="D299" s="33" t="s">
        <v>0</v>
      </c>
      <c r="E299" s="38" t="s">
        <v>2084</v>
      </c>
      <c r="F299" s="33" t="s">
        <v>81</v>
      </c>
      <c r="G299" s="32">
        <v>89</v>
      </c>
      <c r="H299" s="107" t="s">
        <v>1817</v>
      </c>
    </row>
    <row r="300" spans="1:8" ht="31.15" x14ac:dyDescent="0.25">
      <c r="A300" s="32">
        <v>26</v>
      </c>
      <c r="B300" s="32">
        <v>2</v>
      </c>
      <c r="C300" s="194" t="s">
        <v>50</v>
      </c>
      <c r="D300" s="33" t="s">
        <v>0</v>
      </c>
      <c r="E300" s="38" t="s">
        <v>2085</v>
      </c>
      <c r="F300" s="33" t="s">
        <v>81</v>
      </c>
      <c r="G300" s="32">
        <v>1</v>
      </c>
      <c r="H300" s="107" t="s">
        <v>2086</v>
      </c>
    </row>
    <row r="301" spans="1:8" ht="31.15" x14ac:dyDescent="0.25">
      <c r="A301" s="32">
        <v>26</v>
      </c>
      <c r="B301" s="32">
        <v>2</v>
      </c>
      <c r="C301" s="194" t="s">
        <v>50</v>
      </c>
      <c r="D301" s="33" t="s">
        <v>559</v>
      </c>
      <c r="E301" s="38" t="s">
        <v>2087</v>
      </c>
      <c r="F301" s="33" t="s">
        <v>69</v>
      </c>
      <c r="G301" s="32">
        <v>5</v>
      </c>
      <c r="H301" s="107" t="s">
        <v>1815</v>
      </c>
    </row>
    <row r="302" spans="1:8" ht="31.15" x14ac:dyDescent="0.25">
      <c r="A302" s="32">
        <v>26</v>
      </c>
      <c r="B302" s="32">
        <v>2</v>
      </c>
      <c r="C302" s="194" t="s">
        <v>50</v>
      </c>
      <c r="D302" s="33" t="s">
        <v>559</v>
      </c>
      <c r="E302" s="38" t="s">
        <v>2088</v>
      </c>
      <c r="F302" s="33" t="s">
        <v>81</v>
      </c>
      <c r="G302" s="32">
        <v>1</v>
      </c>
      <c r="H302" s="107" t="s">
        <v>1815</v>
      </c>
    </row>
    <row r="303" spans="1:8" ht="31.15" x14ac:dyDescent="0.25">
      <c r="A303" s="32">
        <v>26</v>
      </c>
      <c r="B303" s="32">
        <v>2</v>
      </c>
      <c r="C303" s="194" t="s">
        <v>50</v>
      </c>
      <c r="D303" s="33" t="s">
        <v>1</v>
      </c>
      <c r="E303" s="38" t="s">
        <v>2089</v>
      </c>
      <c r="F303" s="33" t="s">
        <v>69</v>
      </c>
      <c r="G303" s="32">
        <v>63</v>
      </c>
      <c r="H303" s="107" t="s">
        <v>1819</v>
      </c>
    </row>
    <row r="304" spans="1:8" ht="15.6" x14ac:dyDescent="0.25">
      <c r="A304" s="32">
        <v>26</v>
      </c>
      <c r="B304" s="32">
        <v>2</v>
      </c>
      <c r="C304" s="194" t="s">
        <v>50</v>
      </c>
      <c r="D304" s="33" t="s">
        <v>1</v>
      </c>
      <c r="E304" s="38" t="s">
        <v>2090</v>
      </c>
      <c r="F304" s="33" t="s">
        <v>81</v>
      </c>
      <c r="G304" s="32">
        <v>89</v>
      </c>
      <c r="H304" s="107" t="s">
        <v>2091</v>
      </c>
    </row>
    <row r="305" spans="1:8" ht="15.6" x14ac:dyDescent="0.25">
      <c r="A305" s="32">
        <v>26</v>
      </c>
      <c r="B305" s="32">
        <v>2</v>
      </c>
      <c r="C305" s="194" t="s">
        <v>50</v>
      </c>
      <c r="D305" s="33" t="s">
        <v>1</v>
      </c>
      <c r="E305" s="38" t="s">
        <v>1820</v>
      </c>
      <c r="F305" s="33" t="s">
        <v>81</v>
      </c>
      <c r="G305" s="32">
        <v>120</v>
      </c>
      <c r="H305" s="107" t="s">
        <v>2091</v>
      </c>
    </row>
    <row r="306" spans="1:8" ht="31.15" x14ac:dyDescent="0.25">
      <c r="A306" s="32">
        <v>26</v>
      </c>
      <c r="B306" s="32">
        <v>2</v>
      </c>
      <c r="C306" s="194" t="s">
        <v>50</v>
      </c>
      <c r="D306" s="33" t="s">
        <v>1</v>
      </c>
      <c r="E306" s="38" t="s">
        <v>1841</v>
      </c>
      <c r="F306" s="33" t="s">
        <v>81</v>
      </c>
      <c r="G306" s="32">
        <v>212</v>
      </c>
      <c r="H306" s="107" t="s">
        <v>1821</v>
      </c>
    </row>
    <row r="307" spans="1:8" ht="31.15" x14ac:dyDescent="0.25">
      <c r="A307" s="32">
        <v>26</v>
      </c>
      <c r="B307" s="32">
        <v>2</v>
      </c>
      <c r="C307" s="194" t="s">
        <v>50</v>
      </c>
      <c r="D307" s="33" t="s">
        <v>1</v>
      </c>
      <c r="E307" s="38" t="s">
        <v>2092</v>
      </c>
      <c r="F307" s="33" t="s">
        <v>81</v>
      </c>
      <c r="G307" s="32">
        <v>175</v>
      </c>
      <c r="H307" s="107" t="s">
        <v>1822</v>
      </c>
    </row>
    <row r="308" spans="1:8" ht="15.6" x14ac:dyDescent="0.25">
      <c r="A308" s="32">
        <v>26</v>
      </c>
      <c r="B308" s="32">
        <v>2</v>
      </c>
      <c r="C308" s="194" t="s">
        <v>50</v>
      </c>
      <c r="D308" s="33" t="s">
        <v>1</v>
      </c>
      <c r="E308" s="38" t="s">
        <v>2093</v>
      </c>
      <c r="F308" s="33" t="s">
        <v>81</v>
      </c>
      <c r="G308" s="32">
        <v>16</v>
      </c>
      <c r="H308" s="107" t="s">
        <v>1823</v>
      </c>
    </row>
    <row r="309" spans="1:8" ht="31.15" x14ac:dyDescent="0.25">
      <c r="A309" s="32">
        <v>26</v>
      </c>
      <c r="B309" s="32">
        <v>2</v>
      </c>
      <c r="C309" s="194" t="s">
        <v>50</v>
      </c>
      <c r="D309" s="33" t="s">
        <v>1</v>
      </c>
      <c r="E309" s="38" t="s">
        <v>2094</v>
      </c>
      <c r="F309" s="33" t="s">
        <v>81</v>
      </c>
      <c r="G309" s="32">
        <v>15</v>
      </c>
      <c r="H309" s="107" t="s">
        <v>1824</v>
      </c>
    </row>
    <row r="310" spans="1:8" ht="46.9" x14ac:dyDescent="0.25">
      <c r="A310" s="32">
        <v>26</v>
      </c>
      <c r="B310" s="32">
        <v>2</v>
      </c>
      <c r="C310" s="194" t="s">
        <v>50</v>
      </c>
      <c r="D310" s="33" t="s">
        <v>1</v>
      </c>
      <c r="E310" s="38" t="s">
        <v>1825</v>
      </c>
      <c r="F310" s="33" t="s">
        <v>81</v>
      </c>
      <c r="G310" s="32">
        <v>185</v>
      </c>
      <c r="H310" s="107" t="s">
        <v>1822</v>
      </c>
    </row>
    <row r="311" spans="1:8" ht="31.15" x14ac:dyDescent="0.25">
      <c r="A311" s="132">
        <v>26</v>
      </c>
      <c r="B311" s="132">
        <v>2</v>
      </c>
      <c r="C311" s="194" t="s">
        <v>50</v>
      </c>
      <c r="D311" s="33" t="s">
        <v>1</v>
      </c>
      <c r="E311" s="38" t="s">
        <v>1826</v>
      </c>
      <c r="F311" s="33" t="s">
        <v>69</v>
      </c>
      <c r="G311" s="32">
        <v>27</v>
      </c>
      <c r="H311" s="107" t="s">
        <v>1827</v>
      </c>
    </row>
    <row r="312" spans="1:8" ht="31.15" x14ac:dyDescent="0.25">
      <c r="A312" s="132">
        <v>26</v>
      </c>
      <c r="B312" s="132">
        <v>2</v>
      </c>
      <c r="C312" s="194" t="s">
        <v>50</v>
      </c>
      <c r="D312" s="33" t="s">
        <v>1</v>
      </c>
      <c r="E312" s="38" t="s">
        <v>1828</v>
      </c>
      <c r="F312" s="33" t="s">
        <v>81</v>
      </c>
      <c r="G312" s="32">
        <v>191</v>
      </c>
      <c r="H312" s="107" t="s">
        <v>1822</v>
      </c>
    </row>
    <row r="313" spans="1:8" ht="31.15" x14ac:dyDescent="0.25">
      <c r="A313" s="132">
        <v>26</v>
      </c>
      <c r="B313" s="132">
        <v>2</v>
      </c>
      <c r="C313" s="194" t="s">
        <v>50</v>
      </c>
      <c r="D313" s="33" t="s">
        <v>1</v>
      </c>
      <c r="E313" s="38" t="s">
        <v>1829</v>
      </c>
      <c r="F313" s="33" t="s">
        <v>81</v>
      </c>
      <c r="G313" s="32">
        <v>174</v>
      </c>
      <c r="H313" s="107" t="s">
        <v>1822</v>
      </c>
    </row>
    <row r="314" spans="1:8" ht="93.6" x14ac:dyDescent="0.25">
      <c r="A314" s="132">
        <v>22</v>
      </c>
      <c r="B314" s="132">
        <v>2</v>
      </c>
      <c r="C314" s="194" t="s">
        <v>46</v>
      </c>
      <c r="D314" s="33" t="s">
        <v>1</v>
      </c>
      <c r="E314" s="38" t="s">
        <v>2121</v>
      </c>
      <c r="F314" s="33" t="s">
        <v>69</v>
      </c>
      <c r="G314" s="32">
        <v>18</v>
      </c>
      <c r="H314" s="107" t="s">
        <v>2122</v>
      </c>
    </row>
    <row r="315" spans="1:8" ht="31.15" x14ac:dyDescent="0.25">
      <c r="A315" s="132">
        <v>22</v>
      </c>
      <c r="B315" s="132">
        <v>2</v>
      </c>
      <c r="C315" s="194" t="s">
        <v>46</v>
      </c>
      <c r="D315" s="33" t="s">
        <v>1</v>
      </c>
      <c r="E315" s="38" t="s">
        <v>2123</v>
      </c>
      <c r="F315" s="33" t="s">
        <v>69</v>
      </c>
      <c r="G315" s="32">
        <v>59</v>
      </c>
      <c r="H315" s="107" t="s">
        <v>2124</v>
      </c>
    </row>
    <row r="316" spans="1:8" ht="31.15" x14ac:dyDescent="0.25">
      <c r="A316" s="132">
        <v>22</v>
      </c>
      <c r="B316" s="132">
        <v>2</v>
      </c>
      <c r="C316" s="194" t="s">
        <v>46</v>
      </c>
      <c r="D316" s="33" t="s">
        <v>1</v>
      </c>
      <c r="E316" s="38" t="s">
        <v>2125</v>
      </c>
      <c r="F316" s="33" t="s">
        <v>69</v>
      </c>
      <c r="G316" s="32">
        <v>82</v>
      </c>
      <c r="H316" s="107" t="s">
        <v>2124</v>
      </c>
    </row>
    <row r="317" spans="1:8" ht="62.45" x14ac:dyDescent="0.25">
      <c r="A317" s="132">
        <v>22</v>
      </c>
      <c r="B317" s="132">
        <v>2</v>
      </c>
      <c r="C317" s="194" t="s">
        <v>46</v>
      </c>
      <c r="D317" s="33" t="s">
        <v>83</v>
      </c>
      <c r="E317" s="38" t="s">
        <v>2126</v>
      </c>
      <c r="F317" s="33" t="s">
        <v>69</v>
      </c>
      <c r="G317" s="42" t="s">
        <v>93</v>
      </c>
      <c r="H317" s="107" t="s">
        <v>2127</v>
      </c>
    </row>
    <row r="318" spans="1:8" ht="109.15" x14ac:dyDescent="0.25">
      <c r="A318" s="132">
        <v>12</v>
      </c>
      <c r="B318" s="132">
        <v>2</v>
      </c>
      <c r="C318" s="194" t="s">
        <v>36</v>
      </c>
      <c r="D318" s="33" t="s">
        <v>0</v>
      </c>
      <c r="E318" s="38" t="s">
        <v>2134</v>
      </c>
      <c r="F318" s="33" t="s">
        <v>81</v>
      </c>
      <c r="G318" s="32">
        <v>2</v>
      </c>
      <c r="H318" s="107" t="s">
        <v>1830</v>
      </c>
    </row>
    <row r="319" spans="1:8" ht="78" x14ac:dyDescent="0.25">
      <c r="A319" s="132">
        <v>12</v>
      </c>
      <c r="B319" s="132">
        <v>2</v>
      </c>
      <c r="C319" s="194" t="s">
        <v>36</v>
      </c>
      <c r="D319" s="33" t="s">
        <v>0</v>
      </c>
      <c r="E319" s="38" t="s">
        <v>2135</v>
      </c>
      <c r="F319" s="33" t="s">
        <v>81</v>
      </c>
      <c r="G319" s="32">
        <v>47</v>
      </c>
      <c r="H319" s="107" t="s">
        <v>1834</v>
      </c>
    </row>
    <row r="320" spans="1:8" ht="78" x14ac:dyDescent="0.25">
      <c r="A320" s="132">
        <v>12</v>
      </c>
      <c r="B320" s="132">
        <v>2</v>
      </c>
      <c r="C320" s="194" t="s">
        <v>36</v>
      </c>
      <c r="D320" s="33" t="s">
        <v>1</v>
      </c>
      <c r="E320" s="38" t="s">
        <v>2136</v>
      </c>
      <c r="F320" s="33" t="s">
        <v>81</v>
      </c>
      <c r="G320" s="32">
        <v>27</v>
      </c>
      <c r="H320" s="107" t="s">
        <v>1837</v>
      </c>
    </row>
    <row r="321" spans="1:8" ht="62.45" x14ac:dyDescent="0.25">
      <c r="A321" s="132">
        <v>12</v>
      </c>
      <c r="B321" s="132">
        <v>2</v>
      </c>
      <c r="C321" s="194" t="s">
        <v>36</v>
      </c>
      <c r="D321" s="33" t="s">
        <v>83</v>
      </c>
      <c r="E321" s="38" t="s">
        <v>2137</v>
      </c>
      <c r="F321" s="33" t="s">
        <v>248</v>
      </c>
      <c r="G321" s="32">
        <v>2</v>
      </c>
      <c r="H321" s="107" t="s">
        <v>1831</v>
      </c>
    </row>
    <row r="322" spans="1:8" ht="156" x14ac:dyDescent="0.25">
      <c r="A322" s="132">
        <v>12</v>
      </c>
      <c r="B322" s="132">
        <v>2</v>
      </c>
      <c r="C322" s="194" t="s">
        <v>36</v>
      </c>
      <c r="D322" s="33" t="s">
        <v>83</v>
      </c>
      <c r="E322" s="38" t="s">
        <v>2138</v>
      </c>
      <c r="F322" s="33" t="s">
        <v>81</v>
      </c>
      <c r="G322" s="32">
        <v>11</v>
      </c>
      <c r="H322" s="107" t="s">
        <v>1832</v>
      </c>
    </row>
    <row r="323" spans="1:8" ht="187.15" x14ac:dyDescent="0.25">
      <c r="A323" s="132">
        <v>12</v>
      </c>
      <c r="B323" s="132">
        <v>2</v>
      </c>
      <c r="C323" s="194" t="s">
        <v>36</v>
      </c>
      <c r="D323" s="33" t="s">
        <v>83</v>
      </c>
      <c r="E323" s="38" t="s">
        <v>2139</v>
      </c>
      <c r="F323" s="33" t="s">
        <v>81</v>
      </c>
      <c r="G323" s="32">
        <v>19</v>
      </c>
      <c r="H323" s="107" t="s">
        <v>1833</v>
      </c>
    </row>
    <row r="324" spans="1:8" ht="31.15" x14ac:dyDescent="0.25">
      <c r="A324" s="132">
        <v>12</v>
      </c>
      <c r="B324" s="132">
        <v>2</v>
      </c>
      <c r="C324" s="194" t="s">
        <v>36</v>
      </c>
      <c r="D324" s="33" t="s">
        <v>83</v>
      </c>
      <c r="E324" s="38" t="s">
        <v>1835</v>
      </c>
      <c r="F324" s="33" t="s">
        <v>69</v>
      </c>
      <c r="G324" s="32">
        <v>2</v>
      </c>
      <c r="H324" s="107" t="s">
        <v>1836</v>
      </c>
    </row>
    <row r="325" spans="1:8" ht="93.6" x14ac:dyDescent="0.25">
      <c r="A325" s="132">
        <v>12</v>
      </c>
      <c r="B325" s="132">
        <v>2</v>
      </c>
      <c r="C325" s="194" t="s">
        <v>36</v>
      </c>
      <c r="D325" s="33" t="s">
        <v>83</v>
      </c>
      <c r="E325" s="38" t="s">
        <v>2531</v>
      </c>
      <c r="F325" s="33" t="s">
        <v>81</v>
      </c>
      <c r="G325" s="32">
        <v>3</v>
      </c>
      <c r="H325" s="107" t="s">
        <v>2532</v>
      </c>
    </row>
    <row r="326" spans="1:8" ht="31.15" x14ac:dyDescent="0.25">
      <c r="A326" s="132">
        <v>6</v>
      </c>
      <c r="B326" s="132">
        <v>2</v>
      </c>
      <c r="C326" s="194" t="s">
        <v>117</v>
      </c>
      <c r="D326" s="38" t="s">
        <v>4</v>
      </c>
      <c r="E326" s="38" t="s">
        <v>2195</v>
      </c>
      <c r="F326" s="38" t="s">
        <v>81</v>
      </c>
      <c r="G326" s="42">
        <v>3</v>
      </c>
      <c r="H326" s="107" t="s">
        <v>2196</v>
      </c>
    </row>
    <row r="327" spans="1:8" ht="15.6" x14ac:dyDescent="0.25">
      <c r="A327" s="132">
        <v>6</v>
      </c>
      <c r="B327" s="132">
        <v>2</v>
      </c>
      <c r="C327" s="194" t="s">
        <v>117</v>
      </c>
      <c r="D327" s="33" t="s">
        <v>137</v>
      </c>
      <c r="E327" s="38" t="s">
        <v>2197</v>
      </c>
      <c r="F327" s="38" t="s">
        <v>81</v>
      </c>
      <c r="G327" s="42">
        <v>35</v>
      </c>
      <c r="H327" s="107" t="s">
        <v>2198</v>
      </c>
    </row>
    <row r="328" spans="1:8" ht="31.15" x14ac:dyDescent="0.25">
      <c r="A328" s="132">
        <v>6</v>
      </c>
      <c r="B328" s="132">
        <v>2</v>
      </c>
      <c r="C328" s="194" t="s">
        <v>117</v>
      </c>
      <c r="D328" s="38" t="s">
        <v>0</v>
      </c>
      <c r="E328" s="38" t="s">
        <v>2199</v>
      </c>
      <c r="F328" s="38" t="s">
        <v>81</v>
      </c>
      <c r="G328" s="42">
        <v>185</v>
      </c>
      <c r="H328" s="107" t="s">
        <v>2200</v>
      </c>
    </row>
    <row r="329" spans="1:8" ht="46.9" x14ac:dyDescent="0.25">
      <c r="A329" s="132">
        <v>6</v>
      </c>
      <c r="B329" s="132">
        <v>2</v>
      </c>
      <c r="C329" s="194" t="s">
        <v>117</v>
      </c>
      <c r="D329" s="38" t="s">
        <v>1731</v>
      </c>
      <c r="E329" s="38" t="s">
        <v>2201</v>
      </c>
      <c r="F329" s="38" t="s">
        <v>81</v>
      </c>
      <c r="G329" s="42">
        <v>32</v>
      </c>
      <c r="H329" s="107" t="s">
        <v>2202</v>
      </c>
    </row>
    <row r="330" spans="1:8" ht="15.6" x14ac:dyDescent="0.25">
      <c r="A330" s="132">
        <v>6</v>
      </c>
      <c r="B330" s="132">
        <v>2</v>
      </c>
      <c r="C330" s="194" t="s">
        <v>117</v>
      </c>
      <c r="D330" s="38" t="s">
        <v>1</v>
      </c>
      <c r="E330" s="38" t="s">
        <v>2203</v>
      </c>
      <c r="F330" s="38" t="s">
        <v>69</v>
      </c>
      <c r="G330" s="42">
        <v>523</v>
      </c>
      <c r="H330" s="107" t="s">
        <v>2204</v>
      </c>
    </row>
    <row r="331" spans="1:8" ht="31.15" x14ac:dyDescent="0.25">
      <c r="A331" s="132">
        <v>6</v>
      </c>
      <c r="B331" s="132">
        <v>2</v>
      </c>
      <c r="C331" s="194" t="s">
        <v>117</v>
      </c>
      <c r="D331" s="38" t="s">
        <v>1</v>
      </c>
      <c r="E331" s="38" t="s">
        <v>2205</v>
      </c>
      <c r="F331" s="38" t="s">
        <v>81</v>
      </c>
      <c r="G331" s="42">
        <v>15</v>
      </c>
      <c r="H331" s="107" t="s">
        <v>2206</v>
      </c>
    </row>
    <row r="332" spans="1:8" ht="15.6" x14ac:dyDescent="0.25">
      <c r="A332" s="32">
        <v>6</v>
      </c>
      <c r="B332" s="32">
        <v>2</v>
      </c>
      <c r="C332" s="194" t="s">
        <v>117</v>
      </c>
      <c r="D332" s="38" t="s">
        <v>1</v>
      </c>
      <c r="E332" s="38" t="s">
        <v>2207</v>
      </c>
      <c r="F332" s="38" t="s">
        <v>69</v>
      </c>
      <c r="G332" s="42">
        <v>248</v>
      </c>
      <c r="H332" s="107" t="s">
        <v>2208</v>
      </c>
    </row>
    <row r="333" spans="1:8" ht="31.15" x14ac:dyDescent="0.25">
      <c r="A333" s="32">
        <v>6</v>
      </c>
      <c r="B333" s="32">
        <v>2</v>
      </c>
      <c r="C333" s="194" t="s">
        <v>117</v>
      </c>
      <c r="D333" s="38" t="s">
        <v>1</v>
      </c>
      <c r="E333" s="38" t="s">
        <v>2209</v>
      </c>
      <c r="F333" s="38" t="s">
        <v>81</v>
      </c>
      <c r="G333" s="42">
        <v>27</v>
      </c>
      <c r="H333" s="107" t="s">
        <v>2210</v>
      </c>
    </row>
    <row r="334" spans="1:8" ht="31.15" x14ac:dyDescent="0.25">
      <c r="A334" s="32">
        <v>6</v>
      </c>
      <c r="B334" s="32">
        <v>2</v>
      </c>
      <c r="C334" s="194" t="s">
        <v>117</v>
      </c>
      <c r="D334" s="38" t="s">
        <v>1</v>
      </c>
      <c r="E334" s="38" t="s">
        <v>2211</v>
      </c>
      <c r="F334" s="38" t="s">
        <v>69</v>
      </c>
      <c r="G334" s="42">
        <v>3</v>
      </c>
      <c r="H334" s="107" t="s">
        <v>2212</v>
      </c>
    </row>
    <row r="335" spans="1:8" ht="15.6" x14ac:dyDescent="0.25">
      <c r="A335" s="32">
        <v>6</v>
      </c>
      <c r="B335" s="32">
        <v>2</v>
      </c>
      <c r="C335" s="194" t="s">
        <v>117</v>
      </c>
      <c r="D335" s="38" t="s">
        <v>1</v>
      </c>
      <c r="E335" s="38" t="s">
        <v>2213</v>
      </c>
      <c r="F335" s="38" t="s">
        <v>81</v>
      </c>
      <c r="G335" s="42">
        <v>41</v>
      </c>
      <c r="H335" s="107" t="s">
        <v>2214</v>
      </c>
    </row>
    <row r="336" spans="1:8" ht="15.6" x14ac:dyDescent="0.25">
      <c r="A336" s="32">
        <v>6</v>
      </c>
      <c r="B336" s="32">
        <v>2</v>
      </c>
      <c r="C336" s="194" t="s">
        <v>117</v>
      </c>
      <c r="D336" s="38" t="s">
        <v>1</v>
      </c>
      <c r="E336" s="38" t="s">
        <v>2215</v>
      </c>
      <c r="F336" s="38" t="s">
        <v>81</v>
      </c>
      <c r="G336" s="42">
        <v>35</v>
      </c>
      <c r="H336" s="107" t="s">
        <v>2216</v>
      </c>
    </row>
    <row r="337" spans="1:8" ht="31.15" x14ac:dyDescent="0.25">
      <c r="A337" s="32">
        <v>6</v>
      </c>
      <c r="B337" s="32">
        <v>2</v>
      </c>
      <c r="C337" s="194" t="s">
        <v>117</v>
      </c>
      <c r="D337" s="38" t="s">
        <v>1</v>
      </c>
      <c r="E337" s="38" t="s">
        <v>2217</v>
      </c>
      <c r="F337" s="38" t="s">
        <v>69</v>
      </c>
      <c r="G337" s="42">
        <v>38</v>
      </c>
      <c r="H337" s="107" t="s">
        <v>2218</v>
      </c>
    </row>
    <row r="338" spans="1:8" ht="15.6" x14ac:dyDescent="0.25">
      <c r="A338" s="32">
        <v>6</v>
      </c>
      <c r="B338" s="32">
        <v>2</v>
      </c>
      <c r="C338" s="194" t="s">
        <v>117</v>
      </c>
      <c r="D338" s="38" t="s">
        <v>1</v>
      </c>
      <c r="E338" s="38" t="s">
        <v>2219</v>
      </c>
      <c r="F338" s="38" t="s">
        <v>69</v>
      </c>
      <c r="G338" s="42">
        <v>26</v>
      </c>
      <c r="H338" s="107" t="s">
        <v>2220</v>
      </c>
    </row>
    <row r="339" spans="1:8" ht="15.6" x14ac:dyDescent="0.25">
      <c r="A339" s="32">
        <v>6</v>
      </c>
      <c r="B339" s="32">
        <v>2</v>
      </c>
      <c r="C339" s="194" t="s">
        <v>117</v>
      </c>
      <c r="D339" s="38" t="s">
        <v>1</v>
      </c>
      <c r="E339" s="38" t="s">
        <v>2221</v>
      </c>
      <c r="F339" s="38" t="s">
        <v>69</v>
      </c>
      <c r="G339" s="42">
        <v>58</v>
      </c>
      <c r="H339" s="107" t="s">
        <v>2222</v>
      </c>
    </row>
    <row r="340" spans="1:8" ht="31.15" x14ac:dyDescent="0.25">
      <c r="A340" s="32">
        <v>6</v>
      </c>
      <c r="B340" s="32">
        <v>2</v>
      </c>
      <c r="C340" s="194" t="s">
        <v>117</v>
      </c>
      <c r="D340" s="38" t="s">
        <v>1</v>
      </c>
      <c r="E340" s="38" t="s">
        <v>2223</v>
      </c>
      <c r="F340" s="38" t="s">
        <v>81</v>
      </c>
      <c r="G340" s="42">
        <v>30</v>
      </c>
      <c r="H340" s="107" t="s">
        <v>2224</v>
      </c>
    </row>
    <row r="341" spans="1:8" ht="15.6" x14ac:dyDescent="0.25">
      <c r="A341" s="132">
        <v>6</v>
      </c>
      <c r="B341" s="132">
        <v>2</v>
      </c>
      <c r="C341" s="194" t="s">
        <v>117</v>
      </c>
      <c r="D341" s="38" t="s">
        <v>1</v>
      </c>
      <c r="E341" s="38" t="s">
        <v>2225</v>
      </c>
      <c r="F341" s="38" t="s">
        <v>81</v>
      </c>
      <c r="G341" s="42">
        <v>11</v>
      </c>
      <c r="H341" s="107" t="s">
        <v>2226</v>
      </c>
    </row>
    <row r="342" spans="1:8" ht="15.6" x14ac:dyDescent="0.25">
      <c r="A342" s="132">
        <v>6</v>
      </c>
      <c r="B342" s="132">
        <v>2</v>
      </c>
      <c r="C342" s="194" t="s">
        <v>117</v>
      </c>
      <c r="D342" s="38" t="s">
        <v>1</v>
      </c>
      <c r="E342" s="38" t="s">
        <v>2227</v>
      </c>
      <c r="F342" s="38" t="s">
        <v>69</v>
      </c>
      <c r="G342" s="42">
        <v>40</v>
      </c>
      <c r="H342" s="107" t="s">
        <v>2228</v>
      </c>
    </row>
    <row r="343" spans="1:8" ht="31.15" x14ac:dyDescent="0.25">
      <c r="A343" s="132">
        <v>6</v>
      </c>
      <c r="B343" s="132">
        <v>2</v>
      </c>
      <c r="C343" s="194" t="s">
        <v>117</v>
      </c>
      <c r="D343" s="38" t="s">
        <v>83</v>
      </c>
      <c r="E343" s="38" t="s">
        <v>2229</v>
      </c>
      <c r="F343" s="38" t="s">
        <v>81</v>
      </c>
      <c r="G343" s="42">
        <v>40</v>
      </c>
      <c r="H343" s="107" t="s">
        <v>2230</v>
      </c>
    </row>
    <row r="344" spans="1:8" ht="31.15" x14ac:dyDescent="0.25">
      <c r="A344" s="132">
        <v>6</v>
      </c>
      <c r="B344" s="132">
        <v>2</v>
      </c>
      <c r="C344" s="194" t="s">
        <v>117</v>
      </c>
      <c r="D344" s="38" t="s">
        <v>83</v>
      </c>
      <c r="E344" s="38" t="s">
        <v>2231</v>
      </c>
      <c r="F344" s="38" t="s">
        <v>81</v>
      </c>
      <c r="G344" s="42">
        <v>500</v>
      </c>
      <c r="H344" s="107" t="s">
        <v>2232</v>
      </c>
    </row>
    <row r="345" spans="1:8" ht="15.6" x14ac:dyDescent="0.25">
      <c r="A345" s="132">
        <v>6</v>
      </c>
      <c r="B345" s="132">
        <v>2</v>
      </c>
      <c r="C345" s="194" t="s">
        <v>117</v>
      </c>
      <c r="D345" s="38" t="s">
        <v>83</v>
      </c>
      <c r="E345" s="38" t="s">
        <v>2233</v>
      </c>
      <c r="F345" s="38" t="s">
        <v>81</v>
      </c>
      <c r="G345" s="42">
        <v>51</v>
      </c>
      <c r="H345" s="107" t="s">
        <v>2234</v>
      </c>
    </row>
    <row r="346" spans="1:8" ht="46.9" x14ac:dyDescent="0.25">
      <c r="A346" s="132">
        <v>6</v>
      </c>
      <c r="B346" s="132">
        <v>2</v>
      </c>
      <c r="C346" s="194" t="s">
        <v>117</v>
      </c>
      <c r="D346" s="38" t="s">
        <v>83</v>
      </c>
      <c r="E346" s="38" t="s">
        <v>2235</v>
      </c>
      <c r="F346" s="38" t="s">
        <v>69</v>
      </c>
      <c r="G346" s="42">
        <v>475</v>
      </c>
      <c r="H346" s="107" t="s">
        <v>2236</v>
      </c>
    </row>
    <row r="347" spans="1:8" ht="31.15" x14ac:dyDescent="0.25">
      <c r="A347" s="132">
        <v>17</v>
      </c>
      <c r="B347" s="132">
        <v>2</v>
      </c>
      <c r="C347" s="194" t="s">
        <v>41</v>
      </c>
      <c r="D347" s="38" t="s">
        <v>137</v>
      </c>
      <c r="E347" s="38" t="s">
        <v>2284</v>
      </c>
      <c r="F347" s="38" t="s">
        <v>81</v>
      </c>
      <c r="G347" s="42">
        <v>69</v>
      </c>
      <c r="H347" s="107" t="s">
        <v>2285</v>
      </c>
    </row>
    <row r="348" spans="1:8" ht="31.15" x14ac:dyDescent="0.25">
      <c r="A348" s="132">
        <v>17</v>
      </c>
      <c r="B348" s="132">
        <v>2</v>
      </c>
      <c r="C348" s="194" t="s">
        <v>41</v>
      </c>
      <c r="D348" s="38" t="s">
        <v>137</v>
      </c>
      <c r="E348" s="38" t="s">
        <v>2286</v>
      </c>
      <c r="F348" s="38" t="s">
        <v>69</v>
      </c>
      <c r="G348" s="42">
        <v>1</v>
      </c>
      <c r="H348" s="107" t="s">
        <v>2287</v>
      </c>
    </row>
    <row r="349" spans="1:8" ht="46.9" x14ac:dyDescent="0.25">
      <c r="A349" s="132">
        <v>17</v>
      </c>
      <c r="B349" s="132">
        <v>2</v>
      </c>
      <c r="C349" s="194" t="s">
        <v>41</v>
      </c>
      <c r="D349" s="38" t="s">
        <v>0</v>
      </c>
      <c r="E349" s="38" t="s">
        <v>2288</v>
      </c>
      <c r="F349" s="38" t="s">
        <v>81</v>
      </c>
      <c r="G349" s="42">
        <v>90</v>
      </c>
      <c r="H349" s="107" t="s">
        <v>2289</v>
      </c>
    </row>
    <row r="350" spans="1:8" ht="46.9" x14ac:dyDescent="0.25">
      <c r="A350" s="132">
        <v>17</v>
      </c>
      <c r="B350" s="132">
        <v>2</v>
      </c>
      <c r="C350" s="194" t="s">
        <v>41</v>
      </c>
      <c r="D350" s="38" t="s">
        <v>0</v>
      </c>
      <c r="E350" s="38" t="s">
        <v>2290</v>
      </c>
      <c r="F350" s="38" t="s">
        <v>69</v>
      </c>
      <c r="G350" s="42">
        <v>2</v>
      </c>
      <c r="H350" s="107" t="s">
        <v>2291</v>
      </c>
    </row>
    <row r="351" spans="1:8" ht="46.9" x14ac:dyDescent="0.25">
      <c r="A351" s="132">
        <v>17</v>
      </c>
      <c r="B351" s="132">
        <v>2</v>
      </c>
      <c r="C351" s="194" t="s">
        <v>41</v>
      </c>
      <c r="D351" s="38" t="s">
        <v>0</v>
      </c>
      <c r="E351" s="38" t="s">
        <v>2292</v>
      </c>
      <c r="F351" s="38" t="s">
        <v>69</v>
      </c>
      <c r="G351" s="42">
        <v>82</v>
      </c>
      <c r="H351" s="107" t="s">
        <v>2293</v>
      </c>
    </row>
    <row r="352" spans="1:8" ht="46.9" x14ac:dyDescent="0.25">
      <c r="A352" s="132">
        <v>17</v>
      </c>
      <c r="B352" s="132">
        <v>2</v>
      </c>
      <c r="C352" s="194" t="s">
        <v>41</v>
      </c>
      <c r="D352" s="38" t="s">
        <v>559</v>
      </c>
      <c r="E352" s="38" t="s">
        <v>2294</v>
      </c>
      <c r="F352" s="38" t="s">
        <v>69</v>
      </c>
      <c r="G352" s="42">
        <v>2</v>
      </c>
      <c r="H352" s="107" t="s">
        <v>2295</v>
      </c>
    </row>
    <row r="353" spans="1:8" ht="15.6" x14ac:dyDescent="0.25">
      <c r="A353" s="132">
        <v>17</v>
      </c>
      <c r="B353" s="132">
        <v>2</v>
      </c>
      <c r="C353" s="194" t="s">
        <v>41</v>
      </c>
      <c r="D353" s="38" t="s">
        <v>1</v>
      </c>
      <c r="E353" s="38" t="s">
        <v>2296</v>
      </c>
      <c r="F353" s="38" t="s">
        <v>81</v>
      </c>
      <c r="G353" s="42">
        <v>140</v>
      </c>
      <c r="H353" s="107" t="s">
        <v>2297</v>
      </c>
    </row>
    <row r="354" spans="1:8" ht="46.9" x14ac:dyDescent="0.25">
      <c r="A354" s="132">
        <v>17</v>
      </c>
      <c r="B354" s="132">
        <v>2</v>
      </c>
      <c r="C354" s="194" t="s">
        <v>41</v>
      </c>
      <c r="D354" s="38" t="s">
        <v>1</v>
      </c>
      <c r="E354" s="38" t="s">
        <v>2298</v>
      </c>
      <c r="F354" s="38" t="s">
        <v>69</v>
      </c>
      <c r="G354" s="42">
        <v>13</v>
      </c>
      <c r="H354" s="107" t="s">
        <v>2299</v>
      </c>
    </row>
    <row r="355" spans="1:8" ht="78" x14ac:dyDescent="0.25">
      <c r="A355" s="132">
        <v>17</v>
      </c>
      <c r="B355" s="132">
        <v>2</v>
      </c>
      <c r="C355" s="194" t="s">
        <v>41</v>
      </c>
      <c r="D355" s="38" t="s">
        <v>1</v>
      </c>
      <c r="E355" s="38" t="s">
        <v>2300</v>
      </c>
      <c r="F355" s="38" t="s">
        <v>81</v>
      </c>
      <c r="G355" s="42">
        <v>5</v>
      </c>
      <c r="H355" s="107" t="s">
        <v>2301</v>
      </c>
    </row>
    <row r="356" spans="1:8" ht="46.9" x14ac:dyDescent="0.25">
      <c r="A356" s="132">
        <v>17</v>
      </c>
      <c r="B356" s="132">
        <v>2</v>
      </c>
      <c r="C356" s="194" t="s">
        <v>41</v>
      </c>
      <c r="D356" s="38" t="s">
        <v>83</v>
      </c>
      <c r="E356" s="38" t="s">
        <v>2302</v>
      </c>
      <c r="F356" s="38" t="s">
        <v>81</v>
      </c>
      <c r="G356" s="42">
        <v>90</v>
      </c>
      <c r="H356" s="107" t="s">
        <v>2289</v>
      </c>
    </row>
    <row r="357" spans="1:8" ht="46.9" x14ac:dyDescent="0.25">
      <c r="A357" s="132">
        <v>17</v>
      </c>
      <c r="B357" s="132">
        <v>2</v>
      </c>
      <c r="C357" s="194" t="s">
        <v>41</v>
      </c>
      <c r="D357" s="38" t="s">
        <v>83</v>
      </c>
      <c r="E357" s="38" t="s">
        <v>2303</v>
      </c>
      <c r="F357" s="38" t="s">
        <v>69</v>
      </c>
      <c r="G357" s="42">
        <v>82</v>
      </c>
      <c r="H357" s="107" t="s">
        <v>2293</v>
      </c>
    </row>
    <row r="358" spans="1:8" ht="124.9" x14ac:dyDescent="0.25">
      <c r="A358" s="132">
        <v>17</v>
      </c>
      <c r="B358" s="132">
        <v>2</v>
      </c>
      <c r="C358" s="194" t="s">
        <v>41</v>
      </c>
      <c r="D358" s="38" t="s">
        <v>83</v>
      </c>
      <c r="E358" s="38" t="s">
        <v>2304</v>
      </c>
      <c r="F358" s="38" t="s">
        <v>69</v>
      </c>
      <c r="G358" s="42">
        <v>500</v>
      </c>
      <c r="H358" s="107" t="s">
        <v>2305</v>
      </c>
    </row>
    <row r="359" spans="1:8" ht="31.15" x14ac:dyDescent="0.25">
      <c r="A359" s="132">
        <v>8</v>
      </c>
      <c r="B359" s="132">
        <v>2</v>
      </c>
      <c r="C359" s="194" t="s">
        <v>32</v>
      </c>
      <c r="D359" s="33" t="s">
        <v>0</v>
      </c>
      <c r="E359" s="38" t="s">
        <v>2345</v>
      </c>
      <c r="F359" s="33" t="s">
        <v>69</v>
      </c>
      <c r="G359" s="32">
        <v>2</v>
      </c>
      <c r="H359" s="107" t="s">
        <v>2346</v>
      </c>
    </row>
    <row r="360" spans="1:8" ht="15.6" x14ac:dyDescent="0.25">
      <c r="A360" s="132">
        <v>8</v>
      </c>
      <c r="B360" s="132">
        <v>2</v>
      </c>
      <c r="C360" s="194" t="s">
        <v>32</v>
      </c>
      <c r="D360" s="33" t="s">
        <v>0</v>
      </c>
      <c r="E360" s="38" t="s">
        <v>2347</v>
      </c>
      <c r="F360" s="33" t="s">
        <v>69</v>
      </c>
      <c r="G360" s="32">
        <v>17</v>
      </c>
      <c r="H360" s="107" t="s">
        <v>2348</v>
      </c>
    </row>
    <row r="361" spans="1:8" ht="31.15" x14ac:dyDescent="0.25">
      <c r="A361" s="132">
        <v>8</v>
      </c>
      <c r="B361" s="132">
        <v>2</v>
      </c>
      <c r="C361" s="194" t="s">
        <v>32</v>
      </c>
      <c r="D361" s="33" t="s">
        <v>0</v>
      </c>
      <c r="E361" s="38" t="s">
        <v>2349</v>
      </c>
      <c r="F361" s="33" t="s">
        <v>69</v>
      </c>
      <c r="G361" s="32">
        <v>22</v>
      </c>
      <c r="H361" s="107" t="s">
        <v>2350</v>
      </c>
    </row>
    <row r="362" spans="1:8" ht="31.15" x14ac:dyDescent="0.25">
      <c r="A362" s="132">
        <v>8</v>
      </c>
      <c r="B362" s="132">
        <v>2</v>
      </c>
      <c r="C362" s="194" t="s">
        <v>32</v>
      </c>
      <c r="D362" s="33" t="s">
        <v>1</v>
      </c>
      <c r="E362" s="38" t="s">
        <v>2351</v>
      </c>
      <c r="F362" s="33" t="s">
        <v>81</v>
      </c>
      <c r="G362" s="32">
        <v>4</v>
      </c>
      <c r="H362" s="107" t="s">
        <v>2334</v>
      </c>
    </row>
    <row r="363" spans="1:8" ht="15.6" x14ac:dyDescent="0.25">
      <c r="A363" s="132">
        <v>8</v>
      </c>
      <c r="B363" s="132">
        <v>2</v>
      </c>
      <c r="C363" s="194" t="s">
        <v>32</v>
      </c>
      <c r="D363" s="33" t="s">
        <v>1</v>
      </c>
      <c r="E363" s="38" t="s">
        <v>2352</v>
      </c>
      <c r="F363" s="33" t="s">
        <v>81</v>
      </c>
      <c r="G363" s="32">
        <v>219</v>
      </c>
      <c r="H363" s="107" t="s">
        <v>2353</v>
      </c>
    </row>
    <row r="364" spans="1:8" ht="31.15" x14ac:dyDescent="0.25">
      <c r="A364" s="32">
        <v>8</v>
      </c>
      <c r="B364" s="32">
        <v>2</v>
      </c>
      <c r="C364" s="194" t="s">
        <v>32</v>
      </c>
      <c r="D364" s="33" t="s">
        <v>83</v>
      </c>
      <c r="E364" s="38" t="s">
        <v>2354</v>
      </c>
      <c r="F364" s="33" t="s">
        <v>69</v>
      </c>
      <c r="G364" s="32">
        <v>18</v>
      </c>
      <c r="H364" s="107" t="s">
        <v>2355</v>
      </c>
    </row>
    <row r="365" spans="1:8" ht="31.15" x14ac:dyDescent="0.25">
      <c r="A365" s="32">
        <v>8</v>
      </c>
      <c r="B365" s="32">
        <v>2</v>
      </c>
      <c r="C365" s="194" t="s">
        <v>32</v>
      </c>
      <c r="D365" s="33" t="s">
        <v>83</v>
      </c>
      <c r="E365" s="38" t="s">
        <v>2356</v>
      </c>
      <c r="F365" s="33" t="s">
        <v>69</v>
      </c>
      <c r="G365" s="32">
        <v>21</v>
      </c>
      <c r="H365" s="107" t="s">
        <v>2357</v>
      </c>
    </row>
    <row r="366" spans="1:8" ht="15.6" x14ac:dyDescent="0.25">
      <c r="A366" s="32">
        <v>8</v>
      </c>
      <c r="B366" s="32">
        <v>2</v>
      </c>
      <c r="C366" s="194" t="s">
        <v>32</v>
      </c>
      <c r="D366" s="33" t="s">
        <v>83</v>
      </c>
      <c r="E366" s="38" t="s">
        <v>2358</v>
      </c>
      <c r="F366" s="33" t="s">
        <v>69</v>
      </c>
      <c r="G366" s="32">
        <v>1</v>
      </c>
      <c r="H366" s="107" t="s">
        <v>2359</v>
      </c>
    </row>
    <row r="367" spans="1:8" ht="31.15" x14ac:dyDescent="0.25">
      <c r="A367" s="32">
        <v>8</v>
      </c>
      <c r="B367" s="32">
        <v>2</v>
      </c>
      <c r="C367" s="194" t="s">
        <v>32</v>
      </c>
      <c r="D367" s="33" t="s">
        <v>83</v>
      </c>
      <c r="E367" s="38" t="s">
        <v>2360</v>
      </c>
      <c r="F367" s="33" t="s">
        <v>69</v>
      </c>
      <c r="G367" s="32">
        <v>3</v>
      </c>
      <c r="H367" s="107" t="s">
        <v>2361</v>
      </c>
    </row>
    <row r="368" spans="1:8" ht="15.6" x14ac:dyDescent="0.25">
      <c r="A368" s="32">
        <v>8</v>
      </c>
      <c r="B368" s="32">
        <v>2</v>
      </c>
      <c r="C368" s="194" t="s">
        <v>32</v>
      </c>
      <c r="D368" s="33" t="s">
        <v>83</v>
      </c>
      <c r="E368" s="38" t="s">
        <v>2362</v>
      </c>
      <c r="F368" s="33" t="s">
        <v>69</v>
      </c>
      <c r="G368" s="32">
        <v>6</v>
      </c>
      <c r="H368" s="107" t="s">
        <v>2363</v>
      </c>
    </row>
    <row r="369" spans="1:8" ht="15.6" x14ac:dyDescent="0.25">
      <c r="A369" s="32">
        <v>8</v>
      </c>
      <c r="B369" s="32">
        <v>2</v>
      </c>
      <c r="C369" s="194" t="s">
        <v>32</v>
      </c>
      <c r="D369" s="33" t="s">
        <v>83</v>
      </c>
      <c r="E369" s="38" t="s">
        <v>2364</v>
      </c>
      <c r="F369" s="33" t="s">
        <v>69</v>
      </c>
      <c r="G369" s="32">
        <v>2</v>
      </c>
      <c r="H369" s="107" t="s">
        <v>2365</v>
      </c>
    </row>
    <row r="370" spans="1:8" ht="78" x14ac:dyDescent="0.25">
      <c r="A370" s="32">
        <v>19</v>
      </c>
      <c r="B370" s="32">
        <v>2</v>
      </c>
      <c r="C370" s="194" t="s">
        <v>43</v>
      </c>
      <c r="D370" s="33" t="s">
        <v>4</v>
      </c>
      <c r="E370" s="38" t="s">
        <v>2395</v>
      </c>
      <c r="F370" s="33" t="s">
        <v>69</v>
      </c>
      <c r="G370" s="32">
        <v>24</v>
      </c>
      <c r="H370" s="107" t="s">
        <v>2396</v>
      </c>
    </row>
    <row r="371" spans="1:8" ht="46.9" x14ac:dyDescent="0.25">
      <c r="A371" s="32">
        <v>19</v>
      </c>
      <c r="B371" s="32">
        <v>2</v>
      </c>
      <c r="C371" s="194" t="s">
        <v>43</v>
      </c>
      <c r="D371" s="33" t="s">
        <v>4</v>
      </c>
      <c r="E371" s="38" t="s">
        <v>2397</v>
      </c>
      <c r="F371" s="33" t="s">
        <v>69</v>
      </c>
      <c r="G371" s="32">
        <v>10</v>
      </c>
      <c r="H371" s="107" t="s">
        <v>2398</v>
      </c>
    </row>
    <row r="372" spans="1:8" ht="31.15" x14ac:dyDescent="0.25">
      <c r="A372" s="32">
        <v>19</v>
      </c>
      <c r="B372" s="32">
        <v>2</v>
      </c>
      <c r="C372" s="194" t="s">
        <v>43</v>
      </c>
      <c r="D372" s="33" t="s">
        <v>1</v>
      </c>
      <c r="E372" s="38" t="s">
        <v>2399</v>
      </c>
      <c r="F372" s="33" t="s">
        <v>81</v>
      </c>
      <c r="G372" s="32">
        <v>21</v>
      </c>
      <c r="H372" s="107" t="s">
        <v>2400</v>
      </c>
    </row>
    <row r="373" spans="1:8" ht="46.9" x14ac:dyDescent="0.25">
      <c r="A373" s="32">
        <v>19</v>
      </c>
      <c r="B373" s="32">
        <v>2</v>
      </c>
      <c r="C373" s="194" t="s">
        <v>43</v>
      </c>
      <c r="D373" s="33" t="s">
        <v>1</v>
      </c>
      <c r="E373" s="38" t="s">
        <v>2401</v>
      </c>
      <c r="F373" s="33" t="s">
        <v>81</v>
      </c>
      <c r="G373" s="32">
        <v>32</v>
      </c>
      <c r="H373" s="107" t="s">
        <v>2402</v>
      </c>
    </row>
    <row r="374" spans="1:8" ht="31.15" x14ac:dyDescent="0.25">
      <c r="A374" s="32">
        <v>19</v>
      </c>
      <c r="B374" s="32">
        <v>2</v>
      </c>
      <c r="C374" s="194" t="s">
        <v>43</v>
      </c>
      <c r="D374" s="33" t="s">
        <v>1</v>
      </c>
      <c r="E374" s="38" t="s">
        <v>2403</v>
      </c>
      <c r="F374" s="33" t="s">
        <v>81</v>
      </c>
      <c r="G374" s="32">
        <v>35</v>
      </c>
      <c r="H374" s="107" t="s">
        <v>2404</v>
      </c>
    </row>
    <row r="375" spans="1:8" ht="46.9" x14ac:dyDescent="0.25">
      <c r="A375" s="132">
        <v>19</v>
      </c>
      <c r="B375" s="132">
        <v>2</v>
      </c>
      <c r="C375" s="194" t="s">
        <v>43</v>
      </c>
      <c r="D375" s="33" t="s">
        <v>1</v>
      </c>
      <c r="E375" s="38" t="s">
        <v>2405</v>
      </c>
      <c r="F375" s="33" t="s">
        <v>81</v>
      </c>
      <c r="G375" s="32">
        <v>46</v>
      </c>
      <c r="H375" s="107" t="s">
        <v>2406</v>
      </c>
    </row>
    <row r="376" spans="1:8" ht="31.15" x14ac:dyDescent="0.25">
      <c r="A376" s="132">
        <v>19</v>
      </c>
      <c r="B376" s="132">
        <v>2</v>
      </c>
      <c r="C376" s="194" t="s">
        <v>43</v>
      </c>
      <c r="D376" s="33" t="s">
        <v>1</v>
      </c>
      <c r="E376" s="38" t="s">
        <v>2407</v>
      </c>
      <c r="F376" s="33" t="s">
        <v>81</v>
      </c>
      <c r="G376" s="32">
        <v>23</v>
      </c>
      <c r="H376" s="107" t="s">
        <v>2408</v>
      </c>
    </row>
    <row r="377" spans="1:8" ht="31.15" x14ac:dyDescent="0.25">
      <c r="A377" s="132">
        <v>19</v>
      </c>
      <c r="B377" s="132">
        <v>2</v>
      </c>
      <c r="C377" s="194" t="s">
        <v>43</v>
      </c>
      <c r="D377" s="33" t="s">
        <v>1</v>
      </c>
      <c r="E377" s="38" t="s">
        <v>2409</v>
      </c>
      <c r="F377" s="33" t="s">
        <v>81</v>
      </c>
      <c r="G377" s="32">
        <v>28</v>
      </c>
      <c r="H377" s="107" t="s">
        <v>2410</v>
      </c>
    </row>
    <row r="378" spans="1:8" ht="15.6" x14ac:dyDescent="0.25">
      <c r="A378" s="132">
        <v>19</v>
      </c>
      <c r="B378" s="132">
        <v>2</v>
      </c>
      <c r="C378" s="194" t="s">
        <v>43</v>
      </c>
      <c r="D378" s="33" t="s">
        <v>1</v>
      </c>
      <c r="E378" s="38" t="s">
        <v>2411</v>
      </c>
      <c r="F378" s="33" t="s">
        <v>81</v>
      </c>
      <c r="G378" s="32">
        <v>43</v>
      </c>
      <c r="H378" s="107" t="s">
        <v>2412</v>
      </c>
    </row>
    <row r="379" spans="1:8" ht="31.15" x14ac:dyDescent="0.25">
      <c r="A379" s="132">
        <v>19</v>
      </c>
      <c r="B379" s="132">
        <v>2</v>
      </c>
      <c r="C379" s="194" t="s">
        <v>43</v>
      </c>
      <c r="D379" s="33" t="s">
        <v>83</v>
      </c>
      <c r="E379" s="38" t="s">
        <v>2413</v>
      </c>
      <c r="F379" s="33" t="s">
        <v>81</v>
      </c>
      <c r="G379" s="32">
        <v>15</v>
      </c>
      <c r="H379" s="107" t="s">
        <v>2414</v>
      </c>
    </row>
    <row r="380" spans="1:8" ht="46.9" x14ac:dyDescent="0.25">
      <c r="A380" s="132">
        <v>19</v>
      </c>
      <c r="B380" s="132">
        <v>2</v>
      </c>
      <c r="C380" s="194" t="s">
        <v>43</v>
      </c>
      <c r="D380" s="33" t="s">
        <v>83</v>
      </c>
      <c r="E380" s="38" t="s">
        <v>2415</v>
      </c>
      <c r="F380" s="33" t="s">
        <v>69</v>
      </c>
      <c r="G380" s="32">
        <v>2</v>
      </c>
      <c r="H380" s="107" t="s">
        <v>2416</v>
      </c>
    </row>
    <row r="381" spans="1:8" ht="31.15" x14ac:dyDescent="0.25">
      <c r="A381" s="132">
        <v>28</v>
      </c>
      <c r="B381" s="132">
        <v>2</v>
      </c>
      <c r="C381" s="194" t="s">
        <v>52</v>
      </c>
      <c r="D381" s="33" t="s">
        <v>0</v>
      </c>
      <c r="E381" s="38" t="s">
        <v>2451</v>
      </c>
      <c r="F381" s="33" t="s">
        <v>69</v>
      </c>
      <c r="G381" s="32">
        <v>219</v>
      </c>
      <c r="H381" s="107" t="s">
        <v>2452</v>
      </c>
    </row>
    <row r="382" spans="1:8" ht="31.15" x14ac:dyDescent="0.25">
      <c r="A382" s="132">
        <v>28</v>
      </c>
      <c r="B382" s="132">
        <v>2</v>
      </c>
      <c r="C382" s="194" t="s">
        <v>52</v>
      </c>
      <c r="D382" s="33" t="s">
        <v>0</v>
      </c>
      <c r="E382" s="38" t="s">
        <v>2453</v>
      </c>
      <c r="F382" s="33" t="s">
        <v>69</v>
      </c>
      <c r="G382" s="32">
        <v>75</v>
      </c>
      <c r="H382" s="107" t="s">
        <v>2454</v>
      </c>
    </row>
    <row r="383" spans="1:8" ht="31.15" x14ac:dyDescent="0.25">
      <c r="A383" s="132">
        <v>28</v>
      </c>
      <c r="B383" s="132">
        <v>2</v>
      </c>
      <c r="C383" s="194" t="s">
        <v>52</v>
      </c>
      <c r="D383" s="33" t="s">
        <v>1</v>
      </c>
      <c r="E383" s="38" t="s">
        <v>2455</v>
      </c>
      <c r="F383" s="33" t="s">
        <v>69</v>
      </c>
      <c r="G383" s="32">
        <v>1116</v>
      </c>
      <c r="H383" s="107" t="s">
        <v>2456</v>
      </c>
    </row>
    <row r="384" spans="1:8" ht="31.15" x14ac:dyDescent="0.25">
      <c r="A384" s="132">
        <v>28</v>
      </c>
      <c r="B384" s="132">
        <v>2</v>
      </c>
      <c r="C384" s="194" t="s">
        <v>52</v>
      </c>
      <c r="D384" s="33" t="s">
        <v>1</v>
      </c>
      <c r="E384" s="38" t="s">
        <v>2457</v>
      </c>
      <c r="F384" s="33" t="s">
        <v>69</v>
      </c>
      <c r="G384" s="32">
        <v>90</v>
      </c>
      <c r="H384" s="107" t="s">
        <v>2458</v>
      </c>
    </row>
    <row r="385" spans="1:8" ht="31.15" x14ac:dyDescent="0.25">
      <c r="A385" s="132">
        <v>28</v>
      </c>
      <c r="B385" s="132">
        <v>2</v>
      </c>
      <c r="C385" s="194" t="s">
        <v>52</v>
      </c>
      <c r="D385" s="33" t="s">
        <v>1</v>
      </c>
      <c r="E385" s="38" t="s">
        <v>2459</v>
      </c>
      <c r="F385" s="33" t="s">
        <v>69</v>
      </c>
      <c r="G385" s="32">
        <v>86</v>
      </c>
      <c r="H385" s="107" t="s">
        <v>2460</v>
      </c>
    </row>
    <row r="386" spans="1:8" ht="31.15" x14ac:dyDescent="0.25">
      <c r="A386" s="132">
        <v>28</v>
      </c>
      <c r="B386" s="132">
        <v>2</v>
      </c>
      <c r="C386" s="194" t="s">
        <v>52</v>
      </c>
      <c r="D386" s="33" t="s">
        <v>1</v>
      </c>
      <c r="E386" s="38" t="s">
        <v>2461</v>
      </c>
      <c r="F386" s="33" t="s">
        <v>69</v>
      </c>
      <c r="G386" s="32">
        <v>79</v>
      </c>
      <c r="H386" s="107" t="s">
        <v>2462</v>
      </c>
    </row>
    <row r="387" spans="1:8" ht="15.6" x14ac:dyDescent="0.25">
      <c r="A387" s="132">
        <v>28</v>
      </c>
      <c r="B387" s="132">
        <v>2</v>
      </c>
      <c r="C387" s="194" t="s">
        <v>52</v>
      </c>
      <c r="D387" s="33" t="s">
        <v>1</v>
      </c>
      <c r="E387" s="38" t="s">
        <v>2463</v>
      </c>
      <c r="F387" s="33" t="s">
        <v>69</v>
      </c>
      <c r="G387" s="32">
        <v>75</v>
      </c>
      <c r="H387" s="107" t="s">
        <v>2464</v>
      </c>
    </row>
    <row r="388" spans="1:8" ht="62.45" x14ac:dyDescent="0.25">
      <c r="A388" s="132">
        <v>28</v>
      </c>
      <c r="B388" s="132">
        <v>2</v>
      </c>
      <c r="C388" s="194" t="s">
        <v>52</v>
      </c>
      <c r="D388" s="33" t="s">
        <v>1</v>
      </c>
      <c r="E388" s="38" t="s">
        <v>2465</v>
      </c>
      <c r="F388" s="33" t="s">
        <v>69</v>
      </c>
      <c r="G388" s="32">
        <v>1336</v>
      </c>
      <c r="H388" s="107" t="s">
        <v>2466</v>
      </c>
    </row>
    <row r="389" spans="1:8" ht="31.15" x14ac:dyDescent="0.25">
      <c r="A389" s="132">
        <v>28</v>
      </c>
      <c r="B389" s="132">
        <v>2</v>
      </c>
      <c r="C389" s="194" t="s">
        <v>52</v>
      </c>
      <c r="D389" s="33" t="s">
        <v>1</v>
      </c>
      <c r="E389" s="38" t="s">
        <v>2467</v>
      </c>
      <c r="F389" s="33" t="s">
        <v>69</v>
      </c>
      <c r="G389" s="32">
        <v>31</v>
      </c>
      <c r="H389" s="107" t="s">
        <v>2468</v>
      </c>
    </row>
    <row r="390" spans="1:8" ht="46.9" x14ac:dyDescent="0.25">
      <c r="A390" s="132">
        <v>28</v>
      </c>
      <c r="B390" s="132">
        <v>2</v>
      </c>
      <c r="C390" s="194" t="s">
        <v>52</v>
      </c>
      <c r="D390" s="33" t="s">
        <v>1</v>
      </c>
      <c r="E390" s="38" t="s">
        <v>2469</v>
      </c>
      <c r="F390" s="33" t="s">
        <v>69</v>
      </c>
      <c r="G390" s="32">
        <v>90</v>
      </c>
      <c r="H390" s="107" t="s">
        <v>2470</v>
      </c>
    </row>
    <row r="391" spans="1:8" ht="31.15" x14ac:dyDescent="0.25">
      <c r="A391" s="32">
        <v>28</v>
      </c>
      <c r="B391" s="32">
        <v>2</v>
      </c>
      <c r="C391" s="194" t="s">
        <v>52</v>
      </c>
      <c r="D391" s="33" t="s">
        <v>83</v>
      </c>
      <c r="E391" s="38" t="s">
        <v>2471</v>
      </c>
      <c r="F391" s="33" t="s">
        <v>69</v>
      </c>
      <c r="G391" s="32">
        <v>5</v>
      </c>
      <c r="H391" s="107" t="s">
        <v>2472</v>
      </c>
    </row>
    <row r="392" spans="1:8" ht="31.15" x14ac:dyDescent="0.25">
      <c r="A392" s="32">
        <v>28</v>
      </c>
      <c r="B392" s="32">
        <v>2</v>
      </c>
      <c r="C392" s="194" t="s">
        <v>52</v>
      </c>
      <c r="D392" s="33" t="s">
        <v>83</v>
      </c>
      <c r="E392" s="38" t="s">
        <v>2473</v>
      </c>
      <c r="F392" s="33" t="s">
        <v>69</v>
      </c>
      <c r="G392" s="32">
        <v>15878</v>
      </c>
      <c r="H392" s="107" t="s">
        <v>2474</v>
      </c>
    </row>
    <row r="393" spans="1:8" ht="31.15" x14ac:dyDescent="0.25">
      <c r="A393" s="32">
        <v>28</v>
      </c>
      <c r="B393" s="32">
        <v>2</v>
      </c>
      <c r="C393" s="194" t="s">
        <v>52</v>
      </c>
      <c r="D393" s="33" t="s">
        <v>83</v>
      </c>
      <c r="E393" s="38" t="s">
        <v>2475</v>
      </c>
      <c r="F393" s="33" t="s">
        <v>69</v>
      </c>
      <c r="G393" s="32">
        <v>657</v>
      </c>
      <c r="H393" s="107" t="s">
        <v>2476</v>
      </c>
    </row>
    <row r="394" spans="1:8" ht="46.9" x14ac:dyDescent="0.25">
      <c r="A394" s="32">
        <v>28</v>
      </c>
      <c r="B394" s="32">
        <v>2</v>
      </c>
      <c r="C394" s="194" t="s">
        <v>52</v>
      </c>
      <c r="D394" s="33" t="s">
        <v>83</v>
      </c>
      <c r="E394" s="38" t="s">
        <v>2477</v>
      </c>
      <c r="F394" s="33" t="s">
        <v>69</v>
      </c>
      <c r="G394" s="32">
        <v>336</v>
      </c>
      <c r="H394" s="107" t="s">
        <v>2478</v>
      </c>
    </row>
    <row r="395" spans="1:8" ht="15.6" x14ac:dyDescent="0.25">
      <c r="A395" s="32">
        <v>28</v>
      </c>
      <c r="B395" s="32">
        <v>2</v>
      </c>
      <c r="C395" s="194" t="s">
        <v>52</v>
      </c>
      <c r="D395" s="33" t="s">
        <v>83</v>
      </c>
      <c r="E395" s="38" t="s">
        <v>2479</v>
      </c>
      <c r="F395" s="33" t="s">
        <v>69</v>
      </c>
      <c r="G395" s="32">
        <v>42</v>
      </c>
      <c r="H395" s="107" t="s">
        <v>2480</v>
      </c>
    </row>
    <row r="396" spans="1:8" ht="31.15" x14ac:dyDescent="0.25">
      <c r="A396" s="32">
        <v>13</v>
      </c>
      <c r="B396" s="32">
        <v>2</v>
      </c>
      <c r="C396" s="194" t="s">
        <v>37</v>
      </c>
      <c r="D396" s="33" t="s">
        <v>4</v>
      </c>
      <c r="E396" s="38" t="s">
        <v>2553</v>
      </c>
      <c r="F396" s="33" t="s">
        <v>81</v>
      </c>
      <c r="G396" s="32">
        <v>5</v>
      </c>
      <c r="H396" s="107" t="s">
        <v>2554</v>
      </c>
    </row>
    <row r="397" spans="1:8" ht="46.9" x14ac:dyDescent="0.25">
      <c r="A397" s="32">
        <v>13</v>
      </c>
      <c r="B397" s="32">
        <v>2</v>
      </c>
      <c r="C397" s="194" t="s">
        <v>37</v>
      </c>
      <c r="D397" s="33" t="s">
        <v>137</v>
      </c>
      <c r="E397" s="38" t="s">
        <v>2555</v>
      </c>
      <c r="F397" s="33" t="s">
        <v>81</v>
      </c>
      <c r="G397" s="32">
        <v>66</v>
      </c>
      <c r="H397" s="107" t="s">
        <v>2556</v>
      </c>
    </row>
    <row r="398" spans="1:8" ht="31.15" x14ac:dyDescent="0.25">
      <c r="A398" s="32">
        <v>13</v>
      </c>
      <c r="B398" s="32">
        <v>2</v>
      </c>
      <c r="C398" s="194" t="s">
        <v>37</v>
      </c>
      <c r="D398" s="33" t="s">
        <v>0</v>
      </c>
      <c r="E398" s="38" t="s">
        <v>2557</v>
      </c>
      <c r="F398" s="33" t="s">
        <v>81</v>
      </c>
      <c r="G398" s="32">
        <v>9</v>
      </c>
      <c r="H398" s="107" t="s">
        <v>2558</v>
      </c>
    </row>
    <row r="399" spans="1:8" ht="31.15" x14ac:dyDescent="0.25">
      <c r="A399" s="32">
        <v>13</v>
      </c>
      <c r="B399" s="32">
        <v>2</v>
      </c>
      <c r="C399" s="194" t="s">
        <v>37</v>
      </c>
      <c r="D399" s="33" t="s">
        <v>0</v>
      </c>
      <c r="E399" s="38" t="s">
        <v>2559</v>
      </c>
      <c r="F399" s="33" t="s">
        <v>81</v>
      </c>
      <c r="G399" s="32">
        <v>30</v>
      </c>
      <c r="H399" s="107" t="s">
        <v>776</v>
      </c>
    </row>
    <row r="400" spans="1:8" ht="31.15" x14ac:dyDescent="0.25">
      <c r="A400" s="32">
        <v>13</v>
      </c>
      <c r="B400" s="32">
        <v>2</v>
      </c>
      <c r="C400" s="194" t="s">
        <v>37</v>
      </c>
      <c r="D400" s="33" t="s">
        <v>0</v>
      </c>
      <c r="E400" s="38" t="s">
        <v>2560</v>
      </c>
      <c r="F400" s="33" t="s">
        <v>81</v>
      </c>
      <c r="G400" s="32">
        <v>74</v>
      </c>
      <c r="H400" s="107" t="s">
        <v>2561</v>
      </c>
    </row>
    <row r="401" spans="1:8" ht="15.6" x14ac:dyDescent="0.25">
      <c r="A401" s="32">
        <v>13</v>
      </c>
      <c r="B401" s="32">
        <v>2</v>
      </c>
      <c r="C401" s="194" t="s">
        <v>37</v>
      </c>
      <c r="D401" s="33" t="s">
        <v>0</v>
      </c>
      <c r="E401" s="38" t="s">
        <v>2562</v>
      </c>
      <c r="F401" s="33" t="s">
        <v>81</v>
      </c>
      <c r="G401" s="32">
        <v>147</v>
      </c>
      <c r="H401" s="107" t="s">
        <v>2563</v>
      </c>
    </row>
    <row r="402" spans="1:8" ht="31.15" x14ac:dyDescent="0.25">
      <c r="A402" s="32">
        <v>13</v>
      </c>
      <c r="B402" s="32">
        <v>2</v>
      </c>
      <c r="C402" s="194" t="s">
        <v>37</v>
      </c>
      <c r="D402" s="33" t="s">
        <v>1</v>
      </c>
      <c r="E402" s="38" t="s">
        <v>2564</v>
      </c>
      <c r="F402" s="33" t="s">
        <v>81</v>
      </c>
      <c r="G402" s="32">
        <v>22</v>
      </c>
      <c r="H402" s="107" t="s">
        <v>2561</v>
      </c>
    </row>
    <row r="403" spans="1:8" ht="46.9" x14ac:dyDescent="0.25">
      <c r="A403" s="32">
        <v>13</v>
      </c>
      <c r="B403" s="32">
        <v>2</v>
      </c>
      <c r="C403" s="194" t="s">
        <v>37</v>
      </c>
      <c r="D403" s="33" t="s">
        <v>1</v>
      </c>
      <c r="E403" s="38" t="s">
        <v>2565</v>
      </c>
      <c r="F403" s="33" t="s">
        <v>81</v>
      </c>
      <c r="G403" s="32">
        <v>48</v>
      </c>
      <c r="H403" s="107" t="s">
        <v>2556</v>
      </c>
    </row>
    <row r="404" spans="1:8" ht="15.6" x14ac:dyDescent="0.25">
      <c r="A404" s="32">
        <v>13</v>
      </c>
      <c r="B404" s="32">
        <v>2</v>
      </c>
      <c r="C404" s="194" t="s">
        <v>37</v>
      </c>
      <c r="D404" s="33" t="s">
        <v>1</v>
      </c>
      <c r="E404" s="38" t="s">
        <v>2566</v>
      </c>
      <c r="F404" s="33" t="s">
        <v>81</v>
      </c>
      <c r="G404" s="32">
        <v>71</v>
      </c>
      <c r="H404" s="107" t="s">
        <v>2567</v>
      </c>
    </row>
    <row r="405" spans="1:8" ht="31.15" x14ac:dyDescent="0.25">
      <c r="A405" s="32">
        <v>13</v>
      </c>
      <c r="B405" s="32">
        <v>2</v>
      </c>
      <c r="C405" s="194" t="s">
        <v>37</v>
      </c>
      <c r="D405" s="33" t="s">
        <v>1</v>
      </c>
      <c r="E405" s="38" t="s">
        <v>2568</v>
      </c>
      <c r="F405" s="33" t="s">
        <v>81</v>
      </c>
      <c r="G405" s="32">
        <v>20</v>
      </c>
      <c r="H405" s="107" t="s">
        <v>2569</v>
      </c>
    </row>
    <row r="406" spans="1:8" ht="15.6" x14ac:dyDescent="0.25">
      <c r="A406" s="32">
        <v>13</v>
      </c>
      <c r="B406" s="32">
        <v>2</v>
      </c>
      <c r="C406" s="194" t="s">
        <v>37</v>
      </c>
      <c r="D406" s="33" t="s">
        <v>1</v>
      </c>
      <c r="E406" s="38" t="s">
        <v>2570</v>
      </c>
      <c r="F406" s="33" t="s">
        <v>81</v>
      </c>
      <c r="G406" s="32">
        <v>28</v>
      </c>
      <c r="H406" s="107" t="s">
        <v>2571</v>
      </c>
    </row>
    <row r="407" spans="1:8" ht="31.15" x14ac:dyDescent="0.25">
      <c r="A407" s="32">
        <v>13</v>
      </c>
      <c r="B407" s="32">
        <v>2</v>
      </c>
      <c r="C407" s="194" t="s">
        <v>37</v>
      </c>
      <c r="D407" s="33" t="s">
        <v>83</v>
      </c>
      <c r="E407" s="38" t="s">
        <v>2572</v>
      </c>
      <c r="F407" s="33" t="s">
        <v>81</v>
      </c>
      <c r="G407" s="32">
        <v>5</v>
      </c>
      <c r="H407" s="107" t="s">
        <v>2573</v>
      </c>
    </row>
    <row r="408" spans="1:8" ht="31.15" x14ac:dyDescent="0.25">
      <c r="A408" s="32">
        <v>13</v>
      </c>
      <c r="B408" s="32">
        <v>2</v>
      </c>
      <c r="C408" s="194" t="s">
        <v>37</v>
      </c>
      <c r="D408" s="33" t="s">
        <v>83</v>
      </c>
      <c r="E408" s="38" t="s">
        <v>2574</v>
      </c>
      <c r="F408" s="33" t="s">
        <v>81</v>
      </c>
      <c r="G408" s="32">
        <v>11</v>
      </c>
      <c r="H408" s="107" t="s">
        <v>2561</v>
      </c>
    </row>
    <row r="409" spans="1:8" ht="15.6" x14ac:dyDescent="0.25">
      <c r="A409" s="32">
        <v>13</v>
      </c>
      <c r="B409" s="32">
        <v>2</v>
      </c>
      <c r="C409" s="194" t="s">
        <v>37</v>
      </c>
      <c r="D409" s="33" t="s">
        <v>83</v>
      </c>
      <c r="E409" s="38" t="s">
        <v>2575</v>
      </c>
      <c r="F409" s="33" t="s">
        <v>81</v>
      </c>
      <c r="G409" s="32">
        <v>35</v>
      </c>
      <c r="H409" s="107" t="s">
        <v>2571</v>
      </c>
    </row>
    <row r="410" spans="1:8" ht="31.15" x14ac:dyDescent="0.25">
      <c r="A410" s="132">
        <v>13</v>
      </c>
      <c r="B410" s="132">
        <v>2</v>
      </c>
      <c r="C410" s="194" t="s">
        <v>37</v>
      </c>
      <c r="D410" s="33" t="s">
        <v>83</v>
      </c>
      <c r="E410" s="38" t="s">
        <v>2576</v>
      </c>
      <c r="F410" s="33" t="s">
        <v>69</v>
      </c>
      <c r="G410" s="32">
        <v>108</v>
      </c>
      <c r="H410" s="107" t="s">
        <v>2558</v>
      </c>
    </row>
    <row r="411" spans="1:8" ht="15.6" x14ac:dyDescent="0.25">
      <c r="A411" s="132">
        <v>13</v>
      </c>
      <c r="B411" s="132">
        <v>2</v>
      </c>
      <c r="C411" s="194" t="s">
        <v>37</v>
      </c>
      <c r="D411" s="33" t="s">
        <v>83</v>
      </c>
      <c r="E411" s="38" t="s">
        <v>2577</v>
      </c>
      <c r="F411" s="33" t="s">
        <v>69</v>
      </c>
      <c r="G411" s="32">
        <v>5</v>
      </c>
      <c r="H411" s="107" t="s">
        <v>2578</v>
      </c>
    </row>
    <row r="412" spans="1:8" ht="31.15" x14ac:dyDescent="0.25">
      <c r="A412" s="132">
        <v>23</v>
      </c>
      <c r="B412" s="132">
        <v>2</v>
      </c>
      <c r="C412" s="194" t="s">
        <v>47</v>
      </c>
      <c r="D412" s="33" t="s">
        <v>0</v>
      </c>
      <c r="E412" s="38" t="s">
        <v>2618</v>
      </c>
      <c r="F412" s="33" t="s">
        <v>69</v>
      </c>
      <c r="G412" s="32">
        <v>25</v>
      </c>
      <c r="H412" s="107" t="s">
        <v>2619</v>
      </c>
    </row>
    <row r="413" spans="1:8" ht="62.45" x14ac:dyDescent="0.25">
      <c r="A413" s="132">
        <v>23</v>
      </c>
      <c r="B413" s="132">
        <v>2</v>
      </c>
      <c r="C413" s="194" t="s">
        <v>47</v>
      </c>
      <c r="D413" s="33" t="s">
        <v>1731</v>
      </c>
      <c r="E413" s="38" t="s">
        <v>2620</v>
      </c>
      <c r="F413" s="33" t="s">
        <v>81</v>
      </c>
      <c r="G413" s="32">
        <v>107</v>
      </c>
      <c r="H413" s="107" t="s">
        <v>2621</v>
      </c>
    </row>
    <row r="414" spans="1:8" ht="202.9" x14ac:dyDescent="0.25">
      <c r="A414" s="132">
        <v>23</v>
      </c>
      <c r="B414" s="132">
        <v>2</v>
      </c>
      <c r="C414" s="194" t="s">
        <v>47</v>
      </c>
      <c r="D414" s="33" t="s">
        <v>1</v>
      </c>
      <c r="E414" s="38" t="s">
        <v>2622</v>
      </c>
      <c r="F414" s="33" t="s">
        <v>81</v>
      </c>
      <c r="G414" s="32">
        <v>81</v>
      </c>
      <c r="H414" s="107" t="s">
        <v>2623</v>
      </c>
    </row>
    <row r="415" spans="1:8" ht="124.9" x14ac:dyDescent="0.25">
      <c r="A415" s="132">
        <v>23</v>
      </c>
      <c r="B415" s="132">
        <v>2</v>
      </c>
      <c r="C415" s="194" t="s">
        <v>47</v>
      </c>
      <c r="D415" s="33" t="s">
        <v>1</v>
      </c>
      <c r="E415" s="38" t="s">
        <v>2624</v>
      </c>
      <c r="F415" s="33" t="s">
        <v>81</v>
      </c>
      <c r="G415" s="32">
        <v>91</v>
      </c>
      <c r="H415" s="107" t="s">
        <v>2623</v>
      </c>
    </row>
    <row r="416" spans="1:8" ht="234" x14ac:dyDescent="0.25">
      <c r="A416" s="132">
        <v>23</v>
      </c>
      <c r="B416" s="132">
        <v>2</v>
      </c>
      <c r="C416" s="194" t="s">
        <v>47</v>
      </c>
      <c r="D416" s="33" t="s">
        <v>1</v>
      </c>
      <c r="E416" s="38" t="s">
        <v>2625</v>
      </c>
      <c r="F416" s="33" t="s">
        <v>81</v>
      </c>
      <c r="G416" s="32">
        <v>89</v>
      </c>
      <c r="H416" s="107" t="s">
        <v>2623</v>
      </c>
    </row>
    <row r="417" spans="1:8" ht="46.9" x14ac:dyDescent="0.25">
      <c r="A417" s="132">
        <v>23</v>
      </c>
      <c r="B417" s="132">
        <v>2</v>
      </c>
      <c r="C417" s="194" t="s">
        <v>47</v>
      </c>
      <c r="D417" s="33" t="s">
        <v>1</v>
      </c>
      <c r="E417" s="38" t="s">
        <v>2626</v>
      </c>
      <c r="F417" s="33" t="s">
        <v>69</v>
      </c>
      <c r="G417" s="32">
        <v>16</v>
      </c>
      <c r="H417" s="107" t="s">
        <v>2627</v>
      </c>
    </row>
    <row r="418" spans="1:8" ht="31.15" x14ac:dyDescent="0.25">
      <c r="A418" s="132">
        <v>23</v>
      </c>
      <c r="B418" s="132">
        <v>2</v>
      </c>
      <c r="C418" s="194" t="s">
        <v>47</v>
      </c>
      <c r="D418" s="33" t="s">
        <v>1</v>
      </c>
      <c r="E418" s="38" t="s">
        <v>1366</v>
      </c>
      <c r="F418" s="33" t="s">
        <v>81</v>
      </c>
      <c r="G418" s="32">
        <v>1</v>
      </c>
      <c r="H418" s="107" t="s">
        <v>2628</v>
      </c>
    </row>
    <row r="419" spans="1:8" ht="31.15" x14ac:dyDescent="0.25">
      <c r="A419" s="132">
        <v>23</v>
      </c>
      <c r="B419" s="132">
        <v>2</v>
      </c>
      <c r="C419" s="194" t="s">
        <v>47</v>
      </c>
      <c r="D419" s="33" t="s">
        <v>83</v>
      </c>
      <c r="E419" s="38" t="s">
        <v>2629</v>
      </c>
      <c r="F419" s="33" t="s">
        <v>69</v>
      </c>
      <c r="G419" s="32">
        <v>24</v>
      </c>
      <c r="H419" s="107" t="s">
        <v>2630</v>
      </c>
    </row>
    <row r="420" spans="1:8" ht="31.15" x14ac:dyDescent="0.25">
      <c r="A420" s="132">
        <v>23</v>
      </c>
      <c r="B420" s="132">
        <v>2</v>
      </c>
      <c r="C420" s="194" t="s">
        <v>47</v>
      </c>
      <c r="D420" s="33" t="s">
        <v>83</v>
      </c>
      <c r="E420" s="38" t="s">
        <v>2631</v>
      </c>
      <c r="F420" s="33" t="s">
        <v>69</v>
      </c>
      <c r="G420" s="32">
        <v>26</v>
      </c>
      <c r="H420" s="107" t="s">
        <v>2632</v>
      </c>
    </row>
    <row r="421" spans="1:8" ht="31.15" x14ac:dyDescent="0.25">
      <c r="A421" s="132">
        <v>23</v>
      </c>
      <c r="B421" s="132">
        <v>2</v>
      </c>
      <c r="C421" s="194" t="s">
        <v>47</v>
      </c>
      <c r="D421" s="33" t="s">
        <v>83</v>
      </c>
      <c r="E421" s="38" t="s">
        <v>2633</v>
      </c>
      <c r="F421" s="33" t="s">
        <v>69</v>
      </c>
      <c r="G421" s="32">
        <v>29</v>
      </c>
      <c r="H421" s="107" t="s">
        <v>2634</v>
      </c>
    </row>
    <row r="422" spans="1:8" ht="15.6" x14ac:dyDescent="0.25">
      <c r="A422" s="132">
        <v>23</v>
      </c>
      <c r="B422" s="132">
        <v>2</v>
      </c>
      <c r="C422" s="194" t="s">
        <v>47</v>
      </c>
      <c r="D422" s="33" t="s">
        <v>83</v>
      </c>
      <c r="E422" s="38" t="s">
        <v>2635</v>
      </c>
      <c r="F422" s="33" t="s">
        <v>69</v>
      </c>
      <c r="G422" s="32">
        <v>13</v>
      </c>
      <c r="H422" s="107" t="s">
        <v>2617</v>
      </c>
    </row>
    <row r="423" spans="1:8" ht="62.45" x14ac:dyDescent="0.25">
      <c r="A423" s="132">
        <v>23</v>
      </c>
      <c r="B423" s="132">
        <v>2</v>
      </c>
      <c r="C423" s="194" t="s">
        <v>47</v>
      </c>
      <c r="D423" s="33" t="s">
        <v>83</v>
      </c>
      <c r="E423" s="38" t="s">
        <v>2636</v>
      </c>
      <c r="F423" s="33" t="s">
        <v>81</v>
      </c>
      <c r="G423" s="32">
        <v>106</v>
      </c>
      <c r="H423" s="107" t="s">
        <v>2637</v>
      </c>
    </row>
    <row r="424" spans="1:8" ht="15.6" x14ac:dyDescent="0.25">
      <c r="A424" s="132">
        <v>27</v>
      </c>
      <c r="B424" s="132">
        <v>2</v>
      </c>
      <c r="C424" s="194" t="s">
        <v>51</v>
      </c>
      <c r="D424" s="33" t="s">
        <v>137</v>
      </c>
      <c r="E424" s="38" t="s">
        <v>2671</v>
      </c>
      <c r="F424" s="33" t="s">
        <v>69</v>
      </c>
      <c r="G424" s="32">
        <v>61</v>
      </c>
      <c r="H424" s="107" t="s">
        <v>2672</v>
      </c>
    </row>
    <row r="425" spans="1:8" ht="15.6" x14ac:dyDescent="0.25">
      <c r="A425" s="32">
        <v>27</v>
      </c>
      <c r="B425" s="32">
        <v>2</v>
      </c>
      <c r="C425" s="194" t="s">
        <v>51</v>
      </c>
      <c r="D425" s="33" t="s">
        <v>0</v>
      </c>
      <c r="E425" s="38" t="s">
        <v>2673</v>
      </c>
      <c r="F425" s="33" t="s">
        <v>81</v>
      </c>
      <c r="G425" s="32">
        <v>28</v>
      </c>
      <c r="H425" s="107" t="s">
        <v>2674</v>
      </c>
    </row>
    <row r="426" spans="1:8" ht="31.15" x14ac:dyDescent="0.25">
      <c r="A426" s="32">
        <v>27</v>
      </c>
      <c r="B426" s="32">
        <v>2</v>
      </c>
      <c r="C426" s="194" t="s">
        <v>51</v>
      </c>
      <c r="D426" s="33" t="s">
        <v>1</v>
      </c>
      <c r="E426" s="38" t="s">
        <v>2675</v>
      </c>
      <c r="F426" s="33" t="s">
        <v>69</v>
      </c>
      <c r="G426" s="32">
        <v>20</v>
      </c>
      <c r="H426" s="107" t="s">
        <v>2658</v>
      </c>
    </row>
    <row r="427" spans="1:8" ht="15.6" x14ac:dyDescent="0.25">
      <c r="A427" s="32">
        <v>27</v>
      </c>
      <c r="B427" s="32">
        <v>2</v>
      </c>
      <c r="C427" s="194" t="s">
        <v>51</v>
      </c>
      <c r="D427" s="33" t="s">
        <v>1</v>
      </c>
      <c r="E427" s="38" t="s">
        <v>2676</v>
      </c>
      <c r="F427" s="33" t="s">
        <v>69</v>
      </c>
      <c r="G427" s="32">
        <v>19</v>
      </c>
      <c r="H427" s="107" t="s">
        <v>2658</v>
      </c>
    </row>
    <row r="428" spans="1:8" ht="31.15" x14ac:dyDescent="0.25">
      <c r="A428" s="32">
        <v>27</v>
      </c>
      <c r="B428" s="32">
        <v>2</v>
      </c>
      <c r="C428" s="194" t="s">
        <v>51</v>
      </c>
      <c r="D428" s="33" t="s">
        <v>1</v>
      </c>
      <c r="E428" s="38" t="s">
        <v>2677</v>
      </c>
      <c r="F428" s="33" t="s">
        <v>69</v>
      </c>
      <c r="G428" s="32">
        <v>45</v>
      </c>
      <c r="H428" s="107" t="s">
        <v>2664</v>
      </c>
    </row>
    <row r="429" spans="1:8" ht="31.15" x14ac:dyDescent="0.25">
      <c r="A429" s="32">
        <v>27</v>
      </c>
      <c r="B429" s="32">
        <v>2</v>
      </c>
      <c r="C429" s="194" t="s">
        <v>51</v>
      </c>
      <c r="D429" s="33" t="s">
        <v>1</v>
      </c>
      <c r="E429" s="38" t="s">
        <v>2678</v>
      </c>
      <c r="F429" s="33" t="s">
        <v>69</v>
      </c>
      <c r="G429" s="32">
        <v>21</v>
      </c>
      <c r="H429" s="107" t="s">
        <v>2658</v>
      </c>
    </row>
    <row r="430" spans="1:8" ht="93.6" x14ac:dyDescent="0.25">
      <c r="A430" s="32">
        <v>27</v>
      </c>
      <c r="B430" s="32">
        <v>2</v>
      </c>
      <c r="C430" s="194" t="s">
        <v>51</v>
      </c>
      <c r="D430" s="33" t="s">
        <v>1</v>
      </c>
      <c r="E430" s="38" t="s">
        <v>2679</v>
      </c>
      <c r="F430" s="33" t="s">
        <v>69</v>
      </c>
      <c r="G430" s="32">
        <v>20</v>
      </c>
      <c r="H430" s="107" t="s">
        <v>2658</v>
      </c>
    </row>
    <row r="431" spans="1:8" ht="31.15" x14ac:dyDescent="0.25">
      <c r="A431" s="32">
        <v>27</v>
      </c>
      <c r="B431" s="32">
        <v>2</v>
      </c>
      <c r="C431" s="194" t="s">
        <v>51</v>
      </c>
      <c r="D431" s="33" t="s">
        <v>1</v>
      </c>
      <c r="E431" s="38" t="s">
        <v>2680</v>
      </c>
      <c r="F431" s="33" t="s">
        <v>69</v>
      </c>
      <c r="G431" s="32">
        <v>25</v>
      </c>
      <c r="H431" s="107" t="s">
        <v>2681</v>
      </c>
    </row>
    <row r="432" spans="1:8" ht="31.15" x14ac:dyDescent="0.25">
      <c r="A432" s="32">
        <v>27</v>
      </c>
      <c r="B432" s="32">
        <v>2</v>
      </c>
      <c r="C432" s="194" t="s">
        <v>51</v>
      </c>
      <c r="D432" s="33" t="s">
        <v>83</v>
      </c>
      <c r="E432" s="38" t="s">
        <v>2682</v>
      </c>
      <c r="F432" s="33" t="s">
        <v>81</v>
      </c>
      <c r="G432" s="32">
        <v>30</v>
      </c>
      <c r="H432" s="107" t="s">
        <v>2683</v>
      </c>
    </row>
    <row r="433" spans="1:8" ht="15.6" x14ac:dyDescent="0.25">
      <c r="A433" s="32">
        <v>27</v>
      </c>
      <c r="B433" s="32">
        <v>2</v>
      </c>
      <c r="C433" s="194" t="s">
        <v>51</v>
      </c>
      <c r="D433" s="33" t="s">
        <v>83</v>
      </c>
      <c r="E433" s="38" t="s">
        <v>2669</v>
      </c>
      <c r="F433" s="33" t="s">
        <v>69</v>
      </c>
      <c r="G433" s="32">
        <v>2</v>
      </c>
      <c r="H433" s="107" t="s">
        <v>2670</v>
      </c>
    </row>
    <row r="434" spans="1:8" ht="93.6" x14ac:dyDescent="0.25">
      <c r="A434" s="32">
        <v>4</v>
      </c>
      <c r="B434" s="32">
        <v>2</v>
      </c>
      <c r="C434" s="194" t="s">
        <v>95</v>
      </c>
      <c r="D434" s="33" t="s">
        <v>4</v>
      </c>
      <c r="E434" s="38" t="s">
        <v>2718</v>
      </c>
      <c r="F434" s="33" t="s">
        <v>69</v>
      </c>
      <c r="G434" s="32">
        <v>20</v>
      </c>
      <c r="H434" s="107" t="s">
        <v>2719</v>
      </c>
    </row>
    <row r="435" spans="1:8" ht="93.6" x14ac:dyDescent="0.25">
      <c r="A435" s="32">
        <v>4</v>
      </c>
      <c r="B435" s="32">
        <v>2</v>
      </c>
      <c r="C435" s="194" t="s">
        <v>95</v>
      </c>
      <c r="D435" s="33" t="s">
        <v>4</v>
      </c>
      <c r="E435" s="38" t="s">
        <v>2720</v>
      </c>
      <c r="F435" s="33" t="s">
        <v>69</v>
      </c>
      <c r="G435" s="32">
        <v>12</v>
      </c>
      <c r="H435" s="107" t="s">
        <v>2721</v>
      </c>
    </row>
    <row r="436" spans="1:8" ht="46.9" x14ac:dyDescent="0.25">
      <c r="A436" s="32">
        <v>4</v>
      </c>
      <c r="B436" s="32">
        <v>2</v>
      </c>
      <c r="C436" s="194" t="s">
        <v>95</v>
      </c>
      <c r="D436" s="33" t="s">
        <v>0</v>
      </c>
      <c r="E436" s="38" t="s">
        <v>2722</v>
      </c>
      <c r="F436" s="33" t="s">
        <v>69</v>
      </c>
      <c r="G436" s="32">
        <v>3</v>
      </c>
      <c r="H436" s="107" t="s">
        <v>2723</v>
      </c>
    </row>
    <row r="437" spans="1:8" ht="46.9" x14ac:dyDescent="0.25">
      <c r="A437" s="32">
        <v>4</v>
      </c>
      <c r="B437" s="32">
        <v>2</v>
      </c>
      <c r="C437" s="194" t="s">
        <v>95</v>
      </c>
      <c r="D437" s="33" t="s">
        <v>1731</v>
      </c>
      <c r="E437" s="38" t="s">
        <v>2724</v>
      </c>
      <c r="F437" s="33" t="s">
        <v>69</v>
      </c>
      <c r="G437" s="32">
        <v>1049</v>
      </c>
      <c r="H437" s="107" t="s">
        <v>2725</v>
      </c>
    </row>
    <row r="438" spans="1:8" ht="46.9" x14ac:dyDescent="0.25">
      <c r="A438" s="32">
        <v>4</v>
      </c>
      <c r="B438" s="32">
        <v>2</v>
      </c>
      <c r="C438" s="194" t="s">
        <v>95</v>
      </c>
      <c r="D438" s="33" t="s">
        <v>1</v>
      </c>
      <c r="E438" s="38" t="s">
        <v>2726</v>
      </c>
      <c r="F438" s="33" t="s">
        <v>81</v>
      </c>
      <c r="G438" s="32">
        <v>165</v>
      </c>
      <c r="H438" s="107" t="s">
        <v>2727</v>
      </c>
    </row>
    <row r="439" spans="1:8" ht="15.6" x14ac:dyDescent="0.25">
      <c r="A439" s="32">
        <v>4</v>
      </c>
      <c r="B439" s="32">
        <v>2</v>
      </c>
      <c r="C439" s="194" t="s">
        <v>95</v>
      </c>
      <c r="D439" s="33" t="s">
        <v>1</v>
      </c>
      <c r="E439" s="38" t="s">
        <v>2728</v>
      </c>
      <c r="F439" s="33" t="s">
        <v>69</v>
      </c>
      <c r="G439" s="32">
        <v>75</v>
      </c>
      <c r="H439" s="107" t="s">
        <v>106</v>
      </c>
    </row>
    <row r="440" spans="1:8" ht="46.9" x14ac:dyDescent="0.25">
      <c r="A440" s="32">
        <v>4</v>
      </c>
      <c r="B440" s="32">
        <v>2</v>
      </c>
      <c r="C440" s="194" t="s">
        <v>95</v>
      </c>
      <c r="D440" s="33" t="s">
        <v>1</v>
      </c>
      <c r="E440" s="38" t="s">
        <v>2729</v>
      </c>
      <c r="F440" s="33" t="s">
        <v>69</v>
      </c>
      <c r="G440" s="32">
        <v>762</v>
      </c>
      <c r="H440" s="107" t="s">
        <v>2730</v>
      </c>
    </row>
    <row r="441" spans="1:8" ht="62.45" x14ac:dyDescent="0.25">
      <c r="A441" s="32">
        <v>4</v>
      </c>
      <c r="B441" s="32">
        <v>2</v>
      </c>
      <c r="C441" s="194" t="s">
        <v>95</v>
      </c>
      <c r="D441" s="33" t="s">
        <v>1</v>
      </c>
      <c r="E441" s="38" t="s">
        <v>2731</v>
      </c>
      <c r="F441" s="33" t="s">
        <v>69</v>
      </c>
      <c r="G441" s="32">
        <v>454</v>
      </c>
      <c r="H441" s="107" t="s">
        <v>2732</v>
      </c>
    </row>
    <row r="442" spans="1:8" ht="78" x14ac:dyDescent="0.25">
      <c r="A442" s="32">
        <v>4</v>
      </c>
      <c r="B442" s="32">
        <v>2</v>
      </c>
      <c r="C442" s="194" t="s">
        <v>95</v>
      </c>
      <c r="D442" s="33" t="s">
        <v>83</v>
      </c>
      <c r="E442" s="38" t="s">
        <v>2733</v>
      </c>
      <c r="F442" s="33" t="s">
        <v>69</v>
      </c>
      <c r="G442" s="32">
        <v>326</v>
      </c>
      <c r="H442" s="107" t="s">
        <v>2734</v>
      </c>
    </row>
    <row r="443" spans="1:8" ht="109.15" x14ac:dyDescent="0.25">
      <c r="A443" s="32">
        <v>4</v>
      </c>
      <c r="B443" s="32">
        <v>2</v>
      </c>
      <c r="C443" s="194" t="s">
        <v>95</v>
      </c>
      <c r="D443" s="33" t="s">
        <v>83</v>
      </c>
      <c r="E443" s="38" t="s">
        <v>2735</v>
      </c>
      <c r="F443" s="33" t="s">
        <v>69</v>
      </c>
      <c r="G443" s="32">
        <v>7</v>
      </c>
      <c r="H443" s="107" t="s">
        <v>2736</v>
      </c>
    </row>
    <row r="444" spans="1:8" ht="93.6" x14ac:dyDescent="0.25">
      <c r="A444" s="32">
        <v>4</v>
      </c>
      <c r="B444" s="32">
        <v>2</v>
      </c>
      <c r="C444" s="194" t="s">
        <v>95</v>
      </c>
      <c r="D444" s="33" t="s">
        <v>83</v>
      </c>
      <c r="E444" s="38" t="s">
        <v>2737</v>
      </c>
      <c r="F444" s="33" t="s">
        <v>69</v>
      </c>
      <c r="G444" s="32">
        <v>18</v>
      </c>
      <c r="H444" s="107" t="s">
        <v>2738</v>
      </c>
    </row>
    <row r="445" spans="1:8" ht="46.9" x14ac:dyDescent="0.25">
      <c r="A445" s="32">
        <v>4</v>
      </c>
      <c r="B445" s="32">
        <v>2</v>
      </c>
      <c r="C445" s="194" t="s">
        <v>95</v>
      </c>
      <c r="D445" s="33" t="s">
        <v>83</v>
      </c>
      <c r="E445" s="38" t="s">
        <v>2739</v>
      </c>
      <c r="F445" s="33" t="s">
        <v>69</v>
      </c>
      <c r="G445" s="32">
        <v>15</v>
      </c>
      <c r="H445" s="107" t="s">
        <v>2740</v>
      </c>
    </row>
    <row r="446" spans="1:8" ht="93.6" x14ac:dyDescent="0.25">
      <c r="A446" s="32">
        <v>4</v>
      </c>
      <c r="B446" s="32">
        <v>2</v>
      </c>
      <c r="C446" s="194" t="s">
        <v>95</v>
      </c>
      <c r="D446" s="33" t="s">
        <v>83</v>
      </c>
      <c r="E446" s="38" t="s">
        <v>2709</v>
      </c>
      <c r="F446" s="33" t="s">
        <v>69</v>
      </c>
      <c r="G446" s="32">
        <v>6</v>
      </c>
      <c r="H446" s="107" t="s">
        <v>106</v>
      </c>
    </row>
    <row r="447" spans="1:8" ht="46.9" x14ac:dyDescent="0.25">
      <c r="A447" s="32">
        <v>4</v>
      </c>
      <c r="B447" s="32">
        <v>2</v>
      </c>
      <c r="C447" s="194" t="s">
        <v>95</v>
      </c>
      <c r="D447" s="33" t="s">
        <v>83</v>
      </c>
      <c r="E447" s="38" t="s">
        <v>2741</v>
      </c>
      <c r="F447" s="33" t="s">
        <v>81</v>
      </c>
      <c r="G447" s="32">
        <v>6</v>
      </c>
      <c r="H447" s="107" t="s">
        <v>2742</v>
      </c>
    </row>
    <row r="448" spans="1:8" ht="93.6" x14ac:dyDescent="0.25">
      <c r="A448" s="32">
        <v>4</v>
      </c>
      <c r="B448" s="32">
        <v>2</v>
      </c>
      <c r="C448" s="194" t="s">
        <v>95</v>
      </c>
      <c r="D448" s="33" t="s">
        <v>83</v>
      </c>
      <c r="E448" s="38" t="s">
        <v>2743</v>
      </c>
      <c r="F448" s="33" t="s">
        <v>81</v>
      </c>
      <c r="G448" s="32">
        <v>1</v>
      </c>
      <c r="H448" s="107" t="s">
        <v>2744</v>
      </c>
    </row>
    <row r="449" spans="1:8" ht="31.15" x14ac:dyDescent="0.25">
      <c r="A449" s="32">
        <v>4</v>
      </c>
      <c r="B449" s="32">
        <v>2</v>
      </c>
      <c r="C449" s="194" t="s">
        <v>95</v>
      </c>
      <c r="D449" s="33" t="s">
        <v>83</v>
      </c>
      <c r="E449" s="38" t="s">
        <v>2745</v>
      </c>
      <c r="F449" s="33" t="s">
        <v>81</v>
      </c>
      <c r="G449" s="32">
        <v>3</v>
      </c>
      <c r="H449" s="107" t="s">
        <v>2746</v>
      </c>
    </row>
    <row r="450" spans="1:8" ht="46.9" x14ac:dyDescent="0.25">
      <c r="A450" s="32">
        <v>3</v>
      </c>
      <c r="B450" s="32">
        <v>2</v>
      </c>
      <c r="C450" s="194" t="s">
        <v>27</v>
      </c>
      <c r="D450" s="33" t="s">
        <v>0</v>
      </c>
      <c r="E450" s="38" t="s">
        <v>2805</v>
      </c>
      <c r="F450" s="33" t="s">
        <v>69</v>
      </c>
      <c r="G450" s="32">
        <v>31</v>
      </c>
      <c r="H450" s="107" t="s">
        <v>2806</v>
      </c>
    </row>
    <row r="451" spans="1:8" ht="46.9" x14ac:dyDescent="0.25">
      <c r="A451" s="32">
        <v>3</v>
      </c>
      <c r="B451" s="32">
        <v>2</v>
      </c>
      <c r="C451" s="194" t="s">
        <v>27</v>
      </c>
      <c r="D451" s="33" t="s">
        <v>1</v>
      </c>
      <c r="E451" s="38" t="s">
        <v>2807</v>
      </c>
      <c r="F451" s="33" t="s">
        <v>69</v>
      </c>
      <c r="G451" s="32">
        <v>29</v>
      </c>
      <c r="H451" s="107" t="s">
        <v>2806</v>
      </c>
    </row>
    <row r="452" spans="1:8" ht="93.6" x14ac:dyDescent="0.25">
      <c r="A452" s="32">
        <v>3</v>
      </c>
      <c r="B452" s="32">
        <v>2</v>
      </c>
      <c r="C452" s="194" t="s">
        <v>27</v>
      </c>
      <c r="D452" s="33" t="s">
        <v>1</v>
      </c>
      <c r="E452" s="38" t="s">
        <v>2808</v>
      </c>
      <c r="F452" s="33" t="s">
        <v>69</v>
      </c>
      <c r="G452" s="32">
        <v>8</v>
      </c>
      <c r="H452" s="107" t="s">
        <v>2809</v>
      </c>
    </row>
    <row r="453" spans="1:8" ht="46.9" x14ac:dyDescent="0.25">
      <c r="A453" s="32">
        <v>3</v>
      </c>
      <c r="B453" s="32">
        <v>2</v>
      </c>
      <c r="C453" s="194" t="s">
        <v>27</v>
      </c>
      <c r="D453" s="33" t="s">
        <v>1</v>
      </c>
      <c r="E453" s="38" t="s">
        <v>2810</v>
      </c>
      <c r="F453" s="33" t="s">
        <v>81</v>
      </c>
      <c r="G453" s="32">
        <v>24</v>
      </c>
      <c r="H453" s="107" t="s">
        <v>2811</v>
      </c>
    </row>
    <row r="454" spans="1:8" ht="109.15" x14ac:dyDescent="0.25">
      <c r="A454" s="32">
        <v>3</v>
      </c>
      <c r="B454" s="32">
        <v>2</v>
      </c>
      <c r="C454" s="194" t="s">
        <v>27</v>
      </c>
      <c r="D454" s="33" t="s">
        <v>83</v>
      </c>
      <c r="E454" s="38" t="s">
        <v>2812</v>
      </c>
      <c r="F454" s="33" t="s">
        <v>69</v>
      </c>
      <c r="G454" s="32" t="s">
        <v>93</v>
      </c>
      <c r="H454" s="107" t="s">
        <v>106</v>
      </c>
    </row>
    <row r="455" spans="1:8" ht="93.6" x14ac:dyDescent="0.25">
      <c r="A455" s="32">
        <v>3</v>
      </c>
      <c r="B455" s="32">
        <v>2</v>
      </c>
      <c r="C455" s="194" t="s">
        <v>27</v>
      </c>
      <c r="D455" s="33" t="s">
        <v>83</v>
      </c>
      <c r="E455" s="38" t="s">
        <v>2813</v>
      </c>
      <c r="F455" s="33" t="s">
        <v>69</v>
      </c>
      <c r="G455" s="32">
        <v>43</v>
      </c>
      <c r="H455" s="107" t="s">
        <v>2814</v>
      </c>
    </row>
    <row r="456" spans="1:8" ht="93.6" x14ac:dyDescent="0.25">
      <c r="A456" s="32">
        <v>3</v>
      </c>
      <c r="B456" s="32">
        <v>2</v>
      </c>
      <c r="C456" s="194" t="s">
        <v>27</v>
      </c>
      <c r="D456" s="33" t="s">
        <v>83</v>
      </c>
      <c r="E456" s="38" t="s">
        <v>2815</v>
      </c>
      <c r="F456" s="33" t="s">
        <v>69</v>
      </c>
      <c r="G456" s="32">
        <v>2</v>
      </c>
      <c r="H456" s="107" t="s">
        <v>2794</v>
      </c>
    </row>
    <row r="457" spans="1:8" ht="46.9" x14ac:dyDescent="0.25">
      <c r="A457" s="32">
        <v>3</v>
      </c>
      <c r="B457" s="32">
        <v>2</v>
      </c>
      <c r="C457" s="194" t="s">
        <v>27</v>
      </c>
      <c r="D457" s="33" t="s">
        <v>83</v>
      </c>
      <c r="E457" s="38" t="s">
        <v>2816</v>
      </c>
      <c r="F457" s="33" t="s">
        <v>69</v>
      </c>
      <c r="G457" s="32" t="s">
        <v>93</v>
      </c>
      <c r="H457" s="107" t="s">
        <v>106</v>
      </c>
    </row>
    <row r="458" spans="1:8" ht="15.6" x14ac:dyDescent="0.25">
      <c r="A458" s="32">
        <v>3</v>
      </c>
      <c r="B458" s="32">
        <v>2</v>
      </c>
      <c r="C458" s="194" t="s">
        <v>27</v>
      </c>
      <c r="D458" s="33" t="s">
        <v>83</v>
      </c>
      <c r="E458" s="38" t="s">
        <v>2799</v>
      </c>
      <c r="F458" s="33" t="s">
        <v>69</v>
      </c>
      <c r="G458" s="32">
        <v>4</v>
      </c>
      <c r="H458" s="107" t="s">
        <v>2800</v>
      </c>
    </row>
    <row r="459" spans="1:8" ht="31.15" x14ac:dyDescent="0.25">
      <c r="A459" s="32">
        <v>7</v>
      </c>
      <c r="B459" s="32">
        <v>2</v>
      </c>
      <c r="C459" s="194" t="s">
        <v>31</v>
      </c>
      <c r="D459" s="33" t="s">
        <v>137</v>
      </c>
      <c r="E459" s="38" t="s">
        <v>2840</v>
      </c>
      <c r="F459" s="33" t="s">
        <v>81</v>
      </c>
      <c r="G459" s="32">
        <v>62</v>
      </c>
      <c r="H459" s="107" t="s">
        <v>2841</v>
      </c>
    </row>
    <row r="460" spans="1:8" ht="31.15" x14ac:dyDescent="0.25">
      <c r="A460" s="32">
        <v>7</v>
      </c>
      <c r="B460" s="32">
        <v>2</v>
      </c>
      <c r="C460" s="194" t="s">
        <v>31</v>
      </c>
      <c r="D460" s="33" t="s">
        <v>0</v>
      </c>
      <c r="E460" s="38" t="s">
        <v>2842</v>
      </c>
      <c r="F460" s="33" t="s">
        <v>81</v>
      </c>
      <c r="G460" s="32">
        <v>33</v>
      </c>
      <c r="H460" s="107" t="s">
        <v>2843</v>
      </c>
    </row>
    <row r="461" spans="1:8" ht="31.15" x14ac:dyDescent="0.25">
      <c r="A461" s="32">
        <v>7</v>
      </c>
      <c r="B461" s="32">
        <v>2</v>
      </c>
      <c r="C461" s="194" t="s">
        <v>31</v>
      </c>
      <c r="D461" s="33" t="s">
        <v>1731</v>
      </c>
      <c r="E461" s="38" t="s">
        <v>2844</v>
      </c>
      <c r="F461" s="33" t="s">
        <v>81</v>
      </c>
      <c r="G461" s="32">
        <v>62</v>
      </c>
      <c r="H461" s="107" t="s">
        <v>2845</v>
      </c>
    </row>
    <row r="462" spans="1:8" ht="31.15" x14ac:dyDescent="0.25">
      <c r="A462" s="32">
        <v>7</v>
      </c>
      <c r="B462" s="32">
        <v>2</v>
      </c>
      <c r="C462" s="194" t="s">
        <v>31</v>
      </c>
      <c r="D462" s="33" t="s">
        <v>1</v>
      </c>
      <c r="E462" s="38" t="s">
        <v>2846</v>
      </c>
      <c r="F462" s="33" t="s">
        <v>81</v>
      </c>
      <c r="G462" s="32">
        <v>876</v>
      </c>
      <c r="H462" s="107" t="s">
        <v>2847</v>
      </c>
    </row>
    <row r="463" spans="1:8" ht="31.15" x14ac:dyDescent="0.25">
      <c r="A463" s="32">
        <v>7</v>
      </c>
      <c r="B463" s="32">
        <v>2</v>
      </c>
      <c r="C463" s="194" t="s">
        <v>31</v>
      </c>
      <c r="D463" s="33" t="s">
        <v>1</v>
      </c>
      <c r="E463" s="38" t="s">
        <v>2848</v>
      </c>
      <c r="F463" s="33" t="s">
        <v>81</v>
      </c>
      <c r="G463" s="32">
        <v>77</v>
      </c>
      <c r="H463" s="107" t="s">
        <v>2830</v>
      </c>
    </row>
    <row r="464" spans="1:8" ht="31.15" x14ac:dyDescent="0.25">
      <c r="A464" s="32">
        <v>7</v>
      </c>
      <c r="B464" s="32">
        <v>2</v>
      </c>
      <c r="C464" s="194" t="s">
        <v>31</v>
      </c>
      <c r="D464" s="33" t="s">
        <v>1</v>
      </c>
      <c r="E464" s="38" t="s">
        <v>2849</v>
      </c>
      <c r="F464" s="33" t="s">
        <v>81</v>
      </c>
      <c r="G464" s="32">
        <v>24</v>
      </c>
      <c r="H464" s="107" t="s">
        <v>2830</v>
      </c>
    </row>
    <row r="465" spans="1:8" ht="31.15" x14ac:dyDescent="0.25">
      <c r="A465" s="32">
        <v>7</v>
      </c>
      <c r="B465" s="32">
        <v>2</v>
      </c>
      <c r="C465" s="194" t="s">
        <v>31</v>
      </c>
      <c r="D465" s="33" t="s">
        <v>1</v>
      </c>
      <c r="E465" s="38" t="s">
        <v>2850</v>
      </c>
      <c r="F465" s="33" t="s">
        <v>81</v>
      </c>
      <c r="G465" s="32">
        <v>3</v>
      </c>
      <c r="H465" s="107" t="s">
        <v>2851</v>
      </c>
    </row>
    <row r="466" spans="1:8" ht="15.6" x14ac:dyDescent="0.25">
      <c r="A466" s="32">
        <v>7</v>
      </c>
      <c r="B466" s="32">
        <v>2</v>
      </c>
      <c r="C466" s="194" t="s">
        <v>31</v>
      </c>
      <c r="D466" s="33" t="s">
        <v>1</v>
      </c>
      <c r="E466" s="38" t="s">
        <v>2852</v>
      </c>
      <c r="F466" s="33" t="s">
        <v>81</v>
      </c>
      <c r="G466" s="32">
        <v>45</v>
      </c>
      <c r="H466" s="107" t="s">
        <v>2853</v>
      </c>
    </row>
    <row r="467" spans="1:8" ht="31.15" x14ac:dyDescent="0.25">
      <c r="A467" s="32">
        <v>7</v>
      </c>
      <c r="B467" s="32">
        <v>2</v>
      </c>
      <c r="C467" s="194" t="s">
        <v>31</v>
      </c>
      <c r="D467" s="33" t="s">
        <v>1</v>
      </c>
      <c r="E467" s="38" t="s">
        <v>2854</v>
      </c>
      <c r="F467" s="33" t="s">
        <v>81</v>
      </c>
      <c r="G467" s="32">
        <v>153</v>
      </c>
      <c r="H467" s="107" t="s">
        <v>2830</v>
      </c>
    </row>
    <row r="468" spans="1:8" ht="31.15" x14ac:dyDescent="0.25">
      <c r="A468" s="32">
        <v>7</v>
      </c>
      <c r="B468" s="32">
        <v>2</v>
      </c>
      <c r="C468" s="194" t="s">
        <v>31</v>
      </c>
      <c r="D468" s="33" t="s">
        <v>1</v>
      </c>
      <c r="E468" s="38" t="s">
        <v>2855</v>
      </c>
      <c r="F468" s="33" t="s">
        <v>81</v>
      </c>
      <c r="G468" s="32">
        <v>153</v>
      </c>
      <c r="H468" s="107" t="s">
        <v>2856</v>
      </c>
    </row>
    <row r="469" spans="1:8" ht="31.15" x14ac:dyDescent="0.25">
      <c r="A469" s="32">
        <v>7</v>
      </c>
      <c r="B469" s="32">
        <v>2</v>
      </c>
      <c r="C469" s="194" t="s">
        <v>31</v>
      </c>
      <c r="D469" s="33" t="s">
        <v>83</v>
      </c>
      <c r="E469" s="38" t="s">
        <v>2857</v>
      </c>
      <c r="F469" s="33" t="s">
        <v>81</v>
      </c>
      <c r="G469" s="32">
        <v>40</v>
      </c>
      <c r="H469" s="107" t="s">
        <v>2843</v>
      </c>
    </row>
    <row r="470" spans="1:8" ht="46.9" x14ac:dyDescent="0.25">
      <c r="A470" s="32">
        <v>7</v>
      </c>
      <c r="B470" s="32">
        <v>2</v>
      </c>
      <c r="C470" s="194" t="s">
        <v>31</v>
      </c>
      <c r="D470" s="33" t="s">
        <v>83</v>
      </c>
      <c r="E470" s="38" t="s">
        <v>2858</v>
      </c>
      <c r="F470" s="33" t="s">
        <v>81</v>
      </c>
      <c r="G470" s="32">
        <v>64</v>
      </c>
      <c r="H470" s="107" t="s">
        <v>2859</v>
      </c>
    </row>
    <row r="471" spans="1:8" ht="15.6" x14ac:dyDescent="0.25">
      <c r="A471" s="32">
        <v>7</v>
      </c>
      <c r="B471" s="32">
        <v>2</v>
      </c>
      <c r="C471" s="194" t="s">
        <v>31</v>
      </c>
      <c r="D471" s="33" t="s">
        <v>83</v>
      </c>
      <c r="E471" s="38" t="s">
        <v>2860</v>
      </c>
      <c r="F471" s="33" t="s">
        <v>81</v>
      </c>
      <c r="G471" s="32">
        <v>4</v>
      </c>
      <c r="H471" s="107" t="s">
        <v>158</v>
      </c>
    </row>
    <row r="472" spans="1:8" ht="78" x14ac:dyDescent="0.25">
      <c r="A472" s="32">
        <v>1</v>
      </c>
      <c r="B472" s="32">
        <v>2</v>
      </c>
      <c r="C472" s="194" t="s">
        <v>25</v>
      </c>
      <c r="D472" s="33" t="s">
        <v>1</v>
      </c>
      <c r="E472" s="186" t="s">
        <v>2881</v>
      </c>
      <c r="F472" s="186" t="s">
        <v>69</v>
      </c>
      <c r="G472" s="32">
        <v>22</v>
      </c>
      <c r="H472" s="185" t="s">
        <v>2882</v>
      </c>
    </row>
    <row r="473" spans="1:8" ht="46.9" x14ac:dyDescent="0.25">
      <c r="A473" s="32">
        <v>1</v>
      </c>
      <c r="B473" s="32">
        <v>2</v>
      </c>
      <c r="C473" s="194" t="s">
        <v>25</v>
      </c>
      <c r="D473" s="194" t="s">
        <v>1</v>
      </c>
      <c r="E473" s="38" t="s">
        <v>2883</v>
      </c>
      <c r="F473" s="186" t="s">
        <v>81</v>
      </c>
      <c r="G473" s="42">
        <v>183</v>
      </c>
      <c r="H473" s="185" t="s">
        <v>2884</v>
      </c>
    </row>
    <row r="474" spans="1:8" ht="31.15" x14ac:dyDescent="0.25">
      <c r="A474" s="32">
        <v>1</v>
      </c>
      <c r="B474" s="32">
        <v>2</v>
      </c>
      <c r="C474" s="194" t="s">
        <v>25</v>
      </c>
      <c r="D474" s="194" t="s">
        <v>83</v>
      </c>
      <c r="E474" s="38" t="s">
        <v>2885</v>
      </c>
      <c r="F474" s="186" t="s">
        <v>69</v>
      </c>
      <c r="G474" s="32">
        <v>7</v>
      </c>
      <c r="H474" s="185" t="s">
        <v>2880</v>
      </c>
    </row>
    <row r="475" spans="1:8" ht="46.9" x14ac:dyDescent="0.25">
      <c r="A475" s="32">
        <v>11</v>
      </c>
      <c r="B475" s="32">
        <v>2</v>
      </c>
      <c r="C475" s="194" t="s">
        <v>35</v>
      </c>
      <c r="D475" s="33" t="s">
        <v>137</v>
      </c>
      <c r="E475" s="38" t="s">
        <v>2906</v>
      </c>
      <c r="F475" s="33" t="s">
        <v>69</v>
      </c>
      <c r="G475" s="32">
        <v>12</v>
      </c>
      <c r="H475" s="107" t="s">
        <v>2907</v>
      </c>
    </row>
    <row r="476" spans="1:8" ht="46.9" x14ac:dyDescent="0.25">
      <c r="A476" s="32">
        <v>11</v>
      </c>
      <c r="B476" s="32">
        <v>2</v>
      </c>
      <c r="C476" s="194" t="s">
        <v>35</v>
      </c>
      <c r="D476" s="33" t="s">
        <v>137</v>
      </c>
      <c r="E476" s="38" t="s">
        <v>2908</v>
      </c>
      <c r="F476" s="33" t="s">
        <v>69</v>
      </c>
      <c r="G476" s="32">
        <v>3</v>
      </c>
      <c r="H476" s="107" t="s">
        <v>2909</v>
      </c>
    </row>
    <row r="477" spans="1:8" ht="31.15" x14ac:dyDescent="0.25">
      <c r="A477" s="32">
        <v>11</v>
      </c>
      <c r="B477" s="32">
        <v>2</v>
      </c>
      <c r="C477" s="194" t="s">
        <v>35</v>
      </c>
      <c r="D477" s="33" t="s">
        <v>0</v>
      </c>
      <c r="E477" s="38" t="s">
        <v>2910</v>
      </c>
      <c r="F477" s="33" t="s">
        <v>69</v>
      </c>
      <c r="G477" s="32">
        <v>22</v>
      </c>
      <c r="H477" s="107" t="s">
        <v>2911</v>
      </c>
    </row>
    <row r="478" spans="1:8" ht="31.15" x14ac:dyDescent="0.25">
      <c r="A478" s="32">
        <v>11</v>
      </c>
      <c r="B478" s="32">
        <v>2</v>
      </c>
      <c r="C478" s="194" t="s">
        <v>35</v>
      </c>
      <c r="D478" s="33" t="s">
        <v>1731</v>
      </c>
      <c r="E478" s="38" t="s">
        <v>2912</v>
      </c>
      <c r="F478" s="33" t="s">
        <v>69</v>
      </c>
      <c r="G478" s="32">
        <v>1</v>
      </c>
      <c r="H478" s="107" t="s">
        <v>2913</v>
      </c>
    </row>
    <row r="479" spans="1:8" ht="31.15" x14ac:dyDescent="0.25">
      <c r="A479" s="32">
        <v>11</v>
      </c>
      <c r="B479" s="32">
        <v>2</v>
      </c>
      <c r="C479" s="194" t="s">
        <v>35</v>
      </c>
      <c r="D479" s="33" t="s">
        <v>83</v>
      </c>
      <c r="E479" s="38" t="s">
        <v>2914</v>
      </c>
      <c r="F479" s="33" t="s">
        <v>81</v>
      </c>
      <c r="G479" s="32">
        <v>1</v>
      </c>
      <c r="H479" s="107" t="s">
        <v>2915</v>
      </c>
    </row>
    <row r="480" spans="1:8" ht="31.15" x14ac:dyDescent="0.25">
      <c r="A480" s="32">
        <v>11</v>
      </c>
      <c r="B480" s="32">
        <v>2</v>
      </c>
      <c r="C480" s="194" t="s">
        <v>35</v>
      </c>
      <c r="D480" s="33" t="s">
        <v>83</v>
      </c>
      <c r="E480" s="38" t="s">
        <v>2916</v>
      </c>
      <c r="F480" s="33" t="s">
        <v>69</v>
      </c>
      <c r="G480" s="32">
        <v>37</v>
      </c>
      <c r="H480" s="107" t="s">
        <v>2917</v>
      </c>
    </row>
    <row r="481" spans="1:8" ht="31.15" x14ac:dyDescent="0.25">
      <c r="A481" s="32">
        <v>11</v>
      </c>
      <c r="B481" s="32">
        <v>2</v>
      </c>
      <c r="C481" s="194" t="s">
        <v>35</v>
      </c>
      <c r="D481" s="33" t="s">
        <v>83</v>
      </c>
      <c r="E481" s="38" t="s">
        <v>2918</v>
      </c>
      <c r="F481" s="33" t="s">
        <v>69</v>
      </c>
      <c r="G481" s="32">
        <v>90</v>
      </c>
      <c r="H481" s="107" t="s">
        <v>2919</v>
      </c>
    </row>
    <row r="482" spans="1:8" ht="31.15" x14ac:dyDescent="0.25">
      <c r="A482" s="32">
        <v>11</v>
      </c>
      <c r="B482" s="32">
        <v>2</v>
      </c>
      <c r="C482" s="194" t="s">
        <v>35</v>
      </c>
      <c r="D482" s="33" t="s">
        <v>83</v>
      </c>
      <c r="E482" s="38" t="s">
        <v>2920</v>
      </c>
      <c r="F482" s="33" t="s">
        <v>69</v>
      </c>
      <c r="G482" s="32">
        <v>29</v>
      </c>
      <c r="H482" s="107" t="s">
        <v>2921</v>
      </c>
    </row>
    <row r="483" spans="1:8" ht="31.15" x14ac:dyDescent="0.25">
      <c r="A483" s="32">
        <v>15</v>
      </c>
      <c r="B483" s="32">
        <v>2</v>
      </c>
      <c r="C483" s="194" t="s">
        <v>39</v>
      </c>
      <c r="D483" s="33" t="s">
        <v>4</v>
      </c>
      <c r="E483" s="38" t="s">
        <v>2946</v>
      </c>
      <c r="F483" s="33" t="s">
        <v>69</v>
      </c>
      <c r="G483" s="32">
        <v>9</v>
      </c>
      <c r="H483" s="107" t="s">
        <v>2947</v>
      </c>
    </row>
    <row r="484" spans="1:8" ht="46.9" x14ac:dyDescent="0.25">
      <c r="A484" s="32">
        <v>15</v>
      </c>
      <c r="B484" s="32">
        <v>2</v>
      </c>
      <c r="C484" s="194" t="s">
        <v>39</v>
      </c>
      <c r="D484" s="33" t="s">
        <v>137</v>
      </c>
      <c r="E484" s="38" t="s">
        <v>2948</v>
      </c>
      <c r="F484" s="33" t="s">
        <v>69</v>
      </c>
      <c r="G484" s="32">
        <v>46</v>
      </c>
      <c r="H484" s="107" t="s">
        <v>2949</v>
      </c>
    </row>
    <row r="485" spans="1:8" ht="109.15" x14ac:dyDescent="0.25">
      <c r="A485" s="32">
        <v>15</v>
      </c>
      <c r="B485" s="32">
        <v>2</v>
      </c>
      <c r="C485" s="194" t="s">
        <v>39</v>
      </c>
      <c r="D485" s="33" t="s">
        <v>1</v>
      </c>
      <c r="E485" s="38" t="s">
        <v>2950</v>
      </c>
      <c r="F485" s="33" t="s">
        <v>69</v>
      </c>
      <c r="G485" s="32">
        <v>44</v>
      </c>
      <c r="H485" s="107" t="s">
        <v>2951</v>
      </c>
    </row>
    <row r="486" spans="1:8" ht="93.6" x14ac:dyDescent="0.25">
      <c r="A486" s="32">
        <v>15</v>
      </c>
      <c r="B486" s="32">
        <v>2</v>
      </c>
      <c r="C486" s="194" t="s">
        <v>39</v>
      </c>
      <c r="D486" s="33" t="s">
        <v>1</v>
      </c>
      <c r="E486" s="38" t="s">
        <v>2952</v>
      </c>
      <c r="F486" s="33" t="s">
        <v>69</v>
      </c>
      <c r="G486" s="32">
        <v>271</v>
      </c>
      <c r="H486" s="107" t="s">
        <v>2953</v>
      </c>
    </row>
    <row r="487" spans="1:8" ht="46.9" x14ac:dyDescent="0.25">
      <c r="A487" s="32">
        <v>15</v>
      </c>
      <c r="B487" s="32">
        <v>2</v>
      </c>
      <c r="C487" s="194" t="s">
        <v>39</v>
      </c>
      <c r="D487" s="33" t="s">
        <v>1</v>
      </c>
      <c r="E487" s="38" t="s">
        <v>2954</v>
      </c>
      <c r="F487" s="33" t="s">
        <v>69</v>
      </c>
      <c r="G487" s="32">
        <v>54</v>
      </c>
      <c r="H487" s="107" t="s">
        <v>2955</v>
      </c>
    </row>
    <row r="488" spans="1:8" ht="93.6" x14ac:dyDescent="0.25">
      <c r="A488" s="32">
        <v>15</v>
      </c>
      <c r="B488" s="32">
        <v>2</v>
      </c>
      <c r="C488" s="194" t="s">
        <v>39</v>
      </c>
      <c r="D488" s="33" t="s">
        <v>83</v>
      </c>
      <c r="E488" s="38" t="s">
        <v>2956</v>
      </c>
      <c r="F488" s="33" t="s">
        <v>69</v>
      </c>
      <c r="G488" s="32">
        <v>271</v>
      </c>
      <c r="H488" s="107" t="s">
        <v>2957</v>
      </c>
    </row>
    <row r="489" spans="1:8" ht="31.15" x14ac:dyDescent="0.25">
      <c r="A489" s="32">
        <v>15</v>
      </c>
      <c r="B489" s="32">
        <v>2</v>
      </c>
      <c r="C489" s="194" t="s">
        <v>39</v>
      </c>
      <c r="D489" s="33" t="s">
        <v>83</v>
      </c>
      <c r="E489" s="38" t="s">
        <v>2944</v>
      </c>
      <c r="F489" s="33" t="s">
        <v>69</v>
      </c>
      <c r="G489" s="32">
        <v>350</v>
      </c>
      <c r="H489" s="107" t="s">
        <v>2958</v>
      </c>
    </row>
    <row r="490" spans="1:8" ht="46.9" x14ac:dyDescent="0.25">
      <c r="A490" s="32">
        <v>15</v>
      </c>
      <c r="B490" s="32">
        <v>2</v>
      </c>
      <c r="C490" s="194" t="s">
        <v>39</v>
      </c>
      <c r="D490" s="33" t="s">
        <v>83</v>
      </c>
      <c r="E490" s="38" t="s">
        <v>2959</v>
      </c>
      <c r="F490" s="33" t="s">
        <v>81</v>
      </c>
      <c r="G490" s="32">
        <v>101</v>
      </c>
      <c r="H490" s="107" t="s">
        <v>2960</v>
      </c>
    </row>
    <row r="491" spans="1:8" ht="46.9" x14ac:dyDescent="0.25">
      <c r="A491" s="32">
        <v>15</v>
      </c>
      <c r="B491" s="32">
        <v>2</v>
      </c>
      <c r="C491" s="194" t="s">
        <v>39</v>
      </c>
      <c r="D491" s="33" t="s">
        <v>83</v>
      </c>
      <c r="E491" s="38" t="s">
        <v>2961</v>
      </c>
      <c r="F491" s="33" t="s">
        <v>69</v>
      </c>
      <c r="G491" s="32" t="s">
        <v>2962</v>
      </c>
      <c r="H491" s="107" t="s">
        <v>2963</v>
      </c>
    </row>
    <row r="492" spans="1:8" ht="78" x14ac:dyDescent="0.25">
      <c r="A492" s="32">
        <v>15</v>
      </c>
      <c r="B492" s="32">
        <v>2</v>
      </c>
      <c r="C492" s="194" t="s">
        <v>39</v>
      </c>
      <c r="D492" s="33" t="s">
        <v>83</v>
      </c>
      <c r="E492" s="38" t="s">
        <v>2964</v>
      </c>
      <c r="F492" s="33" t="s">
        <v>69</v>
      </c>
      <c r="G492" s="32">
        <v>22</v>
      </c>
      <c r="H492" s="107" t="s">
        <v>2965</v>
      </c>
    </row>
    <row r="493" spans="1:8" ht="46.9" x14ac:dyDescent="0.25">
      <c r="A493" s="32">
        <v>2</v>
      </c>
      <c r="B493" s="32">
        <v>2</v>
      </c>
      <c r="C493" s="194" t="s">
        <v>26</v>
      </c>
      <c r="D493" s="33" t="s">
        <v>0</v>
      </c>
      <c r="E493" s="38" t="s">
        <v>3004</v>
      </c>
      <c r="F493" s="33" t="s">
        <v>81</v>
      </c>
      <c r="G493" s="32">
        <v>42</v>
      </c>
      <c r="H493" s="107" t="s">
        <v>3005</v>
      </c>
    </row>
    <row r="494" spans="1:8" ht="31.15" x14ac:dyDescent="0.25">
      <c r="A494" s="32">
        <v>2</v>
      </c>
      <c r="B494" s="32">
        <v>2</v>
      </c>
      <c r="C494" s="194" t="s">
        <v>26</v>
      </c>
      <c r="D494" s="33" t="s">
        <v>0</v>
      </c>
      <c r="E494" s="38" t="s">
        <v>3006</v>
      </c>
      <c r="F494" s="33" t="s">
        <v>81</v>
      </c>
      <c r="G494" s="32">
        <v>84</v>
      </c>
      <c r="H494" s="107" t="s">
        <v>3007</v>
      </c>
    </row>
    <row r="495" spans="1:8" ht="46.9" x14ac:dyDescent="0.25">
      <c r="A495" s="32">
        <v>2</v>
      </c>
      <c r="B495" s="32">
        <v>2</v>
      </c>
      <c r="C495" s="194" t="s">
        <v>26</v>
      </c>
      <c r="D495" s="33" t="s">
        <v>1</v>
      </c>
      <c r="E495" s="38" t="s">
        <v>3008</v>
      </c>
      <c r="F495" s="33" t="s">
        <v>81</v>
      </c>
      <c r="G495" s="32">
        <v>103</v>
      </c>
      <c r="H495" s="107" t="s">
        <v>3009</v>
      </c>
    </row>
    <row r="496" spans="1:8" ht="46.9" x14ac:dyDescent="0.25">
      <c r="A496" s="132">
        <v>2</v>
      </c>
      <c r="B496" s="132">
        <v>2</v>
      </c>
      <c r="C496" s="194" t="s">
        <v>26</v>
      </c>
      <c r="D496" s="33" t="s">
        <v>1</v>
      </c>
      <c r="E496" s="38" t="s">
        <v>3010</v>
      </c>
      <c r="F496" s="33" t="s">
        <v>81</v>
      </c>
      <c r="G496" s="32">
        <v>106</v>
      </c>
      <c r="H496" s="107" t="s">
        <v>3011</v>
      </c>
    </row>
    <row r="497" spans="1:8" ht="46.9" x14ac:dyDescent="0.25">
      <c r="A497" s="132">
        <v>2</v>
      </c>
      <c r="B497" s="132">
        <v>2</v>
      </c>
      <c r="C497" s="194" t="s">
        <v>26</v>
      </c>
      <c r="D497" s="33" t="s">
        <v>1</v>
      </c>
      <c r="E497" s="38" t="s">
        <v>3012</v>
      </c>
      <c r="F497" s="33" t="s">
        <v>81</v>
      </c>
      <c r="G497" s="32">
        <v>33</v>
      </c>
      <c r="H497" s="107" t="s">
        <v>3013</v>
      </c>
    </row>
    <row r="498" spans="1:8" ht="31.15" x14ac:dyDescent="0.25">
      <c r="A498" s="132">
        <v>2</v>
      </c>
      <c r="B498" s="132">
        <v>2</v>
      </c>
      <c r="C498" s="194" t="s">
        <v>26</v>
      </c>
      <c r="D498" s="33" t="s">
        <v>1</v>
      </c>
      <c r="E498" s="38" t="s">
        <v>3014</v>
      </c>
      <c r="F498" s="33" t="s">
        <v>81</v>
      </c>
      <c r="G498" s="32">
        <v>12</v>
      </c>
      <c r="H498" s="107" t="s">
        <v>3013</v>
      </c>
    </row>
    <row r="499" spans="1:8" ht="46.9" x14ac:dyDescent="0.25">
      <c r="A499" s="132">
        <v>2</v>
      </c>
      <c r="B499" s="132">
        <v>2</v>
      </c>
      <c r="C499" s="194" t="s">
        <v>26</v>
      </c>
      <c r="D499" s="33" t="s">
        <v>1</v>
      </c>
      <c r="E499" s="38" t="s">
        <v>3015</v>
      </c>
      <c r="F499" s="33" t="s">
        <v>81</v>
      </c>
      <c r="G499" s="32">
        <v>3</v>
      </c>
      <c r="H499" s="107" t="s">
        <v>3016</v>
      </c>
    </row>
    <row r="500" spans="1:8" ht="31.15" x14ac:dyDescent="0.25">
      <c r="A500" s="132">
        <v>2</v>
      </c>
      <c r="B500" s="132">
        <v>2</v>
      </c>
      <c r="C500" s="194" t="s">
        <v>26</v>
      </c>
      <c r="D500" s="33" t="s">
        <v>1</v>
      </c>
      <c r="E500" s="38" t="s">
        <v>3017</v>
      </c>
      <c r="F500" s="33" t="s">
        <v>81</v>
      </c>
      <c r="G500" s="32">
        <v>8</v>
      </c>
      <c r="H500" s="107" t="s">
        <v>2991</v>
      </c>
    </row>
    <row r="501" spans="1:8" ht="46.9" x14ac:dyDescent="0.25">
      <c r="A501" s="132">
        <v>2</v>
      </c>
      <c r="B501" s="132">
        <v>2</v>
      </c>
      <c r="C501" s="194" t="s">
        <v>26</v>
      </c>
      <c r="D501" s="33" t="s">
        <v>1</v>
      </c>
      <c r="E501" s="38" t="s">
        <v>3018</v>
      </c>
      <c r="F501" s="33" t="s">
        <v>81</v>
      </c>
      <c r="G501" s="32">
        <v>32</v>
      </c>
      <c r="H501" s="107" t="s">
        <v>3019</v>
      </c>
    </row>
    <row r="502" spans="1:8" ht="31.15" x14ac:dyDescent="0.25">
      <c r="A502" s="132">
        <v>2</v>
      </c>
      <c r="B502" s="132">
        <v>2</v>
      </c>
      <c r="C502" s="194" t="s">
        <v>26</v>
      </c>
      <c r="D502" s="33" t="s">
        <v>83</v>
      </c>
      <c r="E502" s="38" t="s">
        <v>398</v>
      </c>
      <c r="F502" s="33" t="s">
        <v>81</v>
      </c>
      <c r="G502" s="32">
        <v>45</v>
      </c>
      <c r="H502" s="107" t="s">
        <v>3001</v>
      </c>
    </row>
    <row r="503" spans="1:8" ht="46.9" x14ac:dyDescent="0.25">
      <c r="A503" s="132">
        <v>2</v>
      </c>
      <c r="B503" s="132">
        <v>2</v>
      </c>
      <c r="C503" s="194" t="s">
        <v>26</v>
      </c>
      <c r="D503" s="33" t="s">
        <v>83</v>
      </c>
      <c r="E503" s="38" t="s">
        <v>3020</v>
      </c>
      <c r="F503" s="33" t="s">
        <v>81</v>
      </c>
      <c r="G503" s="32">
        <v>29</v>
      </c>
      <c r="H503" s="107" t="s">
        <v>3021</v>
      </c>
    </row>
    <row r="504" spans="1:8" ht="31.15" x14ac:dyDescent="0.25">
      <c r="A504" s="132">
        <v>2</v>
      </c>
      <c r="B504" s="132">
        <v>2</v>
      </c>
      <c r="C504" s="194" t="s">
        <v>26</v>
      </c>
      <c r="D504" s="33" t="s">
        <v>83</v>
      </c>
      <c r="E504" s="38" t="s">
        <v>3022</v>
      </c>
      <c r="F504" s="33" t="s">
        <v>69</v>
      </c>
      <c r="G504" s="32">
        <v>6</v>
      </c>
      <c r="H504" s="107" t="s">
        <v>3023</v>
      </c>
    </row>
    <row r="505" spans="1:8" ht="78" x14ac:dyDescent="0.25">
      <c r="A505" s="132">
        <v>21</v>
      </c>
      <c r="B505" s="132">
        <v>2</v>
      </c>
      <c r="C505" s="194" t="s">
        <v>45</v>
      </c>
      <c r="D505" s="199" t="s">
        <v>0</v>
      </c>
      <c r="E505" s="38" t="s">
        <v>3058</v>
      </c>
      <c r="F505" s="33" t="s">
        <v>81</v>
      </c>
      <c r="G505" s="32">
        <v>1</v>
      </c>
      <c r="H505" s="107" t="s">
        <v>3059</v>
      </c>
    </row>
    <row r="506" spans="1:8" ht="124.9" x14ac:dyDescent="0.25">
      <c r="A506" s="132">
        <v>21</v>
      </c>
      <c r="B506" s="132">
        <v>2</v>
      </c>
      <c r="C506" s="194" t="s">
        <v>45</v>
      </c>
      <c r="D506" s="199" t="s">
        <v>83</v>
      </c>
      <c r="E506" s="38" t="s">
        <v>3060</v>
      </c>
      <c r="F506" s="33" t="s">
        <v>81</v>
      </c>
      <c r="G506" s="32">
        <v>8</v>
      </c>
      <c r="H506" s="107" t="s">
        <v>3061</v>
      </c>
    </row>
    <row r="507" spans="1:8" ht="78" x14ac:dyDescent="0.25">
      <c r="A507" s="132">
        <v>21</v>
      </c>
      <c r="B507" s="132">
        <v>2</v>
      </c>
      <c r="C507" s="194" t="s">
        <v>45</v>
      </c>
      <c r="D507" s="33" t="s">
        <v>83</v>
      </c>
      <c r="E507" s="38" t="s">
        <v>3062</v>
      </c>
      <c r="F507" s="33" t="s">
        <v>81</v>
      </c>
      <c r="G507" s="32">
        <v>4</v>
      </c>
      <c r="H507" s="107" t="s">
        <v>3063</v>
      </c>
    </row>
    <row r="508" spans="1:8" ht="15.6" x14ac:dyDescent="0.25">
      <c r="A508" s="132">
        <v>21</v>
      </c>
      <c r="B508" s="132">
        <v>2</v>
      </c>
      <c r="C508" s="194" t="s">
        <v>45</v>
      </c>
      <c r="D508" s="33" t="s">
        <v>83</v>
      </c>
      <c r="E508" s="38" t="s">
        <v>3064</v>
      </c>
      <c r="F508" s="33" t="s">
        <v>81</v>
      </c>
      <c r="G508" s="32">
        <v>4</v>
      </c>
      <c r="H508" s="107" t="s">
        <v>3065</v>
      </c>
    </row>
    <row r="509" spans="1:8" ht="46.9" x14ac:dyDescent="0.25">
      <c r="A509" s="132">
        <v>21</v>
      </c>
      <c r="B509" s="132">
        <v>2</v>
      </c>
      <c r="C509" s="194" t="s">
        <v>45</v>
      </c>
      <c r="D509" s="33" t="s">
        <v>83</v>
      </c>
      <c r="E509" s="38" t="s">
        <v>3066</v>
      </c>
      <c r="F509" s="33" t="s">
        <v>81</v>
      </c>
      <c r="G509" s="32">
        <v>56</v>
      </c>
      <c r="H509" s="107" t="s">
        <v>3067</v>
      </c>
    </row>
    <row r="510" spans="1:8" ht="31.15" x14ac:dyDescent="0.25">
      <c r="A510" s="132">
        <v>21</v>
      </c>
      <c r="B510" s="132">
        <v>2</v>
      </c>
      <c r="C510" s="194" t="s">
        <v>45</v>
      </c>
      <c r="D510" s="33" t="s">
        <v>83</v>
      </c>
      <c r="E510" s="38" t="s">
        <v>3068</v>
      </c>
      <c r="F510" s="33" t="s">
        <v>81</v>
      </c>
      <c r="G510" s="32">
        <v>127</v>
      </c>
      <c r="H510" s="107" t="s">
        <v>3069</v>
      </c>
    </row>
    <row r="511" spans="1:8" ht="15.6" x14ac:dyDescent="0.25">
      <c r="A511" s="132">
        <v>18</v>
      </c>
      <c r="B511" s="132">
        <v>2</v>
      </c>
      <c r="C511" s="194" t="s">
        <v>261</v>
      </c>
      <c r="D511" s="194" t="s">
        <v>0</v>
      </c>
      <c r="E511" s="38" t="s">
        <v>3099</v>
      </c>
      <c r="F511" s="186" t="s">
        <v>81</v>
      </c>
      <c r="G511" s="32">
        <v>25</v>
      </c>
      <c r="H511" s="185" t="s">
        <v>3100</v>
      </c>
    </row>
    <row r="512" spans="1:8" ht="15.6" x14ac:dyDescent="0.25">
      <c r="A512" s="132">
        <v>18</v>
      </c>
      <c r="B512" s="132">
        <v>2</v>
      </c>
      <c r="C512" s="194" t="s">
        <v>261</v>
      </c>
      <c r="D512" s="194" t="s">
        <v>1</v>
      </c>
      <c r="E512" s="38" t="s">
        <v>3101</v>
      </c>
      <c r="F512" s="186" t="s">
        <v>69</v>
      </c>
      <c r="G512" s="32">
        <v>8</v>
      </c>
      <c r="H512" s="185" t="s">
        <v>3102</v>
      </c>
    </row>
    <row r="513" spans="1:8" ht="15.6" x14ac:dyDescent="0.25">
      <c r="A513" s="132">
        <v>18</v>
      </c>
      <c r="B513" s="132">
        <v>2</v>
      </c>
      <c r="C513" s="194" t="s">
        <v>261</v>
      </c>
      <c r="D513" s="194" t="s">
        <v>1</v>
      </c>
      <c r="E513" s="38" t="s">
        <v>3103</v>
      </c>
      <c r="F513" s="186" t="s">
        <v>81</v>
      </c>
      <c r="G513" s="32">
        <v>28</v>
      </c>
      <c r="H513" s="185" t="s">
        <v>2412</v>
      </c>
    </row>
    <row r="514" spans="1:8" ht="15.6" x14ac:dyDescent="0.25">
      <c r="A514" s="132">
        <v>18</v>
      </c>
      <c r="B514" s="132">
        <v>2</v>
      </c>
      <c r="C514" s="194" t="s">
        <v>261</v>
      </c>
      <c r="D514" s="194" t="s">
        <v>1</v>
      </c>
      <c r="E514" s="38" t="s">
        <v>3104</v>
      </c>
      <c r="F514" s="186" t="s">
        <v>81</v>
      </c>
      <c r="G514" s="32">
        <v>5</v>
      </c>
      <c r="H514" s="185" t="s">
        <v>2412</v>
      </c>
    </row>
    <row r="515" spans="1:8" ht="15.6" x14ac:dyDescent="0.25">
      <c r="A515" s="32">
        <v>18</v>
      </c>
      <c r="B515" s="32">
        <v>2</v>
      </c>
      <c r="C515" s="194" t="s">
        <v>261</v>
      </c>
      <c r="D515" s="194" t="s">
        <v>1</v>
      </c>
      <c r="E515" s="38" t="s">
        <v>3105</v>
      </c>
      <c r="F515" s="186" t="s">
        <v>81</v>
      </c>
      <c r="G515" s="32">
        <v>5</v>
      </c>
      <c r="H515" s="185" t="s">
        <v>3106</v>
      </c>
    </row>
    <row r="516" spans="1:8" ht="15.6" x14ac:dyDescent="0.25">
      <c r="A516" s="32">
        <v>18</v>
      </c>
      <c r="B516" s="32">
        <v>2</v>
      </c>
      <c r="C516" s="194" t="s">
        <v>261</v>
      </c>
      <c r="D516" s="194" t="s">
        <v>1</v>
      </c>
      <c r="E516" s="38" t="s">
        <v>3107</v>
      </c>
      <c r="F516" s="186" t="s">
        <v>81</v>
      </c>
      <c r="G516" s="32">
        <v>11</v>
      </c>
      <c r="H516" s="185" t="s">
        <v>2412</v>
      </c>
    </row>
    <row r="517" spans="1:8" ht="15.6" x14ac:dyDescent="0.25">
      <c r="A517" s="32">
        <v>18</v>
      </c>
      <c r="B517" s="32">
        <v>2</v>
      </c>
      <c r="C517" s="194" t="s">
        <v>261</v>
      </c>
      <c r="D517" s="194" t="s">
        <v>1</v>
      </c>
      <c r="E517" s="38" t="s">
        <v>3108</v>
      </c>
      <c r="F517" s="186" t="s">
        <v>69</v>
      </c>
      <c r="G517" s="32">
        <v>13</v>
      </c>
      <c r="H517" s="185" t="s">
        <v>3109</v>
      </c>
    </row>
    <row r="518" spans="1:8" ht="15.6" x14ac:dyDescent="0.25">
      <c r="A518" s="32">
        <v>5</v>
      </c>
      <c r="B518" s="32">
        <v>2</v>
      </c>
      <c r="C518" s="194" t="s">
        <v>113</v>
      </c>
      <c r="D518" s="194" t="s">
        <v>4</v>
      </c>
      <c r="E518" s="38" t="s">
        <v>3143</v>
      </c>
      <c r="F518" s="186" t="s">
        <v>69</v>
      </c>
      <c r="G518" s="32">
        <v>67</v>
      </c>
      <c r="H518" s="185" t="s">
        <v>612</v>
      </c>
    </row>
    <row r="519" spans="1:8" ht="15.6" x14ac:dyDescent="0.25">
      <c r="A519" s="32">
        <v>5</v>
      </c>
      <c r="B519" s="32">
        <v>2</v>
      </c>
      <c r="C519" s="194" t="s">
        <v>113</v>
      </c>
      <c r="D519" s="194" t="s">
        <v>0</v>
      </c>
      <c r="E519" s="38" t="s">
        <v>3144</v>
      </c>
      <c r="F519" s="186" t="s">
        <v>81</v>
      </c>
      <c r="G519" s="32">
        <v>50</v>
      </c>
      <c r="H519" s="185" t="s">
        <v>3145</v>
      </c>
    </row>
    <row r="520" spans="1:8" ht="15.6" x14ac:dyDescent="0.25">
      <c r="A520" s="32">
        <v>5</v>
      </c>
      <c r="B520" s="32">
        <v>2</v>
      </c>
      <c r="C520" s="194" t="s">
        <v>113</v>
      </c>
      <c r="D520" s="194" t="s">
        <v>1731</v>
      </c>
      <c r="E520" s="38" t="s">
        <v>3146</v>
      </c>
      <c r="F520" s="186" t="s">
        <v>69</v>
      </c>
      <c r="G520" s="32">
        <v>71</v>
      </c>
      <c r="H520" s="185" t="s">
        <v>987</v>
      </c>
    </row>
    <row r="521" spans="1:8" ht="78" x14ac:dyDescent="0.25">
      <c r="A521" s="32">
        <v>5</v>
      </c>
      <c r="B521" s="32">
        <v>2</v>
      </c>
      <c r="C521" s="194" t="s">
        <v>113</v>
      </c>
      <c r="D521" s="194" t="s">
        <v>1731</v>
      </c>
      <c r="E521" s="38" t="s">
        <v>3147</v>
      </c>
      <c r="F521" s="186" t="s">
        <v>69</v>
      </c>
      <c r="G521" s="32">
        <v>249</v>
      </c>
      <c r="H521" s="185" t="s">
        <v>3148</v>
      </c>
    </row>
    <row r="522" spans="1:8" ht="15.6" x14ac:dyDescent="0.25">
      <c r="A522" s="32">
        <v>5</v>
      </c>
      <c r="B522" s="32">
        <v>2</v>
      </c>
      <c r="C522" s="194" t="s">
        <v>113</v>
      </c>
      <c r="D522" s="194" t="s">
        <v>1</v>
      </c>
      <c r="E522" s="194" t="s">
        <v>3149</v>
      </c>
      <c r="F522" s="186" t="s">
        <v>69</v>
      </c>
      <c r="G522" s="32">
        <v>11</v>
      </c>
      <c r="H522" s="185" t="s">
        <v>3126</v>
      </c>
    </row>
    <row r="523" spans="1:8" ht="15.6" x14ac:dyDescent="0.25">
      <c r="A523" s="32">
        <v>5</v>
      </c>
      <c r="B523" s="32">
        <v>2</v>
      </c>
      <c r="C523" s="194" t="s">
        <v>113</v>
      </c>
      <c r="D523" s="194" t="s">
        <v>1</v>
      </c>
      <c r="E523" s="38" t="s">
        <v>3150</v>
      </c>
      <c r="F523" s="186" t="s">
        <v>69</v>
      </c>
      <c r="G523" s="32">
        <v>55</v>
      </c>
      <c r="H523" s="185" t="s">
        <v>3151</v>
      </c>
    </row>
    <row r="524" spans="1:8" ht="15.6" x14ac:dyDescent="0.25">
      <c r="A524" s="32">
        <v>5</v>
      </c>
      <c r="B524" s="32">
        <v>2</v>
      </c>
      <c r="C524" s="194" t="s">
        <v>113</v>
      </c>
      <c r="D524" s="194" t="s">
        <v>1</v>
      </c>
      <c r="E524" s="38" t="s">
        <v>3152</v>
      </c>
      <c r="F524" s="186" t="s">
        <v>69</v>
      </c>
      <c r="G524" s="32">
        <v>5</v>
      </c>
      <c r="H524" s="185" t="s">
        <v>618</v>
      </c>
    </row>
    <row r="525" spans="1:8" ht="15.6" x14ac:dyDescent="0.25">
      <c r="A525" s="32">
        <v>5</v>
      </c>
      <c r="B525" s="32">
        <v>2</v>
      </c>
      <c r="C525" s="194" t="s">
        <v>113</v>
      </c>
      <c r="D525" s="194" t="s">
        <v>1</v>
      </c>
      <c r="E525" s="38" t="s">
        <v>3153</v>
      </c>
      <c r="F525" s="186" t="s">
        <v>69</v>
      </c>
      <c r="G525" s="32">
        <v>16</v>
      </c>
      <c r="H525" s="185" t="s">
        <v>3154</v>
      </c>
    </row>
    <row r="526" spans="1:8" ht="15.6" x14ac:dyDescent="0.25">
      <c r="A526" s="32">
        <v>5</v>
      </c>
      <c r="B526" s="32">
        <v>2</v>
      </c>
      <c r="C526" s="194" t="s">
        <v>113</v>
      </c>
      <c r="D526" s="194" t="s">
        <v>1</v>
      </c>
      <c r="E526" s="38" t="s">
        <v>3155</v>
      </c>
      <c r="F526" s="186" t="s">
        <v>69</v>
      </c>
      <c r="G526" s="32">
        <v>47</v>
      </c>
      <c r="H526" s="185" t="s">
        <v>3156</v>
      </c>
    </row>
    <row r="527" spans="1:8" ht="15.6" x14ac:dyDescent="0.25">
      <c r="A527" s="32">
        <v>5</v>
      </c>
      <c r="B527" s="32">
        <v>2</v>
      </c>
      <c r="C527" s="194" t="s">
        <v>113</v>
      </c>
      <c r="D527" s="194" t="s">
        <v>1</v>
      </c>
      <c r="E527" s="194" t="s">
        <v>3157</v>
      </c>
      <c r="F527" s="186" t="s">
        <v>69</v>
      </c>
      <c r="G527" s="32">
        <v>472</v>
      </c>
      <c r="H527" s="185" t="s">
        <v>3124</v>
      </c>
    </row>
    <row r="528" spans="1:8" ht="15.6" x14ac:dyDescent="0.25">
      <c r="A528" s="32">
        <v>5</v>
      </c>
      <c r="B528" s="32">
        <v>2</v>
      </c>
      <c r="C528" s="194" t="s">
        <v>113</v>
      </c>
      <c r="D528" s="194" t="s">
        <v>1</v>
      </c>
      <c r="E528" s="194" t="s">
        <v>3158</v>
      </c>
      <c r="F528" s="186" t="s">
        <v>69</v>
      </c>
      <c r="G528" s="32">
        <v>39</v>
      </c>
      <c r="H528" s="185" t="s">
        <v>3124</v>
      </c>
    </row>
    <row r="529" spans="1:8" ht="15.6" x14ac:dyDescent="0.25">
      <c r="A529" s="132">
        <v>5</v>
      </c>
      <c r="B529" s="132">
        <v>2</v>
      </c>
      <c r="C529" s="194" t="s">
        <v>113</v>
      </c>
      <c r="D529" s="194" t="s">
        <v>1</v>
      </c>
      <c r="E529" s="194" t="s">
        <v>3159</v>
      </c>
      <c r="F529" s="186" t="s">
        <v>69</v>
      </c>
      <c r="G529" s="32">
        <v>39</v>
      </c>
      <c r="H529" s="185" t="s">
        <v>3124</v>
      </c>
    </row>
    <row r="530" spans="1:8" ht="15.6" x14ac:dyDescent="0.25">
      <c r="A530" s="132">
        <v>5</v>
      </c>
      <c r="B530" s="132">
        <v>2</v>
      </c>
      <c r="C530" s="194" t="s">
        <v>113</v>
      </c>
      <c r="D530" s="194" t="s">
        <v>83</v>
      </c>
      <c r="E530" s="38" t="s">
        <v>3160</v>
      </c>
      <c r="F530" s="186" t="s">
        <v>81</v>
      </c>
      <c r="G530" s="32">
        <v>33</v>
      </c>
      <c r="H530" s="185" t="s">
        <v>3140</v>
      </c>
    </row>
    <row r="531" spans="1:8" ht="31.15" x14ac:dyDescent="0.25">
      <c r="A531" s="132">
        <v>5</v>
      </c>
      <c r="B531" s="132">
        <v>2</v>
      </c>
      <c r="C531" s="194" t="s">
        <v>113</v>
      </c>
      <c r="D531" s="194" t="s">
        <v>83</v>
      </c>
      <c r="E531" s="38" t="s">
        <v>3161</v>
      </c>
      <c r="F531" s="186" t="s">
        <v>69</v>
      </c>
      <c r="G531" s="32">
        <v>4</v>
      </c>
      <c r="H531" s="185" t="s">
        <v>3162</v>
      </c>
    </row>
    <row r="532" spans="1:8" ht="15.6" x14ac:dyDescent="0.25">
      <c r="A532" s="132">
        <v>5</v>
      </c>
      <c r="B532" s="132">
        <v>2</v>
      </c>
      <c r="C532" s="194" t="s">
        <v>113</v>
      </c>
      <c r="D532" s="194" t="s">
        <v>83</v>
      </c>
      <c r="E532" s="38" t="s">
        <v>3163</v>
      </c>
      <c r="F532" s="186" t="s">
        <v>81</v>
      </c>
      <c r="G532" s="32">
        <v>700</v>
      </c>
      <c r="H532" s="185" t="s">
        <v>3164</v>
      </c>
    </row>
    <row r="533" spans="1:8" ht="31.15" x14ac:dyDescent="0.25">
      <c r="A533" s="132">
        <v>5</v>
      </c>
      <c r="B533" s="132">
        <v>2</v>
      </c>
      <c r="C533" s="194" t="s">
        <v>113</v>
      </c>
      <c r="D533" s="194" t="s">
        <v>83</v>
      </c>
      <c r="E533" s="38" t="s">
        <v>3165</v>
      </c>
      <c r="F533" s="186" t="s">
        <v>69</v>
      </c>
      <c r="G533" s="32">
        <v>35</v>
      </c>
      <c r="H533" s="185" t="s">
        <v>3166</v>
      </c>
    </row>
    <row r="534" spans="1:8" ht="31.15" x14ac:dyDescent="0.25">
      <c r="A534" s="132">
        <v>5</v>
      </c>
      <c r="B534" s="132">
        <v>2</v>
      </c>
      <c r="C534" s="194" t="s">
        <v>113</v>
      </c>
      <c r="D534" s="194" t="s">
        <v>83</v>
      </c>
      <c r="E534" s="38" t="s">
        <v>3167</v>
      </c>
      <c r="F534" s="186" t="s">
        <v>69</v>
      </c>
      <c r="G534" s="32">
        <v>30</v>
      </c>
      <c r="H534" s="185" t="s">
        <v>3168</v>
      </c>
    </row>
    <row r="535" spans="1:8" ht="15.6" x14ac:dyDescent="0.25">
      <c r="A535" s="132">
        <v>5</v>
      </c>
      <c r="B535" s="132">
        <v>2</v>
      </c>
      <c r="C535" s="194" t="s">
        <v>113</v>
      </c>
      <c r="D535" s="194" t="s">
        <v>83</v>
      </c>
      <c r="E535" s="38" t="s">
        <v>3169</v>
      </c>
      <c r="F535" s="186" t="s">
        <v>81</v>
      </c>
      <c r="G535" s="32">
        <v>14</v>
      </c>
      <c r="H535" s="185" t="s">
        <v>3170</v>
      </c>
    </row>
    <row r="536" spans="1:8" ht="62.45" x14ac:dyDescent="0.25">
      <c r="A536" s="132">
        <v>5</v>
      </c>
      <c r="B536" s="132">
        <v>2</v>
      </c>
      <c r="C536" s="194" t="s">
        <v>113</v>
      </c>
      <c r="D536" s="194" t="s">
        <v>83</v>
      </c>
      <c r="E536" s="186" t="s">
        <v>3172</v>
      </c>
      <c r="F536" s="186" t="s">
        <v>69</v>
      </c>
      <c r="G536" s="32">
        <v>20</v>
      </c>
      <c r="H536" s="185" t="s">
        <v>3171</v>
      </c>
    </row>
    <row r="537" spans="1:8" ht="46.9" x14ac:dyDescent="0.25">
      <c r="A537" s="132">
        <v>25</v>
      </c>
      <c r="B537" s="132">
        <v>2</v>
      </c>
      <c r="C537" s="194" t="s">
        <v>49</v>
      </c>
      <c r="D537" s="33" t="s">
        <v>4</v>
      </c>
      <c r="E537" s="38" t="s">
        <v>3237</v>
      </c>
      <c r="F537" s="33" t="s">
        <v>69</v>
      </c>
      <c r="G537" s="32">
        <v>3</v>
      </c>
      <c r="H537" s="107" t="s">
        <v>3238</v>
      </c>
    </row>
    <row r="538" spans="1:8" ht="31.15" x14ac:dyDescent="0.25">
      <c r="A538" s="132">
        <v>25</v>
      </c>
      <c r="B538" s="132">
        <v>2</v>
      </c>
      <c r="C538" s="194" t="s">
        <v>49</v>
      </c>
      <c r="D538" s="33" t="s">
        <v>137</v>
      </c>
      <c r="E538" s="38" t="s">
        <v>3239</v>
      </c>
      <c r="F538" s="33" t="s">
        <v>81</v>
      </c>
      <c r="G538" s="32">
        <v>3</v>
      </c>
      <c r="H538" s="107" t="s">
        <v>3240</v>
      </c>
    </row>
    <row r="539" spans="1:8" ht="46.9" x14ac:dyDescent="0.25">
      <c r="A539" s="132">
        <v>25</v>
      </c>
      <c r="B539" s="132">
        <v>2</v>
      </c>
      <c r="C539" s="194" t="s">
        <v>49</v>
      </c>
      <c r="D539" s="33" t="s">
        <v>0</v>
      </c>
      <c r="E539" s="38" t="s">
        <v>3241</v>
      </c>
      <c r="F539" s="33" t="s">
        <v>69</v>
      </c>
      <c r="G539" s="32">
        <v>1</v>
      </c>
      <c r="H539" s="107" t="s">
        <v>3242</v>
      </c>
    </row>
    <row r="540" spans="1:8" ht="62.45" x14ac:dyDescent="0.25">
      <c r="A540" s="132">
        <v>25</v>
      </c>
      <c r="B540" s="132">
        <v>2</v>
      </c>
      <c r="C540" s="194" t="s">
        <v>49</v>
      </c>
      <c r="D540" s="33" t="s">
        <v>0</v>
      </c>
      <c r="E540" s="38" t="s">
        <v>3243</v>
      </c>
      <c r="F540" s="33" t="s">
        <v>81</v>
      </c>
      <c r="G540" s="32">
        <v>23</v>
      </c>
      <c r="H540" s="107" t="s">
        <v>3244</v>
      </c>
    </row>
    <row r="541" spans="1:8" ht="31.15" x14ac:dyDescent="0.25">
      <c r="A541" s="132">
        <v>25</v>
      </c>
      <c r="B541" s="132">
        <v>2</v>
      </c>
      <c r="C541" s="194" t="s">
        <v>49</v>
      </c>
      <c r="D541" s="33" t="s">
        <v>1</v>
      </c>
      <c r="E541" s="38" t="s">
        <v>3245</v>
      </c>
      <c r="F541" s="33" t="s">
        <v>81</v>
      </c>
      <c r="G541" s="32">
        <v>13</v>
      </c>
      <c r="H541" s="107" t="s">
        <v>3246</v>
      </c>
    </row>
    <row r="542" spans="1:8" ht="31.15" x14ac:dyDescent="0.25">
      <c r="A542" s="132">
        <v>25</v>
      </c>
      <c r="B542" s="132">
        <v>2</v>
      </c>
      <c r="C542" s="194" t="s">
        <v>49</v>
      </c>
      <c r="D542" s="33" t="s">
        <v>1</v>
      </c>
      <c r="E542" s="38" t="s">
        <v>3247</v>
      </c>
      <c r="F542" s="33" t="s">
        <v>81</v>
      </c>
      <c r="G542" s="32">
        <v>21</v>
      </c>
      <c r="H542" s="107" t="s">
        <v>3248</v>
      </c>
    </row>
    <row r="543" spans="1:8" ht="31.15" x14ac:dyDescent="0.25">
      <c r="A543" s="132">
        <v>25</v>
      </c>
      <c r="B543" s="132">
        <v>2</v>
      </c>
      <c r="C543" s="194" t="s">
        <v>49</v>
      </c>
      <c r="D543" s="33" t="s">
        <v>1</v>
      </c>
      <c r="E543" s="38" t="s">
        <v>3249</v>
      </c>
      <c r="F543" s="33" t="s">
        <v>81</v>
      </c>
      <c r="G543" s="32">
        <v>23</v>
      </c>
      <c r="H543" s="107" t="s">
        <v>3250</v>
      </c>
    </row>
    <row r="544" spans="1:8" ht="31.15" x14ac:dyDescent="0.25">
      <c r="A544" s="132">
        <v>25</v>
      </c>
      <c r="B544" s="132">
        <v>2</v>
      </c>
      <c r="C544" s="194" t="s">
        <v>49</v>
      </c>
      <c r="D544" s="33" t="s">
        <v>1</v>
      </c>
      <c r="E544" s="38" t="s">
        <v>3251</v>
      </c>
      <c r="F544" s="33" t="s">
        <v>81</v>
      </c>
      <c r="G544" s="32">
        <v>34</v>
      </c>
      <c r="H544" s="107" t="s">
        <v>3252</v>
      </c>
    </row>
    <row r="545" spans="1:8" ht="31.15" x14ac:dyDescent="0.25">
      <c r="A545" s="132">
        <v>25</v>
      </c>
      <c r="B545" s="132">
        <v>2</v>
      </c>
      <c r="C545" s="194" t="s">
        <v>49</v>
      </c>
      <c r="D545" s="33" t="s">
        <v>1</v>
      </c>
      <c r="E545" s="38" t="s">
        <v>3253</v>
      </c>
      <c r="F545" s="33" t="s">
        <v>81</v>
      </c>
      <c r="G545" s="32">
        <v>16</v>
      </c>
      <c r="H545" s="107" t="s">
        <v>3254</v>
      </c>
    </row>
    <row r="546" spans="1:8" ht="31.15" x14ac:dyDescent="0.25">
      <c r="A546" s="32">
        <v>25</v>
      </c>
      <c r="B546" s="32">
        <v>2</v>
      </c>
      <c r="C546" s="194" t="s">
        <v>49</v>
      </c>
      <c r="D546" s="33" t="s">
        <v>1</v>
      </c>
      <c r="E546" s="38" t="s">
        <v>3255</v>
      </c>
      <c r="F546" s="33" t="s">
        <v>81</v>
      </c>
      <c r="G546" s="42">
        <v>19</v>
      </c>
      <c r="H546" s="107" t="s">
        <v>3256</v>
      </c>
    </row>
    <row r="547" spans="1:8" ht="46.9" x14ac:dyDescent="0.25">
      <c r="A547" s="32">
        <v>25</v>
      </c>
      <c r="B547" s="32">
        <v>2</v>
      </c>
      <c r="C547" s="194" t="s">
        <v>49</v>
      </c>
      <c r="D547" s="33" t="s">
        <v>1</v>
      </c>
      <c r="E547" s="38" t="s">
        <v>3257</v>
      </c>
      <c r="F547" s="33" t="s">
        <v>81</v>
      </c>
      <c r="G547" s="32">
        <v>15</v>
      </c>
      <c r="H547" s="107" t="s">
        <v>3258</v>
      </c>
    </row>
    <row r="548" spans="1:8" ht="15.6" x14ac:dyDescent="0.25">
      <c r="A548" s="32">
        <v>25</v>
      </c>
      <c r="B548" s="32">
        <v>2</v>
      </c>
      <c r="C548" s="194" t="s">
        <v>49</v>
      </c>
      <c r="D548" s="33" t="s">
        <v>1</v>
      </c>
      <c r="E548" s="38" t="s">
        <v>3259</v>
      </c>
      <c r="F548" s="33" t="s">
        <v>81</v>
      </c>
      <c r="G548" s="32">
        <v>2</v>
      </c>
      <c r="H548" s="107" t="s">
        <v>3260</v>
      </c>
    </row>
    <row r="549" spans="1:8" ht="62.45" x14ac:dyDescent="0.25">
      <c r="A549" s="32">
        <v>25</v>
      </c>
      <c r="B549" s="32">
        <v>2</v>
      </c>
      <c r="C549" s="194" t="s">
        <v>49</v>
      </c>
      <c r="D549" s="33" t="s">
        <v>1</v>
      </c>
      <c r="E549" s="38" t="s">
        <v>3261</v>
      </c>
      <c r="F549" s="33" t="s">
        <v>69</v>
      </c>
      <c r="G549" s="32">
        <v>2</v>
      </c>
      <c r="H549" s="107" t="s">
        <v>3262</v>
      </c>
    </row>
    <row r="550" spans="1:8" ht="62.45" x14ac:dyDescent="0.25">
      <c r="A550" s="32">
        <v>25</v>
      </c>
      <c r="B550" s="32">
        <v>2</v>
      </c>
      <c r="C550" s="194" t="s">
        <v>49</v>
      </c>
      <c r="D550" s="33" t="s">
        <v>1</v>
      </c>
      <c r="E550" s="38" t="s">
        <v>3263</v>
      </c>
      <c r="F550" s="33" t="s">
        <v>69</v>
      </c>
      <c r="G550" s="32">
        <v>1</v>
      </c>
      <c r="H550" s="107" t="s">
        <v>3264</v>
      </c>
    </row>
    <row r="551" spans="1:8" ht="46.9" x14ac:dyDescent="0.25">
      <c r="A551" s="32">
        <v>25</v>
      </c>
      <c r="B551" s="32">
        <v>2</v>
      </c>
      <c r="C551" s="194" t="s">
        <v>49</v>
      </c>
      <c r="D551" s="33" t="s">
        <v>1</v>
      </c>
      <c r="E551" s="38" t="s">
        <v>3265</v>
      </c>
      <c r="F551" s="33" t="s">
        <v>69</v>
      </c>
      <c r="G551" s="32">
        <v>4</v>
      </c>
      <c r="H551" s="107" t="s">
        <v>3266</v>
      </c>
    </row>
    <row r="552" spans="1:8" ht="46.9" x14ac:dyDescent="0.25">
      <c r="A552" s="32">
        <v>25</v>
      </c>
      <c r="B552" s="32">
        <v>2</v>
      </c>
      <c r="C552" s="194" t="s">
        <v>49</v>
      </c>
      <c r="D552" s="33" t="s">
        <v>83</v>
      </c>
      <c r="E552" s="38" t="s">
        <v>3267</v>
      </c>
      <c r="F552" s="33" t="s">
        <v>69</v>
      </c>
      <c r="G552" s="32">
        <v>15</v>
      </c>
      <c r="H552" s="107" t="s">
        <v>3268</v>
      </c>
    </row>
    <row r="553" spans="1:8" ht="62.45" x14ac:dyDescent="0.25">
      <c r="A553" s="32">
        <v>25</v>
      </c>
      <c r="B553" s="32">
        <v>2</v>
      </c>
      <c r="C553" s="194" t="s">
        <v>49</v>
      </c>
      <c r="D553" s="33" t="s">
        <v>83</v>
      </c>
      <c r="E553" s="38" t="s">
        <v>3269</v>
      </c>
      <c r="F553" s="33" t="s">
        <v>69</v>
      </c>
      <c r="G553" s="32">
        <v>66</v>
      </c>
      <c r="H553" s="107" t="s">
        <v>3270</v>
      </c>
    </row>
    <row r="554" spans="1:8" ht="62.45" x14ac:dyDescent="0.25">
      <c r="A554" s="32">
        <v>25</v>
      </c>
      <c r="B554" s="32">
        <v>2</v>
      </c>
      <c r="C554" s="194" t="s">
        <v>49</v>
      </c>
      <c r="D554" s="33" t="s">
        <v>83</v>
      </c>
      <c r="E554" s="38" t="s">
        <v>3271</v>
      </c>
      <c r="F554" s="33" t="s">
        <v>81</v>
      </c>
      <c r="G554" s="32">
        <v>1</v>
      </c>
      <c r="H554" s="107" t="s">
        <v>3332</v>
      </c>
    </row>
    <row r="555" spans="1:8" ht="78" x14ac:dyDescent="0.25">
      <c r="A555" s="32">
        <v>25</v>
      </c>
      <c r="B555" s="32">
        <v>2</v>
      </c>
      <c r="C555" s="194" t="s">
        <v>49</v>
      </c>
      <c r="D555" s="199" t="s">
        <v>83</v>
      </c>
      <c r="E555" s="38" t="s">
        <v>3272</v>
      </c>
      <c r="F555" s="33" t="s">
        <v>81</v>
      </c>
      <c r="G555" s="32">
        <v>830</v>
      </c>
      <c r="H555" s="107" t="s">
        <v>3273</v>
      </c>
    </row>
    <row r="556" spans="1:8" ht="62.45" x14ac:dyDescent="0.25">
      <c r="A556" s="32">
        <v>9</v>
      </c>
      <c r="B556" s="32">
        <v>2</v>
      </c>
      <c r="C556" s="194" t="s">
        <v>33</v>
      </c>
      <c r="D556" s="33" t="s">
        <v>1</v>
      </c>
      <c r="E556" s="38" t="s">
        <v>3314</v>
      </c>
      <c r="F556" s="33" t="s">
        <v>69</v>
      </c>
      <c r="G556" s="32">
        <v>69</v>
      </c>
      <c r="H556" s="107" t="s">
        <v>3315</v>
      </c>
    </row>
    <row r="557" spans="1:8" ht="31.15" x14ac:dyDescent="0.25">
      <c r="A557" s="32">
        <v>9</v>
      </c>
      <c r="B557" s="32">
        <v>2</v>
      </c>
      <c r="C557" s="194" t="s">
        <v>33</v>
      </c>
      <c r="D557" s="33" t="s">
        <v>1</v>
      </c>
      <c r="E557" s="38" t="s">
        <v>3316</v>
      </c>
      <c r="F557" s="33" t="s">
        <v>69</v>
      </c>
      <c r="G557" s="32">
        <v>20</v>
      </c>
      <c r="H557" s="107" t="s">
        <v>3317</v>
      </c>
    </row>
    <row r="558" spans="1:8" ht="93.6" x14ac:dyDescent="0.25">
      <c r="A558" s="32">
        <v>9</v>
      </c>
      <c r="B558" s="32">
        <v>2</v>
      </c>
      <c r="C558" s="194" t="s">
        <v>33</v>
      </c>
      <c r="D558" s="33" t="s">
        <v>83</v>
      </c>
      <c r="E558" s="38" t="s">
        <v>3318</v>
      </c>
      <c r="F558" s="33" t="s">
        <v>69</v>
      </c>
      <c r="G558" s="32">
        <v>11</v>
      </c>
      <c r="H558" s="107" t="s">
        <v>3319</v>
      </c>
    </row>
    <row r="559" spans="1:8" ht="31.15" x14ac:dyDescent="0.25">
      <c r="A559" s="190">
        <v>20</v>
      </c>
      <c r="B559" s="190">
        <v>3</v>
      </c>
      <c r="C559" s="195" t="s">
        <v>44</v>
      </c>
      <c r="D559" s="191" t="s">
        <v>4</v>
      </c>
      <c r="E559" s="192" t="s">
        <v>1863</v>
      </c>
      <c r="F559" s="191" t="s">
        <v>81</v>
      </c>
      <c r="G559" s="190">
        <v>25</v>
      </c>
      <c r="H559" s="193" t="s">
        <v>1864</v>
      </c>
    </row>
    <row r="560" spans="1:8" ht="31.15" x14ac:dyDescent="0.25">
      <c r="A560" s="190">
        <v>20</v>
      </c>
      <c r="B560" s="190">
        <v>3</v>
      </c>
      <c r="C560" s="195" t="s">
        <v>44</v>
      </c>
      <c r="D560" s="201" t="s">
        <v>0</v>
      </c>
      <c r="E560" s="192" t="s">
        <v>1865</v>
      </c>
      <c r="F560" s="191" t="s">
        <v>81</v>
      </c>
      <c r="G560" s="190">
        <v>21</v>
      </c>
      <c r="H560" s="193" t="s">
        <v>1866</v>
      </c>
    </row>
    <row r="561" spans="1:8" ht="31.15" x14ac:dyDescent="0.25">
      <c r="A561" s="190">
        <v>20</v>
      </c>
      <c r="B561" s="190">
        <v>3</v>
      </c>
      <c r="C561" s="195" t="s">
        <v>44</v>
      </c>
      <c r="D561" s="201" t="s">
        <v>0</v>
      </c>
      <c r="E561" s="192" t="s">
        <v>1867</v>
      </c>
      <c r="F561" s="191" t="s">
        <v>81</v>
      </c>
      <c r="G561" s="190">
        <v>12</v>
      </c>
      <c r="H561" s="193" t="s">
        <v>1868</v>
      </c>
    </row>
    <row r="562" spans="1:8" ht="31.15" x14ac:dyDescent="0.25">
      <c r="A562" s="190">
        <v>20</v>
      </c>
      <c r="B562" s="190">
        <v>3</v>
      </c>
      <c r="C562" s="195" t="s">
        <v>44</v>
      </c>
      <c r="D562" s="191" t="s">
        <v>1731</v>
      </c>
      <c r="E562" s="192" t="s">
        <v>1869</v>
      </c>
      <c r="F562" s="191" t="s">
        <v>81</v>
      </c>
      <c r="G562" s="190">
        <v>46</v>
      </c>
      <c r="H562" s="193" t="s">
        <v>1870</v>
      </c>
    </row>
    <row r="563" spans="1:8" ht="46.9" x14ac:dyDescent="0.25">
      <c r="A563" s="190">
        <v>20</v>
      </c>
      <c r="B563" s="190">
        <v>3</v>
      </c>
      <c r="C563" s="195" t="s">
        <v>44</v>
      </c>
      <c r="D563" s="191" t="s">
        <v>1</v>
      </c>
      <c r="E563" s="192" t="s">
        <v>1871</v>
      </c>
      <c r="F563" s="191" t="s">
        <v>81</v>
      </c>
      <c r="G563" s="190">
        <v>165</v>
      </c>
      <c r="H563" s="193" t="s">
        <v>1872</v>
      </c>
    </row>
    <row r="564" spans="1:8" ht="31.15" x14ac:dyDescent="0.25">
      <c r="A564" s="190">
        <v>20</v>
      </c>
      <c r="B564" s="190">
        <v>3</v>
      </c>
      <c r="C564" s="195" t="s">
        <v>44</v>
      </c>
      <c r="D564" s="191" t="s">
        <v>1</v>
      </c>
      <c r="E564" s="192" t="s">
        <v>1873</v>
      </c>
      <c r="F564" s="191" t="s">
        <v>81</v>
      </c>
      <c r="G564" s="190">
        <v>7</v>
      </c>
      <c r="H564" s="193" t="s">
        <v>1874</v>
      </c>
    </row>
    <row r="565" spans="1:8" ht="31.15" x14ac:dyDescent="0.25">
      <c r="A565" s="190">
        <v>20</v>
      </c>
      <c r="B565" s="190">
        <v>3</v>
      </c>
      <c r="C565" s="195" t="s">
        <v>44</v>
      </c>
      <c r="D565" s="191" t="s">
        <v>83</v>
      </c>
      <c r="E565" s="192" t="s">
        <v>1875</v>
      </c>
      <c r="F565" s="191" t="s">
        <v>69</v>
      </c>
      <c r="G565" s="190">
        <v>595</v>
      </c>
      <c r="H565" s="193" t="s">
        <v>1876</v>
      </c>
    </row>
    <row r="566" spans="1:8" ht="31.15" x14ac:dyDescent="0.25">
      <c r="A566" s="190">
        <v>20</v>
      </c>
      <c r="B566" s="190">
        <v>3</v>
      </c>
      <c r="C566" s="195" t="s">
        <v>44</v>
      </c>
      <c r="D566" s="191" t="s">
        <v>1731</v>
      </c>
      <c r="E566" s="192" t="s">
        <v>1877</v>
      </c>
      <c r="F566" s="191" t="s">
        <v>69</v>
      </c>
      <c r="G566" s="190">
        <v>37</v>
      </c>
      <c r="H566" s="193" t="s">
        <v>1878</v>
      </c>
    </row>
    <row r="567" spans="1:8" ht="31.15" x14ac:dyDescent="0.25">
      <c r="A567" s="190">
        <v>20</v>
      </c>
      <c r="B567" s="190">
        <v>3</v>
      </c>
      <c r="C567" s="195" t="s">
        <v>44</v>
      </c>
      <c r="D567" s="191" t="s">
        <v>83</v>
      </c>
      <c r="E567" s="192" t="s">
        <v>1879</v>
      </c>
      <c r="F567" s="191" t="s">
        <v>81</v>
      </c>
      <c r="G567" s="190">
        <v>225</v>
      </c>
      <c r="H567" s="193" t="s">
        <v>1880</v>
      </c>
    </row>
    <row r="568" spans="1:8" ht="46.9" x14ac:dyDescent="0.25">
      <c r="A568" s="210">
        <v>20</v>
      </c>
      <c r="B568" s="210">
        <v>3</v>
      </c>
      <c r="C568" s="195" t="s">
        <v>44</v>
      </c>
      <c r="D568" s="191" t="s">
        <v>83</v>
      </c>
      <c r="E568" s="192" t="s">
        <v>1881</v>
      </c>
      <c r="F568" s="191" t="s">
        <v>81</v>
      </c>
      <c r="G568" s="190">
        <v>21</v>
      </c>
      <c r="H568" s="193" t="s">
        <v>1882</v>
      </c>
    </row>
    <row r="569" spans="1:8" ht="31.15" x14ac:dyDescent="0.25">
      <c r="A569" s="210">
        <v>20</v>
      </c>
      <c r="B569" s="210">
        <v>3</v>
      </c>
      <c r="C569" s="195" t="s">
        <v>44</v>
      </c>
      <c r="D569" s="201" t="s">
        <v>83</v>
      </c>
      <c r="E569" s="192" t="s">
        <v>1883</v>
      </c>
      <c r="F569" s="191" t="s">
        <v>81</v>
      </c>
      <c r="G569" s="190">
        <v>12</v>
      </c>
      <c r="H569" s="193" t="s">
        <v>1884</v>
      </c>
    </row>
    <row r="570" spans="1:8" ht="78" x14ac:dyDescent="0.25">
      <c r="A570" s="210">
        <v>10</v>
      </c>
      <c r="B570" s="210">
        <v>3</v>
      </c>
      <c r="C570" s="195" t="s">
        <v>34</v>
      </c>
      <c r="D570" s="191" t="s">
        <v>0</v>
      </c>
      <c r="E570" s="192" t="s">
        <v>1903</v>
      </c>
      <c r="F570" s="191" t="s">
        <v>81</v>
      </c>
      <c r="G570" s="190">
        <v>43</v>
      </c>
      <c r="H570" s="193" t="s">
        <v>1904</v>
      </c>
    </row>
    <row r="571" spans="1:8" ht="78" x14ac:dyDescent="0.25">
      <c r="A571" s="210">
        <v>10</v>
      </c>
      <c r="B571" s="210">
        <v>3</v>
      </c>
      <c r="C571" s="195" t="s">
        <v>34</v>
      </c>
      <c r="D571" s="201" t="s">
        <v>1</v>
      </c>
      <c r="E571" s="192" t="s">
        <v>1905</v>
      </c>
      <c r="F571" s="191" t="s">
        <v>81</v>
      </c>
      <c r="G571" s="190">
        <v>52</v>
      </c>
      <c r="H571" s="193" t="s">
        <v>1906</v>
      </c>
    </row>
    <row r="572" spans="1:8" ht="78" x14ac:dyDescent="0.25">
      <c r="A572" s="210">
        <v>10</v>
      </c>
      <c r="B572" s="210">
        <v>3</v>
      </c>
      <c r="C572" s="195" t="s">
        <v>34</v>
      </c>
      <c r="D572" s="191" t="s">
        <v>1</v>
      </c>
      <c r="E572" s="192" t="s">
        <v>1907</v>
      </c>
      <c r="F572" s="191" t="s">
        <v>81</v>
      </c>
      <c r="G572" s="190">
        <v>139</v>
      </c>
      <c r="H572" s="193" t="s">
        <v>1908</v>
      </c>
    </row>
    <row r="573" spans="1:8" ht="78" x14ac:dyDescent="0.25">
      <c r="A573" s="210">
        <v>10</v>
      </c>
      <c r="B573" s="210">
        <v>3</v>
      </c>
      <c r="C573" s="195" t="s">
        <v>34</v>
      </c>
      <c r="D573" s="191" t="s">
        <v>1</v>
      </c>
      <c r="E573" s="192" t="s">
        <v>1909</v>
      </c>
      <c r="F573" s="191" t="s">
        <v>81</v>
      </c>
      <c r="G573" s="190">
        <v>51</v>
      </c>
      <c r="H573" s="193" t="s">
        <v>1910</v>
      </c>
    </row>
    <row r="574" spans="1:8" ht="78" x14ac:dyDescent="0.25">
      <c r="A574" s="210">
        <v>10</v>
      </c>
      <c r="B574" s="210">
        <v>3</v>
      </c>
      <c r="C574" s="195" t="s">
        <v>34</v>
      </c>
      <c r="D574" s="191" t="s">
        <v>1</v>
      </c>
      <c r="E574" s="192" t="s">
        <v>1911</v>
      </c>
      <c r="F574" s="191" t="s">
        <v>81</v>
      </c>
      <c r="G574" s="190">
        <v>41</v>
      </c>
      <c r="H574" s="193" t="s">
        <v>1912</v>
      </c>
    </row>
    <row r="575" spans="1:8" ht="78" x14ac:dyDescent="0.25">
      <c r="A575" s="210">
        <v>10</v>
      </c>
      <c r="B575" s="210">
        <v>3</v>
      </c>
      <c r="C575" s="195" t="s">
        <v>34</v>
      </c>
      <c r="D575" s="191" t="s">
        <v>1</v>
      </c>
      <c r="E575" s="192" t="s">
        <v>1913</v>
      </c>
      <c r="F575" s="191" t="s">
        <v>81</v>
      </c>
      <c r="G575" s="190">
        <v>36</v>
      </c>
      <c r="H575" s="193" t="s">
        <v>1914</v>
      </c>
    </row>
    <row r="576" spans="1:8" ht="62.45" x14ac:dyDescent="0.25">
      <c r="A576" s="210">
        <v>10</v>
      </c>
      <c r="B576" s="210">
        <v>3</v>
      </c>
      <c r="C576" s="195" t="s">
        <v>34</v>
      </c>
      <c r="D576" s="201" t="s">
        <v>1</v>
      </c>
      <c r="E576" s="192" t="s">
        <v>1915</v>
      </c>
      <c r="F576" s="191" t="s">
        <v>81</v>
      </c>
      <c r="G576" s="190">
        <v>19</v>
      </c>
      <c r="H576" s="193" t="s">
        <v>1916</v>
      </c>
    </row>
    <row r="577" spans="1:8" ht="62.45" x14ac:dyDescent="0.25">
      <c r="A577" s="210">
        <v>10</v>
      </c>
      <c r="B577" s="210">
        <v>3</v>
      </c>
      <c r="C577" s="195" t="s">
        <v>34</v>
      </c>
      <c r="D577" s="191" t="s">
        <v>83</v>
      </c>
      <c r="E577" s="192" t="s">
        <v>1917</v>
      </c>
      <c r="F577" s="191" t="s">
        <v>69</v>
      </c>
      <c r="G577" s="190">
        <v>25</v>
      </c>
      <c r="H577" s="193" t="s">
        <v>1918</v>
      </c>
    </row>
    <row r="578" spans="1:8" ht="62.45" x14ac:dyDescent="0.25">
      <c r="A578" s="210">
        <v>10</v>
      </c>
      <c r="B578" s="210">
        <v>3</v>
      </c>
      <c r="C578" s="195" t="s">
        <v>34</v>
      </c>
      <c r="D578" s="191" t="s">
        <v>83</v>
      </c>
      <c r="E578" s="192" t="s">
        <v>1919</v>
      </c>
      <c r="F578" s="191" t="s">
        <v>69</v>
      </c>
      <c r="G578" s="190">
        <v>60</v>
      </c>
      <c r="H578" s="193" t="s">
        <v>1920</v>
      </c>
    </row>
    <row r="579" spans="1:8" ht="62.45" x14ac:dyDescent="0.25">
      <c r="A579" s="210">
        <v>10</v>
      </c>
      <c r="B579" s="210">
        <v>3</v>
      </c>
      <c r="C579" s="195" t="s">
        <v>34</v>
      </c>
      <c r="D579" s="201" t="s">
        <v>83</v>
      </c>
      <c r="E579" s="192" t="s">
        <v>1921</v>
      </c>
      <c r="F579" s="191" t="s">
        <v>69</v>
      </c>
      <c r="G579" s="190">
        <v>20</v>
      </c>
      <c r="H579" s="193" t="s">
        <v>1922</v>
      </c>
    </row>
    <row r="580" spans="1:8" ht="31.15" x14ac:dyDescent="0.25">
      <c r="A580" s="210">
        <v>16</v>
      </c>
      <c r="B580" s="210">
        <v>3</v>
      </c>
      <c r="C580" s="195" t="s">
        <v>40</v>
      </c>
      <c r="D580" s="191" t="s">
        <v>137</v>
      </c>
      <c r="E580" s="192" t="s">
        <v>1936</v>
      </c>
      <c r="F580" s="191" t="s">
        <v>81</v>
      </c>
      <c r="G580" s="190">
        <v>1</v>
      </c>
      <c r="H580" s="193" t="s">
        <v>1937</v>
      </c>
    </row>
    <row r="581" spans="1:8" ht="31.15" x14ac:dyDescent="0.25">
      <c r="A581" s="210">
        <v>16</v>
      </c>
      <c r="B581" s="210">
        <v>3</v>
      </c>
      <c r="C581" s="195" t="s">
        <v>40</v>
      </c>
      <c r="D581" s="191" t="s">
        <v>137</v>
      </c>
      <c r="E581" s="192" t="s">
        <v>1938</v>
      </c>
      <c r="F581" s="191" t="s">
        <v>81</v>
      </c>
      <c r="G581" s="190">
        <v>25</v>
      </c>
      <c r="H581" s="193" t="s">
        <v>1939</v>
      </c>
    </row>
    <row r="582" spans="1:8" ht="31.15" x14ac:dyDescent="0.25">
      <c r="A582" s="210">
        <v>16</v>
      </c>
      <c r="B582" s="210">
        <v>3</v>
      </c>
      <c r="C582" s="195" t="s">
        <v>40</v>
      </c>
      <c r="D582" s="191" t="s">
        <v>0</v>
      </c>
      <c r="E582" s="192" t="s">
        <v>1940</v>
      </c>
      <c r="F582" s="191" t="s">
        <v>69</v>
      </c>
      <c r="G582" s="190">
        <v>30</v>
      </c>
      <c r="H582" s="193" t="s">
        <v>1941</v>
      </c>
    </row>
    <row r="583" spans="1:8" ht="31.15" x14ac:dyDescent="0.25">
      <c r="A583" s="210">
        <v>16</v>
      </c>
      <c r="B583" s="210">
        <v>3</v>
      </c>
      <c r="C583" s="195" t="s">
        <v>40</v>
      </c>
      <c r="D583" s="191" t="s">
        <v>1</v>
      </c>
      <c r="E583" s="192" t="s">
        <v>1942</v>
      </c>
      <c r="F583" s="191" t="s">
        <v>81</v>
      </c>
      <c r="G583" s="190">
        <v>40</v>
      </c>
      <c r="H583" s="193" t="s">
        <v>1943</v>
      </c>
    </row>
    <row r="584" spans="1:8" ht="46.9" x14ac:dyDescent="0.25">
      <c r="A584" s="189">
        <v>16</v>
      </c>
      <c r="B584" s="190">
        <v>3</v>
      </c>
      <c r="C584" s="195" t="s">
        <v>40</v>
      </c>
      <c r="D584" s="201" t="s">
        <v>1</v>
      </c>
      <c r="E584" s="192" t="s">
        <v>1944</v>
      </c>
      <c r="F584" s="191" t="s">
        <v>81</v>
      </c>
      <c r="G584" s="190">
        <v>13</v>
      </c>
      <c r="H584" s="193" t="s">
        <v>1945</v>
      </c>
    </row>
    <row r="585" spans="1:8" ht="31.15" x14ac:dyDescent="0.25">
      <c r="A585" s="189">
        <v>16</v>
      </c>
      <c r="B585" s="190">
        <v>3</v>
      </c>
      <c r="C585" s="195" t="s">
        <v>40</v>
      </c>
      <c r="D585" s="201" t="s">
        <v>1</v>
      </c>
      <c r="E585" s="192" t="s">
        <v>1946</v>
      </c>
      <c r="F585" s="191" t="s">
        <v>81</v>
      </c>
      <c r="G585" s="190">
        <v>50</v>
      </c>
      <c r="H585" s="193" t="s">
        <v>1947</v>
      </c>
    </row>
    <row r="586" spans="1:8" ht="31.15" x14ac:dyDescent="0.25">
      <c r="A586" s="189">
        <v>16</v>
      </c>
      <c r="B586" s="190">
        <v>3</v>
      </c>
      <c r="C586" s="195" t="s">
        <v>40</v>
      </c>
      <c r="D586" s="201" t="s">
        <v>1</v>
      </c>
      <c r="E586" s="192" t="s">
        <v>1948</v>
      </c>
      <c r="F586" s="191" t="s">
        <v>81</v>
      </c>
      <c r="G586" s="190">
        <v>16</v>
      </c>
      <c r="H586" s="193" t="s">
        <v>1949</v>
      </c>
    </row>
    <row r="587" spans="1:8" ht="31.15" x14ac:dyDescent="0.25">
      <c r="A587" s="189">
        <v>16</v>
      </c>
      <c r="B587" s="190">
        <v>3</v>
      </c>
      <c r="C587" s="195" t="s">
        <v>40</v>
      </c>
      <c r="D587" s="201" t="s">
        <v>1</v>
      </c>
      <c r="E587" s="192" t="s">
        <v>1950</v>
      </c>
      <c r="F587" s="191" t="s">
        <v>81</v>
      </c>
      <c r="G587" s="190">
        <v>99</v>
      </c>
      <c r="H587" s="193" t="s">
        <v>1951</v>
      </c>
    </row>
    <row r="588" spans="1:8" ht="46.9" x14ac:dyDescent="0.25">
      <c r="A588" s="189">
        <v>16</v>
      </c>
      <c r="B588" s="190">
        <v>3</v>
      </c>
      <c r="C588" s="195" t="s">
        <v>40</v>
      </c>
      <c r="D588" s="201" t="s">
        <v>1</v>
      </c>
      <c r="E588" s="192" t="s">
        <v>1952</v>
      </c>
      <c r="F588" s="191" t="s">
        <v>81</v>
      </c>
      <c r="G588" s="190">
        <v>50</v>
      </c>
      <c r="H588" s="193" t="s">
        <v>1953</v>
      </c>
    </row>
    <row r="589" spans="1:8" ht="31.15" x14ac:dyDescent="0.25">
      <c r="A589" s="189">
        <v>16</v>
      </c>
      <c r="B589" s="190">
        <v>3</v>
      </c>
      <c r="C589" s="195" t="s">
        <v>40</v>
      </c>
      <c r="D589" s="201" t="s">
        <v>1</v>
      </c>
      <c r="E589" s="192" t="s">
        <v>1954</v>
      </c>
      <c r="F589" s="191" t="s">
        <v>69</v>
      </c>
      <c r="G589" s="190">
        <v>2</v>
      </c>
      <c r="H589" s="193" t="s">
        <v>1955</v>
      </c>
    </row>
    <row r="590" spans="1:8" ht="15.6" x14ac:dyDescent="0.25">
      <c r="A590" s="189">
        <v>16</v>
      </c>
      <c r="B590" s="190">
        <v>3</v>
      </c>
      <c r="C590" s="195" t="s">
        <v>40</v>
      </c>
      <c r="D590" s="201" t="s">
        <v>83</v>
      </c>
      <c r="E590" s="192" t="s">
        <v>1956</v>
      </c>
      <c r="F590" s="191" t="s">
        <v>69</v>
      </c>
      <c r="G590" s="190">
        <v>6</v>
      </c>
      <c r="H590" s="193" t="s">
        <v>1957</v>
      </c>
    </row>
    <row r="591" spans="1:8" ht="31.15" x14ac:dyDescent="0.25">
      <c r="A591" s="189">
        <v>16</v>
      </c>
      <c r="B591" s="190">
        <v>3</v>
      </c>
      <c r="C591" s="195" t="s">
        <v>40</v>
      </c>
      <c r="D591" s="191" t="s">
        <v>83</v>
      </c>
      <c r="E591" s="192" t="s">
        <v>1958</v>
      </c>
      <c r="F591" s="191" t="s">
        <v>81</v>
      </c>
      <c r="G591" s="190">
        <v>2</v>
      </c>
      <c r="H591" s="193" t="s">
        <v>1959</v>
      </c>
    </row>
    <row r="592" spans="1:8" ht="31.15" x14ac:dyDescent="0.25">
      <c r="A592" s="189">
        <v>16</v>
      </c>
      <c r="B592" s="190">
        <v>3</v>
      </c>
      <c r="C592" s="195" t="s">
        <v>40</v>
      </c>
      <c r="D592" s="191" t="s">
        <v>83</v>
      </c>
      <c r="E592" s="192" t="s">
        <v>1960</v>
      </c>
      <c r="F592" s="191" t="s">
        <v>69</v>
      </c>
      <c r="G592" s="190">
        <v>1</v>
      </c>
      <c r="H592" s="193" t="s">
        <v>1961</v>
      </c>
    </row>
    <row r="593" spans="1:8" ht="78" x14ac:dyDescent="0.25">
      <c r="A593" s="189">
        <v>24</v>
      </c>
      <c r="B593" s="190">
        <v>3</v>
      </c>
      <c r="C593" s="195" t="s">
        <v>48</v>
      </c>
      <c r="D593" s="191" t="s">
        <v>0</v>
      </c>
      <c r="E593" s="192" t="s">
        <v>1992</v>
      </c>
      <c r="F593" s="191" t="s">
        <v>69</v>
      </c>
      <c r="G593" s="190">
        <v>36</v>
      </c>
      <c r="H593" s="193" t="s">
        <v>1993</v>
      </c>
    </row>
    <row r="594" spans="1:8" ht="78" x14ac:dyDescent="0.25">
      <c r="A594" s="189">
        <v>24</v>
      </c>
      <c r="B594" s="190">
        <v>3</v>
      </c>
      <c r="C594" s="195" t="s">
        <v>48</v>
      </c>
      <c r="D594" s="201" t="s">
        <v>1</v>
      </c>
      <c r="E594" s="192" t="s">
        <v>1994</v>
      </c>
      <c r="F594" s="191" t="s">
        <v>81</v>
      </c>
      <c r="G594" s="190">
        <v>39</v>
      </c>
      <c r="H594" s="193" t="s">
        <v>1995</v>
      </c>
    </row>
    <row r="595" spans="1:8" ht="78" x14ac:dyDescent="0.25">
      <c r="A595" s="189">
        <v>24</v>
      </c>
      <c r="B595" s="190">
        <v>3</v>
      </c>
      <c r="C595" s="195" t="s">
        <v>48</v>
      </c>
      <c r="D595" s="191" t="s">
        <v>1</v>
      </c>
      <c r="E595" s="192" t="s">
        <v>1996</v>
      </c>
      <c r="F595" s="191" t="s">
        <v>81</v>
      </c>
      <c r="G595" s="190">
        <v>250</v>
      </c>
      <c r="H595" s="193" t="s">
        <v>1997</v>
      </c>
    </row>
    <row r="596" spans="1:8" ht="62.45" x14ac:dyDescent="0.25">
      <c r="A596" s="189">
        <v>24</v>
      </c>
      <c r="B596" s="190">
        <v>3</v>
      </c>
      <c r="C596" s="195" t="s">
        <v>48</v>
      </c>
      <c r="D596" s="201" t="s">
        <v>1</v>
      </c>
      <c r="E596" s="192" t="s">
        <v>1998</v>
      </c>
      <c r="F596" s="191" t="s">
        <v>69</v>
      </c>
      <c r="G596" s="190">
        <v>140</v>
      </c>
      <c r="H596" s="193" t="s">
        <v>1999</v>
      </c>
    </row>
    <row r="597" spans="1:8" ht="93.6" x14ac:dyDescent="0.25">
      <c r="A597" s="189">
        <v>24</v>
      </c>
      <c r="B597" s="190">
        <v>3</v>
      </c>
      <c r="C597" s="195" t="s">
        <v>48</v>
      </c>
      <c r="D597" s="191" t="s">
        <v>1</v>
      </c>
      <c r="E597" s="192" t="s">
        <v>2000</v>
      </c>
      <c r="F597" s="191" t="s">
        <v>69</v>
      </c>
      <c r="G597" s="190">
        <v>137</v>
      </c>
      <c r="H597" s="193" t="s">
        <v>2001</v>
      </c>
    </row>
    <row r="598" spans="1:8" ht="62.45" x14ac:dyDescent="0.25">
      <c r="A598" s="189">
        <v>24</v>
      </c>
      <c r="B598" s="190">
        <v>3</v>
      </c>
      <c r="C598" s="195" t="s">
        <v>48</v>
      </c>
      <c r="D598" s="191" t="s">
        <v>83</v>
      </c>
      <c r="E598" s="192" t="s">
        <v>2002</v>
      </c>
      <c r="F598" s="191" t="s">
        <v>69</v>
      </c>
      <c r="G598" s="190">
        <v>9</v>
      </c>
      <c r="H598" s="193" t="s">
        <v>2003</v>
      </c>
    </row>
    <row r="599" spans="1:8" ht="46.9" x14ac:dyDescent="0.25">
      <c r="A599" s="189">
        <v>24</v>
      </c>
      <c r="B599" s="190">
        <v>3</v>
      </c>
      <c r="C599" s="195" t="s">
        <v>48</v>
      </c>
      <c r="D599" s="191" t="s">
        <v>83</v>
      </c>
      <c r="E599" s="192" t="s">
        <v>2004</v>
      </c>
      <c r="F599" s="191" t="s">
        <v>81</v>
      </c>
      <c r="G599" s="190">
        <v>5</v>
      </c>
      <c r="H599" s="193" t="s">
        <v>2005</v>
      </c>
    </row>
    <row r="600" spans="1:8" ht="15.6" x14ac:dyDescent="0.25">
      <c r="A600" s="189">
        <v>14</v>
      </c>
      <c r="B600" s="190">
        <v>3</v>
      </c>
      <c r="C600" s="195" t="s">
        <v>38</v>
      </c>
      <c r="D600" s="207" t="s">
        <v>4</v>
      </c>
      <c r="E600" s="192" t="s">
        <v>2021</v>
      </c>
      <c r="F600" s="196" t="s">
        <v>69</v>
      </c>
      <c r="G600" s="190">
        <v>3</v>
      </c>
      <c r="H600" s="197" t="s">
        <v>2022</v>
      </c>
    </row>
    <row r="601" spans="1:8" ht="15.6" x14ac:dyDescent="0.25">
      <c r="A601" s="189">
        <v>14</v>
      </c>
      <c r="B601" s="190">
        <v>3</v>
      </c>
      <c r="C601" s="195" t="s">
        <v>38</v>
      </c>
      <c r="D601" s="195" t="s">
        <v>137</v>
      </c>
      <c r="E601" s="192" t="s">
        <v>1803</v>
      </c>
      <c r="F601" s="196" t="s">
        <v>69</v>
      </c>
      <c r="G601" s="190">
        <v>4</v>
      </c>
      <c r="H601" s="197" t="s">
        <v>2023</v>
      </c>
    </row>
    <row r="602" spans="1:8" ht="62.45" x14ac:dyDescent="0.25">
      <c r="A602" s="189">
        <v>14</v>
      </c>
      <c r="B602" s="190">
        <v>3</v>
      </c>
      <c r="C602" s="195" t="s">
        <v>38</v>
      </c>
      <c r="D602" s="195" t="s">
        <v>137</v>
      </c>
      <c r="E602" s="192" t="s">
        <v>2024</v>
      </c>
      <c r="F602" s="196" t="s">
        <v>69</v>
      </c>
      <c r="G602" s="190">
        <v>123</v>
      </c>
      <c r="H602" s="197" t="s">
        <v>2025</v>
      </c>
    </row>
    <row r="603" spans="1:8" ht="31.15" x14ac:dyDescent="0.25">
      <c r="A603" s="189">
        <v>14</v>
      </c>
      <c r="B603" s="190">
        <v>3</v>
      </c>
      <c r="C603" s="195" t="s">
        <v>38</v>
      </c>
      <c r="D603" s="195" t="s">
        <v>0</v>
      </c>
      <c r="E603" s="192" t="s">
        <v>2026</v>
      </c>
      <c r="F603" s="196" t="s">
        <v>69</v>
      </c>
      <c r="G603" s="190">
        <v>16</v>
      </c>
      <c r="H603" s="197" t="s">
        <v>2027</v>
      </c>
    </row>
    <row r="604" spans="1:8" ht="62.45" x14ac:dyDescent="0.25">
      <c r="A604" s="189">
        <v>14</v>
      </c>
      <c r="B604" s="190">
        <v>3</v>
      </c>
      <c r="C604" s="195" t="s">
        <v>38</v>
      </c>
      <c r="D604" s="195" t="s">
        <v>559</v>
      </c>
      <c r="E604" s="192" t="s">
        <v>2028</v>
      </c>
      <c r="F604" s="196" t="s">
        <v>69</v>
      </c>
      <c r="G604" s="190">
        <v>6</v>
      </c>
      <c r="H604" s="197" t="s">
        <v>2029</v>
      </c>
    </row>
    <row r="605" spans="1:8" ht="46.9" x14ac:dyDescent="0.25">
      <c r="A605" s="190">
        <v>14</v>
      </c>
      <c r="B605" s="190">
        <v>3</v>
      </c>
      <c r="C605" s="195" t="s">
        <v>38</v>
      </c>
      <c r="D605" s="207" t="s">
        <v>1</v>
      </c>
      <c r="E605" s="196" t="s">
        <v>2030</v>
      </c>
      <c r="F605" s="196" t="s">
        <v>69</v>
      </c>
      <c r="G605" s="190">
        <v>582</v>
      </c>
      <c r="H605" s="197" t="s">
        <v>2031</v>
      </c>
    </row>
    <row r="606" spans="1:8" ht="46.9" x14ac:dyDescent="0.25">
      <c r="A606" s="190">
        <v>14</v>
      </c>
      <c r="B606" s="190">
        <v>3</v>
      </c>
      <c r="C606" s="195" t="s">
        <v>38</v>
      </c>
      <c r="D606" s="207" t="s">
        <v>1</v>
      </c>
      <c r="E606" s="192" t="s">
        <v>2032</v>
      </c>
      <c r="F606" s="196" t="s">
        <v>69</v>
      </c>
      <c r="G606" s="190">
        <v>341</v>
      </c>
      <c r="H606" s="197" t="s">
        <v>2031</v>
      </c>
    </row>
    <row r="607" spans="1:8" ht="46.9" x14ac:dyDescent="0.25">
      <c r="A607" s="190">
        <v>14</v>
      </c>
      <c r="B607" s="190">
        <v>3</v>
      </c>
      <c r="C607" s="195" t="s">
        <v>38</v>
      </c>
      <c r="D607" s="195" t="s">
        <v>1</v>
      </c>
      <c r="E607" s="192" t="s">
        <v>2033</v>
      </c>
      <c r="F607" s="196" t="s">
        <v>69</v>
      </c>
      <c r="G607" s="190">
        <v>18</v>
      </c>
      <c r="H607" s="197" t="s">
        <v>2034</v>
      </c>
    </row>
    <row r="608" spans="1:8" ht="78" x14ac:dyDescent="0.25">
      <c r="A608" s="210">
        <v>14</v>
      </c>
      <c r="B608" s="210">
        <v>3</v>
      </c>
      <c r="C608" s="195" t="s">
        <v>38</v>
      </c>
      <c r="D608" s="207" t="s">
        <v>1</v>
      </c>
      <c r="E608" s="192" t="s">
        <v>2035</v>
      </c>
      <c r="F608" s="196" t="s">
        <v>81</v>
      </c>
      <c r="G608" s="190">
        <v>26</v>
      </c>
      <c r="H608" s="197" t="s">
        <v>2036</v>
      </c>
    </row>
    <row r="609" spans="1:8" ht="31.15" x14ac:dyDescent="0.25">
      <c r="A609" s="210">
        <v>14</v>
      </c>
      <c r="B609" s="210">
        <v>3</v>
      </c>
      <c r="C609" s="195" t="s">
        <v>38</v>
      </c>
      <c r="D609" s="207" t="s">
        <v>1</v>
      </c>
      <c r="E609" s="192" t="s">
        <v>2037</v>
      </c>
      <c r="F609" s="196" t="s">
        <v>69</v>
      </c>
      <c r="G609" s="190">
        <v>12</v>
      </c>
      <c r="H609" s="196" t="s">
        <v>2022</v>
      </c>
    </row>
    <row r="610" spans="1:8" ht="46.9" x14ac:dyDescent="0.25">
      <c r="A610" s="210">
        <v>14</v>
      </c>
      <c r="B610" s="210">
        <v>3</v>
      </c>
      <c r="C610" s="195" t="s">
        <v>38</v>
      </c>
      <c r="D610" s="207" t="s">
        <v>1</v>
      </c>
      <c r="E610" s="192" t="s">
        <v>2038</v>
      </c>
      <c r="F610" s="196" t="s">
        <v>69</v>
      </c>
      <c r="G610" s="190">
        <v>13</v>
      </c>
      <c r="H610" s="196" t="s">
        <v>2039</v>
      </c>
    </row>
    <row r="611" spans="1:8" ht="46.9" x14ac:dyDescent="0.25">
      <c r="A611" s="210">
        <v>14</v>
      </c>
      <c r="B611" s="210">
        <v>3</v>
      </c>
      <c r="C611" s="195" t="s">
        <v>38</v>
      </c>
      <c r="D611" s="207" t="s">
        <v>1</v>
      </c>
      <c r="E611" s="192" t="s">
        <v>2040</v>
      </c>
      <c r="F611" s="196" t="s">
        <v>81</v>
      </c>
      <c r="G611" s="190">
        <v>23</v>
      </c>
      <c r="H611" s="196" t="s">
        <v>2041</v>
      </c>
    </row>
    <row r="612" spans="1:8" ht="62.45" x14ac:dyDescent="0.25">
      <c r="A612" s="210">
        <v>14</v>
      </c>
      <c r="B612" s="210">
        <v>3</v>
      </c>
      <c r="C612" s="195" t="s">
        <v>38</v>
      </c>
      <c r="D612" s="207" t="s">
        <v>1</v>
      </c>
      <c r="E612" s="192" t="s">
        <v>2042</v>
      </c>
      <c r="F612" s="196" t="s">
        <v>69</v>
      </c>
      <c r="G612" s="190">
        <v>20</v>
      </c>
      <c r="H612" s="196" t="s">
        <v>2043</v>
      </c>
    </row>
    <row r="613" spans="1:8" ht="46.9" x14ac:dyDescent="0.25">
      <c r="A613" s="210">
        <v>14</v>
      </c>
      <c r="B613" s="210">
        <v>3</v>
      </c>
      <c r="C613" s="195" t="s">
        <v>38</v>
      </c>
      <c r="D613" s="207" t="s">
        <v>83</v>
      </c>
      <c r="E613" s="192" t="s">
        <v>2044</v>
      </c>
      <c r="F613" s="196" t="s">
        <v>69</v>
      </c>
      <c r="G613" s="190">
        <v>31</v>
      </c>
      <c r="H613" s="196" t="s">
        <v>2045</v>
      </c>
    </row>
    <row r="614" spans="1:8" ht="62.45" x14ac:dyDescent="0.25">
      <c r="A614" s="210">
        <v>14</v>
      </c>
      <c r="B614" s="210">
        <v>3</v>
      </c>
      <c r="C614" s="195" t="s">
        <v>38</v>
      </c>
      <c r="D614" s="195" t="s">
        <v>83</v>
      </c>
      <c r="E614" s="192" t="s">
        <v>2046</v>
      </c>
      <c r="F614" s="196" t="s">
        <v>69</v>
      </c>
      <c r="G614" s="190">
        <v>84</v>
      </c>
      <c r="H614" s="197" t="s">
        <v>2047</v>
      </c>
    </row>
    <row r="615" spans="1:8" ht="46.9" x14ac:dyDescent="0.25">
      <c r="A615" s="210">
        <v>14</v>
      </c>
      <c r="B615" s="210">
        <v>3</v>
      </c>
      <c r="C615" s="195" t="s">
        <v>38</v>
      </c>
      <c r="D615" s="207" t="s">
        <v>83</v>
      </c>
      <c r="E615" s="192" t="s">
        <v>2048</v>
      </c>
      <c r="F615" s="196" t="s">
        <v>69</v>
      </c>
      <c r="G615" s="190">
        <v>47</v>
      </c>
      <c r="H615" s="196" t="s">
        <v>2049</v>
      </c>
    </row>
    <row r="616" spans="1:8" ht="46.9" x14ac:dyDescent="0.25">
      <c r="A616" s="210">
        <v>14</v>
      </c>
      <c r="B616" s="210">
        <v>3</v>
      </c>
      <c r="C616" s="195" t="s">
        <v>38</v>
      </c>
      <c r="D616" s="207" t="s">
        <v>83</v>
      </c>
      <c r="E616" s="192" t="s">
        <v>2050</v>
      </c>
      <c r="F616" s="196" t="s">
        <v>69</v>
      </c>
      <c r="G616" s="190">
        <v>121</v>
      </c>
      <c r="H616" s="196" t="s">
        <v>2051</v>
      </c>
    </row>
    <row r="617" spans="1:8" ht="62.45" x14ac:dyDescent="0.25">
      <c r="A617" s="210">
        <v>14</v>
      </c>
      <c r="B617" s="210">
        <v>3</v>
      </c>
      <c r="C617" s="195" t="s">
        <v>38</v>
      </c>
      <c r="D617" s="195" t="s">
        <v>83</v>
      </c>
      <c r="E617" s="192" t="s">
        <v>2052</v>
      </c>
      <c r="F617" s="196" t="s">
        <v>81</v>
      </c>
      <c r="G617" s="190">
        <v>63</v>
      </c>
      <c r="H617" s="197" t="s">
        <v>2053</v>
      </c>
    </row>
    <row r="618" spans="1:8" ht="46.9" x14ac:dyDescent="0.25">
      <c r="A618" s="210">
        <v>14</v>
      </c>
      <c r="B618" s="210">
        <v>3</v>
      </c>
      <c r="C618" s="195" t="s">
        <v>38</v>
      </c>
      <c r="D618" s="195" t="s">
        <v>83</v>
      </c>
      <c r="E618" s="192" t="s">
        <v>2054</v>
      </c>
      <c r="F618" s="196" t="s">
        <v>69</v>
      </c>
      <c r="G618" s="190">
        <v>4</v>
      </c>
      <c r="H618" s="197" t="s">
        <v>2049</v>
      </c>
    </row>
    <row r="619" spans="1:8" ht="62.45" x14ac:dyDescent="0.25">
      <c r="A619" s="210">
        <v>14</v>
      </c>
      <c r="B619" s="210">
        <v>3</v>
      </c>
      <c r="C619" s="195" t="s">
        <v>38</v>
      </c>
      <c r="D619" s="207" t="s">
        <v>83</v>
      </c>
      <c r="E619" s="192" t="s">
        <v>2055</v>
      </c>
      <c r="F619" s="196" t="s">
        <v>81</v>
      </c>
      <c r="G619" s="190">
        <v>12</v>
      </c>
      <c r="H619" s="197" t="s">
        <v>2049</v>
      </c>
    </row>
    <row r="620" spans="1:8" ht="31.15" x14ac:dyDescent="0.25">
      <c r="A620" s="210">
        <v>26</v>
      </c>
      <c r="B620" s="210">
        <v>3</v>
      </c>
      <c r="C620" s="195" t="s">
        <v>50</v>
      </c>
      <c r="D620" s="191" t="s">
        <v>1</v>
      </c>
      <c r="E620" s="192" t="s">
        <v>2095</v>
      </c>
      <c r="F620" s="191" t="s">
        <v>81</v>
      </c>
      <c r="G620" s="190">
        <v>9</v>
      </c>
      <c r="H620" s="193" t="s">
        <v>1821</v>
      </c>
    </row>
    <row r="621" spans="1:8" ht="31.15" x14ac:dyDescent="0.25">
      <c r="A621" s="210">
        <v>26</v>
      </c>
      <c r="B621" s="210">
        <v>3</v>
      </c>
      <c r="C621" s="195" t="s">
        <v>50</v>
      </c>
      <c r="D621" s="201" t="s">
        <v>0</v>
      </c>
      <c r="E621" s="192" t="s">
        <v>2096</v>
      </c>
      <c r="F621" s="191" t="s">
        <v>81</v>
      </c>
      <c r="G621" s="190">
        <v>1</v>
      </c>
      <c r="H621" s="193" t="s">
        <v>1818</v>
      </c>
    </row>
    <row r="622" spans="1:8" ht="31.15" x14ac:dyDescent="0.25">
      <c r="A622" s="210">
        <v>26</v>
      </c>
      <c r="B622" s="210">
        <v>3</v>
      </c>
      <c r="C622" s="195" t="s">
        <v>50</v>
      </c>
      <c r="D622" s="191" t="s">
        <v>0</v>
      </c>
      <c r="E622" s="192" t="s">
        <v>2097</v>
      </c>
      <c r="F622" s="191" t="s">
        <v>81</v>
      </c>
      <c r="G622" s="190">
        <v>38</v>
      </c>
      <c r="H622" s="193" t="s">
        <v>2083</v>
      </c>
    </row>
    <row r="623" spans="1:8" ht="31.15" x14ac:dyDescent="0.25">
      <c r="A623" s="210">
        <v>26</v>
      </c>
      <c r="B623" s="210">
        <v>3</v>
      </c>
      <c r="C623" s="195" t="s">
        <v>50</v>
      </c>
      <c r="D623" s="201" t="s">
        <v>0</v>
      </c>
      <c r="E623" s="192" t="s">
        <v>2098</v>
      </c>
      <c r="F623" s="191" t="s">
        <v>81</v>
      </c>
      <c r="G623" s="190">
        <v>3</v>
      </c>
      <c r="H623" s="193" t="s">
        <v>2083</v>
      </c>
    </row>
    <row r="624" spans="1:8" ht="31.15" x14ac:dyDescent="0.25">
      <c r="A624" s="210">
        <v>26</v>
      </c>
      <c r="B624" s="210">
        <v>3</v>
      </c>
      <c r="C624" s="195" t="s">
        <v>50</v>
      </c>
      <c r="D624" s="201" t="s">
        <v>0</v>
      </c>
      <c r="E624" s="192" t="s">
        <v>2099</v>
      </c>
      <c r="F624" s="191" t="s">
        <v>81</v>
      </c>
      <c r="G624" s="190">
        <v>6</v>
      </c>
      <c r="H624" s="193" t="s">
        <v>2083</v>
      </c>
    </row>
    <row r="625" spans="1:8" ht="31.15" x14ac:dyDescent="0.25">
      <c r="A625" s="190">
        <v>26</v>
      </c>
      <c r="B625" s="190">
        <v>3</v>
      </c>
      <c r="C625" s="195" t="s">
        <v>50</v>
      </c>
      <c r="D625" s="201" t="s">
        <v>0</v>
      </c>
      <c r="E625" s="192" t="s">
        <v>2100</v>
      </c>
      <c r="F625" s="191" t="s">
        <v>81</v>
      </c>
      <c r="G625" s="190">
        <v>2</v>
      </c>
      <c r="H625" s="193" t="s">
        <v>1817</v>
      </c>
    </row>
    <row r="626" spans="1:8" ht="31.15" x14ac:dyDescent="0.25">
      <c r="A626" s="190">
        <v>26</v>
      </c>
      <c r="B626" s="190">
        <v>3</v>
      </c>
      <c r="C626" s="195" t="s">
        <v>50</v>
      </c>
      <c r="D626" s="191" t="s">
        <v>559</v>
      </c>
      <c r="E626" s="192" t="s">
        <v>2101</v>
      </c>
      <c r="F626" s="191" t="s">
        <v>69</v>
      </c>
      <c r="G626" s="190">
        <v>4</v>
      </c>
      <c r="H626" s="193" t="s">
        <v>1815</v>
      </c>
    </row>
    <row r="627" spans="1:8" ht="31.15" x14ac:dyDescent="0.25">
      <c r="A627" s="190">
        <v>26</v>
      </c>
      <c r="B627" s="190">
        <v>3</v>
      </c>
      <c r="C627" s="195" t="s">
        <v>50</v>
      </c>
      <c r="D627" s="191" t="s">
        <v>559</v>
      </c>
      <c r="E627" s="192" t="s">
        <v>2102</v>
      </c>
      <c r="F627" s="191" t="s">
        <v>69</v>
      </c>
      <c r="G627" s="190">
        <v>6</v>
      </c>
      <c r="H627" s="193" t="s">
        <v>1815</v>
      </c>
    </row>
    <row r="628" spans="1:8" ht="31.15" x14ac:dyDescent="0.25">
      <c r="A628" s="190">
        <v>26</v>
      </c>
      <c r="B628" s="190">
        <v>3</v>
      </c>
      <c r="C628" s="195" t="s">
        <v>50</v>
      </c>
      <c r="D628" s="191" t="s">
        <v>559</v>
      </c>
      <c r="E628" s="192" t="s">
        <v>2103</v>
      </c>
      <c r="F628" s="191" t="s">
        <v>81</v>
      </c>
      <c r="G628" s="190">
        <v>4</v>
      </c>
      <c r="H628" s="193" t="s">
        <v>1815</v>
      </c>
    </row>
    <row r="629" spans="1:8" ht="31.15" x14ac:dyDescent="0.25">
      <c r="A629" s="190">
        <v>26</v>
      </c>
      <c r="B629" s="190">
        <v>3</v>
      </c>
      <c r="C629" s="195" t="s">
        <v>50</v>
      </c>
      <c r="D629" s="191" t="s">
        <v>1</v>
      </c>
      <c r="E629" s="192" t="s">
        <v>2104</v>
      </c>
      <c r="F629" s="191" t="s">
        <v>81</v>
      </c>
      <c r="G629" s="190">
        <v>73</v>
      </c>
      <c r="H629" s="193" t="s">
        <v>2105</v>
      </c>
    </row>
    <row r="630" spans="1:8" ht="31.15" x14ac:dyDescent="0.25">
      <c r="A630" s="190">
        <v>26</v>
      </c>
      <c r="B630" s="190">
        <v>3</v>
      </c>
      <c r="C630" s="195" t="s">
        <v>50</v>
      </c>
      <c r="D630" s="201" t="s">
        <v>1</v>
      </c>
      <c r="E630" s="192" t="s">
        <v>2106</v>
      </c>
      <c r="F630" s="191" t="s">
        <v>81</v>
      </c>
      <c r="G630" s="190">
        <v>15</v>
      </c>
      <c r="H630" s="193" t="s">
        <v>1827</v>
      </c>
    </row>
    <row r="631" spans="1:8" ht="31.15" x14ac:dyDescent="0.25">
      <c r="A631" s="190">
        <v>26</v>
      </c>
      <c r="B631" s="190">
        <v>3</v>
      </c>
      <c r="C631" s="195" t="s">
        <v>50</v>
      </c>
      <c r="D631" s="191" t="s">
        <v>1</v>
      </c>
      <c r="E631" s="192" t="s">
        <v>2107</v>
      </c>
      <c r="F631" s="191" t="s">
        <v>81</v>
      </c>
      <c r="G631" s="190">
        <v>56</v>
      </c>
      <c r="H631" s="193" t="s">
        <v>1821</v>
      </c>
    </row>
    <row r="632" spans="1:8" ht="31.15" x14ac:dyDescent="0.25">
      <c r="A632" s="190">
        <v>26</v>
      </c>
      <c r="B632" s="190">
        <v>3</v>
      </c>
      <c r="C632" s="195" t="s">
        <v>50</v>
      </c>
      <c r="D632" s="191" t="s">
        <v>1</v>
      </c>
      <c r="E632" s="192" t="s">
        <v>2108</v>
      </c>
      <c r="F632" s="191" t="s">
        <v>81</v>
      </c>
      <c r="G632" s="190">
        <v>3</v>
      </c>
      <c r="H632" s="193" t="s">
        <v>1821</v>
      </c>
    </row>
    <row r="633" spans="1:8" ht="31.15" x14ac:dyDescent="0.25">
      <c r="A633" s="190">
        <v>26</v>
      </c>
      <c r="B633" s="190">
        <v>3</v>
      </c>
      <c r="C633" s="195" t="s">
        <v>50</v>
      </c>
      <c r="D633" s="191" t="s">
        <v>1</v>
      </c>
      <c r="E633" s="192" t="s">
        <v>2109</v>
      </c>
      <c r="F633" s="191" t="s">
        <v>81</v>
      </c>
      <c r="G633" s="190">
        <v>124</v>
      </c>
      <c r="H633" s="193" t="s">
        <v>1819</v>
      </c>
    </row>
    <row r="634" spans="1:8" ht="31.15" x14ac:dyDescent="0.25">
      <c r="A634" s="190">
        <v>26</v>
      </c>
      <c r="B634" s="190">
        <v>3</v>
      </c>
      <c r="C634" s="195" t="s">
        <v>50</v>
      </c>
      <c r="D634" s="191" t="s">
        <v>1</v>
      </c>
      <c r="E634" s="192" t="s">
        <v>2110</v>
      </c>
      <c r="F634" s="191" t="s">
        <v>81</v>
      </c>
      <c r="G634" s="190">
        <v>155</v>
      </c>
      <c r="H634" s="193" t="s">
        <v>2111</v>
      </c>
    </row>
    <row r="635" spans="1:8" ht="31.15" x14ac:dyDescent="0.25">
      <c r="A635" s="190">
        <v>26</v>
      </c>
      <c r="B635" s="190">
        <v>3</v>
      </c>
      <c r="C635" s="195" t="s">
        <v>50</v>
      </c>
      <c r="D635" s="191" t="s">
        <v>1</v>
      </c>
      <c r="E635" s="192" t="s">
        <v>2112</v>
      </c>
      <c r="F635" s="191" t="s">
        <v>81</v>
      </c>
      <c r="G635" s="190">
        <v>58</v>
      </c>
      <c r="H635" s="193" t="s">
        <v>2111</v>
      </c>
    </row>
    <row r="636" spans="1:8" ht="46.9" x14ac:dyDescent="0.25">
      <c r="A636" s="189">
        <v>26</v>
      </c>
      <c r="B636" s="190">
        <v>3</v>
      </c>
      <c r="C636" s="195" t="s">
        <v>50</v>
      </c>
      <c r="D636" s="191" t="s">
        <v>1</v>
      </c>
      <c r="E636" s="192" t="s">
        <v>2113</v>
      </c>
      <c r="F636" s="191" t="s">
        <v>81</v>
      </c>
      <c r="G636" s="190">
        <v>125</v>
      </c>
      <c r="H636" s="193" t="s">
        <v>1822</v>
      </c>
    </row>
    <row r="637" spans="1:8" ht="31.15" x14ac:dyDescent="0.25">
      <c r="A637" s="190">
        <v>26</v>
      </c>
      <c r="B637" s="190">
        <v>3</v>
      </c>
      <c r="C637" s="195" t="s">
        <v>50</v>
      </c>
      <c r="D637" s="191" t="s">
        <v>1</v>
      </c>
      <c r="E637" s="192" t="s">
        <v>2114</v>
      </c>
      <c r="F637" s="191" t="s">
        <v>81</v>
      </c>
      <c r="G637" s="190">
        <v>1</v>
      </c>
      <c r="H637" s="193" t="s">
        <v>1822</v>
      </c>
    </row>
    <row r="638" spans="1:8" ht="31.15" x14ac:dyDescent="0.25">
      <c r="A638" s="190">
        <v>26</v>
      </c>
      <c r="B638" s="190">
        <v>3</v>
      </c>
      <c r="C638" s="195" t="s">
        <v>50</v>
      </c>
      <c r="D638" s="191" t="s">
        <v>83</v>
      </c>
      <c r="E638" s="192" t="s">
        <v>2115</v>
      </c>
      <c r="F638" s="191" t="s">
        <v>69</v>
      </c>
      <c r="G638" s="190">
        <v>9</v>
      </c>
      <c r="H638" s="193" t="s">
        <v>1758</v>
      </c>
    </row>
    <row r="639" spans="1:8" ht="46.9" x14ac:dyDescent="0.25">
      <c r="A639" s="190">
        <v>26</v>
      </c>
      <c r="B639" s="190">
        <v>3</v>
      </c>
      <c r="C639" s="195" t="s">
        <v>50</v>
      </c>
      <c r="D639" s="191" t="s">
        <v>83</v>
      </c>
      <c r="E639" s="192" t="s">
        <v>2116</v>
      </c>
      <c r="F639" s="191" t="s">
        <v>81</v>
      </c>
      <c r="G639" s="190">
        <v>18</v>
      </c>
      <c r="H639" s="193" t="s">
        <v>1821</v>
      </c>
    </row>
    <row r="640" spans="1:8" ht="31.15" x14ac:dyDescent="0.25">
      <c r="A640" s="190">
        <v>26</v>
      </c>
      <c r="B640" s="190">
        <v>3</v>
      </c>
      <c r="C640" s="195" t="s">
        <v>50</v>
      </c>
      <c r="D640" s="191" t="s">
        <v>83</v>
      </c>
      <c r="E640" s="192" t="s">
        <v>2117</v>
      </c>
      <c r="F640" s="191" t="s">
        <v>81</v>
      </c>
      <c r="G640" s="190">
        <v>2</v>
      </c>
      <c r="H640" s="193" t="s">
        <v>1821</v>
      </c>
    </row>
    <row r="641" spans="1:8" ht="31.15" x14ac:dyDescent="0.25">
      <c r="A641" s="190">
        <v>26</v>
      </c>
      <c r="B641" s="190">
        <v>3</v>
      </c>
      <c r="C641" s="195" t="s">
        <v>50</v>
      </c>
      <c r="D641" s="191" t="s">
        <v>83</v>
      </c>
      <c r="E641" s="192" t="s">
        <v>2118</v>
      </c>
      <c r="F641" s="191" t="s">
        <v>81</v>
      </c>
      <c r="G641" s="190">
        <v>44</v>
      </c>
      <c r="H641" s="193" t="s">
        <v>1821</v>
      </c>
    </row>
    <row r="642" spans="1:8" ht="93.6" x14ac:dyDescent="0.25">
      <c r="A642" s="190">
        <v>22</v>
      </c>
      <c r="B642" s="190">
        <v>3</v>
      </c>
      <c r="C642" s="195" t="s">
        <v>46</v>
      </c>
      <c r="D642" s="191" t="s">
        <v>1</v>
      </c>
      <c r="E642" s="192" t="s">
        <v>2128</v>
      </c>
      <c r="F642" s="191" t="s">
        <v>69</v>
      </c>
      <c r="G642" s="190">
        <v>25</v>
      </c>
      <c r="H642" s="193" t="s">
        <v>2122</v>
      </c>
    </row>
    <row r="643" spans="1:8" ht="93.6" x14ac:dyDescent="0.25">
      <c r="A643" s="190">
        <v>22</v>
      </c>
      <c r="B643" s="190">
        <v>3</v>
      </c>
      <c r="C643" s="195" t="s">
        <v>46</v>
      </c>
      <c r="D643" s="191" t="s">
        <v>83</v>
      </c>
      <c r="E643" s="192" t="s">
        <v>2129</v>
      </c>
      <c r="F643" s="191" t="s">
        <v>69</v>
      </c>
      <c r="G643" s="190" t="s">
        <v>93</v>
      </c>
      <c r="H643" s="193" t="s">
        <v>2130</v>
      </c>
    </row>
    <row r="644" spans="1:8" ht="109.15" x14ac:dyDescent="0.25">
      <c r="A644" s="190">
        <v>12</v>
      </c>
      <c r="B644" s="190">
        <v>3</v>
      </c>
      <c r="C644" s="195" t="s">
        <v>36</v>
      </c>
      <c r="D644" s="195" t="s">
        <v>0</v>
      </c>
      <c r="E644" s="192" t="s">
        <v>2140</v>
      </c>
      <c r="F644" s="196" t="s">
        <v>81</v>
      </c>
      <c r="G644" s="190">
        <v>5</v>
      </c>
      <c r="H644" s="197" t="s">
        <v>2141</v>
      </c>
    </row>
    <row r="645" spans="1:8" ht="78" x14ac:dyDescent="0.25">
      <c r="A645" s="190">
        <v>12</v>
      </c>
      <c r="B645" s="190">
        <v>3</v>
      </c>
      <c r="C645" s="195" t="s">
        <v>36</v>
      </c>
      <c r="D645" s="195" t="s">
        <v>0</v>
      </c>
      <c r="E645" s="192" t="s">
        <v>2142</v>
      </c>
      <c r="F645" s="196" t="s">
        <v>81</v>
      </c>
      <c r="G645" s="190">
        <v>1</v>
      </c>
      <c r="H645" s="197" t="s">
        <v>2143</v>
      </c>
    </row>
    <row r="646" spans="1:8" ht="78" x14ac:dyDescent="0.25">
      <c r="A646" s="190">
        <v>12</v>
      </c>
      <c r="B646" s="190">
        <v>3</v>
      </c>
      <c r="C646" s="195" t="s">
        <v>36</v>
      </c>
      <c r="D646" s="195" t="s">
        <v>0</v>
      </c>
      <c r="E646" s="192" t="s">
        <v>2144</v>
      </c>
      <c r="F646" s="196" t="s">
        <v>81</v>
      </c>
      <c r="G646" s="190">
        <v>2</v>
      </c>
      <c r="H646" s="197" t="s">
        <v>2145</v>
      </c>
    </row>
    <row r="647" spans="1:8" ht="109.15" x14ac:dyDescent="0.25">
      <c r="A647" s="190">
        <v>12</v>
      </c>
      <c r="B647" s="190">
        <v>3</v>
      </c>
      <c r="C647" s="195" t="s">
        <v>36</v>
      </c>
      <c r="D647" s="195" t="s">
        <v>1</v>
      </c>
      <c r="E647" s="192" t="s">
        <v>2146</v>
      </c>
      <c r="F647" s="196" t="s">
        <v>81</v>
      </c>
      <c r="G647" s="190">
        <v>13</v>
      </c>
      <c r="H647" s="197" t="s">
        <v>2147</v>
      </c>
    </row>
    <row r="648" spans="1:8" ht="31.15" x14ac:dyDescent="0.25">
      <c r="A648" s="190">
        <v>12</v>
      </c>
      <c r="B648" s="190">
        <v>3</v>
      </c>
      <c r="C648" s="195" t="s">
        <v>36</v>
      </c>
      <c r="D648" s="195" t="s">
        <v>83</v>
      </c>
      <c r="E648" s="196" t="s">
        <v>1835</v>
      </c>
      <c r="F648" s="196" t="s">
        <v>69</v>
      </c>
      <c r="G648" s="190">
        <v>2</v>
      </c>
      <c r="H648" s="197" t="s">
        <v>1836</v>
      </c>
    </row>
    <row r="649" spans="1:8" ht="78" x14ac:dyDescent="0.25">
      <c r="A649" s="190">
        <v>12</v>
      </c>
      <c r="B649" s="190">
        <v>3</v>
      </c>
      <c r="C649" s="195" t="s">
        <v>36</v>
      </c>
      <c r="D649" s="195" t="s">
        <v>83</v>
      </c>
      <c r="E649" s="192" t="s">
        <v>2148</v>
      </c>
      <c r="F649" s="196" t="s">
        <v>69</v>
      </c>
      <c r="G649" s="190">
        <v>2</v>
      </c>
      <c r="H649" s="197" t="s">
        <v>2149</v>
      </c>
    </row>
    <row r="650" spans="1:8" ht="93.6" x14ac:dyDescent="0.25">
      <c r="A650" s="190">
        <v>12</v>
      </c>
      <c r="B650" s="190">
        <v>3</v>
      </c>
      <c r="C650" s="195" t="s">
        <v>36</v>
      </c>
      <c r="D650" s="195" t="s">
        <v>83</v>
      </c>
      <c r="E650" s="192" t="s">
        <v>2150</v>
      </c>
      <c r="F650" s="196" t="s">
        <v>81</v>
      </c>
      <c r="G650" s="190">
        <v>2</v>
      </c>
      <c r="H650" s="197" t="s">
        <v>2151</v>
      </c>
    </row>
    <row r="651" spans="1:8" ht="93.6" x14ac:dyDescent="0.25">
      <c r="A651" s="190">
        <v>12</v>
      </c>
      <c r="B651" s="190">
        <v>3</v>
      </c>
      <c r="C651" s="195" t="s">
        <v>36</v>
      </c>
      <c r="D651" s="195" t="s">
        <v>83</v>
      </c>
      <c r="E651" s="192" t="s">
        <v>2152</v>
      </c>
      <c r="F651" s="196" t="s">
        <v>81</v>
      </c>
      <c r="G651" s="190">
        <v>1</v>
      </c>
      <c r="H651" s="197" t="s">
        <v>2153</v>
      </c>
    </row>
    <row r="652" spans="1:8" ht="78" x14ac:dyDescent="0.25">
      <c r="A652" s="190">
        <v>12</v>
      </c>
      <c r="B652" s="190">
        <v>3</v>
      </c>
      <c r="C652" s="195" t="s">
        <v>36</v>
      </c>
      <c r="D652" s="195" t="s">
        <v>83</v>
      </c>
      <c r="E652" s="192" t="s">
        <v>2154</v>
      </c>
      <c r="F652" s="196" t="s">
        <v>81</v>
      </c>
      <c r="G652" s="190">
        <v>1</v>
      </c>
      <c r="H652" s="197" t="s">
        <v>2155</v>
      </c>
    </row>
    <row r="653" spans="1:8" ht="109.15" x14ac:dyDescent="0.25">
      <c r="A653" s="190">
        <v>6</v>
      </c>
      <c r="B653" s="190">
        <v>3</v>
      </c>
      <c r="C653" s="195" t="s">
        <v>117</v>
      </c>
      <c r="D653" s="192" t="s">
        <v>83</v>
      </c>
      <c r="E653" s="192" t="s">
        <v>2237</v>
      </c>
      <c r="F653" s="192" t="s">
        <v>69</v>
      </c>
      <c r="G653" s="198">
        <v>13</v>
      </c>
      <c r="H653" s="193" t="s">
        <v>2238</v>
      </c>
    </row>
    <row r="654" spans="1:8" ht="15.6" x14ac:dyDescent="0.25">
      <c r="A654" s="190">
        <v>6</v>
      </c>
      <c r="B654" s="190">
        <v>3</v>
      </c>
      <c r="C654" s="195" t="s">
        <v>117</v>
      </c>
      <c r="D654" s="192" t="s">
        <v>137</v>
      </c>
      <c r="E654" s="192" t="s">
        <v>2239</v>
      </c>
      <c r="F654" s="192" t="s">
        <v>81</v>
      </c>
      <c r="G654" s="198">
        <v>25</v>
      </c>
      <c r="H654" s="193" t="s">
        <v>2240</v>
      </c>
    </row>
    <row r="655" spans="1:8" ht="15.6" x14ac:dyDescent="0.25">
      <c r="A655" s="190">
        <v>6</v>
      </c>
      <c r="B655" s="190">
        <v>3</v>
      </c>
      <c r="C655" s="195" t="s">
        <v>117</v>
      </c>
      <c r="D655" s="192" t="s">
        <v>137</v>
      </c>
      <c r="E655" s="192" t="s">
        <v>2241</v>
      </c>
      <c r="F655" s="192" t="s">
        <v>81</v>
      </c>
      <c r="G655" s="198">
        <v>67</v>
      </c>
      <c r="H655" s="193" t="s">
        <v>2242</v>
      </c>
    </row>
    <row r="656" spans="1:8" ht="31.15" x14ac:dyDescent="0.25">
      <c r="A656" s="190">
        <v>6</v>
      </c>
      <c r="B656" s="190">
        <v>3</v>
      </c>
      <c r="C656" s="195" t="s">
        <v>117</v>
      </c>
      <c r="D656" s="192" t="s">
        <v>0</v>
      </c>
      <c r="E656" s="192" t="s">
        <v>2243</v>
      </c>
      <c r="F656" s="192" t="s">
        <v>81</v>
      </c>
      <c r="G656" s="198">
        <v>135</v>
      </c>
      <c r="H656" s="193" t="s">
        <v>2244</v>
      </c>
    </row>
    <row r="657" spans="1:8" ht="15.6" x14ac:dyDescent="0.25">
      <c r="A657" s="190">
        <v>6</v>
      </c>
      <c r="B657" s="190">
        <v>3</v>
      </c>
      <c r="C657" s="195" t="s">
        <v>117</v>
      </c>
      <c r="D657" s="192" t="s">
        <v>1</v>
      </c>
      <c r="E657" s="192" t="s">
        <v>2245</v>
      </c>
      <c r="F657" s="192" t="s">
        <v>69</v>
      </c>
      <c r="G657" s="198">
        <v>208</v>
      </c>
      <c r="H657" s="193" t="s">
        <v>2246</v>
      </c>
    </row>
    <row r="658" spans="1:8" ht="31.15" x14ac:dyDescent="0.25">
      <c r="A658" s="190">
        <v>6</v>
      </c>
      <c r="B658" s="190">
        <v>3</v>
      </c>
      <c r="C658" s="195" t="s">
        <v>117</v>
      </c>
      <c r="D658" s="192" t="s">
        <v>1</v>
      </c>
      <c r="E658" s="192" t="s">
        <v>2247</v>
      </c>
      <c r="F658" s="192" t="s">
        <v>81</v>
      </c>
      <c r="G658" s="198">
        <v>27</v>
      </c>
      <c r="H658" s="193" t="s">
        <v>2248</v>
      </c>
    </row>
    <row r="659" spans="1:8" ht="31.15" x14ac:dyDescent="0.25">
      <c r="A659" s="190">
        <v>6</v>
      </c>
      <c r="B659" s="190">
        <v>3</v>
      </c>
      <c r="C659" s="195" t="s">
        <v>117</v>
      </c>
      <c r="D659" s="192" t="s">
        <v>1</v>
      </c>
      <c r="E659" s="192" t="s">
        <v>2249</v>
      </c>
      <c r="F659" s="192" t="s">
        <v>81</v>
      </c>
      <c r="G659" s="198">
        <v>26</v>
      </c>
      <c r="H659" s="193" t="s">
        <v>2250</v>
      </c>
    </row>
    <row r="660" spans="1:8" ht="31.15" x14ac:dyDescent="0.25">
      <c r="A660" s="190">
        <v>6</v>
      </c>
      <c r="B660" s="190">
        <v>3</v>
      </c>
      <c r="C660" s="195" t="s">
        <v>117</v>
      </c>
      <c r="D660" s="192" t="s">
        <v>1</v>
      </c>
      <c r="E660" s="192" t="s">
        <v>2251</v>
      </c>
      <c r="F660" s="192" t="s">
        <v>81</v>
      </c>
      <c r="G660" s="198">
        <v>15</v>
      </c>
      <c r="H660" s="193" t="s">
        <v>2250</v>
      </c>
    </row>
    <row r="661" spans="1:8" ht="31.15" x14ac:dyDescent="0.25">
      <c r="A661" s="210">
        <v>6</v>
      </c>
      <c r="B661" s="210">
        <v>3</v>
      </c>
      <c r="C661" s="195" t="s">
        <v>117</v>
      </c>
      <c r="D661" s="213" t="s">
        <v>1</v>
      </c>
      <c r="E661" s="192" t="s">
        <v>2252</v>
      </c>
      <c r="F661" s="192" t="s">
        <v>81</v>
      </c>
      <c r="G661" s="198">
        <v>21</v>
      </c>
      <c r="H661" s="192" t="s">
        <v>2250</v>
      </c>
    </row>
    <row r="662" spans="1:8" ht="31.15" x14ac:dyDescent="0.25">
      <c r="A662" s="210">
        <v>6</v>
      </c>
      <c r="B662" s="210">
        <v>3</v>
      </c>
      <c r="C662" s="195" t="s">
        <v>117</v>
      </c>
      <c r="D662" s="213" t="s">
        <v>1</v>
      </c>
      <c r="E662" s="214" t="s">
        <v>2253</v>
      </c>
      <c r="F662" s="192" t="s">
        <v>81</v>
      </c>
      <c r="G662" s="198">
        <v>17</v>
      </c>
      <c r="H662" s="192" t="s">
        <v>2250</v>
      </c>
    </row>
    <row r="663" spans="1:8" ht="15.6" x14ac:dyDescent="0.25">
      <c r="A663" s="210">
        <v>6</v>
      </c>
      <c r="B663" s="210">
        <v>3</v>
      </c>
      <c r="C663" s="195" t="s">
        <v>117</v>
      </c>
      <c r="D663" s="213" t="s">
        <v>1</v>
      </c>
      <c r="E663" s="192" t="s">
        <v>2254</v>
      </c>
      <c r="F663" s="192" t="s">
        <v>81</v>
      </c>
      <c r="G663" s="198">
        <v>100</v>
      </c>
      <c r="H663" s="193" t="s">
        <v>2255</v>
      </c>
    </row>
    <row r="664" spans="1:8" ht="31.15" x14ac:dyDescent="0.25">
      <c r="A664" s="210">
        <v>6</v>
      </c>
      <c r="B664" s="210">
        <v>3</v>
      </c>
      <c r="C664" s="195" t="s">
        <v>117</v>
      </c>
      <c r="D664" s="213" t="s">
        <v>1</v>
      </c>
      <c r="E664" s="192" t="s">
        <v>2256</v>
      </c>
      <c r="F664" s="192" t="s">
        <v>69</v>
      </c>
      <c r="G664" s="198">
        <v>14</v>
      </c>
      <c r="H664" s="193" t="s">
        <v>2257</v>
      </c>
    </row>
    <row r="665" spans="1:8" ht="15.6" x14ac:dyDescent="0.25">
      <c r="A665" s="210">
        <v>6</v>
      </c>
      <c r="B665" s="210">
        <v>3</v>
      </c>
      <c r="C665" s="195" t="s">
        <v>117</v>
      </c>
      <c r="D665" s="213" t="s">
        <v>1</v>
      </c>
      <c r="E665" s="192" t="s">
        <v>2258</v>
      </c>
      <c r="F665" s="192" t="s">
        <v>69</v>
      </c>
      <c r="G665" s="198">
        <v>49</v>
      </c>
      <c r="H665" s="193" t="s">
        <v>2259</v>
      </c>
    </row>
    <row r="666" spans="1:8" ht="15.6" x14ac:dyDescent="0.25">
      <c r="A666" s="210">
        <v>6</v>
      </c>
      <c r="B666" s="210">
        <v>3</v>
      </c>
      <c r="C666" s="195" t="s">
        <v>117</v>
      </c>
      <c r="D666" s="213" t="s">
        <v>1</v>
      </c>
      <c r="E666" s="192" t="s">
        <v>2260</v>
      </c>
      <c r="F666" s="192" t="s">
        <v>81</v>
      </c>
      <c r="G666" s="198">
        <v>24</v>
      </c>
      <c r="H666" s="193" t="s">
        <v>2261</v>
      </c>
    </row>
    <row r="667" spans="1:8" ht="62.45" x14ac:dyDescent="0.25">
      <c r="A667" s="210">
        <v>6</v>
      </c>
      <c r="B667" s="210">
        <v>3</v>
      </c>
      <c r="C667" s="195" t="s">
        <v>117</v>
      </c>
      <c r="D667" s="192" t="s">
        <v>1</v>
      </c>
      <c r="E667" s="192" t="s">
        <v>2262</v>
      </c>
      <c r="F667" s="192" t="s">
        <v>69</v>
      </c>
      <c r="G667" s="198">
        <v>546</v>
      </c>
      <c r="H667" s="193" t="s">
        <v>2263</v>
      </c>
    </row>
    <row r="668" spans="1:8" ht="62.45" x14ac:dyDescent="0.25">
      <c r="A668" s="190">
        <v>6</v>
      </c>
      <c r="B668" s="190">
        <v>3</v>
      </c>
      <c r="C668" s="195" t="s">
        <v>117</v>
      </c>
      <c r="D668" s="192" t="s">
        <v>83</v>
      </c>
      <c r="E668" s="192" t="s">
        <v>2264</v>
      </c>
      <c r="F668" s="192" t="s">
        <v>69</v>
      </c>
      <c r="G668" s="198">
        <v>28</v>
      </c>
      <c r="H668" s="193" t="s">
        <v>2265</v>
      </c>
    </row>
    <row r="669" spans="1:8" ht="31.15" x14ac:dyDescent="0.25">
      <c r="A669" s="190">
        <v>6</v>
      </c>
      <c r="B669" s="190">
        <v>3</v>
      </c>
      <c r="C669" s="195" t="s">
        <v>117</v>
      </c>
      <c r="D669" s="191" t="s">
        <v>83</v>
      </c>
      <c r="E669" s="192" t="s">
        <v>2266</v>
      </c>
      <c r="F669" s="192" t="s">
        <v>81</v>
      </c>
      <c r="G669" s="198">
        <v>20</v>
      </c>
      <c r="H669" s="193" t="s">
        <v>2267</v>
      </c>
    </row>
    <row r="670" spans="1:8" ht="31.15" x14ac:dyDescent="0.25">
      <c r="A670" s="190">
        <v>17</v>
      </c>
      <c r="B670" s="190">
        <v>3</v>
      </c>
      <c r="C670" s="195" t="s">
        <v>41</v>
      </c>
      <c r="D670" s="192" t="s">
        <v>137</v>
      </c>
      <c r="E670" s="192" t="s">
        <v>2306</v>
      </c>
      <c r="F670" s="192" t="s">
        <v>81</v>
      </c>
      <c r="G670" s="65">
        <v>69</v>
      </c>
      <c r="H670" s="193" t="s">
        <v>2307</v>
      </c>
    </row>
    <row r="671" spans="1:8" ht="46.9" x14ac:dyDescent="0.25">
      <c r="A671" s="190">
        <v>17</v>
      </c>
      <c r="B671" s="190">
        <v>3</v>
      </c>
      <c r="C671" s="195" t="s">
        <v>41</v>
      </c>
      <c r="D671" s="192" t="s">
        <v>0</v>
      </c>
      <c r="E671" s="192" t="s">
        <v>2292</v>
      </c>
      <c r="F671" s="192" t="s">
        <v>69</v>
      </c>
      <c r="G671" s="198">
        <v>82</v>
      </c>
      <c r="H671" s="193" t="s">
        <v>2308</v>
      </c>
    </row>
    <row r="672" spans="1:8" ht="46.9" x14ac:dyDescent="0.25">
      <c r="A672" s="190">
        <v>17</v>
      </c>
      <c r="B672" s="190">
        <v>3</v>
      </c>
      <c r="C672" s="195" t="s">
        <v>41</v>
      </c>
      <c r="D672" s="192" t="s">
        <v>0</v>
      </c>
      <c r="E672" s="192" t="s">
        <v>2309</v>
      </c>
      <c r="F672" s="192" t="s">
        <v>69</v>
      </c>
      <c r="G672" s="198">
        <v>11</v>
      </c>
      <c r="H672" s="193" t="s">
        <v>2310</v>
      </c>
    </row>
    <row r="673" spans="1:8" ht="31.15" x14ac:dyDescent="0.25">
      <c r="A673" s="190">
        <v>17</v>
      </c>
      <c r="B673" s="190">
        <v>3</v>
      </c>
      <c r="C673" s="195" t="s">
        <v>41</v>
      </c>
      <c r="D673" s="192" t="s">
        <v>1</v>
      </c>
      <c r="E673" s="192" t="s">
        <v>2311</v>
      </c>
      <c r="F673" s="192" t="s">
        <v>81</v>
      </c>
      <c r="G673" s="198">
        <v>18</v>
      </c>
      <c r="H673" s="193" t="s">
        <v>2312</v>
      </c>
    </row>
    <row r="674" spans="1:8" ht="31.15" x14ac:dyDescent="0.25">
      <c r="A674" s="190">
        <v>17</v>
      </c>
      <c r="B674" s="190">
        <v>3</v>
      </c>
      <c r="C674" s="195" t="s">
        <v>41</v>
      </c>
      <c r="D674" s="192" t="s">
        <v>1</v>
      </c>
      <c r="E674" s="192" t="s">
        <v>2313</v>
      </c>
      <c r="F674" s="192" t="s">
        <v>81</v>
      </c>
      <c r="G674" s="198">
        <v>12</v>
      </c>
      <c r="H674" s="193" t="s">
        <v>2314</v>
      </c>
    </row>
    <row r="675" spans="1:8" ht="78" x14ac:dyDescent="0.25">
      <c r="A675" s="190">
        <v>17</v>
      </c>
      <c r="B675" s="190">
        <v>3</v>
      </c>
      <c r="C675" s="195" t="s">
        <v>41</v>
      </c>
      <c r="D675" s="192" t="s">
        <v>1</v>
      </c>
      <c r="E675" s="192" t="s">
        <v>2315</v>
      </c>
      <c r="F675" s="192" t="s">
        <v>81</v>
      </c>
      <c r="G675" s="198">
        <v>9</v>
      </c>
      <c r="H675" s="193" t="s">
        <v>2316</v>
      </c>
    </row>
    <row r="676" spans="1:8" ht="46.9" x14ac:dyDescent="0.25">
      <c r="A676" s="190">
        <v>17</v>
      </c>
      <c r="B676" s="190">
        <v>3</v>
      </c>
      <c r="C676" s="195" t="s">
        <v>41</v>
      </c>
      <c r="D676" s="192" t="s">
        <v>83</v>
      </c>
      <c r="E676" s="192" t="s">
        <v>2303</v>
      </c>
      <c r="F676" s="192" t="s">
        <v>69</v>
      </c>
      <c r="G676" s="198">
        <v>82</v>
      </c>
      <c r="H676" s="193" t="s">
        <v>2308</v>
      </c>
    </row>
    <row r="677" spans="1:8" ht="46.9" x14ac:dyDescent="0.25">
      <c r="A677" s="210">
        <v>17</v>
      </c>
      <c r="B677" s="210">
        <v>3</v>
      </c>
      <c r="C677" s="195" t="s">
        <v>41</v>
      </c>
      <c r="D677" s="192" t="s">
        <v>83</v>
      </c>
      <c r="E677" s="192" t="s">
        <v>2317</v>
      </c>
      <c r="F677" s="192" t="s">
        <v>81</v>
      </c>
      <c r="G677" s="198">
        <v>7</v>
      </c>
      <c r="H677" s="193" t="s">
        <v>2318</v>
      </c>
    </row>
    <row r="678" spans="1:8" ht="78" x14ac:dyDescent="0.25">
      <c r="A678" s="210">
        <v>17</v>
      </c>
      <c r="B678" s="210">
        <v>3</v>
      </c>
      <c r="C678" s="195" t="s">
        <v>41</v>
      </c>
      <c r="D678" s="192" t="s">
        <v>83</v>
      </c>
      <c r="E678" s="192" t="s">
        <v>2319</v>
      </c>
      <c r="F678" s="192" t="s">
        <v>81</v>
      </c>
      <c r="G678" s="198">
        <v>200</v>
      </c>
      <c r="H678" s="193" t="s">
        <v>2320</v>
      </c>
    </row>
    <row r="679" spans="1:8" ht="31.15" x14ac:dyDescent="0.25">
      <c r="A679" s="210">
        <v>8</v>
      </c>
      <c r="B679" s="210">
        <v>3</v>
      </c>
      <c r="C679" s="195" t="s">
        <v>32</v>
      </c>
      <c r="D679" s="191" t="s">
        <v>83</v>
      </c>
      <c r="E679" s="192" t="s">
        <v>2366</v>
      </c>
      <c r="F679" s="191" t="s">
        <v>81</v>
      </c>
      <c r="G679" s="190">
        <v>1</v>
      </c>
      <c r="H679" s="193" t="s">
        <v>2367</v>
      </c>
    </row>
    <row r="680" spans="1:8" ht="15.6" x14ac:dyDescent="0.25">
      <c r="A680" s="210">
        <v>8</v>
      </c>
      <c r="B680" s="210">
        <v>3</v>
      </c>
      <c r="C680" s="195" t="s">
        <v>32</v>
      </c>
      <c r="D680" s="191" t="s">
        <v>0</v>
      </c>
      <c r="E680" s="192" t="s">
        <v>2368</v>
      </c>
      <c r="F680" s="191" t="s">
        <v>69</v>
      </c>
      <c r="G680" s="190">
        <v>3</v>
      </c>
      <c r="H680" s="193" t="s">
        <v>2369</v>
      </c>
    </row>
    <row r="681" spans="1:8" ht="31.15" x14ac:dyDescent="0.25">
      <c r="A681" s="210">
        <v>8</v>
      </c>
      <c r="B681" s="210">
        <v>3</v>
      </c>
      <c r="C681" s="195" t="s">
        <v>32</v>
      </c>
      <c r="D681" s="191" t="s">
        <v>0</v>
      </c>
      <c r="E681" s="192" t="s">
        <v>2370</v>
      </c>
      <c r="F681" s="191" t="s">
        <v>69</v>
      </c>
      <c r="G681" s="190">
        <v>1</v>
      </c>
      <c r="H681" s="193" t="s">
        <v>2371</v>
      </c>
    </row>
    <row r="682" spans="1:8" ht="31.15" x14ac:dyDescent="0.25">
      <c r="A682" s="210">
        <v>8</v>
      </c>
      <c r="B682" s="210">
        <v>3</v>
      </c>
      <c r="C682" s="195" t="s">
        <v>32</v>
      </c>
      <c r="D682" s="191" t="s">
        <v>1</v>
      </c>
      <c r="E682" s="192" t="s">
        <v>2372</v>
      </c>
      <c r="F682" s="191" t="s">
        <v>81</v>
      </c>
      <c r="G682" s="190">
        <v>450</v>
      </c>
      <c r="H682" s="193" t="s">
        <v>2353</v>
      </c>
    </row>
    <row r="683" spans="1:8" ht="31.15" x14ac:dyDescent="0.25">
      <c r="A683" s="210">
        <v>8</v>
      </c>
      <c r="B683" s="210">
        <v>3</v>
      </c>
      <c r="C683" s="195" t="s">
        <v>32</v>
      </c>
      <c r="D683" s="191" t="s">
        <v>1</v>
      </c>
      <c r="E683" s="192" t="s">
        <v>2373</v>
      </c>
      <c r="F683" s="191" t="s">
        <v>81</v>
      </c>
      <c r="G683" s="190">
        <v>6</v>
      </c>
      <c r="H683" s="193" t="s">
        <v>2334</v>
      </c>
    </row>
    <row r="684" spans="1:8" ht="15.6" x14ac:dyDescent="0.25">
      <c r="A684" s="210">
        <v>8</v>
      </c>
      <c r="B684" s="210">
        <v>3</v>
      </c>
      <c r="C684" s="195" t="s">
        <v>32</v>
      </c>
      <c r="D684" s="191" t="s">
        <v>83</v>
      </c>
      <c r="E684" s="192" t="s">
        <v>2362</v>
      </c>
      <c r="F684" s="191" t="s">
        <v>69</v>
      </c>
      <c r="G684" s="190">
        <v>6</v>
      </c>
      <c r="H684" s="193" t="s">
        <v>2374</v>
      </c>
    </row>
    <row r="685" spans="1:8" ht="15.6" x14ac:dyDescent="0.25">
      <c r="A685" s="210">
        <v>8</v>
      </c>
      <c r="B685" s="210">
        <v>3</v>
      </c>
      <c r="C685" s="195" t="s">
        <v>32</v>
      </c>
      <c r="D685" s="191" t="s">
        <v>83</v>
      </c>
      <c r="E685" s="192" t="s">
        <v>2364</v>
      </c>
      <c r="F685" s="191" t="s">
        <v>69</v>
      </c>
      <c r="G685" s="190">
        <v>2</v>
      </c>
      <c r="H685" s="193" t="s">
        <v>2375</v>
      </c>
    </row>
    <row r="686" spans="1:8" ht="15.6" x14ac:dyDescent="0.25">
      <c r="A686" s="210">
        <v>8</v>
      </c>
      <c r="B686" s="210">
        <v>3</v>
      </c>
      <c r="C686" s="195" t="s">
        <v>32</v>
      </c>
      <c r="D686" s="191" t="s">
        <v>83</v>
      </c>
      <c r="E686" s="192" t="s">
        <v>2376</v>
      </c>
      <c r="F686" s="191" t="s">
        <v>69</v>
      </c>
      <c r="G686" s="190">
        <v>2</v>
      </c>
      <c r="H686" s="193" t="s">
        <v>2377</v>
      </c>
    </row>
    <row r="687" spans="1:8" ht="15.6" x14ac:dyDescent="0.25">
      <c r="A687" s="210">
        <v>8</v>
      </c>
      <c r="B687" s="210">
        <v>3</v>
      </c>
      <c r="C687" s="195" t="s">
        <v>32</v>
      </c>
      <c r="D687" s="191" t="s">
        <v>83</v>
      </c>
      <c r="E687" s="192" t="s">
        <v>2378</v>
      </c>
      <c r="F687" s="191" t="s">
        <v>69</v>
      </c>
      <c r="G687" s="190">
        <v>1</v>
      </c>
      <c r="H687" s="193" t="s">
        <v>2379</v>
      </c>
    </row>
    <row r="688" spans="1:8" ht="31.15" x14ac:dyDescent="0.25">
      <c r="A688" s="210">
        <v>8</v>
      </c>
      <c r="B688" s="211">
        <v>3</v>
      </c>
      <c r="C688" s="195" t="s">
        <v>32</v>
      </c>
      <c r="D688" s="191" t="s">
        <v>83</v>
      </c>
      <c r="E688" s="192" t="s">
        <v>2380</v>
      </c>
      <c r="F688" s="191" t="s">
        <v>69</v>
      </c>
      <c r="G688" s="190">
        <v>18</v>
      </c>
      <c r="H688" s="193" t="s">
        <v>2381</v>
      </c>
    </row>
    <row r="689" spans="1:8" ht="31.15" x14ac:dyDescent="0.25">
      <c r="A689" s="190">
        <v>8</v>
      </c>
      <c r="B689" s="190">
        <v>3</v>
      </c>
      <c r="C689" s="195" t="s">
        <v>32</v>
      </c>
      <c r="D689" s="191" t="s">
        <v>83</v>
      </c>
      <c r="E689" s="192" t="s">
        <v>2382</v>
      </c>
      <c r="F689" s="191" t="s">
        <v>81</v>
      </c>
      <c r="G689" s="190">
        <v>112</v>
      </c>
      <c r="H689" s="193" t="s">
        <v>2383</v>
      </c>
    </row>
    <row r="690" spans="1:8" ht="31.15" x14ac:dyDescent="0.25">
      <c r="A690" s="190">
        <v>19</v>
      </c>
      <c r="B690" s="190">
        <v>3</v>
      </c>
      <c r="C690" s="195" t="s">
        <v>43</v>
      </c>
      <c r="D690" s="191" t="s">
        <v>137</v>
      </c>
      <c r="E690" s="192" t="s">
        <v>2417</v>
      </c>
      <c r="F690" s="191" t="s">
        <v>69</v>
      </c>
      <c r="G690" s="190">
        <v>3</v>
      </c>
      <c r="H690" s="193" t="s">
        <v>2418</v>
      </c>
    </row>
    <row r="691" spans="1:8" ht="62.45" x14ac:dyDescent="0.25">
      <c r="A691" s="190">
        <v>19</v>
      </c>
      <c r="B691" s="190">
        <v>3</v>
      </c>
      <c r="C691" s="195" t="s">
        <v>43</v>
      </c>
      <c r="D691" s="191" t="s">
        <v>0</v>
      </c>
      <c r="E691" s="192" t="s">
        <v>2419</v>
      </c>
      <c r="F691" s="191" t="s">
        <v>81</v>
      </c>
      <c r="G691" s="190">
        <v>47</v>
      </c>
      <c r="H691" s="193" t="s">
        <v>2420</v>
      </c>
    </row>
    <row r="692" spans="1:8" ht="46.9" x14ac:dyDescent="0.25">
      <c r="A692" s="190">
        <v>19</v>
      </c>
      <c r="B692" s="190">
        <v>3</v>
      </c>
      <c r="C692" s="195" t="s">
        <v>43</v>
      </c>
      <c r="D692" s="191" t="s">
        <v>0</v>
      </c>
      <c r="E692" s="192" t="s">
        <v>2421</v>
      </c>
      <c r="F692" s="191" t="s">
        <v>81</v>
      </c>
      <c r="G692" s="190">
        <v>6</v>
      </c>
      <c r="H692" s="193" t="s">
        <v>2422</v>
      </c>
    </row>
    <row r="693" spans="1:8" ht="46.9" x14ac:dyDescent="0.25">
      <c r="A693" s="190">
        <v>19</v>
      </c>
      <c r="B693" s="190">
        <v>3</v>
      </c>
      <c r="C693" s="195" t="s">
        <v>43</v>
      </c>
      <c r="D693" s="191" t="s">
        <v>0</v>
      </c>
      <c r="E693" s="192" t="s">
        <v>2423</v>
      </c>
      <c r="F693" s="191" t="s">
        <v>81</v>
      </c>
      <c r="G693" s="190">
        <v>7</v>
      </c>
      <c r="H693" s="193" t="s">
        <v>2424</v>
      </c>
    </row>
    <row r="694" spans="1:8" ht="31.15" x14ac:dyDescent="0.25">
      <c r="A694" s="190">
        <v>19</v>
      </c>
      <c r="B694" s="190">
        <v>3</v>
      </c>
      <c r="C694" s="195" t="s">
        <v>43</v>
      </c>
      <c r="D694" s="191" t="s">
        <v>1</v>
      </c>
      <c r="E694" s="192" t="s">
        <v>2425</v>
      </c>
      <c r="F694" s="191" t="s">
        <v>81</v>
      </c>
      <c r="G694" s="190">
        <v>20</v>
      </c>
      <c r="H694" s="193" t="s">
        <v>2426</v>
      </c>
    </row>
    <row r="695" spans="1:8" ht="46.9" x14ac:dyDescent="0.25">
      <c r="A695" s="190">
        <v>19</v>
      </c>
      <c r="B695" s="190">
        <v>3</v>
      </c>
      <c r="C695" s="195" t="s">
        <v>43</v>
      </c>
      <c r="D695" s="191" t="s">
        <v>1</v>
      </c>
      <c r="E695" s="192" t="s">
        <v>2427</v>
      </c>
      <c r="F695" s="191" t="s">
        <v>81</v>
      </c>
      <c r="G695" s="190">
        <v>15</v>
      </c>
      <c r="H695" s="193" t="s">
        <v>2426</v>
      </c>
    </row>
    <row r="696" spans="1:8" ht="31.15" x14ac:dyDescent="0.25">
      <c r="A696" s="190">
        <v>19</v>
      </c>
      <c r="B696" s="190">
        <v>3</v>
      </c>
      <c r="C696" s="195" t="s">
        <v>43</v>
      </c>
      <c r="D696" s="191" t="s">
        <v>1</v>
      </c>
      <c r="E696" s="192" t="s">
        <v>2428</v>
      </c>
      <c r="F696" s="191" t="s">
        <v>81</v>
      </c>
      <c r="G696" s="190">
        <v>27</v>
      </c>
      <c r="H696" s="193" t="s">
        <v>2429</v>
      </c>
    </row>
    <row r="697" spans="1:8" ht="31.15" x14ac:dyDescent="0.25">
      <c r="A697" s="190">
        <v>19</v>
      </c>
      <c r="B697" s="190">
        <v>3</v>
      </c>
      <c r="C697" s="195" t="s">
        <v>43</v>
      </c>
      <c r="D697" s="191" t="s">
        <v>1</v>
      </c>
      <c r="E697" s="192" t="s">
        <v>2430</v>
      </c>
      <c r="F697" s="191" t="s">
        <v>81</v>
      </c>
      <c r="G697" s="190">
        <v>9</v>
      </c>
      <c r="H697" s="193" t="s">
        <v>2426</v>
      </c>
    </row>
    <row r="698" spans="1:8" ht="31.15" x14ac:dyDescent="0.25">
      <c r="A698" s="211">
        <v>19</v>
      </c>
      <c r="B698" s="211">
        <v>3</v>
      </c>
      <c r="C698" s="212" t="s">
        <v>43</v>
      </c>
      <c r="D698" s="191" t="s">
        <v>1</v>
      </c>
      <c r="E698" s="192" t="s">
        <v>2431</v>
      </c>
      <c r="F698" s="191" t="s">
        <v>81</v>
      </c>
      <c r="G698" s="190">
        <v>20</v>
      </c>
      <c r="H698" s="193" t="s">
        <v>2432</v>
      </c>
    </row>
    <row r="699" spans="1:8" ht="46.9" x14ac:dyDescent="0.25">
      <c r="A699" s="210">
        <v>19</v>
      </c>
      <c r="B699" s="210">
        <v>3</v>
      </c>
      <c r="C699" s="195" t="s">
        <v>43</v>
      </c>
      <c r="D699" s="191" t="s">
        <v>1</v>
      </c>
      <c r="E699" s="192" t="s">
        <v>2433</v>
      </c>
      <c r="F699" s="191" t="s">
        <v>81</v>
      </c>
      <c r="G699" s="190">
        <v>18</v>
      </c>
      <c r="H699" s="193" t="s">
        <v>2434</v>
      </c>
    </row>
    <row r="700" spans="1:8" ht="46.9" x14ac:dyDescent="0.25">
      <c r="A700" s="210">
        <v>19</v>
      </c>
      <c r="B700" s="210">
        <v>3</v>
      </c>
      <c r="C700" s="195" t="s">
        <v>43</v>
      </c>
      <c r="D700" s="191" t="s">
        <v>83</v>
      </c>
      <c r="E700" s="192" t="s">
        <v>2435</v>
      </c>
      <c r="F700" s="191" t="s">
        <v>69</v>
      </c>
      <c r="G700" s="190">
        <v>3</v>
      </c>
      <c r="H700" s="193" t="s">
        <v>2436</v>
      </c>
    </row>
    <row r="701" spans="1:8" ht="31.15" x14ac:dyDescent="0.25">
      <c r="A701" s="210">
        <v>28</v>
      </c>
      <c r="B701" s="210">
        <v>3</v>
      </c>
      <c r="C701" s="195" t="s">
        <v>52</v>
      </c>
      <c r="D701" s="191" t="s">
        <v>83</v>
      </c>
      <c r="E701" s="192" t="s">
        <v>2481</v>
      </c>
      <c r="F701" s="191" t="s">
        <v>69</v>
      </c>
      <c r="G701" s="190">
        <v>47</v>
      </c>
      <c r="H701" s="193" t="s">
        <v>2482</v>
      </c>
    </row>
    <row r="702" spans="1:8" ht="46.9" x14ac:dyDescent="0.25">
      <c r="A702" s="210">
        <v>28</v>
      </c>
      <c r="B702" s="210">
        <v>3</v>
      </c>
      <c r="C702" s="195" t="s">
        <v>52</v>
      </c>
      <c r="D702" s="191" t="s">
        <v>83</v>
      </c>
      <c r="E702" s="192" t="s">
        <v>2483</v>
      </c>
      <c r="F702" s="191" t="s">
        <v>69</v>
      </c>
      <c r="G702" s="190">
        <v>100</v>
      </c>
      <c r="H702" s="193" t="s">
        <v>2484</v>
      </c>
    </row>
    <row r="703" spans="1:8" ht="46.9" x14ac:dyDescent="0.25">
      <c r="A703" s="210">
        <v>28</v>
      </c>
      <c r="B703" s="210">
        <v>3</v>
      </c>
      <c r="C703" s="195" t="s">
        <v>52</v>
      </c>
      <c r="D703" s="191" t="s">
        <v>4</v>
      </c>
      <c r="E703" s="192" t="s">
        <v>2485</v>
      </c>
      <c r="F703" s="191" t="s">
        <v>81</v>
      </c>
      <c r="G703" s="190">
        <v>139</v>
      </c>
      <c r="H703" s="193" t="s">
        <v>2486</v>
      </c>
    </row>
    <row r="704" spans="1:8" ht="31.15" x14ac:dyDescent="0.25">
      <c r="A704" s="210">
        <v>28</v>
      </c>
      <c r="B704" s="210">
        <v>3</v>
      </c>
      <c r="C704" s="195" t="s">
        <v>52</v>
      </c>
      <c r="D704" s="191" t="s">
        <v>1</v>
      </c>
      <c r="E704" s="192" t="s">
        <v>2487</v>
      </c>
      <c r="F704" s="191" t="s">
        <v>81</v>
      </c>
      <c r="G704" s="190">
        <v>599</v>
      </c>
      <c r="H704" s="193" t="s">
        <v>2488</v>
      </c>
    </row>
    <row r="705" spans="1:8" ht="31.15" x14ac:dyDescent="0.25">
      <c r="A705" s="210">
        <v>28</v>
      </c>
      <c r="B705" s="210">
        <v>3</v>
      </c>
      <c r="C705" s="195" t="s">
        <v>52</v>
      </c>
      <c r="D705" s="191" t="s">
        <v>4</v>
      </c>
      <c r="E705" s="192" t="s">
        <v>2489</v>
      </c>
      <c r="F705" s="191" t="s">
        <v>69</v>
      </c>
      <c r="G705" s="190">
        <v>13</v>
      </c>
      <c r="H705" s="193" t="s">
        <v>2490</v>
      </c>
    </row>
    <row r="706" spans="1:8" ht="46.9" x14ac:dyDescent="0.25">
      <c r="A706" s="210">
        <v>28</v>
      </c>
      <c r="B706" s="210">
        <v>3</v>
      </c>
      <c r="C706" s="195" t="s">
        <v>52</v>
      </c>
      <c r="D706" s="191" t="s">
        <v>0</v>
      </c>
      <c r="E706" s="192" t="s">
        <v>2491</v>
      </c>
      <c r="F706" s="191" t="s">
        <v>81</v>
      </c>
      <c r="G706" s="190">
        <v>116</v>
      </c>
      <c r="H706" s="193" t="s">
        <v>2492</v>
      </c>
    </row>
    <row r="707" spans="1:8" ht="46.9" x14ac:dyDescent="0.25">
      <c r="A707" s="210">
        <v>28</v>
      </c>
      <c r="B707" s="210">
        <v>3</v>
      </c>
      <c r="C707" s="195" t="s">
        <v>52</v>
      </c>
      <c r="D707" s="191" t="s">
        <v>0</v>
      </c>
      <c r="E707" s="192" t="s">
        <v>2493</v>
      </c>
      <c r="F707" s="191" t="s">
        <v>69</v>
      </c>
      <c r="G707" s="190">
        <v>19</v>
      </c>
      <c r="H707" s="193" t="s">
        <v>2494</v>
      </c>
    </row>
    <row r="708" spans="1:8" ht="31.15" x14ac:dyDescent="0.25">
      <c r="A708" s="210">
        <v>28</v>
      </c>
      <c r="B708" s="210">
        <v>3</v>
      </c>
      <c r="C708" s="195" t="s">
        <v>52</v>
      </c>
      <c r="D708" s="191" t="s">
        <v>0</v>
      </c>
      <c r="E708" s="192" t="s">
        <v>2495</v>
      </c>
      <c r="F708" s="191" t="s">
        <v>81</v>
      </c>
      <c r="G708" s="190">
        <v>276</v>
      </c>
      <c r="H708" s="193" t="s">
        <v>2496</v>
      </c>
    </row>
    <row r="709" spans="1:8" ht="31.15" x14ac:dyDescent="0.25">
      <c r="A709" s="210">
        <v>28</v>
      </c>
      <c r="B709" s="210">
        <v>3</v>
      </c>
      <c r="C709" s="195" t="s">
        <v>52</v>
      </c>
      <c r="D709" s="191" t="s">
        <v>0</v>
      </c>
      <c r="E709" s="192" t="s">
        <v>2497</v>
      </c>
      <c r="F709" s="191" t="s">
        <v>69</v>
      </c>
      <c r="G709" s="190">
        <v>197</v>
      </c>
      <c r="H709" s="193" t="s">
        <v>2498</v>
      </c>
    </row>
    <row r="710" spans="1:8" ht="31.15" x14ac:dyDescent="0.25">
      <c r="A710" s="210">
        <v>28</v>
      </c>
      <c r="B710" s="210">
        <v>3</v>
      </c>
      <c r="C710" s="195" t="s">
        <v>52</v>
      </c>
      <c r="D710" s="191" t="s">
        <v>559</v>
      </c>
      <c r="E710" s="192" t="s">
        <v>2499</v>
      </c>
      <c r="F710" s="191" t="s">
        <v>69</v>
      </c>
      <c r="G710" s="190">
        <v>15</v>
      </c>
      <c r="H710" s="193" t="s">
        <v>2500</v>
      </c>
    </row>
    <row r="711" spans="1:8" ht="31.15" x14ac:dyDescent="0.25">
      <c r="A711" s="190">
        <v>28</v>
      </c>
      <c r="B711" s="190">
        <v>3</v>
      </c>
      <c r="C711" s="195" t="s">
        <v>52</v>
      </c>
      <c r="D711" s="191" t="s">
        <v>1731</v>
      </c>
      <c r="E711" s="192" t="s">
        <v>2501</v>
      </c>
      <c r="F711" s="191" t="s">
        <v>81</v>
      </c>
      <c r="G711" s="190">
        <v>8</v>
      </c>
      <c r="H711" s="193" t="s">
        <v>2502</v>
      </c>
    </row>
    <row r="712" spans="1:8" ht="31.15" x14ac:dyDescent="0.25">
      <c r="A712" s="190">
        <v>28</v>
      </c>
      <c r="B712" s="190">
        <v>3</v>
      </c>
      <c r="C712" s="195" t="s">
        <v>52</v>
      </c>
      <c r="D712" s="191" t="s">
        <v>1</v>
      </c>
      <c r="E712" s="192" t="s">
        <v>2503</v>
      </c>
      <c r="F712" s="191" t="s">
        <v>69</v>
      </c>
      <c r="G712" s="190">
        <v>188</v>
      </c>
      <c r="H712" s="193" t="s">
        <v>2504</v>
      </c>
    </row>
    <row r="713" spans="1:8" ht="31.15" x14ac:dyDescent="0.25">
      <c r="A713" s="190">
        <v>28</v>
      </c>
      <c r="B713" s="190">
        <v>3</v>
      </c>
      <c r="C713" s="195" t="s">
        <v>52</v>
      </c>
      <c r="D713" s="191" t="s">
        <v>1</v>
      </c>
      <c r="E713" s="192" t="s">
        <v>2505</v>
      </c>
      <c r="F713" s="191" t="s">
        <v>81</v>
      </c>
      <c r="G713" s="190">
        <v>1786</v>
      </c>
      <c r="H713" s="193" t="s">
        <v>2506</v>
      </c>
    </row>
    <row r="714" spans="1:8" ht="31.15" x14ac:dyDescent="0.25">
      <c r="A714" s="190">
        <v>28</v>
      </c>
      <c r="B714" s="190">
        <v>3</v>
      </c>
      <c r="C714" s="195" t="s">
        <v>52</v>
      </c>
      <c r="D714" s="191" t="s">
        <v>1</v>
      </c>
      <c r="E714" s="192" t="s">
        <v>2507</v>
      </c>
      <c r="F714" s="191" t="s">
        <v>69</v>
      </c>
      <c r="G714" s="190">
        <v>50</v>
      </c>
      <c r="H714" s="193" t="s">
        <v>2508</v>
      </c>
    </row>
    <row r="715" spans="1:8" ht="62.45" x14ac:dyDescent="0.25">
      <c r="A715" s="190">
        <v>28</v>
      </c>
      <c r="B715" s="190">
        <v>3</v>
      </c>
      <c r="C715" s="195" t="s">
        <v>52</v>
      </c>
      <c r="D715" s="191" t="s">
        <v>1</v>
      </c>
      <c r="E715" s="192" t="s">
        <v>2509</v>
      </c>
      <c r="F715" s="191" t="s">
        <v>69</v>
      </c>
      <c r="G715" s="190">
        <v>894</v>
      </c>
      <c r="H715" s="193" t="s">
        <v>2510</v>
      </c>
    </row>
    <row r="716" spans="1:8" ht="31.15" x14ac:dyDescent="0.25">
      <c r="A716" s="190">
        <v>28</v>
      </c>
      <c r="B716" s="190">
        <v>3</v>
      </c>
      <c r="C716" s="195" t="s">
        <v>52</v>
      </c>
      <c r="D716" s="191" t="s">
        <v>1</v>
      </c>
      <c r="E716" s="192" t="s">
        <v>2511</v>
      </c>
      <c r="F716" s="191" t="s">
        <v>69</v>
      </c>
      <c r="G716" s="190">
        <v>202</v>
      </c>
      <c r="H716" s="193" t="s">
        <v>2512</v>
      </c>
    </row>
    <row r="717" spans="1:8" ht="31.15" x14ac:dyDescent="0.25">
      <c r="A717" s="190">
        <v>28</v>
      </c>
      <c r="B717" s="190">
        <v>3</v>
      </c>
      <c r="C717" s="195" t="s">
        <v>52</v>
      </c>
      <c r="D717" s="191" t="s">
        <v>1</v>
      </c>
      <c r="E717" s="193" t="s">
        <v>2513</v>
      </c>
      <c r="F717" s="191" t="s">
        <v>81</v>
      </c>
      <c r="G717" s="190">
        <v>114</v>
      </c>
      <c r="H717" s="193" t="s">
        <v>2514</v>
      </c>
    </row>
    <row r="718" spans="1:8" ht="31.15" x14ac:dyDescent="0.25">
      <c r="A718" s="190">
        <v>28</v>
      </c>
      <c r="B718" s="190">
        <v>3</v>
      </c>
      <c r="C718" s="195" t="s">
        <v>52</v>
      </c>
      <c r="D718" s="191" t="s">
        <v>1</v>
      </c>
      <c r="E718" s="192" t="s">
        <v>2515</v>
      </c>
      <c r="F718" s="191" t="s">
        <v>69</v>
      </c>
      <c r="G718" s="190">
        <v>79</v>
      </c>
      <c r="H718" s="193" t="s">
        <v>2516</v>
      </c>
    </row>
    <row r="719" spans="1:8" ht="31.15" x14ac:dyDescent="0.25">
      <c r="A719" s="190">
        <v>28</v>
      </c>
      <c r="B719" s="190">
        <v>3</v>
      </c>
      <c r="C719" s="195" t="s">
        <v>52</v>
      </c>
      <c r="D719" s="191" t="s">
        <v>83</v>
      </c>
      <c r="E719" s="192" t="s">
        <v>2517</v>
      </c>
      <c r="F719" s="191" t="s">
        <v>69</v>
      </c>
      <c r="G719" s="190">
        <v>651</v>
      </c>
      <c r="H719" s="193" t="s">
        <v>2518</v>
      </c>
    </row>
    <row r="720" spans="1:8" ht="15.6" x14ac:dyDescent="0.25">
      <c r="A720" s="190">
        <v>28</v>
      </c>
      <c r="B720" s="190">
        <v>3</v>
      </c>
      <c r="C720" s="195" t="s">
        <v>52</v>
      </c>
      <c r="D720" s="191" t="s">
        <v>83</v>
      </c>
      <c r="E720" s="192" t="s">
        <v>2519</v>
      </c>
      <c r="F720" s="191" t="s">
        <v>69</v>
      </c>
      <c r="G720" s="190">
        <v>44</v>
      </c>
      <c r="H720" s="193" t="s">
        <v>2520</v>
      </c>
    </row>
    <row r="721" spans="1:8" ht="31.15" x14ac:dyDescent="0.25">
      <c r="A721" s="190">
        <v>28</v>
      </c>
      <c r="B721" s="190">
        <v>3</v>
      </c>
      <c r="C721" s="195" t="s">
        <v>52</v>
      </c>
      <c r="D721" s="191" t="s">
        <v>83</v>
      </c>
      <c r="E721" s="192" t="s">
        <v>2521</v>
      </c>
      <c r="F721" s="191" t="s">
        <v>69</v>
      </c>
      <c r="G721" s="190">
        <v>678</v>
      </c>
      <c r="H721" s="193" t="s">
        <v>2522</v>
      </c>
    </row>
    <row r="722" spans="1:8" ht="46.9" x14ac:dyDescent="0.25">
      <c r="A722" s="190">
        <v>28</v>
      </c>
      <c r="B722" s="190">
        <v>3</v>
      </c>
      <c r="C722" s="195" t="s">
        <v>52</v>
      </c>
      <c r="D722" s="191" t="s">
        <v>83</v>
      </c>
      <c r="E722" s="192" t="s">
        <v>2523</v>
      </c>
      <c r="F722" s="191" t="s">
        <v>81</v>
      </c>
      <c r="G722" s="190">
        <v>25</v>
      </c>
      <c r="H722" s="193" t="s">
        <v>2524</v>
      </c>
    </row>
    <row r="723" spans="1:8" ht="31.15" x14ac:dyDescent="0.25">
      <c r="A723" s="190">
        <v>28</v>
      </c>
      <c r="B723" s="190">
        <v>3</v>
      </c>
      <c r="C723" s="195" t="s">
        <v>52</v>
      </c>
      <c r="D723" s="201" t="s">
        <v>83</v>
      </c>
      <c r="E723" s="192" t="s">
        <v>2525</v>
      </c>
      <c r="F723" s="191" t="s">
        <v>81</v>
      </c>
      <c r="G723" s="190">
        <v>131</v>
      </c>
      <c r="H723" s="193" t="s">
        <v>2526</v>
      </c>
    </row>
    <row r="724" spans="1:8" ht="31.15" x14ac:dyDescent="0.25">
      <c r="A724" s="190">
        <v>28</v>
      </c>
      <c r="B724" s="190">
        <v>3</v>
      </c>
      <c r="C724" s="195" t="s">
        <v>52</v>
      </c>
      <c r="D724" s="201" t="s">
        <v>83</v>
      </c>
      <c r="E724" s="192" t="s">
        <v>2527</v>
      </c>
      <c r="F724" s="191" t="s">
        <v>69</v>
      </c>
      <c r="G724" s="190">
        <v>11344</v>
      </c>
      <c r="H724" s="193" t="s">
        <v>2528</v>
      </c>
    </row>
    <row r="725" spans="1:8" ht="31.15" x14ac:dyDescent="0.25">
      <c r="A725" s="190">
        <v>28</v>
      </c>
      <c r="B725" s="190">
        <v>3</v>
      </c>
      <c r="C725" s="195" t="s">
        <v>52</v>
      </c>
      <c r="D725" s="191" t="s">
        <v>83</v>
      </c>
      <c r="E725" s="192" t="s">
        <v>2529</v>
      </c>
      <c r="F725" s="191" t="s">
        <v>81</v>
      </c>
      <c r="G725" s="190">
        <v>447</v>
      </c>
      <c r="H725" s="193" t="s">
        <v>2530</v>
      </c>
    </row>
    <row r="726" spans="1:8" ht="31.15" x14ac:dyDescent="0.25">
      <c r="A726" s="190">
        <v>13</v>
      </c>
      <c r="B726" s="190">
        <v>3</v>
      </c>
      <c r="C726" s="195" t="s">
        <v>37</v>
      </c>
      <c r="D726" s="191" t="s">
        <v>0</v>
      </c>
      <c r="E726" s="192" t="s">
        <v>2579</v>
      </c>
      <c r="F726" s="191" t="s">
        <v>81</v>
      </c>
      <c r="G726" s="190">
        <v>25</v>
      </c>
      <c r="H726" s="193" t="s">
        <v>2569</v>
      </c>
    </row>
    <row r="727" spans="1:8" ht="15.6" x14ac:dyDescent="0.25">
      <c r="A727" s="190">
        <v>13</v>
      </c>
      <c r="B727" s="190">
        <v>3</v>
      </c>
      <c r="C727" s="195" t="s">
        <v>37</v>
      </c>
      <c r="D727" s="191" t="s">
        <v>1</v>
      </c>
      <c r="E727" s="192" t="s">
        <v>2580</v>
      </c>
      <c r="F727" s="191" t="s">
        <v>69</v>
      </c>
      <c r="G727" s="190">
        <v>29</v>
      </c>
      <c r="H727" s="193" t="s">
        <v>2581</v>
      </c>
    </row>
    <row r="728" spans="1:8" ht="62.45" x14ac:dyDescent="0.25">
      <c r="A728" s="190">
        <v>13</v>
      </c>
      <c r="B728" s="190">
        <v>3</v>
      </c>
      <c r="C728" s="195" t="s">
        <v>37</v>
      </c>
      <c r="D728" s="191" t="s">
        <v>137</v>
      </c>
      <c r="E728" s="192" t="s">
        <v>2582</v>
      </c>
      <c r="F728" s="191" t="s">
        <v>81</v>
      </c>
      <c r="G728" s="190">
        <v>96</v>
      </c>
      <c r="H728" s="193" t="s">
        <v>2583</v>
      </c>
    </row>
    <row r="729" spans="1:8" ht="31.15" x14ac:dyDescent="0.25">
      <c r="A729" s="190">
        <v>13</v>
      </c>
      <c r="B729" s="190">
        <v>3</v>
      </c>
      <c r="C729" s="195" t="s">
        <v>37</v>
      </c>
      <c r="D729" s="191" t="s">
        <v>0</v>
      </c>
      <c r="E729" s="192" t="s">
        <v>2584</v>
      </c>
      <c r="F729" s="191" t="s">
        <v>81</v>
      </c>
      <c r="G729" s="190">
        <v>10</v>
      </c>
      <c r="H729" s="193" t="s">
        <v>2585</v>
      </c>
    </row>
    <row r="730" spans="1:8" ht="31.15" x14ac:dyDescent="0.25">
      <c r="A730" s="190">
        <v>13</v>
      </c>
      <c r="B730" s="190">
        <v>3</v>
      </c>
      <c r="C730" s="195" t="s">
        <v>37</v>
      </c>
      <c r="D730" s="201" t="s">
        <v>0</v>
      </c>
      <c r="E730" s="192" t="s">
        <v>2586</v>
      </c>
      <c r="F730" s="191" t="s">
        <v>81</v>
      </c>
      <c r="G730" s="190">
        <v>24</v>
      </c>
      <c r="H730" s="193" t="s">
        <v>2569</v>
      </c>
    </row>
    <row r="731" spans="1:8" ht="46.9" x14ac:dyDescent="0.25">
      <c r="A731" s="190">
        <v>13</v>
      </c>
      <c r="B731" s="190">
        <v>3</v>
      </c>
      <c r="C731" s="195" t="s">
        <v>37</v>
      </c>
      <c r="D731" s="201" t="s">
        <v>1</v>
      </c>
      <c r="E731" s="192" t="s">
        <v>2587</v>
      </c>
      <c r="F731" s="191" t="s">
        <v>81</v>
      </c>
      <c r="G731" s="190">
        <v>239</v>
      </c>
      <c r="H731" s="193" t="s">
        <v>2588</v>
      </c>
    </row>
    <row r="732" spans="1:8" ht="46.9" x14ac:dyDescent="0.25">
      <c r="A732" s="190">
        <v>13</v>
      </c>
      <c r="B732" s="190">
        <v>3</v>
      </c>
      <c r="C732" s="195" t="s">
        <v>37</v>
      </c>
      <c r="D732" s="201" t="s">
        <v>1</v>
      </c>
      <c r="E732" s="192" t="s">
        <v>2589</v>
      </c>
      <c r="F732" s="191" t="s">
        <v>81</v>
      </c>
      <c r="G732" s="190">
        <v>56</v>
      </c>
      <c r="H732" s="193" t="s">
        <v>2556</v>
      </c>
    </row>
    <row r="733" spans="1:8" ht="15.6" x14ac:dyDescent="0.25">
      <c r="A733" s="190">
        <v>13</v>
      </c>
      <c r="B733" s="190">
        <v>3</v>
      </c>
      <c r="C733" s="195" t="s">
        <v>37</v>
      </c>
      <c r="D733" s="191" t="s">
        <v>1</v>
      </c>
      <c r="E733" s="192" t="s">
        <v>2590</v>
      </c>
      <c r="F733" s="191" t="s">
        <v>81</v>
      </c>
      <c r="G733" s="190">
        <v>30</v>
      </c>
      <c r="H733" s="193" t="s">
        <v>2567</v>
      </c>
    </row>
    <row r="734" spans="1:8" ht="31.15" x14ac:dyDescent="0.25">
      <c r="A734" s="190">
        <v>13</v>
      </c>
      <c r="B734" s="190">
        <v>3</v>
      </c>
      <c r="C734" s="195" t="s">
        <v>37</v>
      </c>
      <c r="D734" s="191" t="s">
        <v>1</v>
      </c>
      <c r="E734" s="192" t="s">
        <v>2591</v>
      </c>
      <c r="F734" s="191" t="s">
        <v>81</v>
      </c>
      <c r="G734" s="190">
        <v>22</v>
      </c>
      <c r="H734" s="193" t="s">
        <v>215</v>
      </c>
    </row>
    <row r="735" spans="1:8" ht="31.15" x14ac:dyDescent="0.25">
      <c r="A735" s="190">
        <v>13</v>
      </c>
      <c r="B735" s="190">
        <v>3</v>
      </c>
      <c r="C735" s="195" t="s">
        <v>37</v>
      </c>
      <c r="D735" s="191" t="s">
        <v>1</v>
      </c>
      <c r="E735" s="192" t="s">
        <v>2592</v>
      </c>
      <c r="F735" s="191" t="s">
        <v>81</v>
      </c>
      <c r="G735" s="190">
        <v>5</v>
      </c>
      <c r="H735" s="193" t="s">
        <v>2585</v>
      </c>
    </row>
    <row r="736" spans="1:8" ht="31.15" x14ac:dyDescent="0.25">
      <c r="A736" s="190">
        <v>13</v>
      </c>
      <c r="B736" s="190">
        <v>3</v>
      </c>
      <c r="C736" s="195" t="s">
        <v>37</v>
      </c>
      <c r="D736" s="191" t="s">
        <v>1</v>
      </c>
      <c r="E736" s="192" t="s">
        <v>2593</v>
      </c>
      <c r="F736" s="191" t="s">
        <v>81</v>
      </c>
      <c r="G736" s="190">
        <v>40</v>
      </c>
      <c r="H736" s="193" t="s">
        <v>2561</v>
      </c>
    </row>
    <row r="737" spans="1:8" ht="15.6" x14ac:dyDescent="0.25">
      <c r="A737" s="190">
        <v>13</v>
      </c>
      <c r="B737" s="190">
        <v>3</v>
      </c>
      <c r="C737" s="195" t="s">
        <v>37</v>
      </c>
      <c r="D737" s="191" t="s">
        <v>83</v>
      </c>
      <c r="E737" s="192" t="s">
        <v>2594</v>
      </c>
      <c r="F737" s="191" t="s">
        <v>69</v>
      </c>
      <c r="G737" s="190">
        <v>40</v>
      </c>
      <c r="H737" s="193" t="s">
        <v>2595</v>
      </c>
    </row>
    <row r="738" spans="1:8" ht="31.15" x14ac:dyDescent="0.25">
      <c r="A738" s="190">
        <v>13</v>
      </c>
      <c r="B738" s="190">
        <v>3</v>
      </c>
      <c r="C738" s="195" t="s">
        <v>37</v>
      </c>
      <c r="D738" s="191" t="s">
        <v>83</v>
      </c>
      <c r="E738" s="192" t="s">
        <v>2576</v>
      </c>
      <c r="F738" s="191" t="s">
        <v>69</v>
      </c>
      <c r="G738" s="190">
        <v>8</v>
      </c>
      <c r="H738" s="193" t="s">
        <v>2596</v>
      </c>
    </row>
    <row r="739" spans="1:8" ht="31.15" x14ac:dyDescent="0.25">
      <c r="A739" s="189">
        <v>13</v>
      </c>
      <c r="B739" s="190">
        <v>3</v>
      </c>
      <c r="C739" s="195" t="s">
        <v>37</v>
      </c>
      <c r="D739" s="191" t="s">
        <v>83</v>
      </c>
      <c r="E739" s="192" t="s">
        <v>2597</v>
      </c>
      <c r="F739" s="191" t="s">
        <v>81</v>
      </c>
      <c r="G739" s="190">
        <v>1</v>
      </c>
      <c r="H739" s="193" t="s">
        <v>2598</v>
      </c>
    </row>
    <row r="740" spans="1:8" ht="31.15" x14ac:dyDescent="0.25">
      <c r="A740" s="190">
        <v>13</v>
      </c>
      <c r="B740" s="190">
        <v>3</v>
      </c>
      <c r="C740" s="195" t="s">
        <v>37</v>
      </c>
      <c r="D740" s="191" t="s">
        <v>83</v>
      </c>
      <c r="E740" s="192" t="s">
        <v>2599</v>
      </c>
      <c r="F740" s="191" t="s">
        <v>69</v>
      </c>
      <c r="G740" s="190">
        <v>5</v>
      </c>
      <c r="H740" s="193" t="s">
        <v>2600</v>
      </c>
    </row>
    <row r="741" spans="1:8" ht="31.15" x14ac:dyDescent="0.25">
      <c r="A741" s="190">
        <v>13</v>
      </c>
      <c r="B741" s="190">
        <v>3</v>
      </c>
      <c r="C741" s="195" t="s">
        <v>37</v>
      </c>
      <c r="D741" s="191" t="s">
        <v>83</v>
      </c>
      <c r="E741" s="192" t="s">
        <v>2601</v>
      </c>
      <c r="F741" s="191" t="s">
        <v>81</v>
      </c>
      <c r="G741" s="190">
        <v>8</v>
      </c>
      <c r="H741" s="193" t="s">
        <v>2602</v>
      </c>
    </row>
    <row r="742" spans="1:8" ht="62.45" x14ac:dyDescent="0.25">
      <c r="A742" s="190">
        <v>13</v>
      </c>
      <c r="B742" s="190">
        <v>3</v>
      </c>
      <c r="C742" s="195" t="s">
        <v>37</v>
      </c>
      <c r="D742" s="201" t="s">
        <v>83</v>
      </c>
      <c r="E742" s="192" t="s">
        <v>2603</v>
      </c>
      <c r="F742" s="191" t="s">
        <v>81</v>
      </c>
      <c r="G742" s="190">
        <v>3</v>
      </c>
      <c r="H742" s="192" t="s">
        <v>2604</v>
      </c>
    </row>
    <row r="743" spans="1:8" ht="46.9" x14ac:dyDescent="0.25">
      <c r="A743" s="190">
        <v>23</v>
      </c>
      <c r="B743" s="190">
        <v>3</v>
      </c>
      <c r="C743" s="195" t="s">
        <v>47</v>
      </c>
      <c r="D743" s="201" t="s">
        <v>0</v>
      </c>
      <c r="E743" s="192" t="s">
        <v>2638</v>
      </c>
      <c r="F743" s="191" t="s">
        <v>81</v>
      </c>
      <c r="G743" s="190">
        <v>25</v>
      </c>
      <c r="H743" s="192" t="s">
        <v>2619</v>
      </c>
    </row>
    <row r="744" spans="1:8" ht="31.15" x14ac:dyDescent="0.25">
      <c r="A744" s="190">
        <v>23</v>
      </c>
      <c r="B744" s="190">
        <v>3</v>
      </c>
      <c r="C744" s="195" t="s">
        <v>47</v>
      </c>
      <c r="D744" s="191" t="s">
        <v>1</v>
      </c>
      <c r="E744" s="192" t="s">
        <v>2639</v>
      </c>
      <c r="F744" s="191" t="s">
        <v>81</v>
      </c>
      <c r="G744" s="190">
        <v>1</v>
      </c>
      <c r="H744" s="193" t="s">
        <v>2628</v>
      </c>
    </row>
    <row r="745" spans="1:8" ht="93.6" x14ac:dyDescent="0.25">
      <c r="A745" s="190">
        <v>23</v>
      </c>
      <c r="B745" s="190">
        <v>3</v>
      </c>
      <c r="C745" s="195" t="s">
        <v>47</v>
      </c>
      <c r="D745" s="191" t="s">
        <v>1</v>
      </c>
      <c r="E745" s="192" t="s">
        <v>2640</v>
      </c>
      <c r="F745" s="191" t="s">
        <v>81</v>
      </c>
      <c r="G745" s="190">
        <v>49</v>
      </c>
      <c r="H745" s="193" t="s">
        <v>2641</v>
      </c>
    </row>
    <row r="746" spans="1:8" ht="31.15" x14ac:dyDescent="0.25">
      <c r="A746" s="190">
        <v>23</v>
      </c>
      <c r="B746" s="190">
        <v>3</v>
      </c>
      <c r="C746" s="195" t="s">
        <v>47</v>
      </c>
      <c r="D746" s="201" t="s">
        <v>1</v>
      </c>
      <c r="E746" s="192" t="s">
        <v>2642</v>
      </c>
      <c r="F746" s="191" t="s">
        <v>81</v>
      </c>
      <c r="G746" s="190">
        <v>441</v>
      </c>
      <c r="H746" s="193" t="s">
        <v>2641</v>
      </c>
    </row>
    <row r="747" spans="1:8" ht="156" x14ac:dyDescent="0.25">
      <c r="A747" s="190">
        <v>23</v>
      </c>
      <c r="B747" s="190">
        <v>3</v>
      </c>
      <c r="C747" s="195" t="s">
        <v>47</v>
      </c>
      <c r="D747" s="191" t="s">
        <v>1</v>
      </c>
      <c r="E747" s="192" t="s">
        <v>2643</v>
      </c>
      <c r="F747" s="191" t="s">
        <v>81</v>
      </c>
      <c r="G747" s="190">
        <v>104</v>
      </c>
      <c r="H747" s="193" t="s">
        <v>2641</v>
      </c>
    </row>
    <row r="748" spans="1:8" ht="46.9" x14ac:dyDescent="0.25">
      <c r="A748" s="190">
        <v>23</v>
      </c>
      <c r="B748" s="190">
        <v>3</v>
      </c>
      <c r="C748" s="195" t="s">
        <v>47</v>
      </c>
      <c r="D748" s="191" t="s">
        <v>1</v>
      </c>
      <c r="E748" s="192" t="s">
        <v>2644</v>
      </c>
      <c r="F748" s="191" t="s">
        <v>81</v>
      </c>
      <c r="G748" s="190">
        <v>280</v>
      </c>
      <c r="H748" s="193" t="s">
        <v>2641</v>
      </c>
    </row>
    <row r="749" spans="1:8" ht="31.15" x14ac:dyDescent="0.25">
      <c r="A749" s="190">
        <v>23</v>
      </c>
      <c r="B749" s="190">
        <v>3</v>
      </c>
      <c r="C749" s="195" t="s">
        <v>47</v>
      </c>
      <c r="D749" s="191" t="s">
        <v>1</v>
      </c>
      <c r="E749" s="192" t="s">
        <v>2645</v>
      </c>
      <c r="F749" s="191" t="s">
        <v>81</v>
      </c>
      <c r="G749" s="190">
        <v>16</v>
      </c>
      <c r="H749" s="193" t="s">
        <v>2627</v>
      </c>
    </row>
    <row r="750" spans="1:8" ht="15.6" x14ac:dyDescent="0.25">
      <c r="A750" s="190">
        <v>23</v>
      </c>
      <c r="B750" s="190">
        <v>3</v>
      </c>
      <c r="C750" s="195" t="s">
        <v>47</v>
      </c>
      <c r="D750" s="201" t="s">
        <v>83</v>
      </c>
      <c r="E750" s="192" t="s">
        <v>2646</v>
      </c>
      <c r="F750" s="191" t="s">
        <v>69</v>
      </c>
      <c r="G750" s="190">
        <v>13</v>
      </c>
      <c r="H750" s="192" t="s">
        <v>2647</v>
      </c>
    </row>
    <row r="751" spans="1:8" ht="62.45" x14ac:dyDescent="0.25">
      <c r="A751" s="190">
        <v>23</v>
      </c>
      <c r="B751" s="190">
        <v>3</v>
      </c>
      <c r="C751" s="195" t="s">
        <v>47</v>
      </c>
      <c r="D751" s="191" t="s">
        <v>1731</v>
      </c>
      <c r="E751" s="192" t="s">
        <v>2648</v>
      </c>
      <c r="F751" s="191" t="s">
        <v>69</v>
      </c>
      <c r="G751" s="190">
        <v>510</v>
      </c>
      <c r="H751" s="193" t="s">
        <v>2649</v>
      </c>
    </row>
    <row r="752" spans="1:8" ht="46.9" x14ac:dyDescent="0.25">
      <c r="A752" s="190">
        <v>23</v>
      </c>
      <c r="B752" s="190">
        <v>3</v>
      </c>
      <c r="C752" s="195" t="s">
        <v>47</v>
      </c>
      <c r="D752" s="201" t="s">
        <v>83</v>
      </c>
      <c r="E752" s="192" t="s">
        <v>2650</v>
      </c>
      <c r="F752" s="191" t="s">
        <v>69</v>
      </c>
      <c r="G752" s="190">
        <v>21</v>
      </c>
      <c r="H752" s="192" t="s">
        <v>2651</v>
      </c>
    </row>
    <row r="753" spans="1:8" ht="46.9" x14ac:dyDescent="0.25">
      <c r="A753" s="190">
        <v>23</v>
      </c>
      <c r="B753" s="190">
        <v>3</v>
      </c>
      <c r="C753" s="195" t="s">
        <v>47</v>
      </c>
      <c r="D753" s="201" t="s">
        <v>83</v>
      </c>
      <c r="E753" s="192" t="s">
        <v>2652</v>
      </c>
      <c r="F753" s="191" t="s">
        <v>81</v>
      </c>
      <c r="G753" s="190">
        <v>29</v>
      </c>
      <c r="H753" s="193" t="s">
        <v>2634</v>
      </c>
    </row>
    <row r="754" spans="1:8" ht="31.15" x14ac:dyDescent="0.25">
      <c r="A754" s="190">
        <v>23</v>
      </c>
      <c r="B754" s="190">
        <v>3</v>
      </c>
      <c r="C754" s="195" t="s">
        <v>47</v>
      </c>
      <c r="D754" s="201" t="s">
        <v>83</v>
      </c>
      <c r="E754" s="192" t="s">
        <v>2653</v>
      </c>
      <c r="F754" s="191" t="s">
        <v>81</v>
      </c>
      <c r="G754" s="190">
        <v>26</v>
      </c>
      <c r="H754" s="193" t="s">
        <v>2632</v>
      </c>
    </row>
    <row r="755" spans="1:8" ht="46.9" x14ac:dyDescent="0.25">
      <c r="A755" s="190">
        <v>23</v>
      </c>
      <c r="B755" s="190">
        <v>3</v>
      </c>
      <c r="C755" s="195" t="s">
        <v>47</v>
      </c>
      <c r="D755" s="201" t="s">
        <v>83</v>
      </c>
      <c r="E755" s="192" t="s">
        <v>2654</v>
      </c>
      <c r="F755" s="191" t="s">
        <v>81</v>
      </c>
      <c r="G755" s="190">
        <v>24</v>
      </c>
      <c r="H755" s="193" t="s">
        <v>2630</v>
      </c>
    </row>
    <row r="756" spans="1:8" ht="62.45" x14ac:dyDescent="0.25">
      <c r="A756" s="190">
        <v>23</v>
      </c>
      <c r="B756" s="190">
        <v>3</v>
      </c>
      <c r="C756" s="195" t="s">
        <v>47</v>
      </c>
      <c r="D756" s="201" t="s">
        <v>83</v>
      </c>
      <c r="E756" s="192" t="s">
        <v>2655</v>
      </c>
      <c r="F756" s="191" t="s">
        <v>81</v>
      </c>
      <c r="G756" s="190">
        <v>195</v>
      </c>
      <c r="H756" s="193" t="s">
        <v>2656</v>
      </c>
    </row>
    <row r="757" spans="1:8" ht="15.6" x14ac:dyDescent="0.25">
      <c r="A757" s="190">
        <v>27</v>
      </c>
      <c r="B757" s="190">
        <v>3</v>
      </c>
      <c r="C757" s="195" t="s">
        <v>51</v>
      </c>
      <c r="D757" s="201" t="s">
        <v>0</v>
      </c>
      <c r="E757" s="192" t="s">
        <v>2684</v>
      </c>
      <c r="F757" s="191" t="s">
        <v>69</v>
      </c>
      <c r="G757" s="190">
        <v>8</v>
      </c>
      <c r="H757" s="193" t="s">
        <v>2685</v>
      </c>
    </row>
    <row r="758" spans="1:8" ht="31.15" x14ac:dyDescent="0.25">
      <c r="A758" s="190">
        <v>27</v>
      </c>
      <c r="B758" s="190">
        <v>3</v>
      </c>
      <c r="C758" s="195" t="s">
        <v>51</v>
      </c>
      <c r="D758" s="201" t="s">
        <v>1</v>
      </c>
      <c r="E758" s="192" t="s">
        <v>2686</v>
      </c>
      <c r="F758" s="191" t="s">
        <v>69</v>
      </c>
      <c r="G758" s="190">
        <v>10</v>
      </c>
      <c r="H758" s="193" t="s">
        <v>2687</v>
      </c>
    </row>
    <row r="759" spans="1:8" ht="78" x14ac:dyDescent="0.25">
      <c r="A759" s="190">
        <v>27</v>
      </c>
      <c r="B759" s="190">
        <v>3</v>
      </c>
      <c r="C759" s="195" t="s">
        <v>51</v>
      </c>
      <c r="D759" s="201" t="s">
        <v>1</v>
      </c>
      <c r="E759" s="192" t="s">
        <v>2688</v>
      </c>
      <c r="F759" s="191" t="s">
        <v>69</v>
      </c>
      <c r="G759" s="190">
        <v>154</v>
      </c>
      <c r="H759" s="193" t="s">
        <v>2689</v>
      </c>
    </row>
    <row r="760" spans="1:8" ht="15.6" x14ac:dyDescent="0.25">
      <c r="A760" s="190">
        <v>27</v>
      </c>
      <c r="B760" s="190">
        <v>3</v>
      </c>
      <c r="C760" s="195" t="s">
        <v>51</v>
      </c>
      <c r="D760" s="201" t="s">
        <v>1</v>
      </c>
      <c r="E760" s="192" t="s">
        <v>2690</v>
      </c>
      <c r="F760" s="191" t="s">
        <v>69</v>
      </c>
      <c r="G760" s="190">
        <v>20</v>
      </c>
      <c r="H760" s="193" t="s">
        <v>2658</v>
      </c>
    </row>
    <row r="761" spans="1:8" ht="31.15" x14ac:dyDescent="0.25">
      <c r="A761" s="190">
        <v>27</v>
      </c>
      <c r="B761" s="190">
        <v>3</v>
      </c>
      <c r="C761" s="195" t="s">
        <v>51</v>
      </c>
      <c r="D761" s="201" t="s">
        <v>1</v>
      </c>
      <c r="E761" s="192" t="s">
        <v>2691</v>
      </c>
      <c r="F761" s="191" t="s">
        <v>69</v>
      </c>
      <c r="G761" s="190">
        <v>45</v>
      </c>
      <c r="H761" s="193" t="s">
        <v>2664</v>
      </c>
    </row>
    <row r="762" spans="1:8" ht="31.15" x14ac:dyDescent="0.25">
      <c r="A762" s="190">
        <v>27</v>
      </c>
      <c r="B762" s="190">
        <v>3</v>
      </c>
      <c r="C762" s="195" t="s">
        <v>51</v>
      </c>
      <c r="D762" s="201" t="s">
        <v>1</v>
      </c>
      <c r="E762" s="192" t="s">
        <v>3326</v>
      </c>
      <c r="F762" s="191" t="s">
        <v>69</v>
      </c>
      <c r="G762" s="190">
        <v>20</v>
      </c>
      <c r="H762" s="193" t="s">
        <v>2658</v>
      </c>
    </row>
    <row r="763" spans="1:8" ht="62.45" x14ac:dyDescent="0.25">
      <c r="A763" s="190">
        <v>27</v>
      </c>
      <c r="B763" s="190">
        <v>3</v>
      </c>
      <c r="C763" s="195" t="s">
        <v>51</v>
      </c>
      <c r="D763" s="201" t="s">
        <v>1</v>
      </c>
      <c r="E763" s="192" t="s">
        <v>2692</v>
      </c>
      <c r="F763" s="191" t="s">
        <v>81</v>
      </c>
      <c r="G763" s="190">
        <v>104</v>
      </c>
      <c r="H763" s="193" t="s">
        <v>2693</v>
      </c>
    </row>
    <row r="764" spans="1:8" ht="15.6" x14ac:dyDescent="0.25">
      <c r="A764" s="190">
        <v>27</v>
      </c>
      <c r="B764" s="190">
        <v>3</v>
      </c>
      <c r="C764" s="195" t="s">
        <v>51</v>
      </c>
      <c r="D764" s="201" t="s">
        <v>83</v>
      </c>
      <c r="E764" s="192" t="s">
        <v>2669</v>
      </c>
      <c r="F764" s="191" t="s">
        <v>69</v>
      </c>
      <c r="G764" s="190">
        <v>3</v>
      </c>
      <c r="H764" s="193" t="s">
        <v>2694</v>
      </c>
    </row>
    <row r="765" spans="1:8" ht="109.15" x14ac:dyDescent="0.25">
      <c r="A765" s="190">
        <v>4</v>
      </c>
      <c r="B765" s="190">
        <v>3</v>
      </c>
      <c r="C765" s="195" t="s">
        <v>95</v>
      </c>
      <c r="D765" s="201" t="s">
        <v>4</v>
      </c>
      <c r="E765" s="192" t="s">
        <v>2747</v>
      </c>
      <c r="F765" s="191" t="s">
        <v>69</v>
      </c>
      <c r="G765" s="190">
        <v>2</v>
      </c>
      <c r="H765" s="193" t="s">
        <v>2748</v>
      </c>
    </row>
    <row r="766" spans="1:8" ht="202.9" x14ac:dyDescent="0.25">
      <c r="A766" s="190">
        <v>4</v>
      </c>
      <c r="B766" s="190">
        <v>3</v>
      </c>
      <c r="C766" s="195" t="s">
        <v>95</v>
      </c>
      <c r="D766" s="201" t="s">
        <v>4</v>
      </c>
      <c r="E766" s="192" t="s">
        <v>2749</v>
      </c>
      <c r="F766" s="191" t="s">
        <v>69</v>
      </c>
      <c r="G766" s="190">
        <v>11</v>
      </c>
      <c r="H766" s="193" t="s">
        <v>2750</v>
      </c>
    </row>
    <row r="767" spans="1:8" ht="62.45" x14ac:dyDescent="0.25">
      <c r="A767" s="189">
        <v>4</v>
      </c>
      <c r="B767" s="190">
        <v>3</v>
      </c>
      <c r="C767" s="195" t="s">
        <v>95</v>
      </c>
      <c r="D767" s="191" t="s">
        <v>0</v>
      </c>
      <c r="E767" s="192" t="s">
        <v>2751</v>
      </c>
      <c r="F767" s="191" t="s">
        <v>69</v>
      </c>
      <c r="G767" s="190">
        <v>3</v>
      </c>
      <c r="H767" s="193" t="s">
        <v>2752</v>
      </c>
    </row>
    <row r="768" spans="1:8" ht="46.9" x14ac:dyDescent="0.25">
      <c r="A768" s="189">
        <v>4</v>
      </c>
      <c r="B768" s="190">
        <v>3</v>
      </c>
      <c r="C768" s="195" t="s">
        <v>95</v>
      </c>
      <c r="D768" s="191" t="s">
        <v>0</v>
      </c>
      <c r="E768" s="192" t="s">
        <v>2753</v>
      </c>
      <c r="F768" s="191" t="s">
        <v>69</v>
      </c>
      <c r="G768" s="190">
        <v>67</v>
      </c>
      <c r="H768" s="193" t="s">
        <v>2754</v>
      </c>
    </row>
    <row r="769" spans="1:8" ht="62.45" x14ac:dyDescent="0.25">
      <c r="A769" s="189">
        <v>4</v>
      </c>
      <c r="B769" s="190">
        <v>3</v>
      </c>
      <c r="C769" s="195" t="s">
        <v>95</v>
      </c>
      <c r="D769" s="191" t="s">
        <v>0</v>
      </c>
      <c r="E769" s="192" t="s">
        <v>2755</v>
      </c>
      <c r="F769" s="191" t="s">
        <v>81</v>
      </c>
      <c r="G769" s="190">
        <v>90</v>
      </c>
      <c r="H769" s="193" t="s">
        <v>2756</v>
      </c>
    </row>
    <row r="770" spans="1:8" ht="62.45" x14ac:dyDescent="0.25">
      <c r="A770" s="189">
        <v>4</v>
      </c>
      <c r="B770" s="190">
        <v>3</v>
      </c>
      <c r="C770" s="195" t="s">
        <v>95</v>
      </c>
      <c r="D770" s="191" t="s">
        <v>0</v>
      </c>
      <c r="E770" s="192" t="s">
        <v>2757</v>
      </c>
      <c r="F770" s="191" t="s">
        <v>81</v>
      </c>
      <c r="G770" s="190">
        <v>55</v>
      </c>
      <c r="H770" s="193" t="s">
        <v>2758</v>
      </c>
    </row>
    <row r="771" spans="1:8" ht="46.9" x14ac:dyDescent="0.25">
      <c r="A771" s="189">
        <v>4</v>
      </c>
      <c r="B771" s="190">
        <v>3</v>
      </c>
      <c r="C771" s="195" t="s">
        <v>95</v>
      </c>
      <c r="D771" s="191" t="s">
        <v>1</v>
      </c>
      <c r="E771" s="192" t="s">
        <v>2759</v>
      </c>
      <c r="F771" s="191" t="s">
        <v>69</v>
      </c>
      <c r="G771" s="190">
        <v>128</v>
      </c>
      <c r="H771" s="193" t="s">
        <v>2760</v>
      </c>
    </row>
    <row r="772" spans="1:8" ht="46.9" x14ac:dyDescent="0.25">
      <c r="A772" s="189">
        <v>4</v>
      </c>
      <c r="B772" s="190">
        <v>3</v>
      </c>
      <c r="C772" s="195" t="s">
        <v>95</v>
      </c>
      <c r="D772" s="191" t="s">
        <v>1</v>
      </c>
      <c r="E772" s="192" t="s">
        <v>2761</v>
      </c>
      <c r="F772" s="191" t="s">
        <v>69</v>
      </c>
      <c r="G772" s="190">
        <v>27</v>
      </c>
      <c r="H772" s="193" t="s">
        <v>2762</v>
      </c>
    </row>
    <row r="773" spans="1:8" ht="31.15" x14ac:dyDescent="0.25">
      <c r="A773" s="189">
        <v>4</v>
      </c>
      <c r="B773" s="190">
        <v>3</v>
      </c>
      <c r="C773" s="195" t="s">
        <v>95</v>
      </c>
      <c r="D773" s="191" t="s">
        <v>1</v>
      </c>
      <c r="E773" s="192" t="s">
        <v>2763</v>
      </c>
      <c r="F773" s="191" t="s">
        <v>69</v>
      </c>
      <c r="G773" s="190">
        <v>196</v>
      </c>
      <c r="H773" s="193" t="s">
        <v>2764</v>
      </c>
    </row>
    <row r="774" spans="1:8" ht="62.45" x14ac:dyDescent="0.25">
      <c r="A774" s="189">
        <v>4</v>
      </c>
      <c r="B774" s="190">
        <v>3</v>
      </c>
      <c r="C774" s="195" t="s">
        <v>95</v>
      </c>
      <c r="D774" s="191" t="s">
        <v>1</v>
      </c>
      <c r="E774" s="192" t="s">
        <v>2765</v>
      </c>
      <c r="F774" s="191" t="s">
        <v>69</v>
      </c>
      <c r="G774" s="190">
        <v>310</v>
      </c>
      <c r="H774" s="193" t="s">
        <v>2766</v>
      </c>
    </row>
    <row r="775" spans="1:8" ht="46.9" x14ac:dyDescent="0.25">
      <c r="A775" s="189">
        <v>4</v>
      </c>
      <c r="B775" s="190">
        <v>3</v>
      </c>
      <c r="C775" s="195" t="s">
        <v>95</v>
      </c>
      <c r="D775" s="191" t="s">
        <v>1</v>
      </c>
      <c r="E775" s="192" t="s">
        <v>2767</v>
      </c>
      <c r="F775" s="191" t="s">
        <v>69</v>
      </c>
      <c r="G775" s="190">
        <v>100</v>
      </c>
      <c r="H775" s="193" t="s">
        <v>2768</v>
      </c>
    </row>
    <row r="776" spans="1:8" ht="31.15" x14ac:dyDescent="0.25">
      <c r="A776" s="190">
        <v>4</v>
      </c>
      <c r="B776" s="190">
        <v>3</v>
      </c>
      <c r="C776" s="195" t="s">
        <v>95</v>
      </c>
      <c r="D776" s="191" t="s">
        <v>1</v>
      </c>
      <c r="E776" s="192" t="s">
        <v>2769</v>
      </c>
      <c r="F776" s="191" t="s">
        <v>81</v>
      </c>
      <c r="G776" s="190">
        <v>24</v>
      </c>
      <c r="H776" s="193" t="s">
        <v>2770</v>
      </c>
    </row>
    <row r="777" spans="1:8" ht="31.15" x14ac:dyDescent="0.25">
      <c r="A777" s="190">
        <v>4</v>
      </c>
      <c r="B777" s="190">
        <v>3</v>
      </c>
      <c r="C777" s="195" t="s">
        <v>95</v>
      </c>
      <c r="D777" s="191" t="s">
        <v>1</v>
      </c>
      <c r="E777" s="192" t="s">
        <v>2771</v>
      </c>
      <c r="F777" s="191" t="s">
        <v>69</v>
      </c>
      <c r="G777" s="190">
        <v>21</v>
      </c>
      <c r="H777" s="193" t="s">
        <v>2772</v>
      </c>
    </row>
    <row r="778" spans="1:8" ht="109.15" x14ac:dyDescent="0.25">
      <c r="A778" s="190">
        <v>4</v>
      </c>
      <c r="B778" s="190">
        <v>3</v>
      </c>
      <c r="C778" s="195" t="s">
        <v>95</v>
      </c>
      <c r="D778" s="191" t="s">
        <v>83</v>
      </c>
      <c r="E778" s="192" t="s">
        <v>2735</v>
      </c>
      <c r="F778" s="191" t="s">
        <v>69</v>
      </c>
      <c r="G778" s="190">
        <v>7</v>
      </c>
      <c r="H778" s="193" t="s">
        <v>2736</v>
      </c>
    </row>
    <row r="779" spans="1:8" ht="93.6" x14ac:dyDescent="0.25">
      <c r="A779" s="190">
        <v>4</v>
      </c>
      <c r="B779" s="190">
        <v>3</v>
      </c>
      <c r="C779" s="195" t="s">
        <v>95</v>
      </c>
      <c r="D779" s="191" t="s">
        <v>83</v>
      </c>
      <c r="E779" s="192" t="s">
        <v>2709</v>
      </c>
      <c r="F779" s="191" t="s">
        <v>69</v>
      </c>
      <c r="G779" s="190">
        <v>5</v>
      </c>
      <c r="H779" s="193" t="s">
        <v>2773</v>
      </c>
    </row>
    <row r="780" spans="1:8" ht="46.9" x14ac:dyDescent="0.25">
      <c r="A780" s="190">
        <v>4</v>
      </c>
      <c r="B780" s="190">
        <v>3</v>
      </c>
      <c r="C780" s="195" t="s">
        <v>95</v>
      </c>
      <c r="D780" s="191" t="s">
        <v>83</v>
      </c>
      <c r="E780" s="192" t="s">
        <v>2774</v>
      </c>
      <c r="F780" s="191" t="s">
        <v>69</v>
      </c>
      <c r="G780" s="190">
        <v>15</v>
      </c>
      <c r="H780" s="193" t="s">
        <v>2775</v>
      </c>
    </row>
    <row r="781" spans="1:8" ht="93.6" x14ac:dyDescent="0.25">
      <c r="A781" s="190">
        <v>4</v>
      </c>
      <c r="B781" s="190">
        <v>3</v>
      </c>
      <c r="C781" s="195" t="s">
        <v>95</v>
      </c>
      <c r="D781" s="191" t="s">
        <v>83</v>
      </c>
      <c r="E781" s="192" t="s">
        <v>2776</v>
      </c>
      <c r="F781" s="191" t="s">
        <v>69</v>
      </c>
      <c r="G781" s="190">
        <v>18</v>
      </c>
      <c r="H781" s="193" t="s">
        <v>2777</v>
      </c>
    </row>
    <row r="782" spans="1:8" ht="46.9" x14ac:dyDescent="0.25">
      <c r="A782" s="190">
        <v>4</v>
      </c>
      <c r="B782" s="190">
        <v>3</v>
      </c>
      <c r="C782" s="195" t="s">
        <v>95</v>
      </c>
      <c r="D782" s="191" t="s">
        <v>83</v>
      </c>
      <c r="E782" s="192" t="s">
        <v>2778</v>
      </c>
      <c r="F782" s="191" t="s">
        <v>69</v>
      </c>
      <c r="G782" s="190">
        <v>156</v>
      </c>
      <c r="H782" s="193" t="s">
        <v>2779</v>
      </c>
    </row>
    <row r="783" spans="1:8" ht="78" x14ac:dyDescent="0.25">
      <c r="A783" s="190">
        <v>4</v>
      </c>
      <c r="B783" s="190">
        <v>3</v>
      </c>
      <c r="C783" s="195" t="s">
        <v>95</v>
      </c>
      <c r="D783" s="191" t="s">
        <v>83</v>
      </c>
      <c r="E783" s="192" t="s">
        <v>2780</v>
      </c>
      <c r="F783" s="191" t="s">
        <v>81</v>
      </c>
      <c r="G783" s="190">
        <v>3</v>
      </c>
      <c r="H783" s="193" t="s">
        <v>106</v>
      </c>
    </row>
    <row r="784" spans="1:8" ht="62.45" x14ac:dyDescent="0.25">
      <c r="A784" s="190">
        <v>4</v>
      </c>
      <c r="B784" s="190">
        <v>3</v>
      </c>
      <c r="C784" s="195" t="s">
        <v>95</v>
      </c>
      <c r="D784" s="191" t="s">
        <v>83</v>
      </c>
      <c r="E784" s="192" t="s">
        <v>2781</v>
      </c>
      <c r="F784" s="191" t="s">
        <v>81</v>
      </c>
      <c r="G784" s="190">
        <v>12</v>
      </c>
      <c r="H784" s="193" t="s">
        <v>2782</v>
      </c>
    </row>
    <row r="785" spans="1:8" ht="46.9" x14ac:dyDescent="0.25">
      <c r="A785" s="190">
        <v>4</v>
      </c>
      <c r="B785" s="190">
        <v>3</v>
      </c>
      <c r="C785" s="195" t="s">
        <v>95</v>
      </c>
      <c r="D785" s="191" t="s">
        <v>83</v>
      </c>
      <c r="E785" s="192" t="s">
        <v>2783</v>
      </c>
      <c r="F785" s="191" t="s">
        <v>81</v>
      </c>
      <c r="G785" s="190">
        <v>18</v>
      </c>
      <c r="H785" s="193" t="s">
        <v>2784</v>
      </c>
    </row>
    <row r="786" spans="1:8" ht="46.9" x14ac:dyDescent="0.25">
      <c r="A786" s="190">
        <v>4</v>
      </c>
      <c r="B786" s="190">
        <v>3</v>
      </c>
      <c r="C786" s="195" t="s">
        <v>95</v>
      </c>
      <c r="D786" s="191" t="s">
        <v>83</v>
      </c>
      <c r="E786" s="192" t="s">
        <v>2785</v>
      </c>
      <c r="F786" s="191" t="s">
        <v>81</v>
      </c>
      <c r="G786" s="190">
        <v>2</v>
      </c>
      <c r="H786" s="193" t="s">
        <v>2786</v>
      </c>
    </row>
    <row r="787" spans="1:8" ht="62.45" x14ac:dyDescent="0.25">
      <c r="A787" s="190">
        <v>4</v>
      </c>
      <c r="B787" s="190">
        <v>3</v>
      </c>
      <c r="C787" s="195" t="s">
        <v>95</v>
      </c>
      <c r="D787" s="191" t="s">
        <v>83</v>
      </c>
      <c r="E787" s="192" t="s">
        <v>2787</v>
      </c>
      <c r="F787" s="191" t="s">
        <v>81</v>
      </c>
      <c r="G787" s="190">
        <v>150</v>
      </c>
      <c r="H787" s="193" t="s">
        <v>2788</v>
      </c>
    </row>
    <row r="788" spans="1:8" ht="46.9" x14ac:dyDescent="0.25">
      <c r="A788" s="190">
        <v>4</v>
      </c>
      <c r="B788" s="190">
        <v>3</v>
      </c>
      <c r="C788" s="195" t="s">
        <v>95</v>
      </c>
      <c r="D788" s="191" t="s">
        <v>83</v>
      </c>
      <c r="E788" s="192" t="s">
        <v>2789</v>
      </c>
      <c r="F788" s="191" t="s">
        <v>81</v>
      </c>
      <c r="G788" s="190">
        <v>8</v>
      </c>
      <c r="H788" s="193" t="s">
        <v>2790</v>
      </c>
    </row>
    <row r="789" spans="1:8" ht="140.44999999999999" x14ac:dyDescent="0.25">
      <c r="A789" s="190">
        <v>3</v>
      </c>
      <c r="B789" s="190">
        <v>3</v>
      </c>
      <c r="C789" s="195" t="s">
        <v>27</v>
      </c>
      <c r="D789" s="191" t="s">
        <v>0</v>
      </c>
      <c r="E789" s="192" t="s">
        <v>2817</v>
      </c>
      <c r="F789" s="191" t="s">
        <v>69</v>
      </c>
      <c r="G789" s="190">
        <v>19</v>
      </c>
      <c r="H789" s="193" t="s">
        <v>2818</v>
      </c>
    </row>
    <row r="790" spans="1:8" ht="93.6" x14ac:dyDescent="0.25">
      <c r="A790" s="190">
        <v>3</v>
      </c>
      <c r="B790" s="190">
        <v>3</v>
      </c>
      <c r="C790" s="195" t="s">
        <v>27</v>
      </c>
      <c r="D790" s="191" t="s">
        <v>1</v>
      </c>
      <c r="E790" s="192" t="s">
        <v>2819</v>
      </c>
      <c r="F790" s="191" t="s">
        <v>69</v>
      </c>
      <c r="G790" s="190">
        <v>31</v>
      </c>
      <c r="H790" s="193" t="s">
        <v>2820</v>
      </c>
    </row>
    <row r="791" spans="1:8" ht="62.45" x14ac:dyDescent="0.25">
      <c r="A791" s="190">
        <v>3</v>
      </c>
      <c r="B791" s="190">
        <v>3</v>
      </c>
      <c r="C791" s="195" t="s">
        <v>27</v>
      </c>
      <c r="D791" s="191" t="s">
        <v>83</v>
      </c>
      <c r="E791" s="192" t="s">
        <v>2821</v>
      </c>
      <c r="F791" s="191" t="s">
        <v>69</v>
      </c>
      <c r="G791" s="190" t="s">
        <v>93</v>
      </c>
      <c r="H791" s="193" t="s">
        <v>106</v>
      </c>
    </row>
    <row r="792" spans="1:8" ht="46.9" x14ac:dyDescent="0.25">
      <c r="A792" s="190">
        <v>3</v>
      </c>
      <c r="B792" s="190">
        <v>3</v>
      </c>
      <c r="C792" s="195" t="s">
        <v>27</v>
      </c>
      <c r="D792" s="191" t="s">
        <v>83</v>
      </c>
      <c r="E792" s="192" t="s">
        <v>2816</v>
      </c>
      <c r="F792" s="191" t="s">
        <v>69</v>
      </c>
      <c r="G792" s="190">
        <v>43</v>
      </c>
      <c r="H792" s="193" t="s">
        <v>2822</v>
      </c>
    </row>
    <row r="793" spans="1:8" ht="15.6" x14ac:dyDescent="0.25">
      <c r="A793" s="190">
        <v>3</v>
      </c>
      <c r="B793" s="190">
        <v>3</v>
      </c>
      <c r="C793" s="195" t="s">
        <v>27</v>
      </c>
      <c r="D793" s="191" t="s">
        <v>83</v>
      </c>
      <c r="E793" s="192" t="s">
        <v>2799</v>
      </c>
      <c r="F793" s="191" t="s">
        <v>69</v>
      </c>
      <c r="G793" s="190">
        <v>4</v>
      </c>
      <c r="H793" s="193" t="s">
        <v>2800</v>
      </c>
    </row>
    <row r="794" spans="1:8" ht="109.15" x14ac:dyDescent="0.25">
      <c r="A794" s="190">
        <v>3</v>
      </c>
      <c r="B794" s="190">
        <v>3</v>
      </c>
      <c r="C794" s="195" t="s">
        <v>27</v>
      </c>
      <c r="D794" s="191" t="s">
        <v>83</v>
      </c>
      <c r="E794" s="192" t="s">
        <v>2823</v>
      </c>
      <c r="F794" s="191" t="s">
        <v>69</v>
      </c>
      <c r="G794" s="190">
        <v>43</v>
      </c>
      <c r="H794" s="193" t="s">
        <v>2814</v>
      </c>
    </row>
    <row r="795" spans="1:8" ht="62.45" x14ac:dyDescent="0.25">
      <c r="A795" s="190">
        <v>3</v>
      </c>
      <c r="B795" s="190">
        <v>3</v>
      </c>
      <c r="C795" s="195" t="s">
        <v>27</v>
      </c>
      <c r="D795" s="191" t="s">
        <v>83</v>
      </c>
      <c r="E795" s="192" t="s">
        <v>2824</v>
      </c>
      <c r="F795" s="191" t="s">
        <v>69</v>
      </c>
      <c r="G795" s="190">
        <v>17</v>
      </c>
      <c r="H795" s="193" t="s">
        <v>2794</v>
      </c>
    </row>
    <row r="796" spans="1:8" ht="31.15" x14ac:dyDescent="0.25">
      <c r="A796" s="190">
        <v>7</v>
      </c>
      <c r="B796" s="190">
        <v>3</v>
      </c>
      <c r="C796" s="195" t="s">
        <v>31</v>
      </c>
      <c r="D796" s="191" t="s">
        <v>1731</v>
      </c>
      <c r="E796" s="192" t="s">
        <v>2861</v>
      </c>
      <c r="F796" s="191" t="s">
        <v>81</v>
      </c>
      <c r="G796" s="190">
        <v>62</v>
      </c>
      <c r="H796" s="193" t="s">
        <v>2845</v>
      </c>
    </row>
    <row r="797" spans="1:8" ht="46.9" x14ac:dyDescent="0.25">
      <c r="A797" s="190">
        <v>7</v>
      </c>
      <c r="B797" s="190">
        <v>3</v>
      </c>
      <c r="C797" s="195" t="s">
        <v>31</v>
      </c>
      <c r="D797" s="191" t="s">
        <v>1</v>
      </c>
      <c r="E797" s="192" t="s">
        <v>2862</v>
      </c>
      <c r="F797" s="191" t="s">
        <v>81</v>
      </c>
      <c r="G797" s="190">
        <v>424</v>
      </c>
      <c r="H797" s="193" t="s">
        <v>2863</v>
      </c>
    </row>
    <row r="798" spans="1:8" ht="46.9" x14ac:dyDescent="0.25">
      <c r="A798" s="190">
        <v>7</v>
      </c>
      <c r="B798" s="190">
        <v>3</v>
      </c>
      <c r="C798" s="195" t="s">
        <v>31</v>
      </c>
      <c r="D798" s="191" t="s">
        <v>1</v>
      </c>
      <c r="E798" s="192" t="s">
        <v>2864</v>
      </c>
      <c r="F798" s="191" t="s">
        <v>81</v>
      </c>
      <c r="G798" s="190">
        <v>153</v>
      </c>
      <c r="H798" s="193" t="s">
        <v>2865</v>
      </c>
    </row>
    <row r="799" spans="1:8" ht="15.6" x14ac:dyDescent="0.25">
      <c r="A799" s="190">
        <v>7</v>
      </c>
      <c r="B799" s="190">
        <v>3</v>
      </c>
      <c r="C799" s="195" t="s">
        <v>31</v>
      </c>
      <c r="D799" s="191" t="s">
        <v>83</v>
      </c>
      <c r="E799" s="192" t="s">
        <v>2866</v>
      </c>
      <c r="F799" s="191" t="s">
        <v>81</v>
      </c>
      <c r="G799" s="190">
        <v>4</v>
      </c>
      <c r="H799" s="193" t="s">
        <v>158</v>
      </c>
    </row>
    <row r="800" spans="1:8" ht="15.6" x14ac:dyDescent="0.25">
      <c r="A800" s="190">
        <v>7</v>
      </c>
      <c r="B800" s="190">
        <v>3</v>
      </c>
      <c r="C800" s="195" t="s">
        <v>31</v>
      </c>
      <c r="D800" s="191" t="s">
        <v>83</v>
      </c>
      <c r="E800" s="192" t="s">
        <v>2867</v>
      </c>
      <c r="F800" s="191" t="s">
        <v>81</v>
      </c>
      <c r="G800" s="190">
        <v>4</v>
      </c>
      <c r="H800" s="193" t="s">
        <v>2868</v>
      </c>
    </row>
    <row r="801" spans="1:8" ht="31.15" x14ac:dyDescent="0.25">
      <c r="A801" s="190">
        <v>7</v>
      </c>
      <c r="B801" s="190">
        <v>3</v>
      </c>
      <c r="C801" s="195" t="s">
        <v>31</v>
      </c>
      <c r="D801" s="191" t="s">
        <v>83</v>
      </c>
      <c r="E801" s="192" t="s">
        <v>2869</v>
      </c>
      <c r="F801" s="191" t="s">
        <v>81</v>
      </c>
      <c r="G801" s="190">
        <v>6</v>
      </c>
      <c r="H801" s="193" t="s">
        <v>2870</v>
      </c>
    </row>
    <row r="802" spans="1:8" ht="31.15" x14ac:dyDescent="0.25">
      <c r="A802" s="190">
        <v>7</v>
      </c>
      <c r="B802" s="190">
        <v>3</v>
      </c>
      <c r="C802" s="195" t="s">
        <v>31</v>
      </c>
      <c r="D802" s="191" t="s">
        <v>83</v>
      </c>
      <c r="E802" s="192" t="s">
        <v>2871</v>
      </c>
      <c r="F802" s="191" t="s">
        <v>81</v>
      </c>
      <c r="G802" s="190">
        <v>20</v>
      </c>
      <c r="H802" s="193" t="s">
        <v>2872</v>
      </c>
    </row>
    <row r="803" spans="1:8" ht="46.9" x14ac:dyDescent="0.25">
      <c r="A803" s="190">
        <v>1</v>
      </c>
      <c r="B803" s="190">
        <v>3</v>
      </c>
      <c r="C803" s="195" t="s">
        <v>25</v>
      </c>
      <c r="D803" s="195" t="s">
        <v>1</v>
      </c>
      <c r="E803" s="192" t="s">
        <v>2886</v>
      </c>
      <c r="F803" s="196" t="s">
        <v>81</v>
      </c>
      <c r="G803" s="190">
        <v>2</v>
      </c>
      <c r="H803" s="197" t="s">
        <v>2887</v>
      </c>
    </row>
    <row r="804" spans="1:8" ht="46.9" x14ac:dyDescent="0.25">
      <c r="A804" s="190">
        <v>1</v>
      </c>
      <c r="B804" s="190">
        <v>3</v>
      </c>
      <c r="C804" s="195" t="s">
        <v>25</v>
      </c>
      <c r="D804" s="195" t="s">
        <v>0</v>
      </c>
      <c r="E804" s="192" t="s">
        <v>2888</v>
      </c>
      <c r="F804" s="196" t="s">
        <v>81</v>
      </c>
      <c r="G804" s="190">
        <v>31</v>
      </c>
      <c r="H804" s="197" t="s">
        <v>2889</v>
      </c>
    </row>
    <row r="805" spans="1:8" ht="15.6" x14ac:dyDescent="0.25">
      <c r="A805" s="190">
        <v>1</v>
      </c>
      <c r="B805" s="190">
        <v>3</v>
      </c>
      <c r="C805" s="195" t="s">
        <v>25</v>
      </c>
      <c r="D805" s="195" t="s">
        <v>1</v>
      </c>
      <c r="E805" s="192" t="s">
        <v>2890</v>
      </c>
      <c r="F805" s="196" t="s">
        <v>81</v>
      </c>
      <c r="G805" s="190">
        <v>15</v>
      </c>
      <c r="H805" s="197" t="s">
        <v>2891</v>
      </c>
    </row>
    <row r="806" spans="1:8" ht="78" x14ac:dyDescent="0.25">
      <c r="A806" s="190">
        <v>1</v>
      </c>
      <c r="B806" s="190">
        <v>3</v>
      </c>
      <c r="C806" s="195" t="s">
        <v>25</v>
      </c>
      <c r="D806" s="195" t="s">
        <v>1</v>
      </c>
      <c r="E806" s="192" t="s">
        <v>2892</v>
      </c>
      <c r="F806" s="196" t="s">
        <v>69</v>
      </c>
      <c r="G806" s="190">
        <v>13</v>
      </c>
      <c r="H806" s="197" t="s">
        <v>2893</v>
      </c>
    </row>
    <row r="807" spans="1:8" ht="31.15" x14ac:dyDescent="0.25">
      <c r="A807" s="190">
        <v>1</v>
      </c>
      <c r="B807" s="190">
        <v>3</v>
      </c>
      <c r="C807" s="195" t="s">
        <v>25</v>
      </c>
      <c r="D807" s="207" t="s">
        <v>83</v>
      </c>
      <c r="E807" s="192" t="s">
        <v>2885</v>
      </c>
      <c r="F807" s="196" t="s">
        <v>69</v>
      </c>
      <c r="G807" s="190">
        <v>7</v>
      </c>
      <c r="H807" s="197" t="s">
        <v>2880</v>
      </c>
    </row>
    <row r="808" spans="1:8" ht="31.15" x14ac:dyDescent="0.25">
      <c r="A808" s="190">
        <v>1</v>
      </c>
      <c r="B808" s="190">
        <v>3</v>
      </c>
      <c r="C808" s="195" t="s">
        <v>25</v>
      </c>
      <c r="D808" s="195" t="s">
        <v>83</v>
      </c>
      <c r="E808" s="192" t="s">
        <v>2894</v>
      </c>
      <c r="F808" s="196" t="s">
        <v>81</v>
      </c>
      <c r="G808" s="190">
        <v>11</v>
      </c>
      <c r="H808" s="197" t="s">
        <v>2895</v>
      </c>
    </row>
    <row r="809" spans="1:8" ht="31.15" x14ac:dyDescent="0.25">
      <c r="A809" s="190">
        <v>1</v>
      </c>
      <c r="B809" s="190">
        <v>3</v>
      </c>
      <c r="C809" s="195" t="s">
        <v>25</v>
      </c>
      <c r="D809" s="195" t="s">
        <v>83</v>
      </c>
      <c r="E809" s="192" t="s">
        <v>2896</v>
      </c>
      <c r="F809" s="196" t="s">
        <v>81</v>
      </c>
      <c r="G809" s="190">
        <v>15</v>
      </c>
      <c r="H809" s="197" t="s">
        <v>2897</v>
      </c>
    </row>
    <row r="810" spans="1:8" ht="46.9" x14ac:dyDescent="0.25">
      <c r="A810" s="190">
        <v>1</v>
      </c>
      <c r="B810" s="190">
        <v>3</v>
      </c>
      <c r="C810" s="195" t="s">
        <v>25</v>
      </c>
      <c r="D810" s="195" t="s">
        <v>83</v>
      </c>
      <c r="E810" s="192" t="s">
        <v>2898</v>
      </c>
      <c r="F810" s="196" t="s">
        <v>81</v>
      </c>
      <c r="G810" s="190">
        <v>32</v>
      </c>
      <c r="H810" s="197" t="s">
        <v>2889</v>
      </c>
    </row>
    <row r="811" spans="1:8" ht="78" x14ac:dyDescent="0.25">
      <c r="A811" s="190">
        <v>1</v>
      </c>
      <c r="B811" s="190">
        <v>3</v>
      </c>
      <c r="C811" s="195" t="s">
        <v>25</v>
      </c>
      <c r="D811" s="191" t="s">
        <v>1</v>
      </c>
      <c r="E811" s="192" t="s">
        <v>2892</v>
      </c>
      <c r="F811" s="191" t="s">
        <v>69</v>
      </c>
      <c r="G811" s="190">
        <v>13</v>
      </c>
      <c r="H811" s="193" t="s">
        <v>2899</v>
      </c>
    </row>
    <row r="812" spans="1:8" ht="46.9" x14ac:dyDescent="0.25">
      <c r="A812" s="190">
        <v>11</v>
      </c>
      <c r="B812" s="190">
        <v>3</v>
      </c>
      <c r="C812" s="195" t="s">
        <v>35</v>
      </c>
      <c r="D812" s="191" t="s">
        <v>137</v>
      </c>
      <c r="E812" s="192" t="s">
        <v>2922</v>
      </c>
      <c r="F812" s="191" t="s">
        <v>69</v>
      </c>
      <c r="G812" s="190">
        <v>76</v>
      </c>
      <c r="H812" s="193" t="s">
        <v>2923</v>
      </c>
    </row>
    <row r="813" spans="1:8" ht="31.15" x14ac:dyDescent="0.25">
      <c r="A813" s="190">
        <v>11</v>
      </c>
      <c r="B813" s="190">
        <v>3</v>
      </c>
      <c r="C813" s="195" t="s">
        <v>35</v>
      </c>
      <c r="D813" s="191" t="s">
        <v>137</v>
      </c>
      <c r="E813" s="192" t="s">
        <v>2924</v>
      </c>
      <c r="F813" s="191" t="s">
        <v>69</v>
      </c>
      <c r="G813" s="190">
        <v>11</v>
      </c>
      <c r="H813" s="193" t="s">
        <v>2925</v>
      </c>
    </row>
    <row r="814" spans="1:8" ht="31.15" x14ac:dyDescent="0.25">
      <c r="A814" s="190">
        <v>11</v>
      </c>
      <c r="B814" s="190">
        <v>3</v>
      </c>
      <c r="C814" s="195" t="s">
        <v>35</v>
      </c>
      <c r="D814" s="201" t="s">
        <v>0</v>
      </c>
      <c r="E814" s="192" t="s">
        <v>2926</v>
      </c>
      <c r="F814" s="191" t="s">
        <v>69</v>
      </c>
      <c r="G814" s="190">
        <v>16</v>
      </c>
      <c r="H814" s="193" t="s">
        <v>2927</v>
      </c>
    </row>
    <row r="815" spans="1:8" ht="31.15" x14ac:dyDescent="0.25">
      <c r="A815" s="190">
        <v>11</v>
      </c>
      <c r="B815" s="190">
        <v>3</v>
      </c>
      <c r="C815" s="195" t="s">
        <v>35</v>
      </c>
      <c r="D815" s="201" t="s">
        <v>1731</v>
      </c>
      <c r="E815" s="192" t="s">
        <v>2928</v>
      </c>
      <c r="F815" s="191" t="s">
        <v>69</v>
      </c>
      <c r="G815" s="190">
        <v>5</v>
      </c>
      <c r="H815" s="193" t="s">
        <v>2929</v>
      </c>
    </row>
    <row r="816" spans="1:8" ht="31.15" x14ac:dyDescent="0.25">
      <c r="A816" s="190">
        <v>11</v>
      </c>
      <c r="B816" s="190">
        <v>3</v>
      </c>
      <c r="C816" s="195" t="s">
        <v>35</v>
      </c>
      <c r="D816" s="191" t="s">
        <v>1</v>
      </c>
      <c r="E816" s="192" t="s">
        <v>2930</v>
      </c>
      <c r="F816" s="191" t="s">
        <v>81</v>
      </c>
      <c r="G816" s="190">
        <v>292</v>
      </c>
      <c r="H816" s="193" t="s">
        <v>2931</v>
      </c>
    </row>
    <row r="817" spans="1:8" ht="15.6" x14ac:dyDescent="0.25">
      <c r="A817" s="190">
        <v>11</v>
      </c>
      <c r="B817" s="190">
        <v>3</v>
      </c>
      <c r="C817" s="195" t="s">
        <v>35</v>
      </c>
      <c r="D817" s="201" t="s">
        <v>83</v>
      </c>
      <c r="E817" s="192" t="s">
        <v>2932</v>
      </c>
      <c r="F817" s="191" t="s">
        <v>69</v>
      </c>
      <c r="G817" s="190">
        <v>90</v>
      </c>
      <c r="H817" s="193" t="s">
        <v>2933</v>
      </c>
    </row>
    <row r="818" spans="1:8" ht="31.15" x14ac:dyDescent="0.25">
      <c r="A818" s="190">
        <v>11</v>
      </c>
      <c r="B818" s="190">
        <v>3</v>
      </c>
      <c r="C818" s="195" t="s">
        <v>35</v>
      </c>
      <c r="D818" s="191" t="s">
        <v>83</v>
      </c>
      <c r="E818" s="192" t="s">
        <v>2934</v>
      </c>
      <c r="F818" s="191" t="s">
        <v>69</v>
      </c>
      <c r="G818" s="190">
        <v>41</v>
      </c>
      <c r="H818" s="193" t="s">
        <v>2935</v>
      </c>
    </row>
    <row r="819" spans="1:8" ht="31.15" x14ac:dyDescent="0.25">
      <c r="A819" s="190">
        <v>11</v>
      </c>
      <c r="B819" s="190">
        <v>3</v>
      </c>
      <c r="C819" s="195" t="s">
        <v>35</v>
      </c>
      <c r="D819" s="201" t="s">
        <v>83</v>
      </c>
      <c r="E819" s="192" t="s">
        <v>2936</v>
      </c>
      <c r="F819" s="191" t="s">
        <v>69</v>
      </c>
      <c r="G819" s="190">
        <v>43</v>
      </c>
      <c r="H819" s="193" t="s">
        <v>2937</v>
      </c>
    </row>
    <row r="820" spans="1:8" ht="31.15" x14ac:dyDescent="0.25">
      <c r="A820" s="190">
        <v>11</v>
      </c>
      <c r="B820" s="190">
        <v>3</v>
      </c>
      <c r="C820" s="195" t="s">
        <v>35</v>
      </c>
      <c r="D820" s="201" t="s">
        <v>83</v>
      </c>
      <c r="E820" s="192" t="s">
        <v>2938</v>
      </c>
      <c r="F820" s="191" t="s">
        <v>69</v>
      </c>
      <c r="G820" s="190">
        <v>41</v>
      </c>
      <c r="H820" s="193" t="s">
        <v>2939</v>
      </c>
    </row>
    <row r="821" spans="1:8" ht="31.15" x14ac:dyDescent="0.25">
      <c r="A821" s="190">
        <v>15</v>
      </c>
      <c r="B821" s="190">
        <v>3</v>
      </c>
      <c r="C821" s="195" t="s">
        <v>39</v>
      </c>
      <c r="D821" s="201" t="s">
        <v>137</v>
      </c>
      <c r="E821" s="192" t="s">
        <v>2966</v>
      </c>
      <c r="F821" s="191" t="s">
        <v>69</v>
      </c>
      <c r="G821" s="190">
        <v>83</v>
      </c>
      <c r="H821" s="193" t="s">
        <v>2967</v>
      </c>
    </row>
    <row r="822" spans="1:8" ht="46.9" x14ac:dyDescent="0.25">
      <c r="A822" s="190">
        <v>15</v>
      </c>
      <c r="B822" s="190">
        <v>3</v>
      </c>
      <c r="C822" s="195" t="s">
        <v>39</v>
      </c>
      <c r="D822" s="201" t="s">
        <v>1</v>
      </c>
      <c r="E822" s="192" t="s">
        <v>2968</v>
      </c>
      <c r="F822" s="191" t="s">
        <v>69</v>
      </c>
      <c r="G822" s="190">
        <v>86</v>
      </c>
      <c r="H822" s="193" t="s">
        <v>2969</v>
      </c>
    </row>
    <row r="823" spans="1:8" ht="31.15" x14ac:dyDescent="0.25">
      <c r="A823" s="190">
        <v>15</v>
      </c>
      <c r="B823" s="190">
        <v>3</v>
      </c>
      <c r="C823" s="195" t="s">
        <v>39</v>
      </c>
      <c r="D823" s="201" t="s">
        <v>4</v>
      </c>
      <c r="E823" s="192" t="s">
        <v>2970</v>
      </c>
      <c r="F823" s="191" t="s">
        <v>69</v>
      </c>
      <c r="G823" s="190">
        <v>8</v>
      </c>
      <c r="H823" s="193" t="s">
        <v>2971</v>
      </c>
    </row>
    <row r="824" spans="1:8" ht="93.6" x14ac:dyDescent="0.25">
      <c r="A824" s="190">
        <v>15</v>
      </c>
      <c r="B824" s="190">
        <v>3</v>
      </c>
      <c r="C824" s="195" t="s">
        <v>39</v>
      </c>
      <c r="D824" s="201" t="s">
        <v>1</v>
      </c>
      <c r="E824" s="192" t="s">
        <v>3333</v>
      </c>
      <c r="F824" s="191" t="s">
        <v>69</v>
      </c>
      <c r="G824" s="190">
        <v>372</v>
      </c>
      <c r="H824" s="193" t="s">
        <v>3334</v>
      </c>
    </row>
    <row r="825" spans="1:8" ht="62.45" x14ac:dyDescent="0.25">
      <c r="A825" s="189">
        <v>15</v>
      </c>
      <c r="B825" s="190">
        <v>3</v>
      </c>
      <c r="C825" s="195" t="s">
        <v>39</v>
      </c>
      <c r="D825" s="191" t="s">
        <v>83</v>
      </c>
      <c r="E825" s="192" t="s">
        <v>3335</v>
      </c>
      <c r="F825" s="191" t="s">
        <v>69</v>
      </c>
      <c r="G825" s="190">
        <v>372</v>
      </c>
      <c r="H825" s="193" t="s">
        <v>2972</v>
      </c>
    </row>
    <row r="826" spans="1:8" ht="390" x14ac:dyDescent="0.25">
      <c r="A826" s="189">
        <v>15</v>
      </c>
      <c r="B826" s="190">
        <v>3</v>
      </c>
      <c r="C826" s="195" t="s">
        <v>39</v>
      </c>
      <c r="D826" s="201" t="s">
        <v>1</v>
      </c>
      <c r="E826" s="192" t="s">
        <v>2973</v>
      </c>
      <c r="F826" s="191" t="s">
        <v>69</v>
      </c>
      <c r="G826" s="190">
        <v>219</v>
      </c>
      <c r="H826" s="193" t="s">
        <v>2974</v>
      </c>
    </row>
    <row r="827" spans="1:8" ht="62.45" x14ac:dyDescent="0.25">
      <c r="A827" s="189">
        <v>15</v>
      </c>
      <c r="B827" s="190">
        <v>3</v>
      </c>
      <c r="C827" s="195" t="s">
        <v>39</v>
      </c>
      <c r="D827" s="201" t="s">
        <v>1</v>
      </c>
      <c r="E827" s="192" t="s">
        <v>2975</v>
      </c>
      <c r="F827" s="191" t="s">
        <v>69</v>
      </c>
      <c r="G827" s="190">
        <v>45</v>
      </c>
      <c r="H827" s="193" t="s">
        <v>2976</v>
      </c>
    </row>
    <row r="828" spans="1:8" ht="78" x14ac:dyDescent="0.25">
      <c r="A828" s="189">
        <v>15</v>
      </c>
      <c r="B828" s="190">
        <v>3</v>
      </c>
      <c r="C828" s="195" t="s">
        <v>39</v>
      </c>
      <c r="D828" s="201" t="s">
        <v>1</v>
      </c>
      <c r="E828" s="192" t="s">
        <v>2977</v>
      </c>
      <c r="F828" s="191" t="s">
        <v>81</v>
      </c>
      <c r="G828" s="190">
        <v>103</v>
      </c>
      <c r="H828" s="193" t="s">
        <v>2978</v>
      </c>
    </row>
    <row r="829" spans="1:8" ht="46.9" x14ac:dyDescent="0.25">
      <c r="A829" s="189">
        <v>15</v>
      </c>
      <c r="B829" s="190">
        <v>3</v>
      </c>
      <c r="C829" s="195" t="s">
        <v>39</v>
      </c>
      <c r="D829" s="191" t="s">
        <v>83</v>
      </c>
      <c r="E829" s="192" t="s">
        <v>2979</v>
      </c>
      <c r="F829" s="191" t="s">
        <v>69</v>
      </c>
      <c r="G829" s="190">
        <v>100</v>
      </c>
      <c r="H829" s="193" t="s">
        <v>2980</v>
      </c>
    </row>
    <row r="830" spans="1:8" ht="78" x14ac:dyDescent="0.25">
      <c r="A830" s="189">
        <v>15</v>
      </c>
      <c r="B830" s="190">
        <v>3</v>
      </c>
      <c r="C830" s="195" t="s">
        <v>39</v>
      </c>
      <c r="D830" s="191" t="s">
        <v>2981</v>
      </c>
      <c r="E830" s="192" t="s">
        <v>2964</v>
      </c>
      <c r="F830" s="191" t="s">
        <v>69</v>
      </c>
      <c r="G830" s="190">
        <v>22</v>
      </c>
      <c r="H830" s="193" t="s">
        <v>2965</v>
      </c>
    </row>
    <row r="831" spans="1:8" ht="15.6" x14ac:dyDescent="0.25">
      <c r="A831" s="189">
        <v>15</v>
      </c>
      <c r="B831" s="190">
        <v>3</v>
      </c>
      <c r="C831" s="195" t="s">
        <v>39</v>
      </c>
      <c r="D831" s="201" t="s">
        <v>83</v>
      </c>
      <c r="E831" s="192" t="s">
        <v>2944</v>
      </c>
      <c r="F831" s="191" t="s">
        <v>69</v>
      </c>
      <c r="G831" s="190">
        <v>350</v>
      </c>
      <c r="H831" s="193" t="s">
        <v>2945</v>
      </c>
    </row>
    <row r="832" spans="1:8" ht="31.15" x14ac:dyDescent="0.25">
      <c r="A832" s="190">
        <v>2</v>
      </c>
      <c r="B832" s="190">
        <v>3</v>
      </c>
      <c r="C832" s="195" t="s">
        <v>26</v>
      </c>
      <c r="D832" s="191" t="s">
        <v>0</v>
      </c>
      <c r="E832" s="192" t="s">
        <v>3024</v>
      </c>
      <c r="F832" s="191" t="s">
        <v>81</v>
      </c>
      <c r="G832" s="190">
        <v>2</v>
      </c>
      <c r="H832" s="193" t="s">
        <v>3025</v>
      </c>
    </row>
    <row r="833" spans="1:8" ht="15.6" x14ac:dyDescent="0.25">
      <c r="A833" s="189">
        <v>2</v>
      </c>
      <c r="B833" s="190">
        <v>3</v>
      </c>
      <c r="C833" s="195" t="s">
        <v>26</v>
      </c>
      <c r="D833" s="191" t="s">
        <v>0</v>
      </c>
      <c r="E833" s="192" t="s">
        <v>3026</v>
      </c>
      <c r="F833" s="191" t="s">
        <v>81</v>
      </c>
      <c r="G833" s="190">
        <v>17</v>
      </c>
      <c r="H833" s="193" t="s">
        <v>3027</v>
      </c>
    </row>
    <row r="834" spans="1:8" ht="31.15" x14ac:dyDescent="0.25">
      <c r="A834" s="190">
        <v>2</v>
      </c>
      <c r="B834" s="190">
        <v>3</v>
      </c>
      <c r="C834" s="195" t="s">
        <v>26</v>
      </c>
      <c r="D834" s="201" t="s">
        <v>0</v>
      </c>
      <c r="E834" s="192" t="s">
        <v>3028</v>
      </c>
      <c r="F834" s="191" t="s">
        <v>81</v>
      </c>
      <c r="G834" s="190">
        <v>50</v>
      </c>
      <c r="H834" s="193" t="s">
        <v>3029</v>
      </c>
    </row>
    <row r="835" spans="1:8" ht="15.6" x14ac:dyDescent="0.25">
      <c r="A835" s="190">
        <v>2</v>
      </c>
      <c r="B835" s="190">
        <v>3</v>
      </c>
      <c r="C835" s="195" t="s">
        <v>26</v>
      </c>
      <c r="D835" s="201" t="s">
        <v>0</v>
      </c>
      <c r="E835" s="192" t="s">
        <v>3030</v>
      </c>
      <c r="F835" s="191" t="s">
        <v>81</v>
      </c>
      <c r="G835" s="190">
        <v>73</v>
      </c>
      <c r="H835" s="193" t="s">
        <v>3031</v>
      </c>
    </row>
    <row r="836" spans="1:8" ht="31.15" x14ac:dyDescent="0.25">
      <c r="A836" s="190">
        <v>2</v>
      </c>
      <c r="B836" s="190">
        <v>3</v>
      </c>
      <c r="C836" s="195" t="s">
        <v>26</v>
      </c>
      <c r="D836" s="201" t="s">
        <v>0</v>
      </c>
      <c r="E836" s="192" t="s">
        <v>3032</v>
      </c>
      <c r="F836" s="191" t="s">
        <v>81</v>
      </c>
      <c r="G836" s="190">
        <v>3</v>
      </c>
      <c r="H836" s="193" t="s">
        <v>3033</v>
      </c>
    </row>
    <row r="837" spans="1:8" s="206" customFormat="1" ht="31.15" x14ac:dyDescent="0.25">
      <c r="A837" s="190">
        <v>2</v>
      </c>
      <c r="B837" s="190">
        <v>3</v>
      </c>
      <c r="C837" s="195" t="s">
        <v>26</v>
      </c>
      <c r="D837" s="201" t="s">
        <v>0</v>
      </c>
      <c r="E837" s="192" t="s">
        <v>3034</v>
      </c>
      <c r="F837" s="191" t="s">
        <v>81</v>
      </c>
      <c r="G837" s="190">
        <v>8</v>
      </c>
      <c r="H837" s="193" t="s">
        <v>3007</v>
      </c>
    </row>
    <row r="838" spans="1:8" s="206" customFormat="1" ht="31.15" x14ac:dyDescent="0.25">
      <c r="A838" s="190">
        <v>2</v>
      </c>
      <c r="B838" s="190">
        <v>3</v>
      </c>
      <c r="C838" s="195" t="s">
        <v>26</v>
      </c>
      <c r="D838" s="191" t="s">
        <v>0</v>
      </c>
      <c r="E838" s="192" t="s">
        <v>3035</v>
      </c>
      <c r="F838" s="191" t="s">
        <v>81</v>
      </c>
      <c r="G838" s="190">
        <v>8</v>
      </c>
      <c r="H838" s="193" t="s">
        <v>3007</v>
      </c>
    </row>
    <row r="839" spans="1:8" ht="31.15" x14ac:dyDescent="0.25">
      <c r="A839" s="190">
        <v>2</v>
      </c>
      <c r="B839" s="190">
        <v>3</v>
      </c>
      <c r="C839" s="195" t="s">
        <v>26</v>
      </c>
      <c r="D839" s="191" t="s">
        <v>1</v>
      </c>
      <c r="E839" s="192" t="s">
        <v>3036</v>
      </c>
      <c r="F839" s="191" t="s">
        <v>81</v>
      </c>
      <c r="G839" s="190">
        <v>47</v>
      </c>
      <c r="H839" s="193" t="s">
        <v>3037</v>
      </c>
    </row>
    <row r="840" spans="1:8" ht="15.6" x14ac:dyDescent="0.25">
      <c r="A840" s="190">
        <v>2</v>
      </c>
      <c r="B840" s="190">
        <v>3</v>
      </c>
      <c r="C840" s="195" t="s">
        <v>26</v>
      </c>
      <c r="D840" s="191" t="s">
        <v>1</v>
      </c>
      <c r="E840" s="192" t="s">
        <v>3038</v>
      </c>
      <c r="F840" s="191" t="s">
        <v>81</v>
      </c>
      <c r="G840" s="190">
        <v>47</v>
      </c>
      <c r="H840" s="193" t="s">
        <v>3039</v>
      </c>
    </row>
    <row r="841" spans="1:8" ht="31.15" x14ac:dyDescent="0.25">
      <c r="A841" s="190">
        <v>2</v>
      </c>
      <c r="B841" s="190">
        <v>3</v>
      </c>
      <c r="C841" s="195" t="s">
        <v>26</v>
      </c>
      <c r="D841" s="201" t="s">
        <v>1</v>
      </c>
      <c r="E841" s="192" t="s">
        <v>3040</v>
      </c>
      <c r="F841" s="191" t="s">
        <v>81</v>
      </c>
      <c r="G841" s="190">
        <v>32</v>
      </c>
      <c r="H841" s="193" t="s">
        <v>3041</v>
      </c>
    </row>
    <row r="842" spans="1:8" ht="15.6" x14ac:dyDescent="0.25">
      <c r="A842" s="190">
        <v>2</v>
      </c>
      <c r="B842" s="190">
        <v>3</v>
      </c>
      <c r="C842" s="195" t="s">
        <v>26</v>
      </c>
      <c r="D842" s="191" t="s">
        <v>1</v>
      </c>
      <c r="E842" s="192" t="s">
        <v>3042</v>
      </c>
      <c r="F842" s="191" t="s">
        <v>81</v>
      </c>
      <c r="G842" s="190">
        <v>6</v>
      </c>
      <c r="H842" s="193" t="s">
        <v>3043</v>
      </c>
    </row>
    <row r="843" spans="1:8" ht="15.6" x14ac:dyDescent="0.25">
      <c r="A843" s="190">
        <v>2</v>
      </c>
      <c r="B843" s="190">
        <v>3</v>
      </c>
      <c r="C843" s="195" t="s">
        <v>26</v>
      </c>
      <c r="D843" s="191" t="s">
        <v>1</v>
      </c>
      <c r="E843" s="192" t="s">
        <v>3044</v>
      </c>
      <c r="F843" s="191" t="s">
        <v>81</v>
      </c>
      <c r="G843" s="190">
        <v>18</v>
      </c>
      <c r="H843" s="193" t="s">
        <v>2991</v>
      </c>
    </row>
    <row r="844" spans="1:8" ht="31.15" x14ac:dyDescent="0.25">
      <c r="A844" s="190">
        <v>2</v>
      </c>
      <c r="B844" s="190">
        <v>3</v>
      </c>
      <c r="C844" s="195" t="s">
        <v>26</v>
      </c>
      <c r="D844" s="201" t="s">
        <v>1</v>
      </c>
      <c r="E844" s="192" t="s">
        <v>3045</v>
      </c>
      <c r="F844" s="191" t="s">
        <v>81</v>
      </c>
      <c r="G844" s="190">
        <v>1</v>
      </c>
      <c r="H844" s="193" t="s">
        <v>3046</v>
      </c>
    </row>
    <row r="845" spans="1:8" ht="31.15" x14ac:dyDescent="0.25">
      <c r="A845" s="190">
        <v>2</v>
      </c>
      <c r="B845" s="190">
        <v>3</v>
      </c>
      <c r="C845" s="195" t="s">
        <v>26</v>
      </c>
      <c r="D845" s="191" t="s">
        <v>83</v>
      </c>
      <c r="E845" s="192" t="s">
        <v>3022</v>
      </c>
      <c r="F845" s="191" t="s">
        <v>69</v>
      </c>
      <c r="G845" s="190">
        <v>6</v>
      </c>
      <c r="H845" s="193" t="s">
        <v>3023</v>
      </c>
    </row>
    <row r="846" spans="1:8" ht="31.15" x14ac:dyDescent="0.25">
      <c r="A846" s="190">
        <v>2</v>
      </c>
      <c r="B846" s="190">
        <v>3</v>
      </c>
      <c r="C846" s="195" t="s">
        <v>26</v>
      </c>
      <c r="D846" s="191" t="s">
        <v>83</v>
      </c>
      <c r="E846" s="192" t="s">
        <v>3047</v>
      </c>
      <c r="F846" s="191" t="s">
        <v>81</v>
      </c>
      <c r="G846" s="190">
        <v>58</v>
      </c>
      <c r="H846" s="193" t="s">
        <v>3001</v>
      </c>
    </row>
    <row r="847" spans="1:8" ht="15.6" x14ac:dyDescent="0.25">
      <c r="A847" s="190">
        <v>2</v>
      </c>
      <c r="B847" s="190">
        <v>3</v>
      </c>
      <c r="C847" s="195" t="s">
        <v>26</v>
      </c>
      <c r="D847" s="201" t="s">
        <v>83</v>
      </c>
      <c r="E847" s="192" t="s">
        <v>3048</v>
      </c>
      <c r="F847" s="191" t="s">
        <v>81</v>
      </c>
      <c r="G847" s="190">
        <v>42</v>
      </c>
      <c r="H847" s="193" t="s">
        <v>3049</v>
      </c>
    </row>
    <row r="848" spans="1:8" ht="15.6" x14ac:dyDescent="0.25">
      <c r="A848" s="190">
        <v>2</v>
      </c>
      <c r="B848" s="190">
        <v>3</v>
      </c>
      <c r="C848" s="195" t="s">
        <v>26</v>
      </c>
      <c r="D848" s="191" t="s">
        <v>83</v>
      </c>
      <c r="E848" s="192" t="s">
        <v>3050</v>
      </c>
      <c r="F848" s="191" t="s">
        <v>81</v>
      </c>
      <c r="G848" s="190">
        <v>7</v>
      </c>
      <c r="H848" s="193" t="s">
        <v>3051</v>
      </c>
    </row>
    <row r="849" spans="1:8" ht="31.15" x14ac:dyDescent="0.25">
      <c r="A849" s="190">
        <v>2</v>
      </c>
      <c r="B849" s="190">
        <v>3</v>
      </c>
      <c r="C849" s="195" t="s">
        <v>26</v>
      </c>
      <c r="D849" s="191" t="s">
        <v>83</v>
      </c>
      <c r="E849" s="192" t="s">
        <v>3052</v>
      </c>
      <c r="F849" s="191" t="s">
        <v>81</v>
      </c>
      <c r="G849" s="190">
        <v>126</v>
      </c>
      <c r="H849" s="193" t="s">
        <v>3053</v>
      </c>
    </row>
    <row r="850" spans="1:8" ht="78" x14ac:dyDescent="0.25">
      <c r="A850" s="190">
        <v>2</v>
      </c>
      <c r="B850" s="190">
        <v>3</v>
      </c>
      <c r="C850" s="195" t="s">
        <v>26</v>
      </c>
      <c r="D850" s="191" t="s">
        <v>83</v>
      </c>
      <c r="E850" s="192" t="s">
        <v>3054</v>
      </c>
      <c r="F850" s="191" t="s">
        <v>81</v>
      </c>
      <c r="G850" s="190">
        <v>29</v>
      </c>
      <c r="H850" s="193" t="s">
        <v>3055</v>
      </c>
    </row>
    <row r="851" spans="1:8" ht="31.15" x14ac:dyDescent="0.25">
      <c r="A851" s="190">
        <v>2</v>
      </c>
      <c r="B851" s="190">
        <v>3</v>
      </c>
      <c r="C851" s="195" t="s">
        <v>26</v>
      </c>
      <c r="D851" s="191" t="s">
        <v>83</v>
      </c>
      <c r="E851" s="192" t="s">
        <v>3056</v>
      </c>
      <c r="F851" s="191" t="s">
        <v>81</v>
      </c>
      <c r="G851" s="190">
        <v>41</v>
      </c>
      <c r="H851" s="193" t="s">
        <v>3057</v>
      </c>
    </row>
    <row r="852" spans="1:8" ht="93.6" x14ac:dyDescent="0.25">
      <c r="A852" s="190">
        <v>21</v>
      </c>
      <c r="B852" s="190">
        <v>3</v>
      </c>
      <c r="C852" s="195" t="s">
        <v>45</v>
      </c>
      <c r="D852" s="191" t="s">
        <v>0</v>
      </c>
      <c r="E852" s="192" t="s">
        <v>3070</v>
      </c>
      <c r="F852" s="191" t="s">
        <v>81</v>
      </c>
      <c r="G852" s="190">
        <v>1</v>
      </c>
      <c r="H852" s="193" t="s">
        <v>3071</v>
      </c>
    </row>
    <row r="853" spans="1:8" ht="31.15" x14ac:dyDescent="0.25">
      <c r="A853" s="189">
        <v>21</v>
      </c>
      <c r="B853" s="190">
        <v>3</v>
      </c>
      <c r="C853" s="195" t="s">
        <v>45</v>
      </c>
      <c r="D853" s="201" t="s">
        <v>137</v>
      </c>
      <c r="E853" s="192" t="s">
        <v>3072</v>
      </c>
      <c r="F853" s="191" t="s">
        <v>81</v>
      </c>
      <c r="G853" s="190">
        <v>85</v>
      </c>
      <c r="H853" s="193" t="s">
        <v>3073</v>
      </c>
    </row>
    <row r="854" spans="1:8" ht="31.15" x14ac:dyDescent="0.25">
      <c r="A854" s="189">
        <v>21</v>
      </c>
      <c r="B854" s="190">
        <v>3</v>
      </c>
      <c r="C854" s="195" t="s">
        <v>45</v>
      </c>
      <c r="D854" s="201" t="s">
        <v>0</v>
      </c>
      <c r="E854" s="192" t="s">
        <v>3074</v>
      </c>
      <c r="F854" s="191" t="s">
        <v>81</v>
      </c>
      <c r="G854" s="190">
        <v>100</v>
      </c>
      <c r="H854" s="193" t="s">
        <v>3075</v>
      </c>
    </row>
    <row r="855" spans="1:8" ht="31.15" x14ac:dyDescent="0.25">
      <c r="A855" s="189">
        <v>21</v>
      </c>
      <c r="B855" s="190">
        <v>3</v>
      </c>
      <c r="C855" s="195" t="s">
        <v>45</v>
      </c>
      <c r="D855" s="201" t="s">
        <v>1</v>
      </c>
      <c r="E855" s="192" t="s">
        <v>3327</v>
      </c>
      <c r="F855" s="191" t="s">
        <v>69</v>
      </c>
      <c r="G855" s="190">
        <v>350</v>
      </c>
      <c r="H855" s="193" t="s">
        <v>3076</v>
      </c>
    </row>
    <row r="856" spans="1:8" ht="15.6" x14ac:dyDescent="0.25">
      <c r="A856" s="189">
        <v>21</v>
      </c>
      <c r="B856" s="190">
        <v>3</v>
      </c>
      <c r="C856" s="195" t="s">
        <v>45</v>
      </c>
      <c r="D856" s="201" t="s">
        <v>83</v>
      </c>
      <c r="E856" s="192" t="s">
        <v>3077</v>
      </c>
      <c r="F856" s="191" t="s">
        <v>81</v>
      </c>
      <c r="G856" s="190">
        <v>4</v>
      </c>
      <c r="H856" s="193" t="s">
        <v>3078</v>
      </c>
    </row>
    <row r="857" spans="1:8" ht="140.44999999999999" x14ac:dyDescent="0.25">
      <c r="A857" s="189">
        <v>21</v>
      </c>
      <c r="B857" s="190">
        <v>3</v>
      </c>
      <c r="C857" s="195" t="s">
        <v>45</v>
      </c>
      <c r="D857" s="201" t="s">
        <v>83</v>
      </c>
      <c r="E857" s="192" t="s">
        <v>3079</v>
      </c>
      <c r="F857" s="191" t="s">
        <v>81</v>
      </c>
      <c r="G857" s="190">
        <v>8</v>
      </c>
      <c r="H857" s="193" t="s">
        <v>3080</v>
      </c>
    </row>
    <row r="858" spans="1:8" ht="78" x14ac:dyDescent="0.25">
      <c r="A858" s="189">
        <v>21</v>
      </c>
      <c r="B858" s="190">
        <v>3</v>
      </c>
      <c r="C858" s="195" t="s">
        <v>45</v>
      </c>
      <c r="D858" s="201" t="s">
        <v>83</v>
      </c>
      <c r="E858" s="192" t="s">
        <v>3081</v>
      </c>
      <c r="F858" s="191" t="s">
        <v>69</v>
      </c>
      <c r="G858" s="190">
        <v>2</v>
      </c>
      <c r="H858" s="193" t="s">
        <v>3082</v>
      </c>
    </row>
    <row r="859" spans="1:8" ht="46.9" x14ac:dyDescent="0.25">
      <c r="A859" s="190">
        <v>21</v>
      </c>
      <c r="B859" s="190">
        <v>3</v>
      </c>
      <c r="C859" s="195" t="s">
        <v>45</v>
      </c>
      <c r="D859" s="191" t="s">
        <v>83</v>
      </c>
      <c r="E859" s="192" t="s">
        <v>3083</v>
      </c>
      <c r="F859" s="191" t="s">
        <v>81</v>
      </c>
      <c r="G859" s="190">
        <v>128</v>
      </c>
      <c r="H859" s="193" t="s">
        <v>3084</v>
      </c>
    </row>
    <row r="860" spans="1:8" ht="31.15" x14ac:dyDescent="0.25">
      <c r="A860" s="190">
        <v>18</v>
      </c>
      <c r="B860" s="190">
        <v>3</v>
      </c>
      <c r="C860" s="195" t="s">
        <v>261</v>
      </c>
      <c r="D860" s="195" t="s">
        <v>0</v>
      </c>
      <c r="E860" s="192" t="s">
        <v>3110</v>
      </c>
      <c r="F860" s="196" t="s">
        <v>81</v>
      </c>
      <c r="G860" s="190">
        <v>1</v>
      </c>
      <c r="H860" s="197" t="s">
        <v>3111</v>
      </c>
    </row>
    <row r="861" spans="1:8" ht="31.15" x14ac:dyDescent="0.25">
      <c r="A861" s="190">
        <v>18</v>
      </c>
      <c r="B861" s="190">
        <v>3</v>
      </c>
      <c r="C861" s="195" t="s">
        <v>261</v>
      </c>
      <c r="D861" s="195" t="s">
        <v>0</v>
      </c>
      <c r="E861" s="192" t="s">
        <v>3112</v>
      </c>
      <c r="F861" s="196" t="s">
        <v>81</v>
      </c>
      <c r="G861" s="190">
        <v>10</v>
      </c>
      <c r="H861" s="197" t="s">
        <v>3113</v>
      </c>
    </row>
    <row r="862" spans="1:8" ht="15.6" x14ac:dyDescent="0.25">
      <c r="A862" s="190">
        <v>18</v>
      </c>
      <c r="B862" s="190">
        <v>3</v>
      </c>
      <c r="C862" s="195" t="s">
        <v>261</v>
      </c>
      <c r="D862" s="195" t="s">
        <v>1</v>
      </c>
      <c r="E862" s="192" t="s">
        <v>3114</v>
      </c>
      <c r="F862" s="196" t="s">
        <v>81</v>
      </c>
      <c r="G862" s="190">
        <v>12</v>
      </c>
      <c r="H862" s="197" t="s">
        <v>3115</v>
      </c>
    </row>
    <row r="863" spans="1:8" ht="15.6" x14ac:dyDescent="0.25">
      <c r="A863" s="190">
        <v>18</v>
      </c>
      <c r="B863" s="190">
        <v>3</v>
      </c>
      <c r="C863" s="195" t="s">
        <v>261</v>
      </c>
      <c r="D863" s="195" t="s">
        <v>1</v>
      </c>
      <c r="E863" s="192" t="s">
        <v>3116</v>
      </c>
      <c r="F863" s="196" t="s">
        <v>81</v>
      </c>
      <c r="G863" s="190">
        <v>13</v>
      </c>
      <c r="H863" s="197" t="s">
        <v>3117</v>
      </c>
    </row>
    <row r="864" spans="1:8" ht="15.6" x14ac:dyDescent="0.25">
      <c r="A864" s="190">
        <v>18</v>
      </c>
      <c r="B864" s="190">
        <v>3</v>
      </c>
      <c r="C864" s="195" t="s">
        <v>261</v>
      </c>
      <c r="D864" s="195" t="s">
        <v>1</v>
      </c>
      <c r="E864" s="192" t="s">
        <v>3118</v>
      </c>
      <c r="F864" s="196" t="s">
        <v>81</v>
      </c>
      <c r="G864" s="190">
        <v>12</v>
      </c>
      <c r="H864" s="197" t="s">
        <v>3115</v>
      </c>
    </row>
    <row r="865" spans="1:8" ht="15.6" x14ac:dyDescent="0.25">
      <c r="A865" s="190">
        <v>18</v>
      </c>
      <c r="B865" s="190">
        <v>3</v>
      </c>
      <c r="C865" s="195" t="s">
        <v>261</v>
      </c>
      <c r="D865" s="195" t="s">
        <v>83</v>
      </c>
      <c r="E865" s="192" t="s">
        <v>3119</v>
      </c>
      <c r="F865" s="196" t="s">
        <v>81</v>
      </c>
      <c r="G865" s="190">
        <v>28</v>
      </c>
      <c r="H865" s="197" t="s">
        <v>3120</v>
      </c>
    </row>
    <row r="866" spans="1:8" ht="15.6" x14ac:dyDescent="0.25">
      <c r="A866" s="190">
        <v>18</v>
      </c>
      <c r="B866" s="190">
        <v>3</v>
      </c>
      <c r="C866" s="195" t="s">
        <v>261</v>
      </c>
      <c r="D866" s="195" t="s">
        <v>83</v>
      </c>
      <c r="E866" s="192" t="s">
        <v>3121</v>
      </c>
      <c r="F866" s="196" t="s">
        <v>81</v>
      </c>
      <c r="G866" s="190">
        <v>22</v>
      </c>
      <c r="H866" s="197" t="s">
        <v>3122</v>
      </c>
    </row>
    <row r="867" spans="1:8" ht="46.9" x14ac:dyDescent="0.25">
      <c r="A867" s="190">
        <v>5</v>
      </c>
      <c r="B867" s="190">
        <v>3</v>
      </c>
      <c r="C867" s="195" t="s">
        <v>113</v>
      </c>
      <c r="D867" s="195" t="s">
        <v>0</v>
      </c>
      <c r="E867" s="192" t="s">
        <v>3173</v>
      </c>
      <c r="F867" s="196" t="s">
        <v>69</v>
      </c>
      <c r="G867" s="190">
        <v>164</v>
      </c>
      <c r="H867" s="197" t="s">
        <v>3174</v>
      </c>
    </row>
    <row r="868" spans="1:8" ht="93.6" x14ac:dyDescent="0.25">
      <c r="A868" s="190">
        <v>5</v>
      </c>
      <c r="B868" s="190">
        <v>3</v>
      </c>
      <c r="C868" s="195" t="s">
        <v>113</v>
      </c>
      <c r="D868" s="195" t="s">
        <v>1731</v>
      </c>
      <c r="E868" s="192" t="s">
        <v>3175</v>
      </c>
      <c r="F868" s="196" t="s">
        <v>69</v>
      </c>
      <c r="G868" s="190">
        <v>845</v>
      </c>
      <c r="H868" s="197" t="s">
        <v>3176</v>
      </c>
    </row>
    <row r="869" spans="1:8" ht="46.9" x14ac:dyDescent="0.25">
      <c r="A869" s="190">
        <v>5</v>
      </c>
      <c r="B869" s="190">
        <v>3</v>
      </c>
      <c r="C869" s="195" t="s">
        <v>113</v>
      </c>
      <c r="D869" s="195" t="s">
        <v>1</v>
      </c>
      <c r="E869" s="192" t="s">
        <v>3177</v>
      </c>
      <c r="F869" s="196" t="s">
        <v>81</v>
      </c>
      <c r="G869" s="190">
        <v>1</v>
      </c>
      <c r="H869" s="197" t="s">
        <v>3178</v>
      </c>
    </row>
    <row r="870" spans="1:8" ht="62.45" x14ac:dyDescent="0.25">
      <c r="A870" s="190">
        <v>5</v>
      </c>
      <c r="B870" s="190">
        <v>3</v>
      </c>
      <c r="C870" s="195" t="s">
        <v>113</v>
      </c>
      <c r="D870" s="195" t="s">
        <v>4</v>
      </c>
      <c r="E870" s="192" t="s">
        <v>3179</v>
      </c>
      <c r="F870" s="196" t="s">
        <v>81</v>
      </c>
      <c r="G870" s="190">
        <v>67</v>
      </c>
      <c r="H870" s="197" t="s">
        <v>3180</v>
      </c>
    </row>
    <row r="871" spans="1:8" ht="31.15" x14ac:dyDescent="0.25">
      <c r="A871" s="190">
        <v>5</v>
      </c>
      <c r="B871" s="190">
        <v>3</v>
      </c>
      <c r="C871" s="195" t="s">
        <v>113</v>
      </c>
      <c r="D871" s="195" t="s">
        <v>0</v>
      </c>
      <c r="E871" s="192" t="s">
        <v>3181</v>
      </c>
      <c r="F871" s="196" t="s">
        <v>69</v>
      </c>
      <c r="G871" s="190">
        <v>6</v>
      </c>
      <c r="H871" s="197" t="s">
        <v>3182</v>
      </c>
    </row>
    <row r="872" spans="1:8" ht="15.6" x14ac:dyDescent="0.25">
      <c r="A872" s="190">
        <v>5</v>
      </c>
      <c r="B872" s="190">
        <v>3</v>
      </c>
      <c r="C872" s="195" t="s">
        <v>113</v>
      </c>
      <c r="D872" s="195" t="s">
        <v>0</v>
      </c>
      <c r="E872" s="192" t="s">
        <v>3183</v>
      </c>
      <c r="F872" s="196" t="s">
        <v>81</v>
      </c>
      <c r="G872" s="190">
        <v>2</v>
      </c>
      <c r="H872" s="197" t="s">
        <v>3184</v>
      </c>
    </row>
    <row r="873" spans="1:8" ht="62.45" x14ac:dyDescent="0.25">
      <c r="A873" s="190">
        <v>5</v>
      </c>
      <c r="B873" s="190">
        <v>3</v>
      </c>
      <c r="C873" s="195" t="s">
        <v>113</v>
      </c>
      <c r="D873" s="195" t="s">
        <v>0</v>
      </c>
      <c r="E873" s="192" t="s">
        <v>3185</v>
      </c>
      <c r="F873" s="196" t="s">
        <v>81</v>
      </c>
      <c r="G873" s="190">
        <v>53</v>
      </c>
      <c r="H873" s="197" t="s">
        <v>3145</v>
      </c>
    </row>
    <row r="874" spans="1:8" ht="46.9" x14ac:dyDescent="0.25">
      <c r="A874" s="190">
        <v>5</v>
      </c>
      <c r="B874" s="190">
        <v>3</v>
      </c>
      <c r="C874" s="195" t="s">
        <v>113</v>
      </c>
      <c r="D874" s="195" t="s">
        <v>1731</v>
      </c>
      <c r="E874" s="192" t="s">
        <v>3186</v>
      </c>
      <c r="F874" s="196" t="s">
        <v>81</v>
      </c>
      <c r="G874" s="190">
        <v>5</v>
      </c>
      <c r="H874" s="197" t="s">
        <v>3187</v>
      </c>
    </row>
    <row r="875" spans="1:8" ht="46.9" x14ac:dyDescent="0.25">
      <c r="A875" s="190">
        <v>5</v>
      </c>
      <c r="B875" s="190">
        <v>3</v>
      </c>
      <c r="C875" s="195" t="s">
        <v>113</v>
      </c>
      <c r="D875" s="195" t="s">
        <v>1731</v>
      </c>
      <c r="E875" s="192" t="s">
        <v>3188</v>
      </c>
      <c r="F875" s="196" t="s">
        <v>69</v>
      </c>
      <c r="G875" s="190">
        <v>84</v>
      </c>
      <c r="H875" s="197" t="s">
        <v>3189</v>
      </c>
    </row>
    <row r="876" spans="1:8" ht="31.15" x14ac:dyDescent="0.25">
      <c r="A876" s="190">
        <v>5</v>
      </c>
      <c r="B876" s="190">
        <v>3</v>
      </c>
      <c r="C876" s="195" t="s">
        <v>113</v>
      </c>
      <c r="D876" s="195" t="s">
        <v>1</v>
      </c>
      <c r="E876" s="192" t="s">
        <v>3190</v>
      </c>
      <c r="F876" s="196" t="s">
        <v>69</v>
      </c>
      <c r="G876" s="190">
        <v>42</v>
      </c>
      <c r="H876" s="197" t="s">
        <v>3156</v>
      </c>
    </row>
    <row r="877" spans="1:8" ht="31.15" x14ac:dyDescent="0.25">
      <c r="A877" s="190">
        <v>5</v>
      </c>
      <c r="B877" s="190">
        <v>3</v>
      </c>
      <c r="C877" s="195" t="s">
        <v>113</v>
      </c>
      <c r="D877" s="195" t="s">
        <v>1</v>
      </c>
      <c r="E877" s="192" t="s">
        <v>3191</v>
      </c>
      <c r="F877" s="196" t="s">
        <v>81</v>
      </c>
      <c r="G877" s="190">
        <v>122</v>
      </c>
      <c r="H877" s="197" t="s">
        <v>3192</v>
      </c>
    </row>
    <row r="878" spans="1:8" ht="93.6" x14ac:dyDescent="0.25">
      <c r="A878" s="190">
        <v>5</v>
      </c>
      <c r="B878" s="190">
        <v>3</v>
      </c>
      <c r="C878" s="195" t="s">
        <v>113</v>
      </c>
      <c r="D878" s="195" t="s">
        <v>1</v>
      </c>
      <c r="E878" s="192" t="s">
        <v>3330</v>
      </c>
      <c r="F878" s="196" t="s">
        <v>69</v>
      </c>
      <c r="G878" s="190">
        <v>55</v>
      </c>
      <c r="H878" s="197" t="s">
        <v>3193</v>
      </c>
    </row>
    <row r="879" spans="1:8" ht="15.6" x14ac:dyDescent="0.25">
      <c r="A879" s="190">
        <v>5</v>
      </c>
      <c r="B879" s="190">
        <v>3</v>
      </c>
      <c r="C879" s="195" t="s">
        <v>113</v>
      </c>
      <c r="D879" s="195" t="s">
        <v>1</v>
      </c>
      <c r="E879" s="192" t="s">
        <v>3194</v>
      </c>
      <c r="F879" s="196" t="s">
        <v>69</v>
      </c>
      <c r="G879" s="190">
        <v>2</v>
      </c>
      <c r="H879" s="197" t="s">
        <v>3195</v>
      </c>
    </row>
    <row r="880" spans="1:8" ht="62.45" x14ac:dyDescent="0.25">
      <c r="A880" s="190">
        <v>5</v>
      </c>
      <c r="B880" s="190">
        <v>3</v>
      </c>
      <c r="C880" s="195" t="s">
        <v>113</v>
      </c>
      <c r="D880" s="195" t="s">
        <v>1</v>
      </c>
      <c r="E880" s="192" t="s">
        <v>3329</v>
      </c>
      <c r="F880" s="196" t="s">
        <v>69</v>
      </c>
      <c r="G880" s="190">
        <v>98</v>
      </c>
      <c r="H880" s="197" t="s">
        <v>3124</v>
      </c>
    </row>
    <row r="881" spans="1:8" ht="31.15" x14ac:dyDescent="0.25">
      <c r="A881" s="190">
        <v>5</v>
      </c>
      <c r="B881" s="190">
        <v>3</v>
      </c>
      <c r="C881" s="195" t="s">
        <v>113</v>
      </c>
      <c r="D881" s="195" t="s">
        <v>1</v>
      </c>
      <c r="E881" s="192" t="s">
        <v>3331</v>
      </c>
      <c r="F881" s="196" t="s">
        <v>69</v>
      </c>
      <c r="G881" s="190">
        <v>1</v>
      </c>
      <c r="H881" s="197" t="s">
        <v>3196</v>
      </c>
    </row>
    <row r="882" spans="1:8" ht="46.9" x14ac:dyDescent="0.25">
      <c r="A882" s="190">
        <v>5</v>
      </c>
      <c r="B882" s="190">
        <v>3</v>
      </c>
      <c r="C882" s="195" t="s">
        <v>113</v>
      </c>
      <c r="D882" s="195" t="s">
        <v>1</v>
      </c>
      <c r="E882" s="192" t="s">
        <v>3197</v>
      </c>
      <c r="F882" s="196" t="s">
        <v>69</v>
      </c>
      <c r="G882" s="190">
        <v>3</v>
      </c>
      <c r="H882" s="197" t="s">
        <v>3126</v>
      </c>
    </row>
    <row r="883" spans="1:8" ht="15.6" x14ac:dyDescent="0.25">
      <c r="A883" s="190">
        <v>5</v>
      </c>
      <c r="B883" s="190">
        <v>3</v>
      </c>
      <c r="C883" s="195" t="s">
        <v>113</v>
      </c>
      <c r="D883" s="195" t="s">
        <v>1</v>
      </c>
      <c r="E883" s="192" t="s">
        <v>3198</v>
      </c>
      <c r="F883" s="196" t="s">
        <v>69</v>
      </c>
      <c r="G883" s="190">
        <v>17</v>
      </c>
      <c r="H883" s="197" t="s">
        <v>3199</v>
      </c>
    </row>
    <row r="884" spans="1:8" ht="78" x14ac:dyDescent="0.25">
      <c r="A884" s="190">
        <v>5</v>
      </c>
      <c r="B884" s="190">
        <v>3</v>
      </c>
      <c r="C884" s="195" t="s">
        <v>113</v>
      </c>
      <c r="D884" s="195" t="s">
        <v>1</v>
      </c>
      <c r="E884" s="192" t="s">
        <v>3328</v>
      </c>
      <c r="F884" s="196" t="s">
        <v>69</v>
      </c>
      <c r="G884" s="190">
        <v>24</v>
      </c>
      <c r="H884" s="197" t="s">
        <v>3200</v>
      </c>
    </row>
    <row r="885" spans="1:8" ht="31.15" x14ac:dyDescent="0.25">
      <c r="A885" s="190">
        <v>5</v>
      </c>
      <c r="B885" s="190">
        <v>3</v>
      </c>
      <c r="C885" s="195" t="s">
        <v>113</v>
      </c>
      <c r="D885" s="195" t="s">
        <v>83</v>
      </c>
      <c r="E885" s="192" t="s">
        <v>3201</v>
      </c>
      <c r="F885" s="196" t="s">
        <v>69</v>
      </c>
      <c r="G885" s="190">
        <v>51</v>
      </c>
      <c r="H885" s="197" t="s">
        <v>3195</v>
      </c>
    </row>
    <row r="886" spans="1:8" ht="31.15" x14ac:dyDescent="0.25">
      <c r="A886" s="190">
        <v>5</v>
      </c>
      <c r="B886" s="190">
        <v>3</v>
      </c>
      <c r="C886" s="195" t="s">
        <v>113</v>
      </c>
      <c r="D886" s="195" t="s">
        <v>83</v>
      </c>
      <c r="E886" s="192" t="s">
        <v>3202</v>
      </c>
      <c r="F886" s="196" t="s">
        <v>69</v>
      </c>
      <c r="G886" s="190">
        <v>51</v>
      </c>
      <c r="H886" s="197" t="s">
        <v>3124</v>
      </c>
    </row>
    <row r="887" spans="1:8" ht="62.45" x14ac:dyDescent="0.25">
      <c r="A887" s="190">
        <v>5</v>
      </c>
      <c r="B887" s="190">
        <v>3</v>
      </c>
      <c r="C887" s="195" t="s">
        <v>113</v>
      </c>
      <c r="D887" s="195" t="s">
        <v>83</v>
      </c>
      <c r="E887" s="192" t="s">
        <v>3203</v>
      </c>
      <c r="F887" s="196" t="s">
        <v>69</v>
      </c>
      <c r="G887" s="190">
        <v>20</v>
      </c>
      <c r="H887" s="197" t="s">
        <v>3204</v>
      </c>
    </row>
    <row r="888" spans="1:8" ht="31.15" x14ac:dyDescent="0.25">
      <c r="A888" s="190">
        <v>5</v>
      </c>
      <c r="B888" s="190">
        <v>3</v>
      </c>
      <c r="C888" s="195" t="s">
        <v>113</v>
      </c>
      <c r="D888" s="195" t="s">
        <v>83</v>
      </c>
      <c r="E888" s="192" t="s">
        <v>3205</v>
      </c>
      <c r="F888" s="196" t="s">
        <v>81</v>
      </c>
      <c r="G888" s="190">
        <v>3</v>
      </c>
      <c r="H888" s="197" t="s">
        <v>3206</v>
      </c>
    </row>
    <row r="889" spans="1:8" ht="46.9" x14ac:dyDescent="0.25">
      <c r="A889" s="190">
        <v>5</v>
      </c>
      <c r="B889" s="190">
        <v>3</v>
      </c>
      <c r="C889" s="195" t="s">
        <v>113</v>
      </c>
      <c r="D889" s="195" t="s">
        <v>83</v>
      </c>
      <c r="E889" s="192" t="s">
        <v>3207</v>
      </c>
      <c r="F889" s="196" t="s">
        <v>81</v>
      </c>
      <c r="G889" s="190">
        <v>5</v>
      </c>
      <c r="H889" s="197" t="s">
        <v>3208</v>
      </c>
    </row>
    <row r="890" spans="1:8" ht="31.15" x14ac:dyDescent="0.25">
      <c r="A890" s="190">
        <v>5</v>
      </c>
      <c r="B890" s="190">
        <v>3</v>
      </c>
      <c r="C890" s="195" t="s">
        <v>113</v>
      </c>
      <c r="D890" s="195" t="s">
        <v>83</v>
      </c>
      <c r="E890" s="192" t="s">
        <v>3209</v>
      </c>
      <c r="F890" s="196" t="s">
        <v>81</v>
      </c>
      <c r="G890" s="190">
        <v>2</v>
      </c>
      <c r="H890" s="197" t="s">
        <v>3210</v>
      </c>
    </row>
    <row r="891" spans="1:8" ht="46.9" x14ac:dyDescent="0.25">
      <c r="A891" s="190">
        <v>5</v>
      </c>
      <c r="B891" s="190">
        <v>3</v>
      </c>
      <c r="C891" s="195" t="s">
        <v>113</v>
      </c>
      <c r="D891" s="195" t="s">
        <v>83</v>
      </c>
      <c r="E891" s="192" t="s">
        <v>3211</v>
      </c>
      <c r="F891" s="196" t="s">
        <v>69</v>
      </c>
      <c r="G891" s="190">
        <v>3</v>
      </c>
      <c r="H891" s="197" t="s">
        <v>3212</v>
      </c>
    </row>
    <row r="892" spans="1:8" ht="46.9" x14ac:dyDescent="0.25">
      <c r="A892" s="190">
        <v>5</v>
      </c>
      <c r="B892" s="190">
        <v>3</v>
      </c>
      <c r="C892" s="195" t="s">
        <v>113</v>
      </c>
      <c r="D892" s="195" t="s">
        <v>83</v>
      </c>
      <c r="E892" s="192" t="s">
        <v>3213</v>
      </c>
      <c r="F892" s="196" t="s">
        <v>81</v>
      </c>
      <c r="G892" s="190">
        <v>100</v>
      </c>
      <c r="H892" s="197" t="s">
        <v>3214</v>
      </c>
    </row>
    <row r="893" spans="1:8" ht="31.15" x14ac:dyDescent="0.25">
      <c r="A893" s="190">
        <v>5</v>
      </c>
      <c r="B893" s="190">
        <v>3</v>
      </c>
      <c r="C893" s="195" t="s">
        <v>113</v>
      </c>
      <c r="D893" s="195" t="s">
        <v>83</v>
      </c>
      <c r="E893" s="192" t="s">
        <v>3215</v>
      </c>
      <c r="F893" s="196" t="s">
        <v>69</v>
      </c>
      <c r="G893" s="190">
        <v>527</v>
      </c>
      <c r="H893" s="197" t="s">
        <v>3216</v>
      </c>
    </row>
    <row r="894" spans="1:8" ht="62.45" x14ac:dyDescent="0.25">
      <c r="A894" s="190">
        <v>25</v>
      </c>
      <c r="B894" s="190">
        <v>3</v>
      </c>
      <c r="C894" s="195" t="s">
        <v>49</v>
      </c>
      <c r="D894" s="191" t="s">
        <v>4</v>
      </c>
      <c r="E894" s="192" t="s">
        <v>3274</v>
      </c>
      <c r="F894" s="191" t="s">
        <v>69</v>
      </c>
      <c r="G894" s="190">
        <v>3</v>
      </c>
      <c r="H894" s="193" t="s">
        <v>3275</v>
      </c>
    </row>
    <row r="895" spans="1:8" ht="31.15" x14ac:dyDescent="0.25">
      <c r="A895" s="190">
        <v>25</v>
      </c>
      <c r="B895" s="190">
        <v>3</v>
      </c>
      <c r="C895" s="195" t="s">
        <v>49</v>
      </c>
      <c r="D895" s="191" t="s">
        <v>137</v>
      </c>
      <c r="E895" s="192" t="s">
        <v>3276</v>
      </c>
      <c r="F895" s="191" t="s">
        <v>81</v>
      </c>
      <c r="G895" s="190">
        <v>15</v>
      </c>
      <c r="H895" s="193" t="s">
        <v>3277</v>
      </c>
    </row>
    <row r="896" spans="1:8" ht="46.9" x14ac:dyDescent="0.25">
      <c r="A896" s="190">
        <v>25</v>
      </c>
      <c r="B896" s="190">
        <v>3</v>
      </c>
      <c r="C896" s="195" t="s">
        <v>49</v>
      </c>
      <c r="D896" s="191" t="s">
        <v>0</v>
      </c>
      <c r="E896" s="192" t="s">
        <v>3278</v>
      </c>
      <c r="F896" s="191" t="s">
        <v>69</v>
      </c>
      <c r="G896" s="190">
        <v>105</v>
      </c>
      <c r="H896" s="193" t="s">
        <v>3279</v>
      </c>
    </row>
    <row r="897" spans="1:8" ht="62.45" x14ac:dyDescent="0.25">
      <c r="A897" s="190">
        <v>25</v>
      </c>
      <c r="B897" s="190">
        <v>3</v>
      </c>
      <c r="C897" s="195" t="s">
        <v>49</v>
      </c>
      <c r="D897" s="191" t="s">
        <v>0</v>
      </c>
      <c r="E897" s="192" t="s">
        <v>3280</v>
      </c>
      <c r="F897" s="191" t="s">
        <v>81</v>
      </c>
      <c r="G897" s="190">
        <v>9</v>
      </c>
      <c r="H897" s="193" t="s">
        <v>3281</v>
      </c>
    </row>
    <row r="898" spans="1:8" ht="62.45" x14ac:dyDescent="0.25">
      <c r="A898" s="190">
        <v>25</v>
      </c>
      <c r="B898" s="190">
        <v>3</v>
      </c>
      <c r="C898" s="195" t="s">
        <v>49</v>
      </c>
      <c r="D898" s="191" t="s">
        <v>1</v>
      </c>
      <c r="E898" s="192" t="s">
        <v>3282</v>
      </c>
      <c r="F898" s="191" t="s">
        <v>69</v>
      </c>
      <c r="G898" s="190">
        <v>2</v>
      </c>
      <c r="H898" s="193" t="s">
        <v>3283</v>
      </c>
    </row>
    <row r="899" spans="1:8" ht="46.9" x14ac:dyDescent="0.25">
      <c r="A899" s="190">
        <v>25</v>
      </c>
      <c r="B899" s="190">
        <v>3</v>
      </c>
      <c r="C899" s="195" t="s">
        <v>49</v>
      </c>
      <c r="D899" s="191" t="s">
        <v>1</v>
      </c>
      <c r="E899" s="192" t="s">
        <v>3284</v>
      </c>
      <c r="F899" s="191" t="s">
        <v>69</v>
      </c>
      <c r="G899" s="190">
        <v>3</v>
      </c>
      <c r="H899" s="193" t="s">
        <v>3285</v>
      </c>
    </row>
    <row r="900" spans="1:8" ht="62.45" x14ac:dyDescent="0.25">
      <c r="A900" s="190">
        <v>25</v>
      </c>
      <c r="B900" s="190">
        <v>3</v>
      </c>
      <c r="C900" s="195" t="s">
        <v>49</v>
      </c>
      <c r="D900" s="191" t="s">
        <v>1</v>
      </c>
      <c r="E900" s="192" t="s">
        <v>3286</v>
      </c>
      <c r="F900" s="191" t="s">
        <v>81</v>
      </c>
      <c r="G900" s="190">
        <v>44</v>
      </c>
      <c r="H900" s="193" t="s">
        <v>3287</v>
      </c>
    </row>
    <row r="901" spans="1:8" ht="62.45" x14ac:dyDescent="0.25">
      <c r="A901" s="190">
        <v>25</v>
      </c>
      <c r="B901" s="190">
        <v>3</v>
      </c>
      <c r="C901" s="195" t="s">
        <v>49</v>
      </c>
      <c r="D901" s="191" t="s">
        <v>1</v>
      </c>
      <c r="E901" s="192" t="s">
        <v>3288</v>
      </c>
      <c r="F901" s="191" t="s">
        <v>81</v>
      </c>
      <c r="G901" s="190">
        <v>40</v>
      </c>
      <c r="H901" s="193" t="s">
        <v>3289</v>
      </c>
    </row>
    <row r="902" spans="1:8" ht="46.9" x14ac:dyDescent="0.25">
      <c r="A902" s="190">
        <v>25</v>
      </c>
      <c r="B902" s="190">
        <v>3</v>
      </c>
      <c r="C902" s="195" t="s">
        <v>49</v>
      </c>
      <c r="D902" s="191" t="s">
        <v>1</v>
      </c>
      <c r="E902" s="192" t="s">
        <v>3290</v>
      </c>
      <c r="F902" s="191" t="s">
        <v>81</v>
      </c>
      <c r="G902" s="190">
        <v>25</v>
      </c>
      <c r="H902" s="193" t="s">
        <v>3291</v>
      </c>
    </row>
    <row r="903" spans="1:8" ht="46.9" x14ac:dyDescent="0.25">
      <c r="A903" s="190">
        <v>25</v>
      </c>
      <c r="B903" s="190">
        <v>3</v>
      </c>
      <c r="C903" s="195" t="s">
        <v>49</v>
      </c>
      <c r="D903" s="191" t="s">
        <v>1</v>
      </c>
      <c r="E903" s="192" t="s">
        <v>3292</v>
      </c>
      <c r="F903" s="191" t="s">
        <v>81</v>
      </c>
      <c r="G903" s="190">
        <v>30</v>
      </c>
      <c r="H903" s="193" t="s">
        <v>3293</v>
      </c>
    </row>
    <row r="904" spans="1:8" ht="62.45" x14ac:dyDescent="0.25">
      <c r="A904" s="190">
        <v>25</v>
      </c>
      <c r="B904" s="190">
        <v>3</v>
      </c>
      <c r="C904" s="195" t="s">
        <v>49</v>
      </c>
      <c r="D904" s="191" t="s">
        <v>1</v>
      </c>
      <c r="E904" s="192" t="s">
        <v>3294</v>
      </c>
      <c r="F904" s="191" t="s">
        <v>81</v>
      </c>
      <c r="G904" s="190">
        <v>18</v>
      </c>
      <c r="H904" s="193" t="s">
        <v>3295</v>
      </c>
    </row>
    <row r="905" spans="1:8" ht="46.9" x14ac:dyDescent="0.25">
      <c r="A905" s="190">
        <v>25</v>
      </c>
      <c r="B905" s="190">
        <v>3</v>
      </c>
      <c r="C905" s="195" t="s">
        <v>49</v>
      </c>
      <c r="D905" s="191" t="s">
        <v>1</v>
      </c>
      <c r="E905" s="192" t="s">
        <v>3296</v>
      </c>
      <c r="F905" s="191" t="s">
        <v>81</v>
      </c>
      <c r="G905" s="190">
        <v>6</v>
      </c>
      <c r="H905" s="193" t="s">
        <v>3297</v>
      </c>
    </row>
    <row r="906" spans="1:8" ht="46.9" x14ac:dyDescent="0.25">
      <c r="A906" s="190">
        <v>25</v>
      </c>
      <c r="B906" s="190">
        <v>3</v>
      </c>
      <c r="C906" s="195" t="s">
        <v>49</v>
      </c>
      <c r="D906" s="191" t="s">
        <v>1</v>
      </c>
      <c r="E906" s="192" t="s">
        <v>3298</v>
      </c>
      <c r="F906" s="191" t="s">
        <v>81</v>
      </c>
      <c r="G906" s="190">
        <v>115</v>
      </c>
      <c r="H906" s="193" t="s">
        <v>3299</v>
      </c>
    </row>
    <row r="907" spans="1:8" ht="46.9" x14ac:dyDescent="0.25">
      <c r="A907" s="190">
        <v>25</v>
      </c>
      <c r="B907" s="190">
        <v>3</v>
      </c>
      <c r="C907" s="195" t="s">
        <v>49</v>
      </c>
      <c r="D907" s="191" t="s">
        <v>1</v>
      </c>
      <c r="E907" s="192" t="s">
        <v>3300</v>
      </c>
      <c r="F907" s="191" t="s">
        <v>81</v>
      </c>
      <c r="G907" s="190">
        <v>1</v>
      </c>
      <c r="H907" s="193" t="s">
        <v>3301</v>
      </c>
    </row>
    <row r="908" spans="1:8" ht="46.9" x14ac:dyDescent="0.25">
      <c r="A908" s="190">
        <v>25</v>
      </c>
      <c r="B908" s="190">
        <v>3</v>
      </c>
      <c r="C908" s="195" t="s">
        <v>49</v>
      </c>
      <c r="D908" s="191" t="s">
        <v>1</v>
      </c>
      <c r="E908" s="192" t="s">
        <v>3302</v>
      </c>
      <c r="F908" s="191" t="s">
        <v>69</v>
      </c>
      <c r="G908" s="190">
        <v>9</v>
      </c>
      <c r="H908" s="193" t="s">
        <v>3303</v>
      </c>
    </row>
    <row r="909" spans="1:8" ht="46.9" x14ac:dyDescent="0.25">
      <c r="A909" s="190">
        <v>25</v>
      </c>
      <c r="B909" s="190">
        <v>3</v>
      </c>
      <c r="C909" s="195" t="s">
        <v>49</v>
      </c>
      <c r="D909" s="191" t="s">
        <v>83</v>
      </c>
      <c r="E909" s="192" t="s">
        <v>3304</v>
      </c>
      <c r="F909" s="191" t="s">
        <v>69</v>
      </c>
      <c r="G909" s="190">
        <v>41</v>
      </c>
      <c r="H909" s="193" t="s">
        <v>3268</v>
      </c>
    </row>
    <row r="910" spans="1:8" ht="78" x14ac:dyDescent="0.25">
      <c r="A910" s="190">
        <v>25</v>
      </c>
      <c r="B910" s="190">
        <v>3</v>
      </c>
      <c r="C910" s="195" t="s">
        <v>49</v>
      </c>
      <c r="D910" s="191" t="s">
        <v>83</v>
      </c>
      <c r="E910" s="192" t="s">
        <v>3305</v>
      </c>
      <c r="F910" s="191" t="s">
        <v>69</v>
      </c>
      <c r="G910" s="190">
        <v>69</v>
      </c>
      <c r="H910" s="193" t="s">
        <v>3306</v>
      </c>
    </row>
    <row r="911" spans="1:8" ht="62.45" x14ac:dyDescent="0.25">
      <c r="A911" s="190">
        <v>25</v>
      </c>
      <c r="B911" s="190">
        <v>3</v>
      </c>
      <c r="C911" s="195" t="s">
        <v>49</v>
      </c>
      <c r="D911" s="191" t="s">
        <v>83</v>
      </c>
      <c r="E911" s="192" t="s">
        <v>3307</v>
      </c>
      <c r="F911" s="191" t="s">
        <v>81</v>
      </c>
      <c r="G911" s="190">
        <v>27</v>
      </c>
      <c r="H911" s="193" t="s">
        <v>3273</v>
      </c>
    </row>
    <row r="912" spans="1:8" ht="31.15" x14ac:dyDescent="0.25">
      <c r="A912" s="190">
        <v>9</v>
      </c>
      <c r="B912" s="190">
        <v>3</v>
      </c>
      <c r="C912" s="195" t="s">
        <v>33</v>
      </c>
      <c r="D912" s="191" t="s">
        <v>1</v>
      </c>
      <c r="E912" s="192" t="s">
        <v>3320</v>
      </c>
      <c r="F912" s="191" t="s">
        <v>69</v>
      </c>
      <c r="G912" s="190">
        <v>14</v>
      </c>
      <c r="H912" s="193" t="s">
        <v>3321</v>
      </c>
    </row>
    <row r="913" spans="1:8" ht="62.45" x14ac:dyDescent="0.25">
      <c r="A913" s="190">
        <v>9</v>
      </c>
      <c r="B913" s="190">
        <v>3</v>
      </c>
      <c r="C913" s="195" t="s">
        <v>33</v>
      </c>
      <c r="D913" s="191" t="s">
        <v>83</v>
      </c>
      <c r="E913" s="192" t="s">
        <v>3322</v>
      </c>
      <c r="F913" s="191" t="s">
        <v>69</v>
      </c>
      <c r="G913" s="190">
        <v>6</v>
      </c>
      <c r="H913" s="193" t="s">
        <v>3323</v>
      </c>
    </row>
    <row r="914" spans="1:8" ht="31.15" x14ac:dyDescent="0.25">
      <c r="A914" s="190">
        <v>9</v>
      </c>
      <c r="B914" s="190">
        <v>3</v>
      </c>
      <c r="C914" s="195" t="s">
        <v>33</v>
      </c>
      <c r="D914" s="191" t="s">
        <v>83</v>
      </c>
      <c r="E914" s="192" t="s">
        <v>3324</v>
      </c>
      <c r="F914" s="191" t="s">
        <v>81</v>
      </c>
      <c r="G914" s="190">
        <v>3</v>
      </c>
      <c r="H914" s="193" t="s">
        <v>3325</v>
      </c>
    </row>
    <row r="915" spans="1:8" ht="78" x14ac:dyDescent="0.25">
      <c r="A915" s="130">
        <v>1</v>
      </c>
      <c r="B915" s="130">
        <v>4</v>
      </c>
      <c r="C915" s="247" t="s">
        <v>25</v>
      </c>
      <c r="D915" s="248" t="s">
        <v>0</v>
      </c>
      <c r="E915" s="50" t="s">
        <v>3337</v>
      </c>
      <c r="F915" s="45" t="s">
        <v>81</v>
      </c>
      <c r="G915" s="45">
        <v>10</v>
      </c>
      <c r="H915" s="249" t="s">
        <v>3338</v>
      </c>
    </row>
    <row r="916" spans="1:8" ht="46.9" x14ac:dyDescent="0.25">
      <c r="A916" s="130">
        <v>1</v>
      </c>
      <c r="B916" s="130">
        <v>4</v>
      </c>
      <c r="C916" s="247" t="s">
        <v>25</v>
      </c>
      <c r="D916" s="248" t="s">
        <v>1731</v>
      </c>
      <c r="E916" s="50" t="s">
        <v>3339</v>
      </c>
      <c r="F916" s="45" t="s">
        <v>69</v>
      </c>
      <c r="G916" s="45">
        <v>3</v>
      </c>
      <c r="H916" s="249" t="s">
        <v>3340</v>
      </c>
    </row>
    <row r="917" spans="1:8" ht="78" x14ac:dyDescent="0.25">
      <c r="A917" s="130">
        <v>1</v>
      </c>
      <c r="B917" s="130">
        <v>4</v>
      </c>
      <c r="C917" s="247" t="s">
        <v>25</v>
      </c>
      <c r="D917" s="248" t="s">
        <v>1731</v>
      </c>
      <c r="E917" s="50" t="s">
        <v>3341</v>
      </c>
      <c r="F917" s="45" t="s">
        <v>81</v>
      </c>
      <c r="G917" s="45">
        <v>10</v>
      </c>
      <c r="H917" s="249" t="s">
        <v>3342</v>
      </c>
    </row>
    <row r="918" spans="1:8" ht="78" x14ac:dyDescent="0.25">
      <c r="A918" s="130">
        <v>1</v>
      </c>
      <c r="B918" s="130">
        <v>4</v>
      </c>
      <c r="C918" s="247" t="s">
        <v>25</v>
      </c>
      <c r="D918" s="248" t="s">
        <v>1</v>
      </c>
      <c r="E918" s="50" t="s">
        <v>3343</v>
      </c>
      <c r="F918" s="45" t="s">
        <v>69</v>
      </c>
      <c r="G918" s="45">
        <v>6</v>
      </c>
      <c r="H918" s="249" t="s">
        <v>3344</v>
      </c>
    </row>
    <row r="919" spans="1:8" ht="46.9" x14ac:dyDescent="0.25">
      <c r="A919" s="130">
        <v>1</v>
      </c>
      <c r="B919" s="130">
        <v>4</v>
      </c>
      <c r="C919" s="247" t="s">
        <v>25</v>
      </c>
      <c r="D919" s="248" t="s">
        <v>1</v>
      </c>
      <c r="E919" s="50" t="s">
        <v>3345</v>
      </c>
      <c r="F919" s="45" t="s">
        <v>81</v>
      </c>
      <c r="G919" s="45">
        <v>103</v>
      </c>
      <c r="H919" s="249" t="s">
        <v>3346</v>
      </c>
    </row>
    <row r="920" spans="1:8" ht="46.9" x14ac:dyDescent="0.25">
      <c r="A920" s="130">
        <v>1</v>
      </c>
      <c r="B920" s="130">
        <v>4</v>
      </c>
      <c r="C920" s="247" t="s">
        <v>25</v>
      </c>
      <c r="D920" s="248" t="s">
        <v>1</v>
      </c>
      <c r="E920" s="50" t="s">
        <v>3347</v>
      </c>
      <c r="F920" s="45" t="s">
        <v>81</v>
      </c>
      <c r="G920" s="45">
        <v>12</v>
      </c>
      <c r="H920" s="249" t="s">
        <v>3348</v>
      </c>
    </row>
    <row r="921" spans="1:8" ht="62.45" x14ac:dyDescent="0.25">
      <c r="A921" s="130">
        <v>1</v>
      </c>
      <c r="B921" s="130">
        <v>4</v>
      </c>
      <c r="C921" s="247" t="s">
        <v>25</v>
      </c>
      <c r="D921" s="248" t="s">
        <v>83</v>
      </c>
      <c r="E921" s="50" t="s">
        <v>3349</v>
      </c>
      <c r="F921" s="45" t="s">
        <v>81</v>
      </c>
      <c r="G921" s="45">
        <v>12</v>
      </c>
      <c r="H921" s="249" t="s">
        <v>3350</v>
      </c>
    </row>
    <row r="922" spans="1:8" ht="62.45" x14ac:dyDescent="0.25">
      <c r="A922" s="130">
        <v>1</v>
      </c>
      <c r="B922" s="130">
        <v>4</v>
      </c>
      <c r="C922" s="247" t="s">
        <v>25</v>
      </c>
      <c r="D922" s="248" t="s">
        <v>83</v>
      </c>
      <c r="E922" s="50" t="s">
        <v>3351</v>
      </c>
      <c r="F922" s="45" t="s">
        <v>81</v>
      </c>
      <c r="G922" s="45">
        <v>12</v>
      </c>
      <c r="H922" s="249" t="s">
        <v>3350</v>
      </c>
    </row>
    <row r="923" spans="1:8" ht="31.15" x14ac:dyDescent="0.25">
      <c r="A923" s="130">
        <v>1</v>
      </c>
      <c r="B923" s="130">
        <v>4</v>
      </c>
      <c r="C923" s="247" t="s">
        <v>25</v>
      </c>
      <c r="D923" s="248" t="s">
        <v>83</v>
      </c>
      <c r="E923" s="50" t="s">
        <v>3352</v>
      </c>
      <c r="F923" s="45" t="s">
        <v>69</v>
      </c>
      <c r="G923" s="45">
        <v>7</v>
      </c>
      <c r="H923" s="249" t="s">
        <v>3353</v>
      </c>
    </row>
    <row r="924" spans="1:8" ht="46.9" x14ac:dyDescent="0.25">
      <c r="A924" s="130">
        <v>1</v>
      </c>
      <c r="B924" s="130">
        <v>4</v>
      </c>
      <c r="C924" s="247" t="s">
        <v>25</v>
      </c>
      <c r="D924" s="248" t="s">
        <v>83</v>
      </c>
      <c r="E924" s="50" t="s">
        <v>3354</v>
      </c>
      <c r="F924" s="45" t="s">
        <v>81</v>
      </c>
      <c r="G924" s="45">
        <v>5</v>
      </c>
      <c r="H924" s="249" t="s">
        <v>3355</v>
      </c>
    </row>
    <row r="925" spans="1:8" ht="31.15" x14ac:dyDescent="0.25">
      <c r="A925" s="130">
        <v>2</v>
      </c>
      <c r="B925" s="130">
        <v>4</v>
      </c>
      <c r="C925" s="247" t="s">
        <v>26</v>
      </c>
      <c r="D925" s="248" t="s">
        <v>0</v>
      </c>
      <c r="E925" s="50" t="s">
        <v>3356</v>
      </c>
      <c r="F925" s="45" t="s">
        <v>746</v>
      </c>
      <c r="G925" s="45">
        <v>1</v>
      </c>
      <c r="H925" s="249" t="s">
        <v>3046</v>
      </c>
    </row>
    <row r="926" spans="1:8" ht="31.15" x14ac:dyDescent="0.25">
      <c r="A926" s="130">
        <v>2</v>
      </c>
      <c r="B926" s="130">
        <v>4</v>
      </c>
      <c r="C926" s="247" t="s">
        <v>26</v>
      </c>
      <c r="D926" s="248" t="s">
        <v>0</v>
      </c>
      <c r="E926" s="50" t="s">
        <v>3357</v>
      </c>
      <c r="F926" s="45" t="s">
        <v>746</v>
      </c>
      <c r="G926" s="45">
        <v>8</v>
      </c>
      <c r="H926" s="249" t="s">
        <v>3358</v>
      </c>
    </row>
    <row r="927" spans="1:8" ht="31.15" x14ac:dyDescent="0.25">
      <c r="A927" s="130">
        <v>2</v>
      </c>
      <c r="B927" s="130">
        <v>4</v>
      </c>
      <c r="C927" s="247" t="s">
        <v>26</v>
      </c>
      <c r="D927" s="248" t="s">
        <v>0</v>
      </c>
      <c r="E927" s="50" t="s">
        <v>3359</v>
      </c>
      <c r="F927" s="45" t="s">
        <v>746</v>
      </c>
      <c r="G927" s="45">
        <v>5</v>
      </c>
      <c r="H927" s="249" t="s">
        <v>3360</v>
      </c>
    </row>
    <row r="928" spans="1:8" ht="31.15" x14ac:dyDescent="0.25">
      <c r="A928" s="130">
        <v>2</v>
      </c>
      <c r="B928" s="130">
        <v>4</v>
      </c>
      <c r="C928" s="247" t="s">
        <v>26</v>
      </c>
      <c r="D928" s="248" t="s">
        <v>0</v>
      </c>
      <c r="E928" s="50" t="s">
        <v>3361</v>
      </c>
      <c r="F928" s="45" t="s">
        <v>746</v>
      </c>
      <c r="G928" s="45">
        <v>7</v>
      </c>
      <c r="H928" s="249" t="s">
        <v>3362</v>
      </c>
    </row>
    <row r="929" spans="1:8" ht="15.6" x14ac:dyDescent="0.25">
      <c r="A929" s="130">
        <v>2</v>
      </c>
      <c r="B929" s="130">
        <v>4</v>
      </c>
      <c r="C929" s="247" t="s">
        <v>26</v>
      </c>
      <c r="D929" s="248" t="s">
        <v>0</v>
      </c>
      <c r="E929" s="50" t="s">
        <v>3363</v>
      </c>
      <c r="F929" s="45" t="s">
        <v>746</v>
      </c>
      <c r="G929" s="45">
        <v>4</v>
      </c>
      <c r="H929" s="249" t="s">
        <v>3364</v>
      </c>
    </row>
    <row r="930" spans="1:8" ht="31.15" x14ac:dyDescent="0.25">
      <c r="A930" s="130">
        <v>2</v>
      </c>
      <c r="B930" s="130">
        <v>4</v>
      </c>
      <c r="C930" s="247" t="s">
        <v>26</v>
      </c>
      <c r="D930" s="248" t="s">
        <v>1731</v>
      </c>
      <c r="E930" s="50" t="s">
        <v>3365</v>
      </c>
      <c r="F930" s="45" t="s">
        <v>746</v>
      </c>
      <c r="G930" s="45">
        <v>83</v>
      </c>
      <c r="H930" s="249" t="s">
        <v>3366</v>
      </c>
    </row>
    <row r="931" spans="1:8" ht="15.6" x14ac:dyDescent="0.25">
      <c r="A931" s="130">
        <v>2</v>
      </c>
      <c r="B931" s="130">
        <v>4</v>
      </c>
      <c r="C931" s="247" t="s">
        <v>26</v>
      </c>
      <c r="D931" s="248" t="s">
        <v>1</v>
      </c>
      <c r="E931" s="50" t="s">
        <v>3367</v>
      </c>
      <c r="F931" s="45" t="s">
        <v>746</v>
      </c>
      <c r="G931" s="45">
        <v>17</v>
      </c>
      <c r="H931" s="249" t="s">
        <v>3368</v>
      </c>
    </row>
    <row r="932" spans="1:8" ht="31.15" x14ac:dyDescent="0.25">
      <c r="A932" s="130">
        <v>2</v>
      </c>
      <c r="B932" s="130">
        <v>4</v>
      </c>
      <c r="C932" s="247" t="s">
        <v>26</v>
      </c>
      <c r="D932" s="248" t="s">
        <v>1</v>
      </c>
      <c r="E932" s="50" t="s">
        <v>3369</v>
      </c>
      <c r="F932" s="45" t="s">
        <v>746</v>
      </c>
      <c r="G932" s="45">
        <v>25</v>
      </c>
      <c r="H932" s="249" t="s">
        <v>3370</v>
      </c>
    </row>
    <row r="933" spans="1:8" ht="31.15" x14ac:dyDescent="0.25">
      <c r="A933" s="130">
        <v>2</v>
      </c>
      <c r="B933" s="130">
        <v>4</v>
      </c>
      <c r="C933" s="247" t="s">
        <v>26</v>
      </c>
      <c r="D933" s="248" t="s">
        <v>1</v>
      </c>
      <c r="E933" s="50" t="s">
        <v>3371</v>
      </c>
      <c r="F933" s="45" t="s">
        <v>746</v>
      </c>
      <c r="G933" s="45">
        <v>121</v>
      </c>
      <c r="H933" s="249" t="s">
        <v>3372</v>
      </c>
    </row>
    <row r="934" spans="1:8" ht="31.15" x14ac:dyDescent="0.25">
      <c r="A934" s="130">
        <v>2</v>
      </c>
      <c r="B934" s="130">
        <v>4</v>
      </c>
      <c r="C934" s="247" t="s">
        <v>26</v>
      </c>
      <c r="D934" s="248" t="s">
        <v>1</v>
      </c>
      <c r="E934" s="50" t="s">
        <v>3373</v>
      </c>
      <c r="F934" s="45" t="s">
        <v>746</v>
      </c>
      <c r="G934" s="45">
        <v>25</v>
      </c>
      <c r="H934" s="249" t="s">
        <v>3374</v>
      </c>
    </row>
    <row r="935" spans="1:8" ht="31.15" x14ac:dyDescent="0.25">
      <c r="A935" s="130">
        <v>2</v>
      </c>
      <c r="B935" s="130">
        <v>4</v>
      </c>
      <c r="C935" s="247" t="s">
        <v>26</v>
      </c>
      <c r="D935" s="248" t="s">
        <v>1</v>
      </c>
      <c r="E935" s="50" t="s">
        <v>3375</v>
      </c>
      <c r="F935" s="45" t="s">
        <v>746</v>
      </c>
      <c r="G935" s="45">
        <v>94</v>
      </c>
      <c r="H935" s="249" t="s">
        <v>3376</v>
      </c>
    </row>
    <row r="936" spans="1:8" ht="31.15" x14ac:dyDescent="0.25">
      <c r="A936" s="130">
        <v>2</v>
      </c>
      <c r="B936" s="130">
        <v>4</v>
      </c>
      <c r="C936" s="247" t="s">
        <v>26</v>
      </c>
      <c r="D936" s="248" t="s">
        <v>1</v>
      </c>
      <c r="E936" s="50" t="s">
        <v>3377</v>
      </c>
      <c r="F936" s="45" t="s">
        <v>746</v>
      </c>
      <c r="G936" s="45">
        <v>6</v>
      </c>
      <c r="H936" s="249" t="s">
        <v>3378</v>
      </c>
    </row>
    <row r="937" spans="1:8" ht="31.15" x14ac:dyDescent="0.25">
      <c r="A937" s="130">
        <v>2</v>
      </c>
      <c r="B937" s="130">
        <v>4</v>
      </c>
      <c r="C937" s="247" t="s">
        <v>26</v>
      </c>
      <c r="D937" s="248" t="s">
        <v>1</v>
      </c>
      <c r="E937" s="50" t="s">
        <v>3379</v>
      </c>
      <c r="F937" s="45" t="s">
        <v>746</v>
      </c>
      <c r="G937" s="45">
        <v>6</v>
      </c>
      <c r="H937" s="249" t="s">
        <v>3378</v>
      </c>
    </row>
    <row r="938" spans="1:8" ht="31.15" x14ac:dyDescent="0.25">
      <c r="A938" s="130">
        <v>2</v>
      </c>
      <c r="B938" s="130">
        <v>4</v>
      </c>
      <c r="C938" s="247" t="s">
        <v>26</v>
      </c>
      <c r="D938" s="248" t="s">
        <v>1</v>
      </c>
      <c r="E938" s="50" t="s">
        <v>3380</v>
      </c>
      <c r="F938" s="45" t="s">
        <v>746</v>
      </c>
      <c r="G938" s="45">
        <v>36</v>
      </c>
      <c r="H938" s="249" t="s">
        <v>3381</v>
      </c>
    </row>
    <row r="939" spans="1:8" ht="31.15" x14ac:dyDescent="0.25">
      <c r="A939" s="130">
        <v>2</v>
      </c>
      <c r="B939" s="130">
        <v>4</v>
      </c>
      <c r="C939" s="247" t="s">
        <v>26</v>
      </c>
      <c r="D939" s="248" t="s">
        <v>1</v>
      </c>
      <c r="E939" s="50" t="s">
        <v>3382</v>
      </c>
      <c r="F939" s="45" t="s">
        <v>746</v>
      </c>
      <c r="G939" s="45">
        <v>42</v>
      </c>
      <c r="H939" s="249" t="s">
        <v>3383</v>
      </c>
    </row>
    <row r="940" spans="1:8" ht="31.15" x14ac:dyDescent="0.25">
      <c r="A940" s="130">
        <v>2</v>
      </c>
      <c r="B940" s="130">
        <v>4</v>
      </c>
      <c r="C940" s="247" t="s">
        <v>26</v>
      </c>
      <c r="D940" s="248" t="s">
        <v>1</v>
      </c>
      <c r="E940" s="50" t="s">
        <v>3384</v>
      </c>
      <c r="F940" s="45" t="s">
        <v>746</v>
      </c>
      <c r="G940" s="45">
        <v>43</v>
      </c>
      <c r="H940" s="249" t="s">
        <v>3385</v>
      </c>
    </row>
    <row r="941" spans="1:8" ht="31.15" x14ac:dyDescent="0.25">
      <c r="A941" s="130">
        <v>2</v>
      </c>
      <c r="B941" s="130">
        <v>4</v>
      </c>
      <c r="C941" s="247" t="s">
        <v>26</v>
      </c>
      <c r="D941" s="248" t="s">
        <v>1</v>
      </c>
      <c r="E941" s="50" t="s">
        <v>3386</v>
      </c>
      <c r="F941" s="45" t="s">
        <v>746</v>
      </c>
      <c r="G941" s="45">
        <v>25</v>
      </c>
      <c r="H941" s="249" t="s">
        <v>3387</v>
      </c>
    </row>
    <row r="942" spans="1:8" ht="31.15" x14ac:dyDescent="0.25">
      <c r="A942" s="130">
        <v>2</v>
      </c>
      <c r="B942" s="130">
        <v>4</v>
      </c>
      <c r="C942" s="247" t="s">
        <v>26</v>
      </c>
      <c r="D942" s="248" t="s">
        <v>83</v>
      </c>
      <c r="E942" s="50" t="s">
        <v>3388</v>
      </c>
      <c r="F942" s="45" t="s">
        <v>746</v>
      </c>
      <c r="G942" s="45">
        <v>75</v>
      </c>
      <c r="H942" s="249" t="s">
        <v>3383</v>
      </c>
    </row>
    <row r="943" spans="1:8" ht="15.6" x14ac:dyDescent="0.25">
      <c r="A943" s="130">
        <v>2</v>
      </c>
      <c r="B943" s="130">
        <v>4</v>
      </c>
      <c r="C943" s="247" t="s">
        <v>26</v>
      </c>
      <c r="D943" s="248" t="s">
        <v>83</v>
      </c>
      <c r="E943" s="50" t="s">
        <v>3389</v>
      </c>
      <c r="F943" s="45" t="s">
        <v>746</v>
      </c>
      <c r="G943" s="45">
        <v>4</v>
      </c>
      <c r="H943" s="249" t="s">
        <v>3364</v>
      </c>
    </row>
    <row r="944" spans="1:8" ht="15.6" x14ac:dyDescent="0.25">
      <c r="A944" s="130">
        <v>2</v>
      </c>
      <c r="B944" s="130">
        <v>4</v>
      </c>
      <c r="C944" s="247" t="s">
        <v>26</v>
      </c>
      <c r="D944" s="248" t="s">
        <v>83</v>
      </c>
      <c r="E944" s="50" t="s">
        <v>3390</v>
      </c>
      <c r="F944" s="45" t="s">
        <v>746</v>
      </c>
      <c r="G944" s="45">
        <v>53</v>
      </c>
      <c r="H944" s="249" t="s">
        <v>3374</v>
      </c>
    </row>
    <row r="945" spans="1:8" ht="31.15" x14ac:dyDescent="0.25">
      <c r="A945" s="130">
        <v>2</v>
      </c>
      <c r="B945" s="130">
        <v>4</v>
      </c>
      <c r="C945" s="247" t="s">
        <v>26</v>
      </c>
      <c r="D945" s="248" t="s">
        <v>83</v>
      </c>
      <c r="E945" s="50" t="s">
        <v>3391</v>
      </c>
      <c r="F945" s="45" t="s">
        <v>746</v>
      </c>
      <c r="G945" s="45">
        <v>50</v>
      </c>
      <c r="H945" s="249" t="s">
        <v>3387</v>
      </c>
    </row>
    <row r="946" spans="1:8" ht="15.6" x14ac:dyDescent="0.25">
      <c r="A946" s="130">
        <v>2</v>
      </c>
      <c r="B946" s="130">
        <v>4</v>
      </c>
      <c r="C946" s="247" t="s">
        <v>26</v>
      </c>
      <c r="D946" s="248" t="s">
        <v>83</v>
      </c>
      <c r="E946" s="50" t="s">
        <v>3392</v>
      </c>
      <c r="F946" s="45" t="s">
        <v>746</v>
      </c>
      <c r="G946" s="45">
        <v>37</v>
      </c>
      <c r="H946" s="249" t="s">
        <v>3393</v>
      </c>
    </row>
    <row r="947" spans="1:8" ht="31.15" x14ac:dyDescent="0.25">
      <c r="A947" s="130">
        <v>2</v>
      </c>
      <c r="B947" s="130">
        <v>4</v>
      </c>
      <c r="C947" s="247" t="s">
        <v>26</v>
      </c>
      <c r="D947" s="248" t="s">
        <v>83</v>
      </c>
      <c r="E947" s="50" t="s">
        <v>3394</v>
      </c>
      <c r="F947" s="45" t="s">
        <v>746</v>
      </c>
      <c r="G947" s="45">
        <v>6</v>
      </c>
      <c r="H947" s="249" t="s">
        <v>3395</v>
      </c>
    </row>
    <row r="948" spans="1:8" ht="31.15" x14ac:dyDescent="0.25">
      <c r="A948" s="130">
        <v>2</v>
      </c>
      <c r="B948" s="130">
        <v>4</v>
      </c>
      <c r="C948" s="247" t="s">
        <v>26</v>
      </c>
      <c r="D948" s="248" t="s">
        <v>83</v>
      </c>
      <c r="E948" s="50" t="s">
        <v>3396</v>
      </c>
      <c r="F948" s="45" t="s">
        <v>746</v>
      </c>
      <c r="G948" s="45">
        <v>13</v>
      </c>
      <c r="H948" s="249" t="s">
        <v>3397</v>
      </c>
    </row>
    <row r="949" spans="1:8" ht="15.6" x14ac:dyDescent="0.25">
      <c r="A949" s="130">
        <v>2</v>
      </c>
      <c r="B949" s="130">
        <v>4</v>
      </c>
      <c r="C949" s="247" t="s">
        <v>26</v>
      </c>
      <c r="D949" s="248" t="s">
        <v>83</v>
      </c>
      <c r="E949" s="50" t="s">
        <v>3398</v>
      </c>
      <c r="F949" s="45" t="s">
        <v>746</v>
      </c>
      <c r="G949" s="45">
        <v>15</v>
      </c>
      <c r="H949" s="249" t="s">
        <v>3399</v>
      </c>
    </row>
    <row r="950" spans="1:8" ht="31.15" x14ac:dyDescent="0.25">
      <c r="A950" s="130">
        <v>2</v>
      </c>
      <c r="B950" s="130">
        <v>4</v>
      </c>
      <c r="C950" s="247" t="s">
        <v>26</v>
      </c>
      <c r="D950" s="248" t="s">
        <v>83</v>
      </c>
      <c r="E950" s="50" t="s">
        <v>3047</v>
      </c>
      <c r="F950" s="45" t="s">
        <v>746</v>
      </c>
      <c r="G950" s="45">
        <v>58</v>
      </c>
      <c r="H950" s="249" t="s">
        <v>3400</v>
      </c>
    </row>
    <row r="951" spans="1:8" ht="140.44999999999999" x14ac:dyDescent="0.25">
      <c r="A951" s="130">
        <v>3</v>
      </c>
      <c r="B951" s="130">
        <v>4</v>
      </c>
      <c r="C951" s="247" t="s">
        <v>27</v>
      </c>
      <c r="D951" s="248" t="s">
        <v>0</v>
      </c>
      <c r="E951" s="50" t="s">
        <v>3401</v>
      </c>
      <c r="F951" s="45" t="s">
        <v>69</v>
      </c>
      <c r="G951" s="45">
        <v>44</v>
      </c>
      <c r="H951" s="249" t="s">
        <v>3402</v>
      </c>
    </row>
    <row r="952" spans="1:8" ht="109.15" x14ac:dyDescent="0.25">
      <c r="A952" s="130">
        <v>3</v>
      </c>
      <c r="B952" s="130">
        <v>4</v>
      </c>
      <c r="C952" s="247" t="s">
        <v>27</v>
      </c>
      <c r="D952" s="248" t="s">
        <v>1</v>
      </c>
      <c r="E952" s="50" t="s">
        <v>3403</v>
      </c>
      <c r="F952" s="45" t="s">
        <v>69</v>
      </c>
      <c r="G952" s="45">
        <v>16</v>
      </c>
      <c r="H952" s="249" t="s">
        <v>3404</v>
      </c>
    </row>
    <row r="953" spans="1:8" ht="124.9" x14ac:dyDescent="0.25">
      <c r="A953" s="130">
        <v>3</v>
      </c>
      <c r="B953" s="130">
        <v>4</v>
      </c>
      <c r="C953" s="247" t="s">
        <v>27</v>
      </c>
      <c r="D953" s="248" t="s">
        <v>1</v>
      </c>
      <c r="E953" s="50" t="s">
        <v>3405</v>
      </c>
      <c r="F953" s="45" t="s">
        <v>69</v>
      </c>
      <c r="G953" s="45">
        <v>43</v>
      </c>
      <c r="H953" s="249" t="s">
        <v>3406</v>
      </c>
    </row>
    <row r="954" spans="1:8" ht="62.45" x14ac:dyDescent="0.25">
      <c r="A954" s="130">
        <v>3</v>
      </c>
      <c r="B954" s="130">
        <v>4</v>
      </c>
      <c r="C954" s="247" t="s">
        <v>27</v>
      </c>
      <c r="D954" s="248" t="s">
        <v>83</v>
      </c>
      <c r="E954" s="50" t="s">
        <v>3407</v>
      </c>
      <c r="F954" s="45" t="s">
        <v>69</v>
      </c>
      <c r="G954" s="45">
        <v>43</v>
      </c>
      <c r="H954" s="249" t="s">
        <v>106</v>
      </c>
    </row>
    <row r="955" spans="1:8" ht="78" x14ac:dyDescent="0.25">
      <c r="A955" s="130">
        <v>3</v>
      </c>
      <c r="B955" s="130">
        <v>4</v>
      </c>
      <c r="C955" s="247" t="s">
        <v>27</v>
      </c>
      <c r="D955" s="248" t="s">
        <v>83</v>
      </c>
      <c r="E955" s="50" t="s">
        <v>3408</v>
      </c>
      <c r="F955" s="45" t="s">
        <v>69</v>
      </c>
      <c r="G955" s="45">
        <v>43</v>
      </c>
      <c r="H955" s="249" t="s">
        <v>2814</v>
      </c>
    </row>
    <row r="956" spans="1:8" ht="31.15" x14ac:dyDescent="0.25">
      <c r="A956" s="130">
        <v>3</v>
      </c>
      <c r="B956" s="130">
        <v>4</v>
      </c>
      <c r="C956" s="247" t="s">
        <v>27</v>
      </c>
      <c r="D956" s="248" t="s">
        <v>83</v>
      </c>
      <c r="E956" s="50" t="s">
        <v>3409</v>
      </c>
      <c r="F956" s="45" t="s">
        <v>69</v>
      </c>
      <c r="G956" s="45">
        <v>7</v>
      </c>
      <c r="H956" s="249" t="s">
        <v>2800</v>
      </c>
    </row>
    <row r="957" spans="1:8" ht="46.9" x14ac:dyDescent="0.25">
      <c r="A957" s="130">
        <v>3</v>
      </c>
      <c r="B957" s="130">
        <v>4</v>
      </c>
      <c r="C957" s="247" t="s">
        <v>27</v>
      </c>
      <c r="D957" s="248" t="s">
        <v>83</v>
      </c>
      <c r="E957" s="50" t="s">
        <v>3410</v>
      </c>
      <c r="F957" s="45" t="s">
        <v>69</v>
      </c>
      <c r="G957" s="45">
        <v>16</v>
      </c>
      <c r="H957" s="249" t="s">
        <v>2794</v>
      </c>
    </row>
    <row r="958" spans="1:8" ht="62.45" x14ac:dyDescent="0.25">
      <c r="A958" s="130">
        <v>3</v>
      </c>
      <c r="B958" s="130">
        <v>4</v>
      </c>
      <c r="C958" s="247" t="s">
        <v>27</v>
      </c>
      <c r="D958" s="248" t="s">
        <v>83</v>
      </c>
      <c r="E958" s="50" t="s">
        <v>3411</v>
      </c>
      <c r="F958" s="45" t="s">
        <v>69</v>
      </c>
      <c r="G958" s="45">
        <v>43</v>
      </c>
      <c r="H958" s="249" t="s">
        <v>3412</v>
      </c>
    </row>
    <row r="959" spans="1:8" ht="31.15" x14ac:dyDescent="0.25">
      <c r="A959" s="130">
        <v>3</v>
      </c>
      <c r="B959" s="130">
        <v>4</v>
      </c>
      <c r="C959" s="247" t="s">
        <v>27</v>
      </c>
      <c r="D959" s="248" t="s">
        <v>83</v>
      </c>
      <c r="E959" s="50" t="s">
        <v>3413</v>
      </c>
      <c r="F959" s="45" t="s">
        <v>69</v>
      </c>
      <c r="G959" s="45">
        <v>3</v>
      </c>
      <c r="H959" s="249" t="s">
        <v>2804</v>
      </c>
    </row>
    <row r="960" spans="1:8" ht="31.15" x14ac:dyDescent="0.25">
      <c r="A960" s="130">
        <v>3</v>
      </c>
      <c r="B960" s="130">
        <v>4</v>
      </c>
      <c r="C960" s="247" t="s">
        <v>27</v>
      </c>
      <c r="D960" s="248" t="s">
        <v>83</v>
      </c>
      <c r="E960" s="50" t="s">
        <v>3414</v>
      </c>
      <c r="F960" s="45" t="s">
        <v>69</v>
      </c>
      <c r="G960" s="45">
        <v>2</v>
      </c>
      <c r="H960" s="249" t="s">
        <v>2804</v>
      </c>
    </row>
    <row r="961" spans="1:8" ht="109.15" x14ac:dyDescent="0.25">
      <c r="A961" s="130">
        <v>4</v>
      </c>
      <c r="B961" s="130">
        <v>4</v>
      </c>
      <c r="C961" s="247" t="s">
        <v>95</v>
      </c>
      <c r="D961" s="248" t="s">
        <v>4</v>
      </c>
      <c r="E961" s="50" t="s">
        <v>3415</v>
      </c>
      <c r="F961" s="45" t="s">
        <v>69</v>
      </c>
      <c r="G961" s="45">
        <v>5</v>
      </c>
      <c r="H961" s="249" t="s">
        <v>3416</v>
      </c>
    </row>
    <row r="962" spans="1:8" ht="78" x14ac:dyDescent="0.25">
      <c r="A962" s="130">
        <v>4</v>
      </c>
      <c r="B962" s="130">
        <v>4</v>
      </c>
      <c r="C962" s="247" t="s">
        <v>95</v>
      </c>
      <c r="D962" s="248" t="s">
        <v>0</v>
      </c>
      <c r="E962" s="50" t="s">
        <v>3417</v>
      </c>
      <c r="F962" s="45" t="s">
        <v>81</v>
      </c>
      <c r="G962" s="45">
        <v>58</v>
      </c>
      <c r="H962" s="249" t="s">
        <v>3418</v>
      </c>
    </row>
    <row r="963" spans="1:8" ht="109.15" x14ac:dyDescent="0.25">
      <c r="A963" s="130">
        <v>4</v>
      </c>
      <c r="B963" s="130">
        <v>4</v>
      </c>
      <c r="C963" s="247" t="s">
        <v>95</v>
      </c>
      <c r="D963" s="248" t="s">
        <v>0</v>
      </c>
      <c r="E963" s="50" t="s">
        <v>3419</v>
      </c>
      <c r="F963" s="45" t="s">
        <v>69</v>
      </c>
      <c r="G963" s="45">
        <v>67</v>
      </c>
      <c r="H963" s="249" t="s">
        <v>3420</v>
      </c>
    </row>
    <row r="964" spans="1:8" ht="62.45" x14ac:dyDescent="0.25">
      <c r="A964" s="130">
        <v>4</v>
      </c>
      <c r="B964" s="130">
        <v>4</v>
      </c>
      <c r="C964" s="247" t="s">
        <v>95</v>
      </c>
      <c r="D964" s="248" t="s">
        <v>1731</v>
      </c>
      <c r="E964" s="50" t="s">
        <v>3421</v>
      </c>
      <c r="F964" s="45" t="s">
        <v>81</v>
      </c>
      <c r="G964" s="45">
        <v>857</v>
      </c>
      <c r="H964" s="249" t="s">
        <v>3422</v>
      </c>
    </row>
    <row r="965" spans="1:8" ht="62.45" x14ac:dyDescent="0.25">
      <c r="A965" s="130">
        <v>4</v>
      </c>
      <c r="B965" s="130">
        <v>4</v>
      </c>
      <c r="C965" s="247" t="s">
        <v>95</v>
      </c>
      <c r="D965" s="248" t="s">
        <v>1731</v>
      </c>
      <c r="E965" s="50" t="s">
        <v>3423</v>
      </c>
      <c r="F965" s="45" t="s">
        <v>81</v>
      </c>
      <c r="G965" s="45">
        <v>60</v>
      </c>
      <c r="H965" s="249" t="s">
        <v>3424</v>
      </c>
    </row>
    <row r="966" spans="1:8" ht="62.45" x14ac:dyDescent="0.25">
      <c r="A966" s="130">
        <v>4</v>
      </c>
      <c r="B966" s="130">
        <v>4</v>
      </c>
      <c r="C966" s="247" t="s">
        <v>95</v>
      </c>
      <c r="D966" s="248" t="s">
        <v>1</v>
      </c>
      <c r="E966" s="50" t="s">
        <v>3425</v>
      </c>
      <c r="F966" s="45" t="s">
        <v>81</v>
      </c>
      <c r="G966" s="45">
        <v>691</v>
      </c>
      <c r="H966" s="249" t="s">
        <v>3426</v>
      </c>
    </row>
    <row r="967" spans="1:8" ht="62.45" x14ac:dyDescent="0.25">
      <c r="A967" s="130">
        <v>4</v>
      </c>
      <c r="B967" s="130">
        <v>4</v>
      </c>
      <c r="C967" s="247" t="s">
        <v>95</v>
      </c>
      <c r="D967" s="248" t="s">
        <v>1</v>
      </c>
      <c r="E967" s="50" t="s">
        <v>3427</v>
      </c>
      <c r="F967" s="45" t="s">
        <v>69</v>
      </c>
      <c r="G967" s="45">
        <v>100</v>
      </c>
      <c r="H967" s="249" t="s">
        <v>3428</v>
      </c>
    </row>
    <row r="968" spans="1:8" ht="78" x14ac:dyDescent="0.25">
      <c r="A968" s="130">
        <v>4</v>
      </c>
      <c r="B968" s="130">
        <v>4</v>
      </c>
      <c r="C968" s="247" t="s">
        <v>95</v>
      </c>
      <c r="D968" s="248" t="s">
        <v>1</v>
      </c>
      <c r="E968" s="50" t="s">
        <v>3429</v>
      </c>
      <c r="F968" s="45" t="s">
        <v>81</v>
      </c>
      <c r="G968" s="45">
        <v>107</v>
      </c>
      <c r="H968" s="249" t="s">
        <v>3430</v>
      </c>
    </row>
    <row r="969" spans="1:8" ht="31.15" x14ac:dyDescent="0.25">
      <c r="A969" s="130">
        <v>4</v>
      </c>
      <c r="B969" s="130">
        <v>4</v>
      </c>
      <c r="C969" s="247" t="s">
        <v>95</v>
      </c>
      <c r="D969" s="248" t="s">
        <v>1</v>
      </c>
      <c r="E969" s="50" t="s">
        <v>3431</v>
      </c>
      <c r="F969" s="45" t="s">
        <v>81</v>
      </c>
      <c r="G969" s="45">
        <v>58</v>
      </c>
      <c r="H969" s="249" t="s">
        <v>3432</v>
      </c>
    </row>
    <row r="970" spans="1:8" ht="62.45" x14ac:dyDescent="0.25">
      <c r="A970" s="130">
        <v>4</v>
      </c>
      <c r="B970" s="130">
        <v>4</v>
      </c>
      <c r="C970" s="247" t="s">
        <v>95</v>
      </c>
      <c r="D970" s="248" t="s">
        <v>1</v>
      </c>
      <c r="E970" s="50" t="s">
        <v>3433</v>
      </c>
      <c r="F970" s="45" t="s">
        <v>81</v>
      </c>
      <c r="G970" s="45">
        <v>20</v>
      </c>
      <c r="H970" s="249" t="s">
        <v>3434</v>
      </c>
    </row>
    <row r="971" spans="1:8" ht="93.6" x14ac:dyDescent="0.25">
      <c r="A971" s="130">
        <v>4</v>
      </c>
      <c r="B971" s="130">
        <v>4</v>
      </c>
      <c r="C971" s="247" t="s">
        <v>95</v>
      </c>
      <c r="D971" s="248" t="s">
        <v>1</v>
      </c>
      <c r="E971" s="50" t="s">
        <v>3435</v>
      </c>
      <c r="F971" s="45" t="s">
        <v>81</v>
      </c>
      <c r="G971" s="45">
        <v>255</v>
      </c>
      <c r="H971" s="249" t="s">
        <v>3436</v>
      </c>
    </row>
    <row r="972" spans="1:8" ht="46.9" x14ac:dyDescent="0.25">
      <c r="A972" s="130">
        <v>4</v>
      </c>
      <c r="B972" s="130">
        <v>4</v>
      </c>
      <c r="C972" s="247" t="s">
        <v>95</v>
      </c>
      <c r="D972" s="248" t="s">
        <v>1</v>
      </c>
      <c r="E972" s="50" t="s">
        <v>3437</v>
      </c>
      <c r="F972" s="45" t="s">
        <v>81</v>
      </c>
      <c r="G972" s="45">
        <v>557</v>
      </c>
      <c r="H972" s="249" t="s">
        <v>3438</v>
      </c>
    </row>
    <row r="973" spans="1:8" ht="62.45" x14ac:dyDescent="0.25">
      <c r="A973" s="130">
        <v>4</v>
      </c>
      <c r="B973" s="130">
        <v>4</v>
      </c>
      <c r="C973" s="247" t="s">
        <v>95</v>
      </c>
      <c r="D973" s="248" t="s">
        <v>1</v>
      </c>
      <c r="E973" s="50" t="s">
        <v>3439</v>
      </c>
      <c r="F973" s="45" t="s">
        <v>81</v>
      </c>
      <c r="G973" s="45">
        <v>8</v>
      </c>
      <c r="H973" s="249" t="s">
        <v>3440</v>
      </c>
    </row>
    <row r="974" spans="1:8" ht="46.9" x14ac:dyDescent="0.25">
      <c r="A974" s="130">
        <v>4</v>
      </c>
      <c r="B974" s="130">
        <v>4</v>
      </c>
      <c r="C974" s="247" t="s">
        <v>95</v>
      </c>
      <c r="D974" s="248" t="s">
        <v>83</v>
      </c>
      <c r="E974" s="50" t="s">
        <v>3441</v>
      </c>
      <c r="F974" s="45" t="s">
        <v>81</v>
      </c>
      <c r="G974" s="45">
        <v>75</v>
      </c>
      <c r="H974" s="249" t="s">
        <v>3442</v>
      </c>
    </row>
    <row r="975" spans="1:8" ht="62.45" x14ac:dyDescent="0.25">
      <c r="A975" s="130">
        <v>4</v>
      </c>
      <c r="B975" s="130">
        <v>4</v>
      </c>
      <c r="C975" s="247" t="s">
        <v>95</v>
      </c>
      <c r="D975" s="248" t="s">
        <v>83</v>
      </c>
      <c r="E975" s="50" t="s">
        <v>3443</v>
      </c>
      <c r="F975" s="45" t="s">
        <v>81</v>
      </c>
      <c r="G975" s="45">
        <v>72</v>
      </c>
      <c r="H975" s="249" t="s">
        <v>3444</v>
      </c>
    </row>
    <row r="976" spans="1:8" ht="124.9" x14ac:dyDescent="0.25">
      <c r="A976" s="130">
        <v>4</v>
      </c>
      <c r="B976" s="130">
        <v>4</v>
      </c>
      <c r="C976" s="247" t="s">
        <v>95</v>
      </c>
      <c r="D976" s="248" t="s">
        <v>83</v>
      </c>
      <c r="E976" s="50" t="s">
        <v>3445</v>
      </c>
      <c r="F976" s="45" t="s">
        <v>81</v>
      </c>
      <c r="G976" s="45">
        <v>7</v>
      </c>
      <c r="H976" s="249" t="s">
        <v>2736</v>
      </c>
    </row>
    <row r="977" spans="1:8" ht="93.6" x14ac:dyDescent="0.25">
      <c r="A977" s="130">
        <v>4</v>
      </c>
      <c r="B977" s="130">
        <v>4</v>
      </c>
      <c r="C977" s="247" t="s">
        <v>95</v>
      </c>
      <c r="D977" s="248" t="s">
        <v>83</v>
      </c>
      <c r="E977" s="50" t="s">
        <v>3446</v>
      </c>
      <c r="F977" s="45" t="s">
        <v>81</v>
      </c>
      <c r="G977" s="45">
        <v>8</v>
      </c>
      <c r="H977" s="249" t="s">
        <v>3447</v>
      </c>
    </row>
    <row r="978" spans="1:8" ht="109.15" x14ac:dyDescent="0.25">
      <c r="A978" s="130">
        <v>4</v>
      </c>
      <c r="B978" s="130">
        <v>4</v>
      </c>
      <c r="C978" s="247" t="s">
        <v>95</v>
      </c>
      <c r="D978" s="248" t="s">
        <v>83</v>
      </c>
      <c r="E978" s="50" t="s">
        <v>3448</v>
      </c>
      <c r="F978" s="45" t="s">
        <v>69</v>
      </c>
      <c r="G978" s="45">
        <v>18</v>
      </c>
      <c r="H978" s="249" t="s">
        <v>3449</v>
      </c>
    </row>
    <row r="979" spans="1:8" ht="109.15" x14ac:dyDescent="0.25">
      <c r="A979" s="130">
        <v>4</v>
      </c>
      <c r="B979" s="130">
        <v>4</v>
      </c>
      <c r="C979" s="247" t="s">
        <v>95</v>
      </c>
      <c r="D979" s="248" t="s">
        <v>83</v>
      </c>
      <c r="E979" s="50" t="s">
        <v>3450</v>
      </c>
      <c r="F979" s="45" t="s">
        <v>69</v>
      </c>
      <c r="G979" s="45">
        <v>2</v>
      </c>
      <c r="H979" s="249" t="s">
        <v>3451</v>
      </c>
    </row>
    <row r="980" spans="1:8" ht="31.15" x14ac:dyDescent="0.25">
      <c r="A980" s="130">
        <v>4</v>
      </c>
      <c r="B980" s="130">
        <v>4</v>
      </c>
      <c r="C980" s="247" t="s">
        <v>95</v>
      </c>
      <c r="D980" s="248" t="s">
        <v>83</v>
      </c>
      <c r="E980" s="50" t="s">
        <v>3452</v>
      </c>
      <c r="F980" s="45" t="s">
        <v>81</v>
      </c>
      <c r="G980" s="45">
        <v>156</v>
      </c>
      <c r="H980" s="249" t="s">
        <v>3453</v>
      </c>
    </row>
    <row r="981" spans="1:8" ht="78" x14ac:dyDescent="0.25">
      <c r="A981" s="130">
        <v>4</v>
      </c>
      <c r="B981" s="130">
        <v>4</v>
      </c>
      <c r="C981" s="247" t="s">
        <v>95</v>
      </c>
      <c r="D981" s="248" t="s">
        <v>83</v>
      </c>
      <c r="E981" s="50" t="s">
        <v>3454</v>
      </c>
      <c r="F981" s="45" t="s">
        <v>81</v>
      </c>
      <c r="G981" s="45">
        <v>5</v>
      </c>
      <c r="H981" s="249" t="s">
        <v>3455</v>
      </c>
    </row>
    <row r="982" spans="1:8" ht="46.9" x14ac:dyDescent="0.25">
      <c r="A982" s="130">
        <v>5</v>
      </c>
      <c r="B982" s="130">
        <v>4</v>
      </c>
      <c r="C982" s="247" t="s">
        <v>113</v>
      </c>
      <c r="D982" s="248" t="s">
        <v>0</v>
      </c>
      <c r="E982" s="50" t="s">
        <v>3456</v>
      </c>
      <c r="F982" s="45" t="s">
        <v>81</v>
      </c>
      <c r="G982" s="45">
        <v>1</v>
      </c>
      <c r="H982" s="249" t="s">
        <v>3457</v>
      </c>
    </row>
    <row r="983" spans="1:8" ht="46.9" x14ac:dyDescent="0.25">
      <c r="A983" s="130">
        <v>5</v>
      </c>
      <c r="B983" s="130">
        <v>4</v>
      </c>
      <c r="C983" s="247" t="s">
        <v>113</v>
      </c>
      <c r="D983" s="248" t="s">
        <v>0</v>
      </c>
      <c r="E983" s="50" t="s">
        <v>3458</v>
      </c>
      <c r="F983" s="45" t="s">
        <v>81</v>
      </c>
      <c r="G983" s="45">
        <v>52</v>
      </c>
      <c r="H983" s="249" t="s">
        <v>3459</v>
      </c>
    </row>
    <row r="984" spans="1:8" ht="31.15" x14ac:dyDescent="0.25">
      <c r="A984" s="130">
        <v>5</v>
      </c>
      <c r="B984" s="130">
        <v>4</v>
      </c>
      <c r="C984" s="247" t="s">
        <v>113</v>
      </c>
      <c r="D984" s="248" t="s">
        <v>0</v>
      </c>
      <c r="E984" s="50" t="s">
        <v>3460</v>
      </c>
      <c r="F984" s="45" t="s">
        <v>81</v>
      </c>
      <c r="G984" s="45">
        <v>97</v>
      </c>
      <c r="H984" s="249" t="s">
        <v>3461</v>
      </c>
    </row>
    <row r="985" spans="1:8" ht="62.45" x14ac:dyDescent="0.25">
      <c r="A985" s="130">
        <v>5</v>
      </c>
      <c r="B985" s="130">
        <v>4</v>
      </c>
      <c r="C985" s="247" t="s">
        <v>113</v>
      </c>
      <c r="D985" s="248" t="s">
        <v>1731</v>
      </c>
      <c r="E985" s="50" t="s">
        <v>3462</v>
      </c>
      <c r="F985" s="45" t="s">
        <v>69</v>
      </c>
      <c r="G985" s="45">
        <v>624</v>
      </c>
      <c r="H985" s="249" t="s">
        <v>3463</v>
      </c>
    </row>
    <row r="986" spans="1:8" ht="62.45" x14ac:dyDescent="0.25">
      <c r="A986" s="130">
        <v>5</v>
      </c>
      <c r="B986" s="130">
        <v>4</v>
      </c>
      <c r="C986" s="247" t="s">
        <v>113</v>
      </c>
      <c r="D986" s="248" t="s">
        <v>1731</v>
      </c>
      <c r="E986" s="50" t="s">
        <v>3464</v>
      </c>
      <c r="F986" s="45" t="s">
        <v>81</v>
      </c>
      <c r="G986" s="45">
        <v>12</v>
      </c>
      <c r="H986" s="249" t="s">
        <v>3465</v>
      </c>
    </row>
    <row r="987" spans="1:8" ht="62.45" x14ac:dyDescent="0.25">
      <c r="A987" s="130">
        <v>5</v>
      </c>
      <c r="B987" s="130">
        <v>4</v>
      </c>
      <c r="C987" s="247" t="s">
        <v>113</v>
      </c>
      <c r="D987" s="248" t="s">
        <v>1</v>
      </c>
      <c r="E987" s="50" t="s">
        <v>3466</v>
      </c>
      <c r="F987" s="45" t="s">
        <v>81</v>
      </c>
      <c r="G987" s="45">
        <v>6</v>
      </c>
      <c r="H987" s="249" t="s">
        <v>3467</v>
      </c>
    </row>
    <row r="988" spans="1:8" ht="31.15" x14ac:dyDescent="0.25">
      <c r="A988" s="130">
        <v>5</v>
      </c>
      <c r="B988" s="130">
        <v>4</v>
      </c>
      <c r="C988" s="247" t="s">
        <v>113</v>
      </c>
      <c r="D988" s="248" t="s">
        <v>1</v>
      </c>
      <c r="E988" s="50" t="s">
        <v>3468</v>
      </c>
      <c r="F988" s="45" t="s">
        <v>81</v>
      </c>
      <c r="G988" s="45">
        <v>23</v>
      </c>
      <c r="H988" s="249" t="s">
        <v>3469</v>
      </c>
    </row>
    <row r="989" spans="1:8" ht="46.9" x14ac:dyDescent="0.25">
      <c r="A989" s="130">
        <v>5</v>
      </c>
      <c r="B989" s="130">
        <v>4</v>
      </c>
      <c r="C989" s="247" t="s">
        <v>113</v>
      </c>
      <c r="D989" s="248" t="s">
        <v>1</v>
      </c>
      <c r="E989" s="50" t="s">
        <v>3470</v>
      </c>
      <c r="F989" s="45" t="s">
        <v>81</v>
      </c>
      <c r="G989" s="45">
        <v>9</v>
      </c>
      <c r="H989" s="249" t="s">
        <v>3471</v>
      </c>
    </row>
    <row r="990" spans="1:8" ht="124.9" x14ac:dyDescent="0.25">
      <c r="A990" s="130">
        <v>5</v>
      </c>
      <c r="B990" s="130">
        <v>4</v>
      </c>
      <c r="C990" s="247" t="s">
        <v>113</v>
      </c>
      <c r="D990" s="248" t="s">
        <v>1</v>
      </c>
      <c r="E990" s="50" t="s">
        <v>3472</v>
      </c>
      <c r="F990" s="45" t="s">
        <v>81</v>
      </c>
      <c r="G990" s="45">
        <v>37</v>
      </c>
      <c r="H990" s="249" t="s">
        <v>3473</v>
      </c>
    </row>
    <row r="991" spans="1:8" ht="46.9" x14ac:dyDescent="0.25">
      <c r="A991" s="130">
        <v>5</v>
      </c>
      <c r="B991" s="130">
        <v>4</v>
      </c>
      <c r="C991" s="247" t="s">
        <v>113</v>
      </c>
      <c r="D991" s="248" t="s">
        <v>1</v>
      </c>
      <c r="E991" s="50" t="s">
        <v>3474</v>
      </c>
      <c r="F991" s="45" t="s">
        <v>81</v>
      </c>
      <c r="G991" s="45">
        <v>5</v>
      </c>
      <c r="H991" s="249" t="s">
        <v>3475</v>
      </c>
    </row>
    <row r="992" spans="1:8" ht="31.15" x14ac:dyDescent="0.25">
      <c r="A992" s="130">
        <v>5</v>
      </c>
      <c r="B992" s="130">
        <v>4</v>
      </c>
      <c r="C992" s="247" t="s">
        <v>113</v>
      </c>
      <c r="D992" s="248" t="s">
        <v>1</v>
      </c>
      <c r="E992" s="50" t="s">
        <v>3476</v>
      </c>
      <c r="F992" s="45" t="s">
        <v>81</v>
      </c>
      <c r="G992" s="45">
        <v>1</v>
      </c>
      <c r="H992" s="249" t="s">
        <v>3477</v>
      </c>
    </row>
    <row r="993" spans="1:8" ht="62.45" x14ac:dyDescent="0.25">
      <c r="A993" s="130">
        <v>5</v>
      </c>
      <c r="B993" s="130">
        <v>4</v>
      </c>
      <c r="C993" s="247" t="s">
        <v>113</v>
      </c>
      <c r="D993" s="248" t="s">
        <v>1</v>
      </c>
      <c r="E993" s="50" t="s">
        <v>3478</v>
      </c>
      <c r="F993" s="45" t="s">
        <v>81</v>
      </c>
      <c r="G993" s="45">
        <v>302</v>
      </c>
      <c r="H993" s="249" t="s">
        <v>3479</v>
      </c>
    </row>
    <row r="994" spans="1:8" ht="62.45" x14ac:dyDescent="0.25">
      <c r="A994" s="130">
        <v>5</v>
      </c>
      <c r="B994" s="130">
        <v>4</v>
      </c>
      <c r="C994" s="247" t="s">
        <v>113</v>
      </c>
      <c r="D994" s="248" t="s">
        <v>1</v>
      </c>
      <c r="E994" s="50" t="s">
        <v>3480</v>
      </c>
      <c r="F994" s="45" t="s">
        <v>81</v>
      </c>
      <c r="G994" s="45">
        <v>54</v>
      </c>
      <c r="H994" s="249" t="s">
        <v>3481</v>
      </c>
    </row>
    <row r="995" spans="1:8" ht="62.45" x14ac:dyDescent="0.25">
      <c r="A995" s="130">
        <v>5</v>
      </c>
      <c r="B995" s="130">
        <v>4</v>
      </c>
      <c r="C995" s="247" t="s">
        <v>113</v>
      </c>
      <c r="D995" s="248" t="s">
        <v>1</v>
      </c>
      <c r="E995" s="50" t="s">
        <v>3482</v>
      </c>
      <c r="F995" s="45" t="s">
        <v>81</v>
      </c>
      <c r="G995" s="45">
        <v>449</v>
      </c>
      <c r="H995" s="249" t="s">
        <v>3483</v>
      </c>
    </row>
    <row r="996" spans="1:8" ht="31.15" x14ac:dyDescent="0.25">
      <c r="A996" s="130">
        <v>5</v>
      </c>
      <c r="B996" s="130">
        <v>4</v>
      </c>
      <c r="C996" s="247" t="s">
        <v>113</v>
      </c>
      <c r="D996" s="248" t="s">
        <v>1</v>
      </c>
      <c r="E996" s="50" t="s">
        <v>3484</v>
      </c>
      <c r="F996" s="45" t="s">
        <v>81</v>
      </c>
      <c r="G996" s="45">
        <v>183</v>
      </c>
      <c r="H996" s="249" t="s">
        <v>3485</v>
      </c>
    </row>
    <row r="997" spans="1:8" ht="46.9" x14ac:dyDescent="0.25">
      <c r="A997" s="130">
        <v>5</v>
      </c>
      <c r="B997" s="130">
        <v>4</v>
      </c>
      <c r="C997" s="247" t="s">
        <v>113</v>
      </c>
      <c r="D997" s="248" t="s">
        <v>1</v>
      </c>
      <c r="E997" s="50" t="s">
        <v>3486</v>
      </c>
      <c r="F997" s="45" t="s">
        <v>81</v>
      </c>
      <c r="G997" s="45">
        <v>14</v>
      </c>
      <c r="H997" s="249" t="s">
        <v>3487</v>
      </c>
    </row>
    <row r="998" spans="1:8" ht="46.9" x14ac:dyDescent="0.25">
      <c r="A998" s="130">
        <v>5</v>
      </c>
      <c r="B998" s="130">
        <v>4</v>
      </c>
      <c r="C998" s="247" t="s">
        <v>113</v>
      </c>
      <c r="D998" s="248" t="s">
        <v>83</v>
      </c>
      <c r="E998" s="50" t="s">
        <v>3488</v>
      </c>
      <c r="F998" s="45" t="s">
        <v>81</v>
      </c>
      <c r="G998" s="45">
        <v>982</v>
      </c>
      <c r="H998" s="249" t="s">
        <v>3489</v>
      </c>
    </row>
    <row r="999" spans="1:8" ht="46.9" x14ac:dyDescent="0.25">
      <c r="A999" s="130">
        <v>5</v>
      </c>
      <c r="B999" s="130">
        <v>4</v>
      </c>
      <c r="C999" s="247" t="s">
        <v>113</v>
      </c>
      <c r="D999" s="248" t="s">
        <v>83</v>
      </c>
      <c r="E999" s="50" t="s">
        <v>3490</v>
      </c>
      <c r="F999" s="45" t="s">
        <v>81</v>
      </c>
      <c r="G999" s="45">
        <v>81</v>
      </c>
      <c r="H999" s="249" t="s">
        <v>3491</v>
      </c>
    </row>
    <row r="1000" spans="1:8" ht="46.9" x14ac:dyDescent="0.25">
      <c r="A1000" s="130">
        <v>5</v>
      </c>
      <c r="B1000" s="130">
        <v>4</v>
      </c>
      <c r="C1000" s="247" t="s">
        <v>113</v>
      </c>
      <c r="D1000" s="248" t="s">
        <v>83</v>
      </c>
      <c r="E1000" s="50" t="s">
        <v>3492</v>
      </c>
      <c r="F1000" s="45" t="s">
        <v>81</v>
      </c>
      <c r="G1000" s="45">
        <v>35</v>
      </c>
      <c r="H1000" s="249" t="s">
        <v>3493</v>
      </c>
    </row>
    <row r="1001" spans="1:8" ht="31.15" x14ac:dyDescent="0.25">
      <c r="A1001" s="130">
        <v>5</v>
      </c>
      <c r="B1001" s="130">
        <v>4</v>
      </c>
      <c r="C1001" s="247" t="s">
        <v>113</v>
      </c>
      <c r="D1001" s="248" t="s">
        <v>83</v>
      </c>
      <c r="E1001" s="50" t="s">
        <v>3494</v>
      </c>
      <c r="F1001" s="45" t="s">
        <v>81</v>
      </c>
      <c r="G1001" s="45">
        <v>4</v>
      </c>
      <c r="H1001" s="249" t="s">
        <v>3162</v>
      </c>
    </row>
    <row r="1002" spans="1:8" ht="62.45" x14ac:dyDescent="0.25">
      <c r="A1002" s="130">
        <v>5</v>
      </c>
      <c r="B1002" s="130">
        <v>4</v>
      </c>
      <c r="C1002" s="247" t="s">
        <v>113</v>
      </c>
      <c r="D1002" s="248" t="s">
        <v>83</v>
      </c>
      <c r="E1002" s="50" t="s">
        <v>3495</v>
      </c>
      <c r="F1002" s="45" t="s">
        <v>81</v>
      </c>
      <c r="G1002" s="45">
        <v>3</v>
      </c>
      <c r="H1002" s="249" t="s">
        <v>3496</v>
      </c>
    </row>
    <row r="1003" spans="1:8" ht="62.45" x14ac:dyDescent="0.25">
      <c r="A1003" s="130">
        <v>5</v>
      </c>
      <c r="B1003" s="130">
        <v>4</v>
      </c>
      <c r="C1003" s="247" t="s">
        <v>113</v>
      </c>
      <c r="D1003" s="248" t="s">
        <v>83</v>
      </c>
      <c r="E1003" s="50" t="s">
        <v>3497</v>
      </c>
      <c r="F1003" s="45" t="s">
        <v>81</v>
      </c>
      <c r="G1003" s="45">
        <v>3</v>
      </c>
      <c r="H1003" s="249" t="s">
        <v>3498</v>
      </c>
    </row>
    <row r="1004" spans="1:8" ht="62.45" x14ac:dyDescent="0.25">
      <c r="A1004" s="130">
        <v>5</v>
      </c>
      <c r="B1004" s="130">
        <v>4</v>
      </c>
      <c r="C1004" s="247" t="s">
        <v>113</v>
      </c>
      <c r="D1004" s="248" t="s">
        <v>83</v>
      </c>
      <c r="E1004" s="50" t="s">
        <v>3499</v>
      </c>
      <c r="F1004" s="45" t="s">
        <v>81</v>
      </c>
      <c r="G1004" s="45">
        <v>10</v>
      </c>
      <c r="H1004" s="249" t="s">
        <v>3496</v>
      </c>
    </row>
    <row r="1005" spans="1:8" ht="62.45" x14ac:dyDescent="0.25">
      <c r="A1005" s="130">
        <v>5</v>
      </c>
      <c r="B1005" s="130">
        <v>4</v>
      </c>
      <c r="C1005" s="247" t="s">
        <v>113</v>
      </c>
      <c r="D1005" s="248" t="s">
        <v>83</v>
      </c>
      <c r="E1005" s="50" t="s">
        <v>3500</v>
      </c>
      <c r="F1005" s="45" t="s">
        <v>81</v>
      </c>
      <c r="G1005" s="45">
        <v>3</v>
      </c>
      <c r="H1005" s="249" t="s">
        <v>3496</v>
      </c>
    </row>
    <row r="1006" spans="1:8" ht="62.45" x14ac:dyDescent="0.25">
      <c r="A1006" s="130">
        <v>5</v>
      </c>
      <c r="B1006" s="130">
        <v>4</v>
      </c>
      <c r="C1006" s="247" t="s">
        <v>113</v>
      </c>
      <c r="D1006" s="248" t="s">
        <v>83</v>
      </c>
      <c r="E1006" s="50" t="s">
        <v>3501</v>
      </c>
      <c r="F1006" s="45" t="s">
        <v>81</v>
      </c>
      <c r="G1006" s="45">
        <v>21</v>
      </c>
      <c r="H1006" s="249" t="s">
        <v>3502</v>
      </c>
    </row>
    <row r="1007" spans="1:8" ht="46.9" x14ac:dyDescent="0.25">
      <c r="A1007" s="130">
        <v>5</v>
      </c>
      <c r="B1007" s="130">
        <v>4</v>
      </c>
      <c r="C1007" s="247" t="s">
        <v>113</v>
      </c>
      <c r="D1007" s="248" t="s">
        <v>83</v>
      </c>
      <c r="E1007" s="50" t="s">
        <v>3503</v>
      </c>
      <c r="F1007" s="45" t="s">
        <v>81</v>
      </c>
      <c r="G1007" s="45">
        <v>41</v>
      </c>
      <c r="H1007" s="249" t="s">
        <v>3504</v>
      </c>
    </row>
    <row r="1008" spans="1:8" ht="15.6" x14ac:dyDescent="0.25">
      <c r="A1008" s="130">
        <v>6</v>
      </c>
      <c r="B1008" s="130">
        <v>4</v>
      </c>
      <c r="C1008" s="247" t="s">
        <v>30</v>
      </c>
      <c r="D1008" s="248" t="s">
        <v>137</v>
      </c>
      <c r="E1008" s="50" t="s">
        <v>3505</v>
      </c>
      <c r="F1008" s="45" t="s">
        <v>81</v>
      </c>
      <c r="G1008" s="45">
        <v>123</v>
      </c>
      <c r="H1008" s="249" t="s">
        <v>3506</v>
      </c>
    </row>
    <row r="1009" spans="1:8" ht="15.6" x14ac:dyDescent="0.25">
      <c r="A1009" s="130">
        <v>6</v>
      </c>
      <c r="B1009" s="130">
        <v>4</v>
      </c>
      <c r="C1009" s="247" t="s">
        <v>30</v>
      </c>
      <c r="D1009" s="248" t="s">
        <v>0</v>
      </c>
      <c r="E1009" s="50" t="s">
        <v>3507</v>
      </c>
      <c r="F1009" s="45" t="s">
        <v>81</v>
      </c>
      <c r="G1009" s="45">
        <v>69</v>
      </c>
      <c r="H1009" s="249" t="s">
        <v>3508</v>
      </c>
    </row>
    <row r="1010" spans="1:8" ht="15.6" x14ac:dyDescent="0.25">
      <c r="A1010" s="130">
        <v>6</v>
      </c>
      <c r="B1010" s="130">
        <v>4</v>
      </c>
      <c r="C1010" s="247" t="s">
        <v>30</v>
      </c>
      <c r="D1010" s="248" t="s">
        <v>0</v>
      </c>
      <c r="E1010" s="50" t="s">
        <v>3509</v>
      </c>
      <c r="F1010" s="45" t="s">
        <v>81</v>
      </c>
      <c r="G1010" s="45">
        <v>3</v>
      </c>
      <c r="H1010" s="249" t="s">
        <v>3510</v>
      </c>
    </row>
    <row r="1011" spans="1:8" ht="31.15" x14ac:dyDescent="0.25">
      <c r="A1011" s="130">
        <v>6</v>
      </c>
      <c r="B1011" s="130">
        <v>4</v>
      </c>
      <c r="C1011" s="247" t="s">
        <v>30</v>
      </c>
      <c r="D1011" s="248" t="s">
        <v>0</v>
      </c>
      <c r="E1011" s="50" t="s">
        <v>3511</v>
      </c>
      <c r="F1011" s="45" t="s">
        <v>81</v>
      </c>
      <c r="G1011" s="45">
        <v>6</v>
      </c>
      <c r="H1011" s="249" t="s">
        <v>3512</v>
      </c>
    </row>
    <row r="1012" spans="1:8" ht="46.9" x14ac:dyDescent="0.25">
      <c r="A1012" s="130">
        <v>6</v>
      </c>
      <c r="B1012" s="130">
        <v>4</v>
      </c>
      <c r="C1012" s="247" t="s">
        <v>30</v>
      </c>
      <c r="D1012" s="248" t="s">
        <v>1731</v>
      </c>
      <c r="E1012" s="50" t="s">
        <v>3513</v>
      </c>
      <c r="F1012" s="45" t="s">
        <v>69</v>
      </c>
      <c r="G1012" s="45">
        <v>5</v>
      </c>
      <c r="H1012" s="249" t="s">
        <v>3514</v>
      </c>
    </row>
    <row r="1013" spans="1:8" ht="31.15" x14ac:dyDescent="0.25">
      <c r="A1013" s="130">
        <v>6</v>
      </c>
      <c r="B1013" s="130">
        <v>4</v>
      </c>
      <c r="C1013" s="247" t="s">
        <v>30</v>
      </c>
      <c r="D1013" s="248" t="s">
        <v>1</v>
      </c>
      <c r="E1013" s="50" t="s">
        <v>3515</v>
      </c>
      <c r="F1013" s="45" t="s">
        <v>81</v>
      </c>
      <c r="G1013" s="45">
        <v>86</v>
      </c>
      <c r="H1013" s="249" t="s">
        <v>3516</v>
      </c>
    </row>
    <row r="1014" spans="1:8" ht="31.15" x14ac:dyDescent="0.25">
      <c r="A1014" s="130">
        <v>6</v>
      </c>
      <c r="B1014" s="130">
        <v>4</v>
      </c>
      <c r="C1014" s="247" t="s">
        <v>30</v>
      </c>
      <c r="D1014" s="248" t="s">
        <v>1</v>
      </c>
      <c r="E1014" s="50" t="s">
        <v>3517</v>
      </c>
      <c r="F1014" s="45" t="s">
        <v>81</v>
      </c>
      <c r="G1014" s="45">
        <v>153</v>
      </c>
      <c r="H1014" s="249" t="s">
        <v>3516</v>
      </c>
    </row>
    <row r="1015" spans="1:8" ht="31.15" x14ac:dyDescent="0.25">
      <c r="A1015" s="130">
        <v>6</v>
      </c>
      <c r="B1015" s="130">
        <v>4</v>
      </c>
      <c r="C1015" s="247" t="s">
        <v>30</v>
      </c>
      <c r="D1015" s="248" t="s">
        <v>599</v>
      </c>
      <c r="E1015" s="50" t="s">
        <v>3518</v>
      </c>
      <c r="F1015" s="45" t="s">
        <v>81</v>
      </c>
      <c r="G1015" s="45">
        <v>56</v>
      </c>
      <c r="H1015" s="249" t="s">
        <v>3516</v>
      </c>
    </row>
    <row r="1016" spans="1:8" ht="46.9" x14ac:dyDescent="0.25">
      <c r="A1016" s="130">
        <v>6</v>
      </c>
      <c r="B1016" s="130">
        <v>4</v>
      </c>
      <c r="C1016" s="247" t="s">
        <v>30</v>
      </c>
      <c r="D1016" s="248" t="s">
        <v>1</v>
      </c>
      <c r="E1016" s="50" t="s">
        <v>3519</v>
      </c>
      <c r="F1016" s="45" t="s">
        <v>69</v>
      </c>
      <c r="G1016" s="45">
        <v>33</v>
      </c>
      <c r="H1016" s="249" t="s">
        <v>3520</v>
      </c>
    </row>
    <row r="1017" spans="1:8" ht="31.15" x14ac:dyDescent="0.25">
      <c r="A1017" s="130">
        <v>6</v>
      </c>
      <c r="B1017" s="130">
        <v>4</v>
      </c>
      <c r="C1017" s="247" t="s">
        <v>30</v>
      </c>
      <c r="D1017" s="248" t="s">
        <v>1</v>
      </c>
      <c r="E1017" s="50" t="s">
        <v>3521</v>
      </c>
      <c r="F1017" s="45" t="s">
        <v>81</v>
      </c>
      <c r="G1017" s="45">
        <v>198</v>
      </c>
      <c r="H1017" s="249" t="s">
        <v>3522</v>
      </c>
    </row>
    <row r="1018" spans="1:8" ht="31.15" x14ac:dyDescent="0.25">
      <c r="A1018" s="130">
        <v>6</v>
      </c>
      <c r="B1018" s="130">
        <v>4</v>
      </c>
      <c r="C1018" s="247" t="s">
        <v>30</v>
      </c>
      <c r="D1018" s="248" t="s">
        <v>1</v>
      </c>
      <c r="E1018" s="50" t="s">
        <v>3523</v>
      </c>
      <c r="F1018" s="45" t="s">
        <v>81</v>
      </c>
      <c r="G1018" s="45">
        <v>138</v>
      </c>
      <c r="H1018" s="249" t="s">
        <v>3524</v>
      </c>
    </row>
    <row r="1019" spans="1:8" ht="31.15" x14ac:dyDescent="0.25">
      <c r="A1019" s="130">
        <v>6</v>
      </c>
      <c r="B1019" s="130">
        <v>4</v>
      </c>
      <c r="C1019" s="247" t="s">
        <v>30</v>
      </c>
      <c r="D1019" s="248" t="s">
        <v>1</v>
      </c>
      <c r="E1019" s="50" t="s">
        <v>3525</v>
      </c>
      <c r="F1019" s="45" t="s">
        <v>81</v>
      </c>
      <c r="G1019" s="45">
        <v>78</v>
      </c>
      <c r="H1019" s="249" t="s">
        <v>3516</v>
      </c>
    </row>
    <row r="1020" spans="1:8" ht="15.6" x14ac:dyDescent="0.25">
      <c r="A1020" s="130">
        <v>6</v>
      </c>
      <c r="B1020" s="130">
        <v>4</v>
      </c>
      <c r="C1020" s="247" t="s">
        <v>30</v>
      </c>
      <c r="D1020" s="248" t="s">
        <v>1</v>
      </c>
      <c r="E1020" s="50" t="s">
        <v>3526</v>
      </c>
      <c r="F1020" s="45" t="s">
        <v>81</v>
      </c>
      <c r="G1020" s="45">
        <v>12</v>
      </c>
      <c r="H1020" s="249" t="s">
        <v>3516</v>
      </c>
    </row>
    <row r="1021" spans="1:8" ht="15.6" x14ac:dyDescent="0.25">
      <c r="A1021" s="130">
        <v>6</v>
      </c>
      <c r="B1021" s="130">
        <v>4</v>
      </c>
      <c r="C1021" s="247" t="s">
        <v>30</v>
      </c>
      <c r="D1021" s="248" t="s">
        <v>1</v>
      </c>
      <c r="E1021" s="50" t="s">
        <v>3527</v>
      </c>
      <c r="F1021" s="45" t="s">
        <v>81</v>
      </c>
      <c r="G1021" s="45">
        <v>41</v>
      </c>
      <c r="H1021" s="249" t="s">
        <v>3516</v>
      </c>
    </row>
    <row r="1022" spans="1:8" ht="15.6" x14ac:dyDescent="0.25">
      <c r="A1022" s="130">
        <v>6</v>
      </c>
      <c r="B1022" s="130">
        <v>4</v>
      </c>
      <c r="C1022" s="247" t="s">
        <v>30</v>
      </c>
      <c r="D1022" s="248" t="s">
        <v>1</v>
      </c>
      <c r="E1022" s="50" t="s">
        <v>3528</v>
      </c>
      <c r="F1022" s="45" t="s">
        <v>81</v>
      </c>
      <c r="G1022" s="45">
        <v>59</v>
      </c>
      <c r="H1022" s="249" t="s">
        <v>3516</v>
      </c>
    </row>
    <row r="1023" spans="1:8" ht="31.15" x14ac:dyDescent="0.25">
      <c r="A1023" s="130">
        <v>6</v>
      </c>
      <c r="B1023" s="130">
        <v>4</v>
      </c>
      <c r="C1023" s="247" t="s">
        <v>30</v>
      </c>
      <c r="D1023" s="248" t="s">
        <v>1</v>
      </c>
      <c r="E1023" s="50" t="s">
        <v>3529</v>
      </c>
      <c r="F1023" s="45" t="s">
        <v>81</v>
      </c>
      <c r="G1023" s="45">
        <v>77</v>
      </c>
      <c r="H1023" s="249" t="s">
        <v>3530</v>
      </c>
    </row>
    <row r="1024" spans="1:8" ht="15.6" x14ac:dyDescent="0.25">
      <c r="A1024" s="130">
        <v>6</v>
      </c>
      <c r="B1024" s="130">
        <v>4</v>
      </c>
      <c r="C1024" s="247" t="s">
        <v>30</v>
      </c>
      <c r="D1024" s="248" t="s">
        <v>1</v>
      </c>
      <c r="E1024" s="50" t="s">
        <v>3531</v>
      </c>
      <c r="F1024" s="45" t="s">
        <v>81</v>
      </c>
      <c r="G1024" s="45">
        <v>55</v>
      </c>
      <c r="H1024" s="249" t="s">
        <v>3522</v>
      </c>
    </row>
    <row r="1025" spans="1:8" ht="15.6" x14ac:dyDescent="0.25">
      <c r="A1025" s="130">
        <v>6</v>
      </c>
      <c r="B1025" s="130">
        <v>4</v>
      </c>
      <c r="C1025" s="247" t="s">
        <v>30</v>
      </c>
      <c r="D1025" s="248" t="s">
        <v>1</v>
      </c>
      <c r="E1025" s="50" t="s">
        <v>3532</v>
      </c>
      <c r="F1025" s="45" t="s">
        <v>81</v>
      </c>
      <c r="G1025" s="45">
        <v>12</v>
      </c>
      <c r="H1025" s="249" t="s">
        <v>3533</v>
      </c>
    </row>
    <row r="1026" spans="1:8" ht="31.15" x14ac:dyDescent="0.25">
      <c r="A1026" s="130">
        <v>6</v>
      </c>
      <c r="B1026" s="130">
        <v>4</v>
      </c>
      <c r="C1026" s="247" t="s">
        <v>30</v>
      </c>
      <c r="D1026" s="248" t="s">
        <v>1</v>
      </c>
      <c r="E1026" s="50" t="s">
        <v>3534</v>
      </c>
      <c r="F1026" s="45" t="s">
        <v>81</v>
      </c>
      <c r="G1026" s="45">
        <v>146</v>
      </c>
      <c r="H1026" s="249" t="s">
        <v>3530</v>
      </c>
    </row>
    <row r="1027" spans="1:8" ht="31.15" x14ac:dyDescent="0.25">
      <c r="A1027" s="130">
        <v>6</v>
      </c>
      <c r="B1027" s="130">
        <v>4</v>
      </c>
      <c r="C1027" s="247" t="s">
        <v>30</v>
      </c>
      <c r="D1027" s="248" t="s">
        <v>1</v>
      </c>
      <c r="E1027" s="50" t="s">
        <v>3535</v>
      </c>
      <c r="F1027" s="45" t="s">
        <v>69</v>
      </c>
      <c r="G1027" s="45">
        <v>42</v>
      </c>
      <c r="H1027" s="249" t="s">
        <v>3536</v>
      </c>
    </row>
    <row r="1028" spans="1:8" ht="31.15" x14ac:dyDescent="0.25">
      <c r="A1028" s="130">
        <v>6</v>
      </c>
      <c r="B1028" s="130">
        <v>4</v>
      </c>
      <c r="C1028" s="247" t="s">
        <v>30</v>
      </c>
      <c r="D1028" s="248" t="s">
        <v>1</v>
      </c>
      <c r="E1028" s="50" t="s">
        <v>3537</v>
      </c>
      <c r="F1028" s="45" t="s">
        <v>69</v>
      </c>
      <c r="G1028" s="45">
        <v>25</v>
      </c>
      <c r="H1028" s="249" t="s">
        <v>3538</v>
      </c>
    </row>
    <row r="1029" spans="1:8" ht="15.6" x14ac:dyDescent="0.25">
      <c r="A1029" s="130">
        <v>6</v>
      </c>
      <c r="B1029" s="130">
        <v>4</v>
      </c>
      <c r="C1029" s="247" t="s">
        <v>30</v>
      </c>
      <c r="D1029" s="248" t="s">
        <v>1</v>
      </c>
      <c r="E1029" s="50" t="s">
        <v>3539</v>
      </c>
      <c r="F1029" s="45" t="s">
        <v>81</v>
      </c>
      <c r="G1029" s="45">
        <v>34</v>
      </c>
      <c r="H1029" s="249" t="s">
        <v>3540</v>
      </c>
    </row>
    <row r="1030" spans="1:8" ht="15.6" x14ac:dyDescent="0.25">
      <c r="A1030" s="130">
        <v>6</v>
      </c>
      <c r="B1030" s="130">
        <v>4</v>
      </c>
      <c r="C1030" s="247" t="s">
        <v>30</v>
      </c>
      <c r="D1030" s="248" t="s">
        <v>1</v>
      </c>
      <c r="E1030" s="50" t="s">
        <v>3541</v>
      </c>
      <c r="F1030" s="45" t="s">
        <v>81</v>
      </c>
      <c r="G1030" s="45">
        <v>31</v>
      </c>
      <c r="H1030" s="249" t="s">
        <v>3516</v>
      </c>
    </row>
    <row r="1031" spans="1:8" ht="15.6" x14ac:dyDescent="0.25">
      <c r="A1031" s="130">
        <v>6</v>
      </c>
      <c r="B1031" s="130">
        <v>4</v>
      </c>
      <c r="C1031" s="247" t="s">
        <v>30</v>
      </c>
      <c r="D1031" s="248" t="s">
        <v>1</v>
      </c>
      <c r="E1031" s="50" t="s">
        <v>3542</v>
      </c>
      <c r="F1031" s="45" t="s">
        <v>81</v>
      </c>
      <c r="G1031" s="45">
        <v>17</v>
      </c>
      <c r="H1031" s="249" t="s">
        <v>3543</v>
      </c>
    </row>
    <row r="1032" spans="1:8" ht="31.15" x14ac:dyDescent="0.25">
      <c r="A1032" s="130">
        <v>6</v>
      </c>
      <c r="B1032" s="130">
        <v>4</v>
      </c>
      <c r="C1032" s="247" t="s">
        <v>30</v>
      </c>
      <c r="D1032" s="248" t="s">
        <v>1</v>
      </c>
      <c r="E1032" s="50" t="s">
        <v>3544</v>
      </c>
      <c r="F1032" s="45" t="s">
        <v>69</v>
      </c>
      <c r="G1032" s="45">
        <v>9</v>
      </c>
      <c r="H1032" s="249" t="s">
        <v>3545</v>
      </c>
    </row>
    <row r="1033" spans="1:8" ht="31.15" x14ac:dyDescent="0.25">
      <c r="A1033" s="130">
        <v>6</v>
      </c>
      <c r="B1033" s="130">
        <v>4</v>
      </c>
      <c r="C1033" s="247" t="s">
        <v>30</v>
      </c>
      <c r="D1033" s="248" t="s">
        <v>83</v>
      </c>
      <c r="E1033" s="50" t="s">
        <v>3546</v>
      </c>
      <c r="F1033" s="45" t="s">
        <v>81</v>
      </c>
      <c r="G1033" s="45">
        <v>74</v>
      </c>
      <c r="H1033" s="249" t="s">
        <v>3547</v>
      </c>
    </row>
    <row r="1034" spans="1:8" ht="31.15" x14ac:dyDescent="0.25">
      <c r="A1034" s="130">
        <v>6</v>
      </c>
      <c r="B1034" s="130">
        <v>4</v>
      </c>
      <c r="C1034" s="247" t="s">
        <v>30</v>
      </c>
      <c r="D1034" s="248" t="s">
        <v>83</v>
      </c>
      <c r="E1034" s="50" t="s">
        <v>3548</v>
      </c>
      <c r="F1034" s="45" t="s">
        <v>81</v>
      </c>
      <c r="G1034" s="45">
        <v>6</v>
      </c>
      <c r="H1034" s="249" t="s">
        <v>3547</v>
      </c>
    </row>
    <row r="1035" spans="1:8" ht="31.15" x14ac:dyDescent="0.25">
      <c r="A1035" s="130">
        <v>6</v>
      </c>
      <c r="B1035" s="130">
        <v>4</v>
      </c>
      <c r="C1035" s="247" t="s">
        <v>30</v>
      </c>
      <c r="D1035" s="248" t="s">
        <v>83</v>
      </c>
      <c r="E1035" s="50" t="s">
        <v>3549</v>
      </c>
      <c r="F1035" s="45" t="s">
        <v>81</v>
      </c>
      <c r="G1035" s="45">
        <v>14</v>
      </c>
      <c r="H1035" s="249" t="s">
        <v>3547</v>
      </c>
    </row>
    <row r="1036" spans="1:8" ht="31.15" x14ac:dyDescent="0.25">
      <c r="A1036" s="130">
        <v>6</v>
      </c>
      <c r="B1036" s="130">
        <v>4</v>
      </c>
      <c r="C1036" s="247" t="s">
        <v>30</v>
      </c>
      <c r="D1036" s="248" t="s">
        <v>83</v>
      </c>
      <c r="E1036" s="50" t="s">
        <v>3550</v>
      </c>
      <c r="F1036" s="45" t="s">
        <v>81</v>
      </c>
      <c r="G1036" s="45">
        <v>16</v>
      </c>
      <c r="H1036" s="249" t="s">
        <v>3547</v>
      </c>
    </row>
    <row r="1037" spans="1:8" ht="31.15" x14ac:dyDescent="0.25">
      <c r="A1037" s="130">
        <v>6</v>
      </c>
      <c r="B1037" s="130">
        <v>4</v>
      </c>
      <c r="C1037" s="247" t="s">
        <v>30</v>
      </c>
      <c r="D1037" s="248" t="s">
        <v>83</v>
      </c>
      <c r="E1037" s="50" t="s">
        <v>3551</v>
      </c>
      <c r="F1037" s="45" t="s">
        <v>69</v>
      </c>
      <c r="G1037" s="45">
        <v>3</v>
      </c>
      <c r="H1037" s="249" t="s">
        <v>3552</v>
      </c>
    </row>
    <row r="1038" spans="1:8" ht="31.15" x14ac:dyDescent="0.25">
      <c r="A1038" s="130">
        <v>6</v>
      </c>
      <c r="B1038" s="130">
        <v>4</v>
      </c>
      <c r="C1038" s="247" t="s">
        <v>30</v>
      </c>
      <c r="D1038" s="248" t="s">
        <v>83</v>
      </c>
      <c r="E1038" s="50" t="s">
        <v>3553</v>
      </c>
      <c r="F1038" s="45" t="s">
        <v>81</v>
      </c>
      <c r="G1038" s="45">
        <v>30</v>
      </c>
      <c r="H1038" s="249" t="s">
        <v>3554</v>
      </c>
    </row>
    <row r="1039" spans="1:8" ht="31.15" x14ac:dyDescent="0.25">
      <c r="A1039" s="130">
        <v>6</v>
      </c>
      <c r="B1039" s="130">
        <v>4</v>
      </c>
      <c r="C1039" s="247" t="s">
        <v>30</v>
      </c>
      <c r="D1039" s="248" t="s">
        <v>83</v>
      </c>
      <c r="E1039" s="50" t="s">
        <v>3555</v>
      </c>
      <c r="F1039" s="45" t="s">
        <v>81</v>
      </c>
      <c r="G1039" s="45">
        <v>24</v>
      </c>
      <c r="H1039" s="249" t="s">
        <v>3556</v>
      </c>
    </row>
    <row r="1040" spans="1:8" ht="31.15" x14ac:dyDescent="0.25">
      <c r="A1040" s="130">
        <v>6</v>
      </c>
      <c r="B1040" s="130">
        <v>4</v>
      </c>
      <c r="C1040" s="247" t="s">
        <v>30</v>
      </c>
      <c r="D1040" s="248" t="s">
        <v>83</v>
      </c>
      <c r="E1040" s="50" t="s">
        <v>3557</v>
      </c>
      <c r="F1040" s="45" t="s">
        <v>81</v>
      </c>
      <c r="G1040" s="45">
        <v>3</v>
      </c>
      <c r="H1040" s="249" t="s">
        <v>3558</v>
      </c>
    </row>
    <row r="1041" spans="1:8" ht="78" x14ac:dyDescent="0.25">
      <c r="A1041" s="130">
        <v>6</v>
      </c>
      <c r="B1041" s="130">
        <v>4</v>
      </c>
      <c r="C1041" s="247" t="s">
        <v>30</v>
      </c>
      <c r="D1041" s="248" t="s">
        <v>83</v>
      </c>
      <c r="E1041" s="50" t="s">
        <v>3559</v>
      </c>
      <c r="F1041" s="45" t="s">
        <v>69</v>
      </c>
      <c r="G1041" s="45">
        <v>28</v>
      </c>
      <c r="H1041" s="249" t="s">
        <v>3560</v>
      </c>
    </row>
    <row r="1042" spans="1:8" ht="31.15" x14ac:dyDescent="0.25">
      <c r="A1042" s="130">
        <v>6</v>
      </c>
      <c r="B1042" s="130">
        <v>4</v>
      </c>
      <c r="C1042" s="247" t="s">
        <v>30</v>
      </c>
      <c r="D1042" s="248" t="s">
        <v>83</v>
      </c>
      <c r="E1042" s="50" t="s">
        <v>3561</v>
      </c>
      <c r="F1042" s="45" t="s">
        <v>81</v>
      </c>
      <c r="G1042" s="45">
        <v>30</v>
      </c>
      <c r="H1042" s="249" t="s">
        <v>3562</v>
      </c>
    </row>
    <row r="1043" spans="1:8" ht="31.15" x14ac:dyDescent="0.25">
      <c r="A1043" s="130">
        <v>6</v>
      </c>
      <c r="B1043" s="130">
        <v>4</v>
      </c>
      <c r="C1043" s="247" t="s">
        <v>30</v>
      </c>
      <c r="D1043" s="248" t="s">
        <v>83</v>
      </c>
      <c r="E1043" s="50" t="s">
        <v>3563</v>
      </c>
      <c r="F1043" s="45" t="s">
        <v>81</v>
      </c>
      <c r="G1043" s="45">
        <v>40</v>
      </c>
      <c r="H1043" s="249" t="s">
        <v>3564</v>
      </c>
    </row>
    <row r="1044" spans="1:8" ht="46.9" x14ac:dyDescent="0.25">
      <c r="A1044" s="130">
        <v>7</v>
      </c>
      <c r="B1044" s="130">
        <v>4</v>
      </c>
      <c r="C1044" s="247" t="s">
        <v>31</v>
      </c>
      <c r="D1044" s="248" t="s">
        <v>0</v>
      </c>
      <c r="E1044" s="50" t="s">
        <v>3565</v>
      </c>
      <c r="F1044" s="45" t="s">
        <v>81</v>
      </c>
      <c r="G1044" s="45">
        <v>15</v>
      </c>
      <c r="H1044" s="249" t="s">
        <v>3566</v>
      </c>
    </row>
    <row r="1045" spans="1:8" ht="46.9" x14ac:dyDescent="0.25">
      <c r="A1045" s="130">
        <v>7</v>
      </c>
      <c r="B1045" s="130">
        <v>4</v>
      </c>
      <c r="C1045" s="247" t="s">
        <v>31</v>
      </c>
      <c r="D1045" s="248" t="s">
        <v>0</v>
      </c>
      <c r="E1045" s="50" t="s">
        <v>3567</v>
      </c>
      <c r="F1045" s="45" t="s">
        <v>81</v>
      </c>
      <c r="G1045" s="45">
        <v>37</v>
      </c>
      <c r="H1045" s="249" t="s">
        <v>3568</v>
      </c>
    </row>
    <row r="1046" spans="1:8" ht="31.15" x14ac:dyDescent="0.25">
      <c r="A1046" s="130">
        <v>7</v>
      </c>
      <c r="B1046" s="130">
        <v>4</v>
      </c>
      <c r="C1046" s="247" t="s">
        <v>31</v>
      </c>
      <c r="D1046" s="248" t="s">
        <v>0</v>
      </c>
      <c r="E1046" s="50" t="s">
        <v>3569</v>
      </c>
      <c r="F1046" s="45" t="s">
        <v>81</v>
      </c>
      <c r="G1046" s="45">
        <v>5</v>
      </c>
      <c r="H1046" s="249" t="s">
        <v>3570</v>
      </c>
    </row>
    <row r="1047" spans="1:8" ht="46.9" x14ac:dyDescent="0.25">
      <c r="A1047" s="130">
        <v>7</v>
      </c>
      <c r="B1047" s="130">
        <v>4</v>
      </c>
      <c r="C1047" s="247" t="s">
        <v>31</v>
      </c>
      <c r="D1047" s="248" t="s">
        <v>1</v>
      </c>
      <c r="E1047" s="50" t="s">
        <v>3571</v>
      </c>
      <c r="F1047" s="45" t="s">
        <v>81</v>
      </c>
      <c r="G1047" s="45">
        <v>24</v>
      </c>
      <c r="H1047" s="249" t="s">
        <v>3572</v>
      </c>
    </row>
    <row r="1048" spans="1:8" ht="46.9" x14ac:dyDescent="0.25">
      <c r="A1048" s="130">
        <v>7</v>
      </c>
      <c r="B1048" s="130">
        <v>4</v>
      </c>
      <c r="C1048" s="247" t="s">
        <v>31</v>
      </c>
      <c r="D1048" s="248" t="s">
        <v>1</v>
      </c>
      <c r="E1048" s="50" t="s">
        <v>3573</v>
      </c>
      <c r="F1048" s="45" t="s">
        <v>81</v>
      </c>
      <c r="G1048" s="45">
        <v>110</v>
      </c>
      <c r="H1048" s="249" t="s">
        <v>3574</v>
      </c>
    </row>
    <row r="1049" spans="1:8" ht="31.15" x14ac:dyDescent="0.25">
      <c r="A1049" s="130">
        <v>7</v>
      </c>
      <c r="B1049" s="130">
        <v>4</v>
      </c>
      <c r="C1049" s="247" t="s">
        <v>31</v>
      </c>
      <c r="D1049" s="248" t="s">
        <v>1</v>
      </c>
      <c r="E1049" s="50" t="s">
        <v>3575</v>
      </c>
      <c r="F1049" s="45" t="s">
        <v>81</v>
      </c>
      <c r="G1049" s="45">
        <v>949</v>
      </c>
      <c r="H1049" s="249" t="s">
        <v>3576</v>
      </c>
    </row>
    <row r="1050" spans="1:8" ht="31.15" x14ac:dyDescent="0.25">
      <c r="A1050" s="130">
        <v>7</v>
      </c>
      <c r="B1050" s="130">
        <v>4</v>
      </c>
      <c r="C1050" s="247" t="s">
        <v>31</v>
      </c>
      <c r="D1050" s="248" t="s">
        <v>83</v>
      </c>
      <c r="E1050" s="50" t="s">
        <v>3577</v>
      </c>
      <c r="F1050" s="45" t="s">
        <v>81</v>
      </c>
      <c r="G1050" s="45">
        <v>4</v>
      </c>
      <c r="H1050" s="249" t="s">
        <v>3578</v>
      </c>
    </row>
    <row r="1051" spans="1:8" ht="31.15" x14ac:dyDescent="0.25">
      <c r="A1051" s="130">
        <v>7</v>
      </c>
      <c r="B1051" s="130">
        <v>4</v>
      </c>
      <c r="C1051" s="247" t="s">
        <v>31</v>
      </c>
      <c r="D1051" s="248" t="s">
        <v>83</v>
      </c>
      <c r="E1051" s="50" t="s">
        <v>3579</v>
      </c>
      <c r="F1051" s="45" t="s">
        <v>81</v>
      </c>
      <c r="G1051" s="45">
        <v>3</v>
      </c>
      <c r="H1051" s="249" t="s">
        <v>3580</v>
      </c>
    </row>
    <row r="1052" spans="1:8" ht="31.15" x14ac:dyDescent="0.25">
      <c r="A1052" s="130">
        <v>7</v>
      </c>
      <c r="B1052" s="130">
        <v>4</v>
      </c>
      <c r="C1052" s="247" t="s">
        <v>31</v>
      </c>
      <c r="D1052" s="248" t="s">
        <v>83</v>
      </c>
      <c r="E1052" s="50" t="s">
        <v>3581</v>
      </c>
      <c r="F1052" s="45" t="s">
        <v>81</v>
      </c>
      <c r="G1052" s="45">
        <v>5</v>
      </c>
      <c r="H1052" s="249" t="s">
        <v>3582</v>
      </c>
    </row>
    <row r="1053" spans="1:8" ht="15.6" x14ac:dyDescent="0.25">
      <c r="A1053" s="130">
        <v>8</v>
      </c>
      <c r="B1053" s="130">
        <v>4</v>
      </c>
      <c r="C1053" s="247" t="s">
        <v>32</v>
      </c>
      <c r="D1053" s="248" t="s">
        <v>137</v>
      </c>
      <c r="E1053" s="50" t="s">
        <v>3583</v>
      </c>
      <c r="F1053" s="45" t="s">
        <v>81</v>
      </c>
      <c r="G1053" s="45">
        <v>1</v>
      </c>
      <c r="H1053" s="249" t="s">
        <v>3584</v>
      </c>
    </row>
    <row r="1054" spans="1:8" ht="15.6" x14ac:dyDescent="0.25">
      <c r="A1054" s="130">
        <v>8</v>
      </c>
      <c r="B1054" s="130">
        <v>4</v>
      </c>
      <c r="C1054" s="247" t="s">
        <v>32</v>
      </c>
      <c r="D1054" s="248" t="s">
        <v>137</v>
      </c>
      <c r="E1054" s="50" t="s">
        <v>3585</v>
      </c>
      <c r="F1054" s="45" t="s">
        <v>81</v>
      </c>
      <c r="G1054" s="45">
        <v>1</v>
      </c>
      <c r="H1054" s="249" t="s">
        <v>3586</v>
      </c>
    </row>
    <row r="1055" spans="1:8" ht="31.15" x14ac:dyDescent="0.25">
      <c r="A1055" s="130">
        <v>8</v>
      </c>
      <c r="B1055" s="130">
        <v>4</v>
      </c>
      <c r="C1055" s="247" t="s">
        <v>32</v>
      </c>
      <c r="D1055" s="248" t="s">
        <v>137</v>
      </c>
      <c r="E1055" s="50" t="s">
        <v>3587</v>
      </c>
      <c r="F1055" s="45" t="s">
        <v>81</v>
      </c>
      <c r="G1055" s="45">
        <v>1</v>
      </c>
      <c r="H1055" s="249" t="s">
        <v>3588</v>
      </c>
    </row>
    <row r="1056" spans="1:8" ht="15.6" x14ac:dyDescent="0.25">
      <c r="A1056" s="130">
        <v>8</v>
      </c>
      <c r="B1056" s="130">
        <v>4</v>
      </c>
      <c r="C1056" s="247" t="s">
        <v>32</v>
      </c>
      <c r="D1056" s="248" t="s">
        <v>0</v>
      </c>
      <c r="E1056" s="50" t="s">
        <v>3589</v>
      </c>
      <c r="F1056" s="45" t="s">
        <v>81</v>
      </c>
      <c r="G1056" s="45">
        <v>1</v>
      </c>
      <c r="H1056" s="249" t="s">
        <v>3590</v>
      </c>
    </row>
    <row r="1057" spans="1:8" ht="31.15" x14ac:dyDescent="0.25">
      <c r="A1057" s="130">
        <v>8</v>
      </c>
      <c r="B1057" s="130">
        <v>4</v>
      </c>
      <c r="C1057" s="247" t="s">
        <v>32</v>
      </c>
      <c r="D1057" s="248" t="s">
        <v>1731</v>
      </c>
      <c r="E1057" s="50" t="s">
        <v>3591</v>
      </c>
      <c r="F1057" s="45" t="s">
        <v>81</v>
      </c>
      <c r="G1057" s="45">
        <v>105</v>
      </c>
      <c r="H1057" s="249" t="s">
        <v>2383</v>
      </c>
    </row>
    <row r="1058" spans="1:8" ht="31.15" x14ac:dyDescent="0.25">
      <c r="A1058" s="130">
        <v>8</v>
      </c>
      <c r="B1058" s="130">
        <v>4</v>
      </c>
      <c r="C1058" s="247" t="s">
        <v>32</v>
      </c>
      <c r="D1058" s="248" t="s">
        <v>1</v>
      </c>
      <c r="E1058" s="50" t="s">
        <v>3592</v>
      </c>
      <c r="F1058" s="45" t="s">
        <v>81</v>
      </c>
      <c r="G1058" s="45">
        <v>633</v>
      </c>
      <c r="H1058" s="249" t="s">
        <v>2353</v>
      </c>
    </row>
    <row r="1059" spans="1:8" ht="15.6" x14ac:dyDescent="0.25">
      <c r="A1059" s="130">
        <v>8</v>
      </c>
      <c r="B1059" s="130">
        <v>4</v>
      </c>
      <c r="C1059" s="247" t="s">
        <v>32</v>
      </c>
      <c r="D1059" s="248" t="s">
        <v>1</v>
      </c>
      <c r="E1059" s="50" t="s">
        <v>3593</v>
      </c>
      <c r="F1059" s="45" t="s">
        <v>81</v>
      </c>
      <c r="G1059" s="45">
        <v>5</v>
      </c>
      <c r="H1059" s="249" t="s">
        <v>3594</v>
      </c>
    </row>
    <row r="1060" spans="1:8" ht="31.15" x14ac:dyDescent="0.25">
      <c r="A1060" s="130">
        <v>8</v>
      </c>
      <c r="B1060" s="130">
        <v>4</v>
      </c>
      <c r="C1060" s="247" t="s">
        <v>32</v>
      </c>
      <c r="D1060" s="248" t="s">
        <v>1</v>
      </c>
      <c r="E1060" s="50" t="s">
        <v>3595</v>
      </c>
      <c r="F1060" s="45" t="s">
        <v>69</v>
      </c>
      <c r="G1060" s="45">
        <v>19</v>
      </c>
      <c r="H1060" s="249" t="s">
        <v>2334</v>
      </c>
    </row>
    <row r="1061" spans="1:8" ht="31.15" x14ac:dyDescent="0.25">
      <c r="A1061" s="130">
        <v>8</v>
      </c>
      <c r="B1061" s="130">
        <v>4</v>
      </c>
      <c r="C1061" s="247" t="s">
        <v>32</v>
      </c>
      <c r="D1061" s="248" t="s">
        <v>83</v>
      </c>
      <c r="E1061" s="50" t="s">
        <v>3596</v>
      </c>
      <c r="F1061" s="45" t="s">
        <v>81</v>
      </c>
      <c r="G1061" s="45">
        <v>16</v>
      </c>
      <c r="H1061" s="249" t="s">
        <v>3597</v>
      </c>
    </row>
    <row r="1062" spans="1:8" ht="15.6" x14ac:dyDescent="0.25">
      <c r="A1062" s="130">
        <v>8</v>
      </c>
      <c r="B1062" s="130">
        <v>4</v>
      </c>
      <c r="C1062" s="247" t="s">
        <v>32</v>
      </c>
      <c r="D1062" s="248" t="s">
        <v>83</v>
      </c>
      <c r="E1062" s="50" t="s">
        <v>3598</v>
      </c>
      <c r="F1062" s="45" t="s">
        <v>69</v>
      </c>
      <c r="G1062" s="45">
        <v>6</v>
      </c>
      <c r="H1062" s="249" t="s">
        <v>3599</v>
      </c>
    </row>
    <row r="1063" spans="1:8" ht="31.15" x14ac:dyDescent="0.25">
      <c r="A1063" s="130">
        <v>8</v>
      </c>
      <c r="B1063" s="130">
        <v>4</v>
      </c>
      <c r="C1063" s="247" t="s">
        <v>32</v>
      </c>
      <c r="D1063" s="248" t="s">
        <v>83</v>
      </c>
      <c r="E1063" s="50" t="s">
        <v>3600</v>
      </c>
      <c r="F1063" s="45" t="s">
        <v>81</v>
      </c>
      <c r="G1063" s="45">
        <v>4</v>
      </c>
      <c r="H1063" s="249" t="s">
        <v>3601</v>
      </c>
    </row>
    <row r="1064" spans="1:8" ht="31.15" x14ac:dyDescent="0.25">
      <c r="A1064" s="130">
        <v>9</v>
      </c>
      <c r="B1064" s="130">
        <v>4</v>
      </c>
      <c r="C1064" s="247" t="s">
        <v>33</v>
      </c>
      <c r="D1064" s="248" t="s">
        <v>0</v>
      </c>
      <c r="E1064" s="50" t="s">
        <v>3602</v>
      </c>
      <c r="F1064" s="45" t="s">
        <v>81</v>
      </c>
      <c r="G1064" s="45">
        <v>50</v>
      </c>
      <c r="H1064" s="249" t="s">
        <v>3603</v>
      </c>
    </row>
    <row r="1065" spans="1:8" ht="31.15" x14ac:dyDescent="0.25">
      <c r="A1065" s="130">
        <v>9</v>
      </c>
      <c r="B1065" s="130">
        <v>4</v>
      </c>
      <c r="C1065" s="247" t="s">
        <v>33</v>
      </c>
      <c r="D1065" s="248" t="s">
        <v>1731</v>
      </c>
      <c r="E1065" s="50" t="s">
        <v>3604</v>
      </c>
      <c r="F1065" s="45" t="s">
        <v>69</v>
      </c>
      <c r="G1065" s="45">
        <v>499</v>
      </c>
      <c r="H1065" s="249" t="s">
        <v>3605</v>
      </c>
    </row>
    <row r="1066" spans="1:8" ht="31.15" x14ac:dyDescent="0.25">
      <c r="A1066" s="130">
        <v>9</v>
      </c>
      <c r="B1066" s="130">
        <v>4</v>
      </c>
      <c r="C1066" s="247" t="s">
        <v>33</v>
      </c>
      <c r="D1066" s="248" t="s">
        <v>1731</v>
      </c>
      <c r="E1066" s="50" t="s">
        <v>3606</v>
      </c>
      <c r="F1066" s="45" t="s">
        <v>69</v>
      </c>
      <c r="G1066" s="45">
        <v>2</v>
      </c>
      <c r="H1066" s="249" t="s">
        <v>3607</v>
      </c>
    </row>
    <row r="1067" spans="1:8" ht="31.15" x14ac:dyDescent="0.25">
      <c r="A1067" s="130">
        <v>9</v>
      </c>
      <c r="B1067" s="130">
        <v>4</v>
      </c>
      <c r="C1067" s="247" t="s">
        <v>33</v>
      </c>
      <c r="D1067" s="248" t="s">
        <v>1</v>
      </c>
      <c r="E1067" s="50" t="s">
        <v>3608</v>
      </c>
      <c r="F1067" s="45"/>
      <c r="G1067" s="45">
        <v>2</v>
      </c>
      <c r="H1067" s="249" t="s">
        <v>3609</v>
      </c>
    </row>
    <row r="1068" spans="1:8" ht="15.6" x14ac:dyDescent="0.25">
      <c r="A1068" s="130">
        <v>9</v>
      </c>
      <c r="B1068" s="130">
        <v>4</v>
      </c>
      <c r="C1068" s="247" t="s">
        <v>33</v>
      </c>
      <c r="D1068" s="248" t="s">
        <v>1</v>
      </c>
      <c r="E1068" s="50" t="s">
        <v>3610</v>
      </c>
      <c r="F1068" s="45" t="s">
        <v>81</v>
      </c>
      <c r="G1068" s="45">
        <v>86</v>
      </c>
      <c r="H1068" s="249" t="s">
        <v>3611</v>
      </c>
    </row>
    <row r="1069" spans="1:8" ht="109.15" x14ac:dyDescent="0.25">
      <c r="A1069" s="130">
        <v>9</v>
      </c>
      <c r="B1069" s="130">
        <v>4</v>
      </c>
      <c r="C1069" s="247" t="s">
        <v>33</v>
      </c>
      <c r="D1069" s="248" t="s">
        <v>83</v>
      </c>
      <c r="E1069" s="50" t="s">
        <v>3612</v>
      </c>
      <c r="F1069" s="45" t="s">
        <v>69</v>
      </c>
      <c r="G1069" s="45">
        <v>5</v>
      </c>
      <c r="H1069" s="249" t="s">
        <v>3613</v>
      </c>
    </row>
    <row r="1070" spans="1:8" ht="31.15" x14ac:dyDescent="0.25">
      <c r="A1070" s="130">
        <v>9</v>
      </c>
      <c r="B1070" s="130">
        <v>4</v>
      </c>
      <c r="C1070" s="247" t="s">
        <v>33</v>
      </c>
      <c r="D1070" s="248" t="s">
        <v>83</v>
      </c>
      <c r="E1070" s="50" t="s">
        <v>3614</v>
      </c>
      <c r="F1070" s="45" t="s">
        <v>81</v>
      </c>
      <c r="G1070" s="45">
        <v>3</v>
      </c>
      <c r="H1070" s="249" t="s">
        <v>3615</v>
      </c>
    </row>
    <row r="1071" spans="1:8" ht="46.9" x14ac:dyDescent="0.25">
      <c r="A1071" s="130">
        <v>10</v>
      </c>
      <c r="B1071" s="130">
        <v>4</v>
      </c>
      <c r="C1071" s="247" t="s">
        <v>34</v>
      </c>
      <c r="D1071" s="248" t="s">
        <v>0</v>
      </c>
      <c r="E1071" s="50" t="s">
        <v>3616</v>
      </c>
      <c r="F1071" s="45" t="s">
        <v>69</v>
      </c>
      <c r="G1071" s="45">
        <v>1</v>
      </c>
      <c r="H1071" s="249" t="s">
        <v>3617</v>
      </c>
    </row>
    <row r="1072" spans="1:8" ht="93.6" x14ac:dyDescent="0.25">
      <c r="A1072" s="130">
        <v>10</v>
      </c>
      <c r="B1072" s="130">
        <v>4</v>
      </c>
      <c r="C1072" s="247" t="s">
        <v>34</v>
      </c>
      <c r="D1072" s="248" t="s">
        <v>1</v>
      </c>
      <c r="E1072" s="50" t="s">
        <v>3618</v>
      </c>
      <c r="F1072" s="45" t="s">
        <v>69</v>
      </c>
      <c r="G1072" s="45">
        <v>11</v>
      </c>
      <c r="H1072" s="249" t="s">
        <v>3619</v>
      </c>
    </row>
    <row r="1073" spans="1:8" ht="78" x14ac:dyDescent="0.25">
      <c r="A1073" s="130">
        <v>10</v>
      </c>
      <c r="B1073" s="130">
        <v>4</v>
      </c>
      <c r="C1073" s="247" t="s">
        <v>34</v>
      </c>
      <c r="D1073" s="248" t="s">
        <v>1</v>
      </c>
      <c r="E1073" s="50" t="s">
        <v>3620</v>
      </c>
      <c r="F1073" s="45" t="s">
        <v>81</v>
      </c>
      <c r="G1073" s="45">
        <v>77</v>
      </c>
      <c r="H1073" s="249" t="s">
        <v>3621</v>
      </c>
    </row>
    <row r="1074" spans="1:8" ht="62.45" x14ac:dyDescent="0.25">
      <c r="A1074" s="130">
        <v>10</v>
      </c>
      <c r="B1074" s="130">
        <v>4</v>
      </c>
      <c r="C1074" s="247" t="s">
        <v>34</v>
      </c>
      <c r="D1074" s="248" t="s">
        <v>1</v>
      </c>
      <c r="E1074" s="50" t="s">
        <v>3622</v>
      </c>
      <c r="F1074" s="45" t="s">
        <v>81</v>
      </c>
      <c r="G1074" s="45">
        <v>228</v>
      </c>
      <c r="H1074" s="249" t="s">
        <v>3623</v>
      </c>
    </row>
    <row r="1075" spans="1:8" ht="62.45" x14ac:dyDescent="0.25">
      <c r="A1075" s="130">
        <v>10</v>
      </c>
      <c r="B1075" s="130">
        <v>4</v>
      </c>
      <c r="C1075" s="247" t="s">
        <v>34</v>
      </c>
      <c r="D1075" s="248" t="s">
        <v>1</v>
      </c>
      <c r="E1075" s="50" t="s">
        <v>3624</v>
      </c>
      <c r="F1075" s="45" t="s">
        <v>81</v>
      </c>
      <c r="G1075" s="45">
        <v>56</v>
      </c>
      <c r="H1075" s="249" t="s">
        <v>3625</v>
      </c>
    </row>
    <row r="1076" spans="1:8" ht="62.45" x14ac:dyDescent="0.25">
      <c r="A1076" s="130">
        <v>10</v>
      </c>
      <c r="B1076" s="130">
        <v>4</v>
      </c>
      <c r="C1076" s="247" t="s">
        <v>34</v>
      </c>
      <c r="D1076" s="248" t="s">
        <v>1</v>
      </c>
      <c r="E1076" s="50" t="s">
        <v>3626</v>
      </c>
      <c r="F1076" s="45" t="s">
        <v>81</v>
      </c>
      <c r="G1076" s="45">
        <v>28</v>
      </c>
      <c r="H1076" s="249" t="s">
        <v>3627</v>
      </c>
    </row>
    <row r="1077" spans="1:8" ht="78" x14ac:dyDescent="0.25">
      <c r="A1077" s="130">
        <v>10</v>
      </c>
      <c r="B1077" s="130">
        <v>4</v>
      </c>
      <c r="C1077" s="247" t="s">
        <v>34</v>
      </c>
      <c r="D1077" s="248" t="s">
        <v>1</v>
      </c>
      <c r="E1077" s="50" t="s">
        <v>3628</v>
      </c>
      <c r="F1077" s="45" t="s">
        <v>81</v>
      </c>
      <c r="G1077" s="45">
        <v>73</v>
      </c>
      <c r="H1077" s="249" t="s">
        <v>3629</v>
      </c>
    </row>
    <row r="1078" spans="1:8" ht="78" x14ac:dyDescent="0.25">
      <c r="A1078" s="130">
        <v>10</v>
      </c>
      <c r="B1078" s="130">
        <v>4</v>
      </c>
      <c r="C1078" s="247" t="s">
        <v>34</v>
      </c>
      <c r="D1078" s="248" t="s">
        <v>1</v>
      </c>
      <c r="E1078" s="50" t="s">
        <v>3630</v>
      </c>
      <c r="F1078" s="45" t="s">
        <v>81</v>
      </c>
      <c r="G1078" s="45">
        <v>40</v>
      </c>
      <c r="H1078" s="249" t="s">
        <v>3631</v>
      </c>
    </row>
    <row r="1079" spans="1:8" ht="62.45" x14ac:dyDescent="0.25">
      <c r="A1079" s="130">
        <v>10</v>
      </c>
      <c r="B1079" s="130">
        <v>4</v>
      </c>
      <c r="C1079" s="247" t="s">
        <v>34</v>
      </c>
      <c r="D1079" s="248" t="s">
        <v>83</v>
      </c>
      <c r="E1079" s="50" t="s">
        <v>3632</v>
      </c>
      <c r="F1079" s="45" t="s">
        <v>69</v>
      </c>
      <c r="G1079" s="45">
        <v>11172</v>
      </c>
      <c r="H1079" s="249" t="s">
        <v>3633</v>
      </c>
    </row>
    <row r="1080" spans="1:8" ht="78" x14ac:dyDescent="0.25">
      <c r="A1080" s="130">
        <v>10</v>
      </c>
      <c r="B1080" s="130">
        <v>4</v>
      </c>
      <c r="C1080" s="247" t="s">
        <v>34</v>
      </c>
      <c r="D1080" s="248" t="s">
        <v>83</v>
      </c>
      <c r="E1080" s="50" t="s">
        <v>3634</v>
      </c>
      <c r="F1080" s="45" t="s">
        <v>69</v>
      </c>
      <c r="G1080" s="45">
        <v>79</v>
      </c>
      <c r="H1080" s="249" t="s">
        <v>3635</v>
      </c>
    </row>
    <row r="1081" spans="1:8" ht="62.45" x14ac:dyDescent="0.25">
      <c r="A1081" s="130">
        <v>10</v>
      </c>
      <c r="B1081" s="130">
        <v>4</v>
      </c>
      <c r="C1081" s="247" t="s">
        <v>34</v>
      </c>
      <c r="D1081" s="248" t="s">
        <v>83</v>
      </c>
      <c r="E1081" s="50" t="s">
        <v>3636</v>
      </c>
      <c r="F1081" s="45" t="s">
        <v>69</v>
      </c>
      <c r="G1081" s="45">
        <v>144</v>
      </c>
      <c r="H1081" s="249" t="s">
        <v>3637</v>
      </c>
    </row>
    <row r="1082" spans="1:8" ht="62.45" x14ac:dyDescent="0.25">
      <c r="A1082" s="130">
        <v>10</v>
      </c>
      <c r="B1082" s="130">
        <v>4</v>
      </c>
      <c r="C1082" s="247" t="s">
        <v>34</v>
      </c>
      <c r="D1082" s="248" t="s">
        <v>83</v>
      </c>
      <c r="E1082" s="50" t="s">
        <v>3638</v>
      </c>
      <c r="F1082" s="45" t="s">
        <v>69</v>
      </c>
      <c r="G1082" s="45">
        <v>994</v>
      </c>
      <c r="H1082" s="249" t="s">
        <v>3639</v>
      </c>
    </row>
    <row r="1083" spans="1:8" ht="62.45" x14ac:dyDescent="0.25">
      <c r="A1083" s="130">
        <v>10</v>
      </c>
      <c r="B1083" s="130">
        <v>4</v>
      </c>
      <c r="C1083" s="247" t="s">
        <v>34</v>
      </c>
      <c r="D1083" s="248" t="s">
        <v>83</v>
      </c>
      <c r="E1083" s="50" t="s">
        <v>3640</v>
      </c>
      <c r="F1083" s="45" t="s">
        <v>69</v>
      </c>
      <c r="G1083" s="45">
        <v>183</v>
      </c>
      <c r="H1083" s="249" t="s">
        <v>3641</v>
      </c>
    </row>
    <row r="1084" spans="1:8" ht="62.45" x14ac:dyDescent="0.25">
      <c r="A1084" s="130">
        <v>10</v>
      </c>
      <c r="B1084" s="130">
        <v>4</v>
      </c>
      <c r="C1084" s="247" t="s">
        <v>34</v>
      </c>
      <c r="D1084" s="248" t="s">
        <v>83</v>
      </c>
      <c r="E1084" s="50" t="s">
        <v>3642</v>
      </c>
      <c r="F1084" s="45" t="s">
        <v>69</v>
      </c>
      <c r="G1084" s="45">
        <v>128</v>
      </c>
      <c r="H1084" s="249" t="s">
        <v>3643</v>
      </c>
    </row>
    <row r="1085" spans="1:8" ht="62.45" x14ac:dyDescent="0.25">
      <c r="A1085" s="130">
        <v>10</v>
      </c>
      <c r="B1085" s="130">
        <v>4</v>
      </c>
      <c r="C1085" s="247" t="s">
        <v>34</v>
      </c>
      <c r="D1085" s="248" t="s">
        <v>83</v>
      </c>
      <c r="E1085" s="50" t="s">
        <v>3644</v>
      </c>
      <c r="F1085" s="45" t="s">
        <v>81</v>
      </c>
      <c r="G1085" s="45">
        <v>135</v>
      </c>
      <c r="H1085" s="249" t="s">
        <v>3645</v>
      </c>
    </row>
    <row r="1086" spans="1:8" ht="46.9" x14ac:dyDescent="0.25">
      <c r="A1086" s="130">
        <v>11</v>
      </c>
      <c r="B1086" s="130">
        <v>4</v>
      </c>
      <c r="C1086" s="247" t="s">
        <v>35</v>
      </c>
      <c r="D1086" s="248" t="s">
        <v>137</v>
      </c>
      <c r="E1086" s="50" t="s">
        <v>3646</v>
      </c>
      <c r="F1086" s="45" t="s">
        <v>69</v>
      </c>
      <c r="G1086" s="45">
        <v>124</v>
      </c>
      <c r="H1086" s="249" t="s">
        <v>3647</v>
      </c>
    </row>
    <row r="1087" spans="1:8" ht="46.9" x14ac:dyDescent="0.25">
      <c r="A1087" s="130">
        <v>11</v>
      </c>
      <c r="B1087" s="130">
        <v>4</v>
      </c>
      <c r="C1087" s="247" t="s">
        <v>35</v>
      </c>
      <c r="D1087" s="248" t="s">
        <v>137</v>
      </c>
      <c r="E1087" s="50" t="s">
        <v>3648</v>
      </c>
      <c r="F1087" s="45" t="s">
        <v>69</v>
      </c>
      <c r="G1087" s="45">
        <v>21</v>
      </c>
      <c r="H1087" s="249" t="s">
        <v>3649</v>
      </c>
    </row>
    <row r="1088" spans="1:8" ht="31.15" x14ac:dyDescent="0.25">
      <c r="A1088" s="130">
        <v>11</v>
      </c>
      <c r="B1088" s="130">
        <v>4</v>
      </c>
      <c r="C1088" s="247" t="s">
        <v>35</v>
      </c>
      <c r="D1088" s="248" t="s">
        <v>0</v>
      </c>
      <c r="E1088" s="50" t="s">
        <v>3650</v>
      </c>
      <c r="F1088" s="45" t="s">
        <v>69</v>
      </c>
      <c r="G1088" s="45">
        <v>218</v>
      </c>
      <c r="H1088" s="249" t="s">
        <v>3651</v>
      </c>
    </row>
    <row r="1089" spans="1:8" ht="46.9" x14ac:dyDescent="0.25">
      <c r="A1089" s="130">
        <v>11</v>
      </c>
      <c r="B1089" s="130">
        <v>4</v>
      </c>
      <c r="C1089" s="247" t="s">
        <v>35</v>
      </c>
      <c r="D1089" s="248" t="s">
        <v>0</v>
      </c>
      <c r="E1089" s="50" t="s">
        <v>3652</v>
      </c>
      <c r="F1089" s="45" t="s">
        <v>69</v>
      </c>
      <c r="G1089" s="45">
        <v>1</v>
      </c>
      <c r="H1089" s="249" t="s">
        <v>3653</v>
      </c>
    </row>
    <row r="1090" spans="1:8" ht="31.15" x14ac:dyDescent="0.25">
      <c r="A1090" s="130">
        <v>11</v>
      </c>
      <c r="B1090" s="130">
        <v>4</v>
      </c>
      <c r="C1090" s="247" t="s">
        <v>35</v>
      </c>
      <c r="D1090" s="248" t="s">
        <v>1731</v>
      </c>
      <c r="E1090" s="50" t="s">
        <v>3654</v>
      </c>
      <c r="F1090" s="45" t="s">
        <v>69</v>
      </c>
      <c r="G1090" s="45">
        <v>19</v>
      </c>
      <c r="H1090" s="249" t="s">
        <v>2913</v>
      </c>
    </row>
    <row r="1091" spans="1:8" ht="46.9" x14ac:dyDescent="0.25">
      <c r="A1091" s="130">
        <v>11</v>
      </c>
      <c r="B1091" s="130">
        <v>4</v>
      </c>
      <c r="C1091" s="247" t="s">
        <v>35</v>
      </c>
      <c r="D1091" s="248" t="s">
        <v>1</v>
      </c>
      <c r="E1091" s="50" t="s">
        <v>3655</v>
      </c>
      <c r="F1091" s="45" t="s">
        <v>81</v>
      </c>
      <c r="G1091" s="45">
        <v>362</v>
      </c>
      <c r="H1091" s="249" t="s">
        <v>3656</v>
      </c>
    </row>
    <row r="1092" spans="1:8" ht="46.9" x14ac:dyDescent="0.25">
      <c r="A1092" s="130">
        <v>11</v>
      </c>
      <c r="B1092" s="130">
        <v>4</v>
      </c>
      <c r="C1092" s="247" t="s">
        <v>35</v>
      </c>
      <c r="D1092" s="248" t="s">
        <v>83</v>
      </c>
      <c r="E1092" s="50" t="s">
        <v>3657</v>
      </c>
      <c r="F1092" s="45" t="s">
        <v>69</v>
      </c>
      <c r="G1092" s="45">
        <v>14</v>
      </c>
      <c r="H1092" s="249" t="s">
        <v>3658</v>
      </c>
    </row>
    <row r="1093" spans="1:8" ht="46.9" x14ac:dyDescent="0.25">
      <c r="A1093" s="130">
        <v>11</v>
      </c>
      <c r="B1093" s="130">
        <v>4</v>
      </c>
      <c r="C1093" s="247" t="s">
        <v>35</v>
      </c>
      <c r="D1093" s="248" t="s">
        <v>83</v>
      </c>
      <c r="E1093" s="50" t="s">
        <v>3659</v>
      </c>
      <c r="F1093" s="45" t="s">
        <v>69</v>
      </c>
      <c r="G1093" s="45">
        <v>9</v>
      </c>
      <c r="H1093" s="249" t="s">
        <v>3660</v>
      </c>
    </row>
    <row r="1094" spans="1:8" ht="31.15" x14ac:dyDescent="0.25">
      <c r="A1094" s="130">
        <v>11</v>
      </c>
      <c r="B1094" s="130">
        <v>4</v>
      </c>
      <c r="C1094" s="247" t="s">
        <v>35</v>
      </c>
      <c r="D1094" s="248" t="s">
        <v>83</v>
      </c>
      <c r="E1094" s="50" t="s">
        <v>3661</v>
      </c>
      <c r="F1094" s="45" t="s">
        <v>69</v>
      </c>
      <c r="G1094" s="45">
        <v>1</v>
      </c>
      <c r="H1094" s="249" t="s">
        <v>3662</v>
      </c>
    </row>
    <row r="1095" spans="1:8" ht="31.15" x14ac:dyDescent="0.25">
      <c r="A1095" s="130">
        <v>11</v>
      </c>
      <c r="B1095" s="130">
        <v>4</v>
      </c>
      <c r="C1095" s="247" t="s">
        <v>35</v>
      </c>
      <c r="D1095" s="248" t="s">
        <v>83</v>
      </c>
      <c r="E1095" s="50" t="s">
        <v>3663</v>
      </c>
      <c r="F1095" s="45" t="s">
        <v>69</v>
      </c>
      <c r="G1095" s="45">
        <v>9</v>
      </c>
      <c r="H1095" s="249" t="s">
        <v>3664</v>
      </c>
    </row>
    <row r="1096" spans="1:8" ht="46.9" x14ac:dyDescent="0.25">
      <c r="A1096" s="130">
        <v>11</v>
      </c>
      <c r="B1096" s="130">
        <v>4</v>
      </c>
      <c r="C1096" s="247" t="s">
        <v>35</v>
      </c>
      <c r="D1096" s="248" t="s">
        <v>83</v>
      </c>
      <c r="E1096" s="50" t="s">
        <v>3665</v>
      </c>
      <c r="F1096" s="45" t="s">
        <v>69</v>
      </c>
      <c r="G1096" s="45">
        <v>1</v>
      </c>
      <c r="H1096" s="249" t="s">
        <v>3666</v>
      </c>
    </row>
    <row r="1097" spans="1:8" ht="15.6" x14ac:dyDescent="0.25">
      <c r="A1097" s="130">
        <v>12</v>
      </c>
      <c r="B1097" s="130">
        <v>4</v>
      </c>
      <c r="C1097" s="247" t="s">
        <v>36</v>
      </c>
      <c r="D1097" s="248"/>
      <c r="E1097" s="50" t="s">
        <v>3667</v>
      </c>
      <c r="F1097" s="45"/>
      <c r="G1097" s="45"/>
      <c r="H1097" s="249"/>
    </row>
    <row r="1098" spans="1:8" ht="31.15" x14ac:dyDescent="0.25">
      <c r="A1098" s="130">
        <v>13</v>
      </c>
      <c r="B1098" s="130">
        <v>4</v>
      </c>
      <c r="C1098" s="247" t="s">
        <v>37</v>
      </c>
      <c r="D1098" s="248" t="s">
        <v>4</v>
      </c>
      <c r="E1098" s="50" t="s">
        <v>3668</v>
      </c>
      <c r="F1098" s="45" t="s">
        <v>81</v>
      </c>
      <c r="G1098" s="45">
        <v>4</v>
      </c>
      <c r="H1098" s="249" t="s">
        <v>3669</v>
      </c>
    </row>
    <row r="1099" spans="1:8" ht="62.45" x14ac:dyDescent="0.25">
      <c r="A1099" s="130">
        <v>13</v>
      </c>
      <c r="B1099" s="130">
        <v>4</v>
      </c>
      <c r="C1099" s="247" t="s">
        <v>37</v>
      </c>
      <c r="D1099" s="248" t="s">
        <v>137</v>
      </c>
      <c r="E1099" s="50" t="s">
        <v>3670</v>
      </c>
      <c r="F1099" s="45" t="s">
        <v>81</v>
      </c>
      <c r="G1099" s="45">
        <v>80</v>
      </c>
      <c r="H1099" s="249" t="s">
        <v>3671</v>
      </c>
    </row>
    <row r="1100" spans="1:8" ht="31.15" x14ac:dyDescent="0.25">
      <c r="A1100" s="130">
        <v>13</v>
      </c>
      <c r="B1100" s="130">
        <v>4</v>
      </c>
      <c r="C1100" s="247" t="s">
        <v>37</v>
      </c>
      <c r="D1100" s="248" t="s">
        <v>0</v>
      </c>
      <c r="E1100" s="50" t="s">
        <v>3672</v>
      </c>
      <c r="F1100" s="45" t="s">
        <v>81</v>
      </c>
      <c r="G1100" s="45">
        <v>52</v>
      </c>
      <c r="H1100" s="249" t="s">
        <v>3673</v>
      </c>
    </row>
    <row r="1101" spans="1:8" ht="31.15" x14ac:dyDescent="0.25">
      <c r="A1101" s="130">
        <v>13</v>
      </c>
      <c r="B1101" s="130">
        <v>4</v>
      </c>
      <c r="C1101" s="247" t="s">
        <v>37</v>
      </c>
      <c r="D1101" s="248" t="s">
        <v>0</v>
      </c>
      <c r="E1101" s="50" t="s">
        <v>3674</v>
      </c>
      <c r="F1101" s="45" t="s">
        <v>81</v>
      </c>
      <c r="G1101" s="45">
        <v>58</v>
      </c>
      <c r="H1101" s="249" t="s">
        <v>2569</v>
      </c>
    </row>
    <row r="1102" spans="1:8" ht="31.15" x14ac:dyDescent="0.25">
      <c r="A1102" s="130">
        <v>13</v>
      </c>
      <c r="B1102" s="130">
        <v>4</v>
      </c>
      <c r="C1102" s="247" t="s">
        <v>37</v>
      </c>
      <c r="D1102" s="248" t="s">
        <v>0</v>
      </c>
      <c r="E1102" s="50" t="s">
        <v>3675</v>
      </c>
      <c r="F1102" s="45" t="s">
        <v>81</v>
      </c>
      <c r="G1102" s="45">
        <v>25</v>
      </c>
      <c r="H1102" s="249" t="s">
        <v>2569</v>
      </c>
    </row>
    <row r="1103" spans="1:8" ht="31.15" x14ac:dyDescent="0.25">
      <c r="A1103" s="130">
        <v>13</v>
      </c>
      <c r="B1103" s="130">
        <v>4</v>
      </c>
      <c r="C1103" s="247" t="s">
        <v>37</v>
      </c>
      <c r="D1103" s="248" t="s">
        <v>0</v>
      </c>
      <c r="E1103" s="50" t="s">
        <v>3676</v>
      </c>
      <c r="F1103" s="45" t="s">
        <v>81</v>
      </c>
      <c r="G1103" s="45">
        <v>20</v>
      </c>
      <c r="H1103" s="249" t="s">
        <v>2569</v>
      </c>
    </row>
    <row r="1104" spans="1:8" ht="31.15" x14ac:dyDescent="0.25">
      <c r="A1104" s="130">
        <v>13</v>
      </c>
      <c r="B1104" s="130">
        <v>4</v>
      </c>
      <c r="C1104" s="247" t="s">
        <v>37</v>
      </c>
      <c r="D1104" s="248" t="s">
        <v>0</v>
      </c>
      <c r="E1104" s="50" t="s">
        <v>3677</v>
      </c>
      <c r="F1104" s="45" t="s">
        <v>81</v>
      </c>
      <c r="G1104" s="45">
        <v>30</v>
      </c>
      <c r="H1104" s="249" t="s">
        <v>2569</v>
      </c>
    </row>
    <row r="1105" spans="1:8" ht="31.15" x14ac:dyDescent="0.25">
      <c r="A1105" s="130">
        <v>13</v>
      </c>
      <c r="B1105" s="130">
        <v>4</v>
      </c>
      <c r="C1105" s="247" t="s">
        <v>37</v>
      </c>
      <c r="D1105" s="248" t="s">
        <v>0</v>
      </c>
      <c r="E1105" s="50" t="s">
        <v>3678</v>
      </c>
      <c r="F1105" s="45" t="s">
        <v>81</v>
      </c>
      <c r="G1105" s="45">
        <v>18</v>
      </c>
      <c r="H1105" s="249" t="s">
        <v>2569</v>
      </c>
    </row>
    <row r="1106" spans="1:8" ht="15.6" x14ac:dyDescent="0.25">
      <c r="A1106" s="130">
        <v>13</v>
      </c>
      <c r="B1106" s="130">
        <v>4</v>
      </c>
      <c r="C1106" s="247" t="s">
        <v>37</v>
      </c>
      <c r="D1106" s="248" t="s">
        <v>0</v>
      </c>
      <c r="E1106" s="50" t="s">
        <v>3679</v>
      </c>
      <c r="F1106" s="45" t="s">
        <v>81</v>
      </c>
      <c r="G1106" s="45">
        <v>1</v>
      </c>
      <c r="H1106" s="249" t="s">
        <v>3680</v>
      </c>
    </row>
    <row r="1107" spans="1:8" ht="31.15" x14ac:dyDescent="0.25">
      <c r="A1107" s="130">
        <v>13</v>
      </c>
      <c r="B1107" s="130">
        <v>4</v>
      </c>
      <c r="C1107" s="247" t="s">
        <v>37</v>
      </c>
      <c r="D1107" s="248" t="s">
        <v>0</v>
      </c>
      <c r="E1107" s="50" t="s">
        <v>3681</v>
      </c>
      <c r="F1107" s="45" t="s">
        <v>81</v>
      </c>
      <c r="G1107" s="45">
        <v>2</v>
      </c>
      <c r="H1107" s="249" t="s">
        <v>3682</v>
      </c>
    </row>
    <row r="1108" spans="1:8" ht="15.6" x14ac:dyDescent="0.25">
      <c r="A1108" s="130">
        <v>13</v>
      </c>
      <c r="B1108" s="130">
        <v>4</v>
      </c>
      <c r="C1108" s="247" t="s">
        <v>37</v>
      </c>
      <c r="D1108" s="248" t="s">
        <v>1</v>
      </c>
      <c r="E1108" s="50" t="s">
        <v>3683</v>
      </c>
      <c r="F1108" s="45" t="s">
        <v>81</v>
      </c>
      <c r="G1108" s="45">
        <v>33</v>
      </c>
      <c r="H1108" s="249" t="s">
        <v>2567</v>
      </c>
    </row>
    <row r="1109" spans="1:8" ht="31.15" x14ac:dyDescent="0.25">
      <c r="A1109" s="130">
        <v>13</v>
      </c>
      <c r="B1109" s="130">
        <v>4</v>
      </c>
      <c r="C1109" s="247" t="s">
        <v>37</v>
      </c>
      <c r="D1109" s="248" t="s">
        <v>1</v>
      </c>
      <c r="E1109" s="50" t="s">
        <v>3684</v>
      </c>
      <c r="F1109" s="45" t="s">
        <v>81</v>
      </c>
      <c r="G1109" s="45">
        <v>10</v>
      </c>
      <c r="H1109" s="249" t="s">
        <v>2569</v>
      </c>
    </row>
    <row r="1110" spans="1:8" ht="31.15" x14ac:dyDescent="0.25">
      <c r="A1110" s="130">
        <v>13</v>
      </c>
      <c r="B1110" s="130">
        <v>4</v>
      </c>
      <c r="C1110" s="247" t="s">
        <v>37</v>
      </c>
      <c r="D1110" s="248" t="s">
        <v>1</v>
      </c>
      <c r="E1110" s="50" t="s">
        <v>3685</v>
      </c>
      <c r="F1110" s="45" t="s">
        <v>81</v>
      </c>
      <c r="G1110" s="45">
        <v>39</v>
      </c>
      <c r="H1110" s="249" t="s">
        <v>2569</v>
      </c>
    </row>
    <row r="1111" spans="1:8" ht="31.15" x14ac:dyDescent="0.25">
      <c r="A1111" s="130">
        <v>13</v>
      </c>
      <c r="B1111" s="130">
        <v>4</v>
      </c>
      <c r="C1111" s="247" t="s">
        <v>37</v>
      </c>
      <c r="D1111" s="248" t="s">
        <v>1</v>
      </c>
      <c r="E1111" s="50" t="s">
        <v>3686</v>
      </c>
      <c r="F1111" s="45" t="s">
        <v>81</v>
      </c>
      <c r="G1111" s="45">
        <v>17</v>
      </c>
      <c r="H1111" s="249" t="s">
        <v>2569</v>
      </c>
    </row>
    <row r="1112" spans="1:8" ht="62.45" x14ac:dyDescent="0.25">
      <c r="A1112" s="130">
        <v>13</v>
      </c>
      <c r="B1112" s="130">
        <v>4</v>
      </c>
      <c r="C1112" s="247" t="s">
        <v>37</v>
      </c>
      <c r="D1112" s="248" t="s">
        <v>1</v>
      </c>
      <c r="E1112" s="50" t="s">
        <v>3687</v>
      </c>
      <c r="F1112" s="45" t="s">
        <v>81</v>
      </c>
      <c r="G1112" s="45">
        <v>37</v>
      </c>
      <c r="H1112" s="249" t="s">
        <v>3688</v>
      </c>
    </row>
    <row r="1113" spans="1:8" ht="31.15" x14ac:dyDescent="0.25">
      <c r="A1113" s="130">
        <v>13</v>
      </c>
      <c r="B1113" s="130">
        <v>4</v>
      </c>
      <c r="C1113" s="247" t="s">
        <v>37</v>
      </c>
      <c r="D1113" s="248" t="s">
        <v>1</v>
      </c>
      <c r="E1113" s="50" t="s">
        <v>3689</v>
      </c>
      <c r="F1113" s="45" t="s">
        <v>69</v>
      </c>
      <c r="G1113" s="45">
        <v>12</v>
      </c>
      <c r="H1113" s="249" t="s">
        <v>3690</v>
      </c>
    </row>
    <row r="1114" spans="1:8" ht="31.15" x14ac:dyDescent="0.25">
      <c r="A1114" s="130">
        <v>13</v>
      </c>
      <c r="B1114" s="130">
        <v>4</v>
      </c>
      <c r="C1114" s="247" t="s">
        <v>37</v>
      </c>
      <c r="D1114" s="248" t="s">
        <v>83</v>
      </c>
      <c r="E1114" s="50" t="s">
        <v>3691</v>
      </c>
      <c r="F1114" s="45" t="s">
        <v>81</v>
      </c>
      <c r="G1114" s="45">
        <v>8</v>
      </c>
      <c r="H1114" s="249" t="s">
        <v>3692</v>
      </c>
    </row>
    <row r="1115" spans="1:8" ht="31.15" x14ac:dyDescent="0.25">
      <c r="A1115" s="130">
        <v>13</v>
      </c>
      <c r="B1115" s="130">
        <v>4</v>
      </c>
      <c r="C1115" s="247" t="s">
        <v>37</v>
      </c>
      <c r="D1115" s="248" t="s">
        <v>83</v>
      </c>
      <c r="E1115" s="50" t="s">
        <v>3693</v>
      </c>
      <c r="F1115" s="45" t="s">
        <v>69</v>
      </c>
      <c r="G1115" s="45">
        <v>8</v>
      </c>
      <c r="H1115" s="249" t="s">
        <v>3694</v>
      </c>
    </row>
    <row r="1116" spans="1:8" ht="31.15" x14ac:dyDescent="0.25">
      <c r="A1116" s="130">
        <v>13</v>
      </c>
      <c r="B1116" s="130">
        <v>4</v>
      </c>
      <c r="C1116" s="247" t="s">
        <v>37</v>
      </c>
      <c r="D1116" s="248" t="s">
        <v>83</v>
      </c>
      <c r="E1116" s="50" t="s">
        <v>3695</v>
      </c>
      <c r="F1116" s="45" t="s">
        <v>69</v>
      </c>
      <c r="G1116" s="45">
        <v>4</v>
      </c>
      <c r="H1116" s="249" t="s">
        <v>3696</v>
      </c>
    </row>
    <row r="1117" spans="1:8" ht="46.9" x14ac:dyDescent="0.25">
      <c r="A1117" s="130">
        <v>14</v>
      </c>
      <c r="B1117" s="130">
        <v>4</v>
      </c>
      <c r="C1117" s="247" t="s">
        <v>38</v>
      </c>
      <c r="D1117" s="248" t="s">
        <v>4</v>
      </c>
      <c r="E1117" s="50" t="s">
        <v>3697</v>
      </c>
      <c r="F1117" s="45" t="s">
        <v>81</v>
      </c>
      <c r="G1117" s="45">
        <v>2</v>
      </c>
      <c r="H1117" s="249" t="s">
        <v>3698</v>
      </c>
    </row>
    <row r="1118" spans="1:8" ht="62.45" x14ac:dyDescent="0.25">
      <c r="A1118" s="130">
        <v>14</v>
      </c>
      <c r="B1118" s="130">
        <v>4</v>
      </c>
      <c r="C1118" s="247" t="s">
        <v>38</v>
      </c>
      <c r="D1118" s="248" t="s">
        <v>137</v>
      </c>
      <c r="E1118" s="50" t="s">
        <v>3699</v>
      </c>
      <c r="F1118" s="45" t="s">
        <v>81</v>
      </c>
      <c r="G1118" s="45">
        <v>101</v>
      </c>
      <c r="H1118" s="249" t="s">
        <v>3700</v>
      </c>
    </row>
    <row r="1119" spans="1:8" ht="62.45" x14ac:dyDescent="0.25">
      <c r="A1119" s="130">
        <v>14</v>
      </c>
      <c r="B1119" s="130">
        <v>4</v>
      </c>
      <c r="C1119" s="247" t="s">
        <v>38</v>
      </c>
      <c r="D1119" s="248" t="s">
        <v>137</v>
      </c>
      <c r="E1119" s="50" t="s">
        <v>3701</v>
      </c>
      <c r="F1119" s="45" t="s">
        <v>69</v>
      </c>
      <c r="G1119" s="45">
        <v>2</v>
      </c>
      <c r="H1119" s="249" t="s">
        <v>3702</v>
      </c>
    </row>
    <row r="1120" spans="1:8" ht="31.15" x14ac:dyDescent="0.25">
      <c r="A1120" s="130">
        <v>14</v>
      </c>
      <c r="B1120" s="130">
        <v>4</v>
      </c>
      <c r="C1120" s="247" t="s">
        <v>38</v>
      </c>
      <c r="D1120" s="248" t="s">
        <v>0</v>
      </c>
      <c r="E1120" s="50" t="s">
        <v>3703</v>
      </c>
      <c r="F1120" s="45" t="s">
        <v>81</v>
      </c>
      <c r="G1120" s="45">
        <v>52</v>
      </c>
      <c r="H1120" s="249" t="s">
        <v>2027</v>
      </c>
    </row>
    <row r="1121" spans="1:8" ht="62.45" x14ac:dyDescent="0.25">
      <c r="A1121" s="130">
        <v>14</v>
      </c>
      <c r="B1121" s="130">
        <v>4</v>
      </c>
      <c r="C1121" s="247" t="s">
        <v>38</v>
      </c>
      <c r="D1121" s="248" t="s">
        <v>0</v>
      </c>
      <c r="E1121" s="50" t="s">
        <v>3704</v>
      </c>
      <c r="F1121" s="45" t="s">
        <v>81</v>
      </c>
      <c r="G1121" s="45">
        <v>41</v>
      </c>
      <c r="H1121" s="249" t="s">
        <v>3705</v>
      </c>
    </row>
    <row r="1122" spans="1:8" ht="46.9" x14ac:dyDescent="0.25">
      <c r="A1122" s="130">
        <v>14</v>
      </c>
      <c r="B1122" s="130">
        <v>4</v>
      </c>
      <c r="C1122" s="247" t="s">
        <v>38</v>
      </c>
      <c r="D1122" s="248" t="s">
        <v>559</v>
      </c>
      <c r="E1122" s="50" t="s">
        <v>3706</v>
      </c>
      <c r="F1122" s="45" t="s">
        <v>81</v>
      </c>
      <c r="G1122" s="45">
        <v>6</v>
      </c>
      <c r="H1122" s="249" t="s">
        <v>3707</v>
      </c>
    </row>
    <row r="1123" spans="1:8" ht="78" x14ac:dyDescent="0.25">
      <c r="A1123" s="130">
        <v>14</v>
      </c>
      <c r="B1123" s="130">
        <v>4</v>
      </c>
      <c r="C1123" s="247" t="s">
        <v>38</v>
      </c>
      <c r="D1123" s="248" t="s">
        <v>1731</v>
      </c>
      <c r="E1123" s="50" t="s">
        <v>3708</v>
      </c>
      <c r="F1123" s="45" t="s">
        <v>81</v>
      </c>
      <c r="G1123" s="45">
        <v>379</v>
      </c>
      <c r="H1123" s="249" t="s">
        <v>3709</v>
      </c>
    </row>
    <row r="1124" spans="1:8" ht="46.9" x14ac:dyDescent="0.25">
      <c r="A1124" s="130">
        <v>14</v>
      </c>
      <c r="B1124" s="130">
        <v>4</v>
      </c>
      <c r="C1124" s="247" t="s">
        <v>38</v>
      </c>
      <c r="D1124" s="248" t="s">
        <v>1</v>
      </c>
      <c r="E1124" s="50" t="s">
        <v>3710</v>
      </c>
      <c r="F1124" s="45" t="s">
        <v>81</v>
      </c>
      <c r="G1124" s="45">
        <v>74</v>
      </c>
      <c r="H1124" s="249" t="s">
        <v>3711</v>
      </c>
    </row>
    <row r="1125" spans="1:8" ht="46.9" x14ac:dyDescent="0.25">
      <c r="A1125" s="130">
        <v>14</v>
      </c>
      <c r="B1125" s="130">
        <v>4</v>
      </c>
      <c r="C1125" s="247" t="s">
        <v>38</v>
      </c>
      <c r="D1125" s="248" t="s">
        <v>1</v>
      </c>
      <c r="E1125" s="50" t="s">
        <v>3712</v>
      </c>
      <c r="F1125" s="45" t="s">
        <v>81</v>
      </c>
      <c r="G1125" s="45">
        <v>581</v>
      </c>
      <c r="H1125" s="249" t="s">
        <v>3713</v>
      </c>
    </row>
    <row r="1126" spans="1:8" ht="46.9" x14ac:dyDescent="0.25">
      <c r="A1126" s="130">
        <v>14</v>
      </c>
      <c r="B1126" s="130">
        <v>4</v>
      </c>
      <c r="C1126" s="247" t="s">
        <v>38</v>
      </c>
      <c r="D1126" s="248" t="s">
        <v>1</v>
      </c>
      <c r="E1126" s="50" t="s">
        <v>3714</v>
      </c>
      <c r="F1126" s="45" t="s">
        <v>81</v>
      </c>
      <c r="G1126" s="45">
        <v>387</v>
      </c>
      <c r="H1126" s="249" t="s">
        <v>3713</v>
      </c>
    </row>
    <row r="1127" spans="1:8" ht="62.45" x14ac:dyDescent="0.25">
      <c r="A1127" s="130">
        <v>14</v>
      </c>
      <c r="B1127" s="130">
        <v>4</v>
      </c>
      <c r="C1127" s="247" t="s">
        <v>38</v>
      </c>
      <c r="D1127" s="248" t="s">
        <v>1</v>
      </c>
      <c r="E1127" s="50" t="s">
        <v>3715</v>
      </c>
      <c r="F1127" s="45" t="s">
        <v>81</v>
      </c>
      <c r="G1127" s="45">
        <v>28</v>
      </c>
      <c r="H1127" s="249" t="s">
        <v>3716</v>
      </c>
    </row>
    <row r="1128" spans="1:8" ht="46.9" x14ac:dyDescent="0.25">
      <c r="A1128" s="130">
        <v>14</v>
      </c>
      <c r="B1128" s="130">
        <v>4</v>
      </c>
      <c r="C1128" s="247" t="s">
        <v>38</v>
      </c>
      <c r="D1128" s="248" t="s">
        <v>1</v>
      </c>
      <c r="E1128" s="50" t="s">
        <v>3717</v>
      </c>
      <c r="F1128" s="45" t="s">
        <v>81</v>
      </c>
      <c r="G1128" s="45">
        <v>11</v>
      </c>
      <c r="H1128" s="249" t="s">
        <v>3713</v>
      </c>
    </row>
    <row r="1129" spans="1:8" ht="46.9" x14ac:dyDescent="0.25">
      <c r="A1129" s="130">
        <v>14</v>
      </c>
      <c r="B1129" s="130">
        <v>4</v>
      </c>
      <c r="C1129" s="247" t="s">
        <v>38</v>
      </c>
      <c r="D1129" s="248" t="s">
        <v>1</v>
      </c>
      <c r="E1129" s="50" t="s">
        <v>3718</v>
      </c>
      <c r="F1129" s="45" t="s">
        <v>81</v>
      </c>
      <c r="G1129" s="45">
        <v>36</v>
      </c>
      <c r="H1129" s="249" t="s">
        <v>3719</v>
      </c>
    </row>
    <row r="1130" spans="1:8" ht="62.45" x14ac:dyDescent="0.25">
      <c r="A1130" s="130">
        <v>14</v>
      </c>
      <c r="B1130" s="130">
        <v>4</v>
      </c>
      <c r="C1130" s="247" t="s">
        <v>38</v>
      </c>
      <c r="D1130" s="248" t="s">
        <v>1</v>
      </c>
      <c r="E1130" s="50" t="s">
        <v>3720</v>
      </c>
      <c r="F1130" s="45" t="s">
        <v>81</v>
      </c>
      <c r="G1130" s="45">
        <v>672</v>
      </c>
      <c r="H1130" s="249" t="s">
        <v>3721</v>
      </c>
    </row>
    <row r="1131" spans="1:8" ht="46.9" x14ac:dyDescent="0.25">
      <c r="A1131" s="130">
        <v>14</v>
      </c>
      <c r="B1131" s="130">
        <v>4</v>
      </c>
      <c r="C1131" s="247" t="s">
        <v>38</v>
      </c>
      <c r="D1131" s="248" t="s">
        <v>1</v>
      </c>
      <c r="E1131" s="50" t="s">
        <v>3722</v>
      </c>
      <c r="F1131" s="45" t="s">
        <v>81</v>
      </c>
      <c r="G1131" s="45">
        <v>0</v>
      </c>
      <c r="H1131" s="249" t="s">
        <v>3723</v>
      </c>
    </row>
    <row r="1132" spans="1:8" ht="62.45" x14ac:dyDescent="0.25">
      <c r="A1132" s="130">
        <v>14</v>
      </c>
      <c r="B1132" s="130">
        <v>4</v>
      </c>
      <c r="C1132" s="247" t="s">
        <v>38</v>
      </c>
      <c r="D1132" s="248" t="s">
        <v>1</v>
      </c>
      <c r="E1132" s="50" t="s">
        <v>3724</v>
      </c>
      <c r="F1132" s="45" t="s">
        <v>69</v>
      </c>
      <c r="G1132" s="45">
        <v>18</v>
      </c>
      <c r="H1132" s="249" t="s">
        <v>3725</v>
      </c>
    </row>
    <row r="1133" spans="1:8" ht="93.6" x14ac:dyDescent="0.25">
      <c r="A1133" s="130">
        <v>14</v>
      </c>
      <c r="B1133" s="130">
        <v>4</v>
      </c>
      <c r="C1133" s="247" t="s">
        <v>38</v>
      </c>
      <c r="D1133" s="248" t="s">
        <v>83</v>
      </c>
      <c r="E1133" s="50" t="s">
        <v>3726</v>
      </c>
      <c r="F1133" s="45" t="s">
        <v>81</v>
      </c>
      <c r="G1133" s="45">
        <v>13</v>
      </c>
      <c r="H1133" s="249" t="s">
        <v>3727</v>
      </c>
    </row>
    <row r="1134" spans="1:8" ht="46.9" x14ac:dyDescent="0.25">
      <c r="A1134" s="130">
        <v>14</v>
      </c>
      <c r="B1134" s="130">
        <v>4</v>
      </c>
      <c r="C1134" s="247" t="s">
        <v>38</v>
      </c>
      <c r="D1134" s="248" t="s">
        <v>83</v>
      </c>
      <c r="E1134" s="50" t="s">
        <v>3728</v>
      </c>
      <c r="F1134" s="45" t="s">
        <v>69</v>
      </c>
      <c r="G1134" s="45">
        <v>23</v>
      </c>
      <c r="H1134" s="249" t="s">
        <v>3729</v>
      </c>
    </row>
    <row r="1135" spans="1:8" ht="46.9" x14ac:dyDescent="0.25">
      <c r="A1135" s="130">
        <v>14</v>
      </c>
      <c r="B1135" s="130">
        <v>4</v>
      </c>
      <c r="C1135" s="247" t="s">
        <v>38</v>
      </c>
      <c r="D1135" s="248" t="s">
        <v>83</v>
      </c>
      <c r="E1135" s="50" t="s">
        <v>3730</v>
      </c>
      <c r="F1135" s="45" t="s">
        <v>69</v>
      </c>
      <c r="G1135" s="45">
        <v>2</v>
      </c>
      <c r="H1135" s="249" t="s">
        <v>1755</v>
      </c>
    </row>
    <row r="1136" spans="1:8" ht="62.45" x14ac:dyDescent="0.25">
      <c r="A1136" s="130">
        <v>14</v>
      </c>
      <c r="B1136" s="130">
        <v>4</v>
      </c>
      <c r="C1136" s="247" t="s">
        <v>38</v>
      </c>
      <c r="D1136" s="248" t="s">
        <v>83</v>
      </c>
      <c r="E1136" s="50" t="s">
        <v>3731</v>
      </c>
      <c r="F1136" s="45" t="s">
        <v>81</v>
      </c>
      <c r="G1136" s="45">
        <v>45</v>
      </c>
      <c r="H1136" s="249" t="s">
        <v>3732</v>
      </c>
    </row>
    <row r="1137" spans="1:8" ht="93.6" x14ac:dyDescent="0.25">
      <c r="A1137" s="130">
        <v>14</v>
      </c>
      <c r="B1137" s="130">
        <v>4</v>
      </c>
      <c r="C1137" s="247" t="s">
        <v>38</v>
      </c>
      <c r="D1137" s="248" t="s">
        <v>83</v>
      </c>
      <c r="E1137" s="50" t="s">
        <v>3733</v>
      </c>
      <c r="F1137" s="45" t="s">
        <v>81</v>
      </c>
      <c r="G1137" s="45">
        <v>41</v>
      </c>
      <c r="H1137" s="249" t="s">
        <v>3734</v>
      </c>
    </row>
    <row r="1138" spans="1:8" ht="46.9" x14ac:dyDescent="0.25">
      <c r="A1138" s="130">
        <v>14</v>
      </c>
      <c r="B1138" s="130">
        <v>4</v>
      </c>
      <c r="C1138" s="247" t="s">
        <v>38</v>
      </c>
      <c r="D1138" s="248" t="s">
        <v>83</v>
      </c>
      <c r="E1138" s="50" t="s">
        <v>3735</v>
      </c>
      <c r="F1138" s="45" t="s">
        <v>81</v>
      </c>
      <c r="G1138" s="45">
        <v>134</v>
      </c>
      <c r="H1138" s="249" t="s">
        <v>3736</v>
      </c>
    </row>
    <row r="1139" spans="1:8" ht="93.6" x14ac:dyDescent="0.25">
      <c r="A1139" s="130">
        <v>14</v>
      </c>
      <c r="B1139" s="130">
        <v>4</v>
      </c>
      <c r="C1139" s="247" t="s">
        <v>38</v>
      </c>
      <c r="D1139" s="248" t="s">
        <v>83</v>
      </c>
      <c r="E1139" s="50" t="s">
        <v>3737</v>
      </c>
      <c r="F1139" s="45" t="s">
        <v>81</v>
      </c>
      <c r="G1139" s="45">
        <v>1</v>
      </c>
      <c r="H1139" s="249" t="s">
        <v>3727</v>
      </c>
    </row>
    <row r="1140" spans="1:8" ht="62.45" x14ac:dyDescent="0.25">
      <c r="A1140" s="130">
        <v>14</v>
      </c>
      <c r="B1140" s="130">
        <v>4</v>
      </c>
      <c r="C1140" s="247" t="s">
        <v>38</v>
      </c>
      <c r="D1140" s="248" t="s">
        <v>83</v>
      </c>
      <c r="E1140" s="50" t="s">
        <v>3738</v>
      </c>
      <c r="F1140" s="45" t="s">
        <v>81</v>
      </c>
      <c r="G1140" s="45">
        <v>14</v>
      </c>
      <c r="H1140" s="249" t="s">
        <v>3739</v>
      </c>
    </row>
    <row r="1141" spans="1:8" ht="46.9" x14ac:dyDescent="0.25">
      <c r="A1141" s="130">
        <v>14</v>
      </c>
      <c r="B1141" s="130">
        <v>4</v>
      </c>
      <c r="C1141" s="247" t="s">
        <v>38</v>
      </c>
      <c r="D1141" s="248" t="s">
        <v>83</v>
      </c>
      <c r="E1141" s="50" t="s">
        <v>3740</v>
      </c>
      <c r="F1141" s="45" t="s">
        <v>81</v>
      </c>
      <c r="G1141" s="45">
        <v>10</v>
      </c>
      <c r="H1141" s="249" t="s">
        <v>3741</v>
      </c>
    </row>
    <row r="1142" spans="1:8" ht="31.15" x14ac:dyDescent="0.25">
      <c r="A1142" s="130">
        <v>15</v>
      </c>
      <c r="B1142" s="130">
        <v>4</v>
      </c>
      <c r="C1142" s="247" t="s">
        <v>39</v>
      </c>
      <c r="D1142" s="248" t="s">
        <v>137</v>
      </c>
      <c r="E1142" s="50" t="s">
        <v>3742</v>
      </c>
      <c r="F1142" s="45" t="s">
        <v>81</v>
      </c>
      <c r="G1142" s="45">
        <v>64</v>
      </c>
      <c r="H1142" s="249" t="s">
        <v>3743</v>
      </c>
    </row>
    <row r="1143" spans="1:8" ht="31.15" x14ac:dyDescent="0.25">
      <c r="A1143" s="130">
        <v>15</v>
      </c>
      <c r="B1143" s="130">
        <v>4</v>
      </c>
      <c r="C1143" s="247" t="s">
        <v>39</v>
      </c>
      <c r="D1143" s="248" t="s">
        <v>0</v>
      </c>
      <c r="E1143" s="50" t="s">
        <v>3744</v>
      </c>
      <c r="F1143" s="45" t="s">
        <v>81</v>
      </c>
      <c r="G1143" s="45">
        <v>5</v>
      </c>
      <c r="H1143" s="249" t="s">
        <v>3745</v>
      </c>
    </row>
    <row r="1144" spans="1:8" ht="78" x14ac:dyDescent="0.25">
      <c r="A1144" s="130">
        <v>15</v>
      </c>
      <c r="B1144" s="130">
        <v>4</v>
      </c>
      <c r="C1144" s="247" t="s">
        <v>39</v>
      </c>
      <c r="D1144" s="248" t="s">
        <v>1</v>
      </c>
      <c r="E1144" s="50" t="s">
        <v>3746</v>
      </c>
      <c r="F1144" s="45" t="s">
        <v>81</v>
      </c>
      <c r="G1144" s="45">
        <v>40</v>
      </c>
      <c r="H1144" s="249" t="s">
        <v>3747</v>
      </c>
    </row>
    <row r="1145" spans="1:8" ht="46.9" x14ac:dyDescent="0.25">
      <c r="A1145" s="130">
        <v>15</v>
      </c>
      <c r="B1145" s="130">
        <v>4</v>
      </c>
      <c r="C1145" s="247" t="s">
        <v>39</v>
      </c>
      <c r="D1145" s="248" t="s">
        <v>1</v>
      </c>
      <c r="E1145" s="50" t="s">
        <v>3748</v>
      </c>
      <c r="F1145" s="45" t="s">
        <v>81</v>
      </c>
      <c r="G1145" s="45">
        <v>7</v>
      </c>
      <c r="H1145" s="249" t="s">
        <v>3749</v>
      </c>
    </row>
    <row r="1146" spans="1:8" ht="46.9" x14ac:dyDescent="0.25">
      <c r="A1146" s="130">
        <v>15</v>
      </c>
      <c r="B1146" s="130">
        <v>4</v>
      </c>
      <c r="C1146" s="247" t="s">
        <v>39</v>
      </c>
      <c r="D1146" s="248" t="s">
        <v>1</v>
      </c>
      <c r="E1146" s="50" t="s">
        <v>3750</v>
      </c>
      <c r="F1146" s="45" t="s">
        <v>81</v>
      </c>
      <c r="G1146" s="45">
        <v>221</v>
      </c>
      <c r="H1146" s="249" t="s">
        <v>3751</v>
      </c>
    </row>
    <row r="1147" spans="1:8" ht="234" x14ac:dyDescent="0.25">
      <c r="A1147" s="130">
        <v>15</v>
      </c>
      <c r="B1147" s="130">
        <v>4</v>
      </c>
      <c r="C1147" s="247" t="s">
        <v>39</v>
      </c>
      <c r="D1147" s="248" t="s">
        <v>1</v>
      </c>
      <c r="E1147" s="50" t="s">
        <v>3752</v>
      </c>
      <c r="F1147" s="45" t="s">
        <v>81</v>
      </c>
      <c r="G1147" s="45">
        <v>700</v>
      </c>
      <c r="H1147" s="249" t="s">
        <v>3753</v>
      </c>
    </row>
    <row r="1148" spans="1:8" ht="46.9" x14ac:dyDescent="0.25">
      <c r="A1148" s="130">
        <v>15</v>
      </c>
      <c r="B1148" s="130">
        <v>4</v>
      </c>
      <c r="C1148" s="247" t="s">
        <v>39</v>
      </c>
      <c r="D1148" s="248" t="s">
        <v>1</v>
      </c>
      <c r="E1148" s="50" t="s">
        <v>3754</v>
      </c>
      <c r="F1148" s="45" t="s">
        <v>81</v>
      </c>
      <c r="G1148" s="45">
        <v>62</v>
      </c>
      <c r="H1148" s="249" t="s">
        <v>3755</v>
      </c>
    </row>
    <row r="1149" spans="1:8" ht="78" x14ac:dyDescent="0.25">
      <c r="A1149" s="130">
        <v>15</v>
      </c>
      <c r="B1149" s="130">
        <v>4</v>
      </c>
      <c r="C1149" s="247" t="s">
        <v>39</v>
      </c>
      <c r="D1149" s="248" t="s">
        <v>1</v>
      </c>
      <c r="E1149" s="50" t="s">
        <v>3756</v>
      </c>
      <c r="F1149" s="45" t="s">
        <v>69</v>
      </c>
      <c r="G1149" s="45">
        <v>0</v>
      </c>
      <c r="H1149" s="249" t="s">
        <v>3757</v>
      </c>
    </row>
    <row r="1150" spans="1:8" ht="93.6" x14ac:dyDescent="0.25">
      <c r="A1150" s="130">
        <v>15</v>
      </c>
      <c r="B1150" s="130">
        <v>4</v>
      </c>
      <c r="C1150" s="247" t="s">
        <v>39</v>
      </c>
      <c r="D1150" s="248" t="s">
        <v>1</v>
      </c>
      <c r="E1150" s="50" t="s">
        <v>3758</v>
      </c>
      <c r="F1150" s="45" t="s">
        <v>69</v>
      </c>
      <c r="G1150" s="45">
        <v>38</v>
      </c>
      <c r="H1150" s="249" t="s">
        <v>3759</v>
      </c>
    </row>
    <row r="1151" spans="1:8" ht="93.6" x14ac:dyDescent="0.25">
      <c r="A1151" s="130">
        <v>15</v>
      </c>
      <c r="B1151" s="130">
        <v>4</v>
      </c>
      <c r="C1151" s="247" t="s">
        <v>39</v>
      </c>
      <c r="D1151" s="248" t="s">
        <v>83</v>
      </c>
      <c r="E1151" s="50" t="s">
        <v>3760</v>
      </c>
      <c r="F1151" s="45" t="s">
        <v>81</v>
      </c>
      <c r="G1151" s="45">
        <v>350</v>
      </c>
      <c r="H1151" s="249" t="s">
        <v>3761</v>
      </c>
    </row>
    <row r="1152" spans="1:8" ht="78" x14ac:dyDescent="0.25">
      <c r="A1152" s="130">
        <v>15</v>
      </c>
      <c r="B1152" s="130">
        <v>4</v>
      </c>
      <c r="C1152" s="247" t="s">
        <v>39</v>
      </c>
      <c r="D1152" s="248" t="s">
        <v>83</v>
      </c>
      <c r="E1152" s="50" t="s">
        <v>3762</v>
      </c>
      <c r="F1152" s="45" t="s">
        <v>69</v>
      </c>
      <c r="G1152" s="45">
        <v>22</v>
      </c>
      <c r="H1152" s="249" t="s">
        <v>3763</v>
      </c>
    </row>
    <row r="1153" spans="1:8" ht="109.15" x14ac:dyDescent="0.25">
      <c r="A1153" s="130">
        <v>15</v>
      </c>
      <c r="B1153" s="130">
        <v>4</v>
      </c>
      <c r="C1153" s="247" t="s">
        <v>39</v>
      </c>
      <c r="D1153" s="248" t="s">
        <v>83</v>
      </c>
      <c r="E1153" s="50" t="s">
        <v>3764</v>
      </c>
      <c r="F1153" s="45" t="s">
        <v>81</v>
      </c>
      <c r="G1153" s="45">
        <v>250</v>
      </c>
      <c r="H1153" s="249" t="s">
        <v>3765</v>
      </c>
    </row>
    <row r="1154" spans="1:8" ht="78" x14ac:dyDescent="0.25">
      <c r="A1154" s="130">
        <v>15</v>
      </c>
      <c r="B1154" s="130">
        <v>4</v>
      </c>
      <c r="C1154" s="247" t="s">
        <v>39</v>
      </c>
      <c r="D1154" s="248" t="s">
        <v>83</v>
      </c>
      <c r="E1154" s="50" t="s">
        <v>3766</v>
      </c>
      <c r="F1154" s="45" t="s">
        <v>81</v>
      </c>
      <c r="G1154" s="45">
        <v>205</v>
      </c>
      <c r="H1154" s="249" t="s">
        <v>3767</v>
      </c>
    </row>
    <row r="1155" spans="1:8" ht="31.15" x14ac:dyDescent="0.25">
      <c r="A1155" s="130">
        <v>16</v>
      </c>
      <c r="B1155" s="130">
        <v>4</v>
      </c>
      <c r="C1155" s="247" t="s">
        <v>40</v>
      </c>
      <c r="D1155" s="248" t="s">
        <v>137</v>
      </c>
      <c r="E1155" s="50" t="s">
        <v>3768</v>
      </c>
      <c r="F1155" s="45" t="s">
        <v>81</v>
      </c>
      <c r="G1155" s="45">
        <v>31</v>
      </c>
      <c r="H1155" s="249" t="s">
        <v>3769</v>
      </c>
    </row>
    <row r="1156" spans="1:8" ht="31.15" x14ac:dyDescent="0.25">
      <c r="A1156" s="130">
        <v>16</v>
      </c>
      <c r="B1156" s="130">
        <v>4</v>
      </c>
      <c r="C1156" s="247" t="s">
        <v>40</v>
      </c>
      <c r="D1156" s="248" t="s">
        <v>0</v>
      </c>
      <c r="E1156" s="50" t="s">
        <v>3770</v>
      </c>
      <c r="F1156" s="45" t="s">
        <v>69</v>
      </c>
      <c r="G1156" s="45">
        <v>52</v>
      </c>
      <c r="H1156" s="249" t="s">
        <v>3771</v>
      </c>
    </row>
    <row r="1157" spans="1:8" ht="46.9" x14ac:dyDescent="0.25">
      <c r="A1157" s="130">
        <v>16</v>
      </c>
      <c r="B1157" s="130">
        <v>4</v>
      </c>
      <c r="C1157" s="247" t="s">
        <v>40</v>
      </c>
      <c r="D1157" s="248" t="s">
        <v>1</v>
      </c>
      <c r="E1157" s="50" t="s">
        <v>3772</v>
      </c>
      <c r="F1157" s="45" t="s">
        <v>81</v>
      </c>
      <c r="G1157" s="45">
        <v>53</v>
      </c>
      <c r="H1157" s="249" t="s">
        <v>3773</v>
      </c>
    </row>
    <row r="1158" spans="1:8" ht="31.15" x14ac:dyDescent="0.25">
      <c r="A1158" s="130">
        <v>16</v>
      </c>
      <c r="B1158" s="130">
        <v>4</v>
      </c>
      <c r="C1158" s="247" t="s">
        <v>40</v>
      </c>
      <c r="D1158" s="248" t="s">
        <v>1</v>
      </c>
      <c r="E1158" s="50" t="s">
        <v>3774</v>
      </c>
      <c r="F1158" s="45" t="s">
        <v>69</v>
      </c>
      <c r="G1158" s="45">
        <v>1</v>
      </c>
      <c r="H1158" s="249" t="s">
        <v>3775</v>
      </c>
    </row>
    <row r="1159" spans="1:8" ht="46.9" x14ac:dyDescent="0.25">
      <c r="A1159" s="130">
        <v>16</v>
      </c>
      <c r="B1159" s="130">
        <v>4</v>
      </c>
      <c r="C1159" s="247" t="s">
        <v>40</v>
      </c>
      <c r="D1159" s="248" t="s">
        <v>1</v>
      </c>
      <c r="E1159" s="50" t="s">
        <v>3776</v>
      </c>
      <c r="F1159" s="45" t="s">
        <v>81</v>
      </c>
      <c r="G1159" s="45">
        <v>130</v>
      </c>
      <c r="H1159" s="249" t="s">
        <v>3777</v>
      </c>
    </row>
    <row r="1160" spans="1:8" ht="31.15" x14ac:dyDescent="0.25">
      <c r="A1160" s="130">
        <v>16</v>
      </c>
      <c r="B1160" s="130">
        <v>4</v>
      </c>
      <c r="C1160" s="247" t="s">
        <v>40</v>
      </c>
      <c r="D1160" s="248" t="s">
        <v>83</v>
      </c>
      <c r="E1160" s="50" t="s">
        <v>3778</v>
      </c>
      <c r="F1160" s="45" t="s">
        <v>69</v>
      </c>
      <c r="G1160" s="45">
        <v>1</v>
      </c>
      <c r="H1160" s="249" t="s">
        <v>3779</v>
      </c>
    </row>
    <row r="1161" spans="1:8" ht="31.15" x14ac:dyDescent="0.25">
      <c r="A1161" s="130">
        <v>16</v>
      </c>
      <c r="B1161" s="130">
        <v>4</v>
      </c>
      <c r="C1161" s="247" t="s">
        <v>40</v>
      </c>
      <c r="D1161" s="248" t="s">
        <v>83</v>
      </c>
      <c r="E1161" s="50" t="s">
        <v>3780</v>
      </c>
      <c r="F1161" s="45" t="s">
        <v>81</v>
      </c>
      <c r="G1161" s="45">
        <v>1</v>
      </c>
      <c r="H1161" s="249" t="s">
        <v>3781</v>
      </c>
    </row>
    <row r="1162" spans="1:8" ht="31.15" x14ac:dyDescent="0.25">
      <c r="A1162" s="130">
        <v>16</v>
      </c>
      <c r="B1162" s="130">
        <v>4</v>
      </c>
      <c r="C1162" s="247" t="s">
        <v>40</v>
      </c>
      <c r="D1162" s="248" t="s">
        <v>83</v>
      </c>
      <c r="E1162" s="50" t="s">
        <v>3782</v>
      </c>
      <c r="F1162" s="45" t="s">
        <v>69</v>
      </c>
      <c r="G1162" s="45">
        <v>2</v>
      </c>
      <c r="H1162" s="249" t="s">
        <v>3783</v>
      </c>
    </row>
    <row r="1163" spans="1:8" ht="31.15" x14ac:dyDescent="0.25">
      <c r="A1163" s="130">
        <v>16</v>
      </c>
      <c r="B1163" s="130">
        <v>4</v>
      </c>
      <c r="C1163" s="247" t="s">
        <v>40</v>
      </c>
      <c r="D1163" s="248" t="s">
        <v>83</v>
      </c>
      <c r="E1163" s="50" t="s">
        <v>3784</v>
      </c>
      <c r="F1163" s="45" t="s">
        <v>69</v>
      </c>
      <c r="G1163" s="45">
        <v>2</v>
      </c>
      <c r="H1163" s="249" t="s">
        <v>3785</v>
      </c>
    </row>
    <row r="1164" spans="1:8" ht="31.15" x14ac:dyDescent="0.25">
      <c r="A1164" s="130">
        <v>17</v>
      </c>
      <c r="B1164" s="130">
        <v>4</v>
      </c>
      <c r="C1164" s="247" t="s">
        <v>41</v>
      </c>
      <c r="D1164" s="248" t="s">
        <v>137</v>
      </c>
      <c r="E1164" s="50" t="s">
        <v>3786</v>
      </c>
      <c r="F1164" s="45" t="s">
        <v>81</v>
      </c>
      <c r="G1164" s="45">
        <v>59</v>
      </c>
      <c r="H1164" s="249" t="s">
        <v>3787</v>
      </c>
    </row>
    <row r="1165" spans="1:8" ht="46.9" x14ac:dyDescent="0.25">
      <c r="A1165" s="130">
        <v>17</v>
      </c>
      <c r="B1165" s="130">
        <v>4</v>
      </c>
      <c r="C1165" s="247" t="s">
        <v>41</v>
      </c>
      <c r="D1165" s="248" t="s">
        <v>0</v>
      </c>
      <c r="E1165" s="50" t="s">
        <v>3788</v>
      </c>
      <c r="F1165" s="45" t="s">
        <v>81</v>
      </c>
      <c r="G1165" s="45">
        <v>44</v>
      </c>
      <c r="H1165" s="249" t="s">
        <v>3789</v>
      </c>
    </row>
    <row r="1166" spans="1:8" ht="46.9" x14ac:dyDescent="0.25">
      <c r="A1166" s="130">
        <v>17</v>
      </c>
      <c r="B1166" s="130">
        <v>4</v>
      </c>
      <c r="C1166" s="247" t="s">
        <v>41</v>
      </c>
      <c r="D1166" s="248" t="s">
        <v>0</v>
      </c>
      <c r="E1166" s="50" t="s">
        <v>3790</v>
      </c>
      <c r="F1166" s="45" t="s">
        <v>81</v>
      </c>
      <c r="G1166" s="45">
        <v>80</v>
      </c>
      <c r="H1166" s="249" t="s">
        <v>3791</v>
      </c>
    </row>
    <row r="1167" spans="1:8" ht="15.6" x14ac:dyDescent="0.25">
      <c r="A1167" s="130">
        <v>17</v>
      </c>
      <c r="B1167" s="130">
        <v>4</v>
      </c>
      <c r="C1167" s="247" t="s">
        <v>41</v>
      </c>
      <c r="D1167" s="248" t="s">
        <v>559</v>
      </c>
      <c r="E1167" s="50" t="s">
        <v>3792</v>
      </c>
      <c r="F1167" s="45" t="s">
        <v>81</v>
      </c>
      <c r="G1167" s="45">
        <v>1</v>
      </c>
      <c r="H1167" s="249" t="s">
        <v>3793</v>
      </c>
    </row>
    <row r="1168" spans="1:8" ht="93.6" x14ac:dyDescent="0.25">
      <c r="A1168" s="130">
        <v>17</v>
      </c>
      <c r="B1168" s="130">
        <v>4</v>
      </c>
      <c r="C1168" s="247" t="s">
        <v>41</v>
      </c>
      <c r="D1168" s="248" t="s">
        <v>1</v>
      </c>
      <c r="E1168" s="50" t="s">
        <v>3794</v>
      </c>
      <c r="F1168" s="45" t="s">
        <v>81</v>
      </c>
      <c r="G1168" s="45" t="s">
        <v>3795</v>
      </c>
      <c r="H1168" s="249" t="s">
        <v>3796</v>
      </c>
    </row>
    <row r="1169" spans="1:8" ht="31.15" x14ac:dyDescent="0.25">
      <c r="A1169" s="130">
        <v>17</v>
      </c>
      <c r="B1169" s="130">
        <v>4</v>
      </c>
      <c r="C1169" s="247" t="s">
        <v>41</v>
      </c>
      <c r="D1169" s="248" t="s">
        <v>1</v>
      </c>
      <c r="E1169" s="50" t="s">
        <v>3797</v>
      </c>
      <c r="F1169" s="45" t="s">
        <v>81</v>
      </c>
      <c r="G1169" s="45">
        <v>40</v>
      </c>
      <c r="H1169" s="249" t="s">
        <v>3798</v>
      </c>
    </row>
    <row r="1170" spans="1:8" ht="31.15" x14ac:dyDescent="0.25">
      <c r="A1170" s="130">
        <v>17</v>
      </c>
      <c r="B1170" s="130">
        <v>4</v>
      </c>
      <c r="C1170" s="247" t="s">
        <v>41</v>
      </c>
      <c r="D1170" s="248" t="s">
        <v>1</v>
      </c>
      <c r="E1170" s="50" t="s">
        <v>3799</v>
      </c>
      <c r="F1170" s="45" t="s">
        <v>81</v>
      </c>
      <c r="G1170" s="45">
        <v>22</v>
      </c>
      <c r="H1170" s="249" t="s">
        <v>3800</v>
      </c>
    </row>
    <row r="1171" spans="1:8" ht="31.15" x14ac:dyDescent="0.25">
      <c r="A1171" s="130">
        <v>17</v>
      </c>
      <c r="B1171" s="130">
        <v>4</v>
      </c>
      <c r="C1171" s="247" t="s">
        <v>41</v>
      </c>
      <c r="D1171" s="248" t="s">
        <v>1</v>
      </c>
      <c r="E1171" s="50" t="s">
        <v>3801</v>
      </c>
      <c r="F1171" s="45" t="s">
        <v>81</v>
      </c>
      <c r="G1171" s="45">
        <v>7</v>
      </c>
      <c r="H1171" s="249" t="s">
        <v>3802</v>
      </c>
    </row>
    <row r="1172" spans="1:8" ht="62.45" x14ac:dyDescent="0.25">
      <c r="A1172" s="130">
        <v>17</v>
      </c>
      <c r="B1172" s="130">
        <v>4</v>
      </c>
      <c r="C1172" s="247" t="s">
        <v>41</v>
      </c>
      <c r="D1172" s="248" t="s">
        <v>83</v>
      </c>
      <c r="E1172" s="50" t="s">
        <v>3803</v>
      </c>
      <c r="F1172" s="45" t="s">
        <v>81</v>
      </c>
      <c r="G1172" s="45">
        <v>80</v>
      </c>
      <c r="H1172" s="249" t="s">
        <v>3804</v>
      </c>
    </row>
    <row r="1173" spans="1:8" ht="46.9" x14ac:dyDescent="0.25">
      <c r="A1173" s="130">
        <v>17</v>
      </c>
      <c r="B1173" s="130">
        <v>4</v>
      </c>
      <c r="C1173" s="247" t="s">
        <v>41</v>
      </c>
      <c r="D1173" s="248" t="s">
        <v>83</v>
      </c>
      <c r="E1173" s="50" t="s">
        <v>3805</v>
      </c>
      <c r="F1173" s="45" t="s">
        <v>81</v>
      </c>
      <c r="G1173" s="45">
        <v>80</v>
      </c>
      <c r="H1173" s="249" t="s">
        <v>3806</v>
      </c>
    </row>
    <row r="1174" spans="1:8" ht="31.15" x14ac:dyDescent="0.25">
      <c r="A1174" s="130">
        <v>17</v>
      </c>
      <c r="B1174" s="130">
        <v>4</v>
      </c>
      <c r="C1174" s="247" t="s">
        <v>41</v>
      </c>
      <c r="D1174" s="248" t="s">
        <v>83</v>
      </c>
      <c r="E1174" s="50" t="s">
        <v>3807</v>
      </c>
      <c r="F1174" s="45" t="s">
        <v>81</v>
      </c>
      <c r="G1174" s="45">
        <v>66</v>
      </c>
      <c r="H1174" s="249" t="s">
        <v>3808</v>
      </c>
    </row>
    <row r="1175" spans="1:8" ht="31.15" x14ac:dyDescent="0.25">
      <c r="A1175" s="130">
        <v>17</v>
      </c>
      <c r="B1175" s="130">
        <v>4</v>
      </c>
      <c r="C1175" s="247" t="s">
        <v>41</v>
      </c>
      <c r="D1175" s="248" t="s">
        <v>83</v>
      </c>
      <c r="E1175" s="50" t="s">
        <v>3809</v>
      </c>
      <c r="F1175" s="45" t="s">
        <v>81</v>
      </c>
      <c r="G1175" s="45">
        <v>4</v>
      </c>
      <c r="H1175" s="249" t="s">
        <v>3810</v>
      </c>
    </row>
    <row r="1176" spans="1:8" ht="31.15" x14ac:dyDescent="0.25">
      <c r="A1176" s="130">
        <v>18</v>
      </c>
      <c r="B1176" s="130">
        <v>4</v>
      </c>
      <c r="C1176" s="247" t="s">
        <v>3811</v>
      </c>
      <c r="D1176" s="248" t="s">
        <v>0</v>
      </c>
      <c r="E1176" s="50" t="s">
        <v>3812</v>
      </c>
      <c r="F1176" s="45" t="s">
        <v>81</v>
      </c>
      <c r="G1176" s="45">
        <v>2</v>
      </c>
      <c r="H1176" s="249" t="s">
        <v>3813</v>
      </c>
    </row>
    <row r="1177" spans="1:8" ht="15.6" x14ac:dyDescent="0.25">
      <c r="A1177" s="130">
        <v>18</v>
      </c>
      <c r="B1177" s="130">
        <v>4</v>
      </c>
      <c r="C1177" s="247" t="s">
        <v>3811</v>
      </c>
      <c r="D1177" s="248" t="s">
        <v>0</v>
      </c>
      <c r="E1177" s="50" t="s">
        <v>3814</v>
      </c>
      <c r="F1177" s="45" t="s">
        <v>81</v>
      </c>
      <c r="G1177" s="45">
        <v>11</v>
      </c>
      <c r="H1177" s="249" t="s">
        <v>3815</v>
      </c>
    </row>
    <row r="1178" spans="1:8" ht="15.6" x14ac:dyDescent="0.25">
      <c r="A1178" s="130">
        <v>18</v>
      </c>
      <c r="B1178" s="130">
        <v>4</v>
      </c>
      <c r="C1178" s="247" t="s">
        <v>3811</v>
      </c>
      <c r="D1178" s="248" t="s">
        <v>1</v>
      </c>
      <c r="E1178" s="50" t="s">
        <v>3816</v>
      </c>
      <c r="F1178" s="45" t="s">
        <v>81</v>
      </c>
      <c r="G1178" s="45">
        <v>5</v>
      </c>
      <c r="H1178" s="249" t="s">
        <v>3817</v>
      </c>
    </row>
    <row r="1179" spans="1:8" ht="31.15" x14ac:dyDescent="0.25">
      <c r="A1179" s="130">
        <v>18</v>
      </c>
      <c r="B1179" s="130">
        <v>4</v>
      </c>
      <c r="C1179" s="247" t="s">
        <v>3811</v>
      </c>
      <c r="D1179" s="248" t="s">
        <v>1</v>
      </c>
      <c r="E1179" s="50" t="s">
        <v>3818</v>
      </c>
      <c r="F1179" s="45" t="s">
        <v>81</v>
      </c>
      <c r="G1179" s="45">
        <v>46</v>
      </c>
      <c r="H1179" s="249" t="s">
        <v>3819</v>
      </c>
    </row>
    <row r="1180" spans="1:8" ht="31.15" x14ac:dyDescent="0.25">
      <c r="A1180" s="130">
        <v>18</v>
      </c>
      <c r="B1180" s="130">
        <v>4</v>
      </c>
      <c r="C1180" s="247" t="s">
        <v>3811</v>
      </c>
      <c r="D1180" s="248" t="s">
        <v>1</v>
      </c>
      <c r="E1180" s="50" t="s">
        <v>3820</v>
      </c>
      <c r="F1180" s="45" t="s">
        <v>81</v>
      </c>
      <c r="G1180" s="45">
        <v>40</v>
      </c>
      <c r="H1180" s="249" t="s">
        <v>3821</v>
      </c>
    </row>
    <row r="1181" spans="1:8" ht="31.15" x14ac:dyDescent="0.25">
      <c r="A1181" s="130">
        <v>18</v>
      </c>
      <c r="B1181" s="130">
        <v>4</v>
      </c>
      <c r="C1181" s="247" t="s">
        <v>3811</v>
      </c>
      <c r="D1181" s="248" t="s">
        <v>1</v>
      </c>
      <c r="E1181" s="50" t="s">
        <v>3822</v>
      </c>
      <c r="F1181" s="45" t="s">
        <v>81</v>
      </c>
      <c r="G1181" s="45">
        <v>100</v>
      </c>
      <c r="H1181" s="249" t="s">
        <v>3823</v>
      </c>
    </row>
    <row r="1182" spans="1:8" ht="31.15" x14ac:dyDescent="0.25">
      <c r="A1182" s="130">
        <v>18</v>
      </c>
      <c r="B1182" s="130">
        <v>4</v>
      </c>
      <c r="C1182" s="247" t="s">
        <v>3811</v>
      </c>
      <c r="D1182" s="248" t="s">
        <v>83</v>
      </c>
      <c r="E1182" s="50" t="s">
        <v>3824</v>
      </c>
      <c r="F1182" s="45" t="s">
        <v>81</v>
      </c>
      <c r="G1182" s="45">
        <v>23</v>
      </c>
      <c r="H1182" s="249" t="s">
        <v>3825</v>
      </c>
    </row>
    <row r="1183" spans="1:8" ht="31.15" x14ac:dyDescent="0.25">
      <c r="A1183" s="130">
        <v>19</v>
      </c>
      <c r="B1183" s="130">
        <v>4</v>
      </c>
      <c r="C1183" s="247" t="s">
        <v>43</v>
      </c>
      <c r="D1183" s="248" t="s">
        <v>4</v>
      </c>
      <c r="E1183" s="50" t="s">
        <v>3826</v>
      </c>
      <c r="F1183" s="45" t="s">
        <v>3827</v>
      </c>
      <c r="G1183" s="45">
        <v>1</v>
      </c>
      <c r="H1183" s="249" t="s">
        <v>3828</v>
      </c>
    </row>
    <row r="1184" spans="1:8" ht="31.15" x14ac:dyDescent="0.25">
      <c r="A1184" s="130">
        <v>19</v>
      </c>
      <c r="B1184" s="130">
        <v>4</v>
      </c>
      <c r="C1184" s="247" t="s">
        <v>43</v>
      </c>
      <c r="D1184" s="248" t="s">
        <v>0</v>
      </c>
      <c r="E1184" s="50" t="s">
        <v>3829</v>
      </c>
      <c r="F1184" s="45" t="s">
        <v>3827</v>
      </c>
      <c r="G1184" s="45">
        <v>81</v>
      </c>
      <c r="H1184" s="249" t="s">
        <v>3830</v>
      </c>
    </row>
    <row r="1185" spans="1:8" ht="31.15" x14ac:dyDescent="0.25">
      <c r="A1185" s="130">
        <v>19</v>
      </c>
      <c r="B1185" s="130">
        <v>4</v>
      </c>
      <c r="C1185" s="247" t="s">
        <v>43</v>
      </c>
      <c r="D1185" s="248" t="s">
        <v>0</v>
      </c>
      <c r="E1185" s="50" t="s">
        <v>3831</v>
      </c>
      <c r="F1185" s="45" t="s">
        <v>3827</v>
      </c>
      <c r="G1185" s="45">
        <v>81</v>
      </c>
      <c r="H1185" s="249" t="s">
        <v>3832</v>
      </c>
    </row>
    <row r="1186" spans="1:8" ht="46.9" x14ac:dyDescent="0.25">
      <c r="A1186" s="130">
        <v>19</v>
      </c>
      <c r="B1186" s="130">
        <v>4</v>
      </c>
      <c r="C1186" s="247" t="s">
        <v>43</v>
      </c>
      <c r="D1186" s="248" t="s">
        <v>0</v>
      </c>
      <c r="E1186" s="50" t="s">
        <v>3833</v>
      </c>
      <c r="F1186" s="45" t="s">
        <v>746</v>
      </c>
      <c r="G1186" s="45">
        <v>5</v>
      </c>
      <c r="H1186" s="249" t="s">
        <v>3834</v>
      </c>
    </row>
    <row r="1187" spans="1:8" ht="31.15" x14ac:dyDescent="0.25">
      <c r="A1187" s="130">
        <v>19</v>
      </c>
      <c r="B1187" s="130">
        <v>4</v>
      </c>
      <c r="C1187" s="247" t="s">
        <v>43</v>
      </c>
      <c r="D1187" s="248" t="s">
        <v>1</v>
      </c>
      <c r="E1187" s="50" t="s">
        <v>3835</v>
      </c>
      <c r="F1187" s="45" t="s">
        <v>3827</v>
      </c>
      <c r="G1187" s="45">
        <v>69</v>
      </c>
      <c r="H1187" s="249" t="s">
        <v>3836</v>
      </c>
    </row>
    <row r="1188" spans="1:8" ht="31.15" x14ac:dyDescent="0.25">
      <c r="A1188" s="130">
        <v>19</v>
      </c>
      <c r="B1188" s="130">
        <v>4</v>
      </c>
      <c r="C1188" s="247" t="s">
        <v>43</v>
      </c>
      <c r="D1188" s="248" t="s">
        <v>1</v>
      </c>
      <c r="E1188" s="50" t="s">
        <v>3837</v>
      </c>
      <c r="F1188" s="45" t="s">
        <v>3827</v>
      </c>
      <c r="G1188" s="45">
        <v>69</v>
      </c>
      <c r="H1188" s="249" t="s">
        <v>3830</v>
      </c>
    </row>
    <row r="1189" spans="1:8" ht="31.15" x14ac:dyDescent="0.25">
      <c r="A1189" s="130">
        <v>19</v>
      </c>
      <c r="B1189" s="130">
        <v>4</v>
      </c>
      <c r="C1189" s="247" t="s">
        <v>43</v>
      </c>
      <c r="D1189" s="248" t="s">
        <v>1</v>
      </c>
      <c r="E1189" s="50" t="s">
        <v>3838</v>
      </c>
      <c r="F1189" s="45" t="s">
        <v>3827</v>
      </c>
      <c r="G1189" s="45">
        <v>15</v>
      </c>
      <c r="H1189" s="249" t="s">
        <v>3828</v>
      </c>
    </row>
    <row r="1190" spans="1:8" ht="31.15" x14ac:dyDescent="0.25">
      <c r="A1190" s="130">
        <v>19</v>
      </c>
      <c r="B1190" s="130">
        <v>4</v>
      </c>
      <c r="C1190" s="247" t="s">
        <v>43</v>
      </c>
      <c r="D1190" s="248" t="s">
        <v>1</v>
      </c>
      <c r="E1190" s="50" t="s">
        <v>3839</v>
      </c>
      <c r="F1190" s="45" t="s">
        <v>3827</v>
      </c>
      <c r="G1190" s="45">
        <v>15</v>
      </c>
      <c r="H1190" s="249"/>
    </row>
    <row r="1191" spans="1:8" ht="46.9" x14ac:dyDescent="0.25">
      <c r="A1191" s="130">
        <v>19</v>
      </c>
      <c r="B1191" s="130">
        <v>4</v>
      </c>
      <c r="C1191" s="247" t="s">
        <v>43</v>
      </c>
      <c r="D1191" s="248" t="s">
        <v>1</v>
      </c>
      <c r="E1191" s="50" t="s">
        <v>3840</v>
      </c>
      <c r="F1191" s="45" t="s">
        <v>3827</v>
      </c>
      <c r="G1191" s="45">
        <v>52</v>
      </c>
      <c r="H1191" s="249" t="s">
        <v>3841</v>
      </c>
    </row>
    <row r="1192" spans="1:8" ht="31.15" x14ac:dyDescent="0.25">
      <c r="A1192" s="130">
        <v>19</v>
      </c>
      <c r="B1192" s="130">
        <v>4</v>
      </c>
      <c r="C1192" s="247" t="s">
        <v>43</v>
      </c>
      <c r="D1192" s="248" t="s">
        <v>1</v>
      </c>
      <c r="E1192" s="50" t="s">
        <v>3842</v>
      </c>
      <c r="F1192" s="45" t="s">
        <v>3827</v>
      </c>
      <c r="G1192" s="45">
        <v>52</v>
      </c>
      <c r="H1192" s="249" t="s">
        <v>3843</v>
      </c>
    </row>
    <row r="1193" spans="1:8" ht="31.15" x14ac:dyDescent="0.25">
      <c r="A1193" s="130">
        <v>19</v>
      </c>
      <c r="B1193" s="130">
        <v>4</v>
      </c>
      <c r="C1193" s="247" t="s">
        <v>43</v>
      </c>
      <c r="D1193" s="248" t="s">
        <v>1</v>
      </c>
      <c r="E1193" s="50" t="s">
        <v>3844</v>
      </c>
      <c r="F1193" s="45" t="s">
        <v>3827</v>
      </c>
      <c r="G1193" s="45">
        <v>39</v>
      </c>
      <c r="H1193" s="249" t="s">
        <v>3828</v>
      </c>
    </row>
    <row r="1194" spans="1:8" ht="46.9" x14ac:dyDescent="0.25">
      <c r="A1194" s="130">
        <v>19</v>
      </c>
      <c r="B1194" s="130">
        <v>4</v>
      </c>
      <c r="C1194" s="247" t="s">
        <v>43</v>
      </c>
      <c r="D1194" s="248" t="s">
        <v>1</v>
      </c>
      <c r="E1194" s="50" t="s">
        <v>3845</v>
      </c>
      <c r="F1194" s="45" t="s">
        <v>3827</v>
      </c>
      <c r="G1194" s="45">
        <v>56</v>
      </c>
      <c r="H1194" s="249" t="s">
        <v>3846</v>
      </c>
    </row>
    <row r="1195" spans="1:8" ht="31.15" x14ac:dyDescent="0.25">
      <c r="A1195" s="130">
        <v>19</v>
      </c>
      <c r="B1195" s="130">
        <v>4</v>
      </c>
      <c r="C1195" s="247" t="s">
        <v>43</v>
      </c>
      <c r="D1195" s="248" t="s">
        <v>1</v>
      </c>
      <c r="E1195" s="50" t="s">
        <v>3847</v>
      </c>
      <c r="F1195" s="45" t="s">
        <v>3827</v>
      </c>
      <c r="G1195" s="45">
        <v>56</v>
      </c>
      <c r="H1195" s="249" t="s">
        <v>3848</v>
      </c>
    </row>
    <row r="1196" spans="1:8" ht="46.9" x14ac:dyDescent="0.25">
      <c r="A1196" s="130">
        <v>19</v>
      </c>
      <c r="B1196" s="130">
        <v>4</v>
      </c>
      <c r="C1196" s="247" t="s">
        <v>43</v>
      </c>
      <c r="D1196" s="248" t="s">
        <v>83</v>
      </c>
      <c r="E1196" s="50" t="s">
        <v>3849</v>
      </c>
      <c r="F1196" s="45" t="s">
        <v>69</v>
      </c>
      <c r="G1196" s="45">
        <v>2</v>
      </c>
      <c r="H1196" s="249" t="s">
        <v>3850</v>
      </c>
    </row>
    <row r="1197" spans="1:8" ht="31.15" x14ac:dyDescent="0.25">
      <c r="A1197" s="130">
        <v>20</v>
      </c>
      <c r="B1197" s="130">
        <v>4</v>
      </c>
      <c r="C1197" s="247" t="s">
        <v>44</v>
      </c>
      <c r="D1197" s="248" t="s">
        <v>4</v>
      </c>
      <c r="E1197" s="50" t="s">
        <v>3851</v>
      </c>
      <c r="F1197" s="45" t="s">
        <v>81</v>
      </c>
      <c r="G1197" s="45">
        <v>18</v>
      </c>
      <c r="H1197" s="249" t="s">
        <v>1864</v>
      </c>
    </row>
    <row r="1198" spans="1:8" ht="31.15" x14ac:dyDescent="0.25">
      <c r="A1198" s="130">
        <v>20</v>
      </c>
      <c r="B1198" s="130">
        <v>4</v>
      </c>
      <c r="C1198" s="247" t="s">
        <v>44</v>
      </c>
      <c r="D1198" s="248" t="s">
        <v>0</v>
      </c>
      <c r="E1198" s="50" t="s">
        <v>3852</v>
      </c>
      <c r="F1198" s="45" t="s">
        <v>81</v>
      </c>
      <c r="G1198" s="45">
        <v>25</v>
      </c>
      <c r="H1198" s="249" t="s">
        <v>3853</v>
      </c>
    </row>
    <row r="1199" spans="1:8" ht="31.15" x14ac:dyDescent="0.25">
      <c r="A1199" s="130">
        <v>20</v>
      </c>
      <c r="B1199" s="130">
        <v>4</v>
      </c>
      <c r="C1199" s="247" t="s">
        <v>44</v>
      </c>
      <c r="D1199" s="248" t="s">
        <v>0</v>
      </c>
      <c r="E1199" s="50" t="s">
        <v>3854</v>
      </c>
      <c r="F1199" s="45" t="s">
        <v>81</v>
      </c>
      <c r="G1199" s="45">
        <v>32</v>
      </c>
      <c r="H1199" s="249" t="s">
        <v>3855</v>
      </c>
    </row>
    <row r="1200" spans="1:8" ht="31.15" x14ac:dyDescent="0.25">
      <c r="A1200" s="130">
        <v>20</v>
      </c>
      <c r="B1200" s="130">
        <v>4</v>
      </c>
      <c r="C1200" s="247" t="s">
        <v>44</v>
      </c>
      <c r="D1200" s="248" t="s">
        <v>0</v>
      </c>
      <c r="E1200" s="50" t="s">
        <v>3856</v>
      </c>
      <c r="F1200" s="45" t="s">
        <v>81</v>
      </c>
      <c r="G1200" s="45">
        <v>39</v>
      </c>
      <c r="H1200" s="249" t="s">
        <v>3857</v>
      </c>
    </row>
    <row r="1201" spans="1:8" ht="31.15" x14ac:dyDescent="0.25">
      <c r="A1201" s="130">
        <v>20</v>
      </c>
      <c r="B1201" s="130">
        <v>4</v>
      </c>
      <c r="C1201" s="247" t="s">
        <v>44</v>
      </c>
      <c r="D1201" s="248" t="s">
        <v>0</v>
      </c>
      <c r="E1201" s="50" t="s">
        <v>3858</v>
      </c>
      <c r="F1201" s="45" t="s">
        <v>81</v>
      </c>
      <c r="G1201" s="45">
        <v>41</v>
      </c>
      <c r="H1201" s="249" t="s">
        <v>3859</v>
      </c>
    </row>
    <row r="1202" spans="1:8" ht="46.9" x14ac:dyDescent="0.25">
      <c r="A1202" s="130">
        <v>20</v>
      </c>
      <c r="B1202" s="130">
        <v>4</v>
      </c>
      <c r="C1202" s="247" t="s">
        <v>44</v>
      </c>
      <c r="D1202" s="248" t="s">
        <v>559</v>
      </c>
      <c r="E1202" s="50" t="s">
        <v>3860</v>
      </c>
      <c r="F1202" s="45" t="s">
        <v>81</v>
      </c>
      <c r="G1202" s="45">
        <v>2</v>
      </c>
      <c r="H1202" s="249" t="s">
        <v>3861</v>
      </c>
    </row>
    <row r="1203" spans="1:8" ht="46.9" x14ac:dyDescent="0.25">
      <c r="A1203" s="130">
        <v>20</v>
      </c>
      <c r="B1203" s="130">
        <v>4</v>
      </c>
      <c r="C1203" s="247" t="s">
        <v>44</v>
      </c>
      <c r="D1203" s="248" t="s">
        <v>1731</v>
      </c>
      <c r="E1203" s="50" t="s">
        <v>3862</v>
      </c>
      <c r="F1203" s="45" t="s">
        <v>81</v>
      </c>
      <c r="G1203" s="45">
        <v>505</v>
      </c>
      <c r="H1203" s="249" t="s">
        <v>3863</v>
      </c>
    </row>
    <row r="1204" spans="1:8" ht="46.9" x14ac:dyDescent="0.25">
      <c r="A1204" s="130">
        <v>20</v>
      </c>
      <c r="B1204" s="130">
        <v>4</v>
      </c>
      <c r="C1204" s="247" t="s">
        <v>44</v>
      </c>
      <c r="D1204" s="248" t="s">
        <v>1731</v>
      </c>
      <c r="E1204" s="50" t="s">
        <v>3864</v>
      </c>
      <c r="F1204" s="45" t="s">
        <v>81</v>
      </c>
      <c r="G1204" s="45">
        <v>181</v>
      </c>
      <c r="H1204" s="249" t="s">
        <v>3865</v>
      </c>
    </row>
    <row r="1205" spans="1:8" ht="46.9" x14ac:dyDescent="0.25">
      <c r="A1205" s="130">
        <v>20</v>
      </c>
      <c r="B1205" s="130">
        <v>4</v>
      </c>
      <c r="C1205" s="247" t="s">
        <v>44</v>
      </c>
      <c r="D1205" s="248" t="s">
        <v>1</v>
      </c>
      <c r="E1205" s="50" t="s">
        <v>3866</v>
      </c>
      <c r="F1205" s="45" t="s">
        <v>81</v>
      </c>
      <c r="G1205" s="45">
        <v>19</v>
      </c>
      <c r="H1205" s="249" t="s">
        <v>3867</v>
      </c>
    </row>
    <row r="1206" spans="1:8" ht="46.9" x14ac:dyDescent="0.25">
      <c r="A1206" s="130">
        <v>20</v>
      </c>
      <c r="B1206" s="130">
        <v>4</v>
      </c>
      <c r="C1206" s="247" t="s">
        <v>44</v>
      </c>
      <c r="D1206" s="248" t="s">
        <v>1</v>
      </c>
      <c r="E1206" s="50" t="s">
        <v>3868</v>
      </c>
      <c r="F1206" s="45" t="s">
        <v>81</v>
      </c>
      <c r="G1206" s="45">
        <v>59</v>
      </c>
      <c r="H1206" s="249" t="s">
        <v>3869</v>
      </c>
    </row>
    <row r="1207" spans="1:8" ht="46.9" x14ac:dyDescent="0.25">
      <c r="A1207" s="130">
        <v>20</v>
      </c>
      <c r="B1207" s="130">
        <v>4</v>
      </c>
      <c r="C1207" s="247" t="s">
        <v>44</v>
      </c>
      <c r="D1207" s="248" t="s">
        <v>1</v>
      </c>
      <c r="E1207" s="50" t="s">
        <v>3870</v>
      </c>
      <c r="F1207" s="45" t="s">
        <v>81</v>
      </c>
      <c r="G1207" s="45">
        <v>50</v>
      </c>
      <c r="H1207" s="249" t="s">
        <v>3871</v>
      </c>
    </row>
    <row r="1208" spans="1:8" ht="46.9" x14ac:dyDescent="0.25">
      <c r="A1208" s="130">
        <v>20</v>
      </c>
      <c r="B1208" s="130">
        <v>4</v>
      </c>
      <c r="C1208" s="247" t="s">
        <v>44</v>
      </c>
      <c r="D1208" s="248" t="s">
        <v>1</v>
      </c>
      <c r="E1208" s="50" t="s">
        <v>3872</v>
      </c>
      <c r="F1208" s="45" t="s">
        <v>81</v>
      </c>
      <c r="G1208" s="45">
        <v>31</v>
      </c>
      <c r="H1208" s="249" t="s">
        <v>3873</v>
      </c>
    </row>
    <row r="1209" spans="1:8" ht="46.9" x14ac:dyDescent="0.25">
      <c r="A1209" s="130">
        <v>20</v>
      </c>
      <c r="B1209" s="130">
        <v>4</v>
      </c>
      <c r="C1209" s="247" t="s">
        <v>44</v>
      </c>
      <c r="D1209" s="248" t="s">
        <v>1</v>
      </c>
      <c r="E1209" s="50" t="s">
        <v>3874</v>
      </c>
      <c r="F1209" s="45" t="s">
        <v>81</v>
      </c>
      <c r="G1209" s="45">
        <v>31</v>
      </c>
      <c r="H1209" s="249" t="s">
        <v>3875</v>
      </c>
    </row>
    <row r="1210" spans="1:8" ht="46.9" x14ac:dyDescent="0.25">
      <c r="A1210" s="130">
        <v>20</v>
      </c>
      <c r="B1210" s="130">
        <v>4</v>
      </c>
      <c r="C1210" s="247" t="s">
        <v>44</v>
      </c>
      <c r="D1210" s="248" t="s">
        <v>1</v>
      </c>
      <c r="E1210" s="50" t="s">
        <v>3876</v>
      </c>
      <c r="F1210" s="45" t="s">
        <v>81</v>
      </c>
      <c r="G1210" s="45">
        <v>46</v>
      </c>
      <c r="H1210" s="249" t="s">
        <v>3877</v>
      </c>
    </row>
    <row r="1211" spans="1:8" ht="46.9" x14ac:dyDescent="0.25">
      <c r="A1211" s="130">
        <v>20</v>
      </c>
      <c r="B1211" s="130">
        <v>4</v>
      </c>
      <c r="C1211" s="247" t="s">
        <v>44</v>
      </c>
      <c r="D1211" s="248" t="s">
        <v>1</v>
      </c>
      <c r="E1211" s="50" t="s">
        <v>3878</v>
      </c>
      <c r="F1211" s="45" t="s">
        <v>81</v>
      </c>
      <c r="G1211" s="45">
        <v>45</v>
      </c>
      <c r="H1211" s="249" t="s">
        <v>3873</v>
      </c>
    </row>
    <row r="1212" spans="1:8" ht="46.9" x14ac:dyDescent="0.25">
      <c r="A1212" s="130">
        <v>20</v>
      </c>
      <c r="B1212" s="130">
        <v>4</v>
      </c>
      <c r="C1212" s="247" t="s">
        <v>44</v>
      </c>
      <c r="D1212" s="248" t="s">
        <v>1</v>
      </c>
      <c r="E1212" s="50" t="s">
        <v>3879</v>
      </c>
      <c r="F1212" s="45" t="s">
        <v>81</v>
      </c>
      <c r="G1212" s="45">
        <v>45</v>
      </c>
      <c r="H1212" s="249" t="s">
        <v>3880</v>
      </c>
    </row>
    <row r="1213" spans="1:8" ht="31.15" x14ac:dyDescent="0.25">
      <c r="A1213" s="130">
        <v>20</v>
      </c>
      <c r="B1213" s="130">
        <v>4</v>
      </c>
      <c r="C1213" s="247" t="s">
        <v>44</v>
      </c>
      <c r="D1213" s="248" t="s">
        <v>1</v>
      </c>
      <c r="E1213" s="50" t="s">
        <v>3881</v>
      </c>
      <c r="F1213" s="45" t="s">
        <v>81</v>
      </c>
      <c r="G1213" s="45">
        <v>175</v>
      </c>
      <c r="H1213" s="249" t="s">
        <v>3882</v>
      </c>
    </row>
    <row r="1214" spans="1:8" ht="31.15" x14ac:dyDescent="0.25">
      <c r="A1214" s="130">
        <v>20</v>
      </c>
      <c r="B1214" s="130">
        <v>4</v>
      </c>
      <c r="C1214" s="247" t="s">
        <v>44</v>
      </c>
      <c r="D1214" s="248" t="s">
        <v>1</v>
      </c>
      <c r="E1214" s="50" t="s">
        <v>3883</v>
      </c>
      <c r="F1214" s="45" t="s">
        <v>81</v>
      </c>
      <c r="G1214" s="45">
        <v>4</v>
      </c>
      <c r="H1214" s="249" t="s">
        <v>3884</v>
      </c>
    </row>
    <row r="1215" spans="1:8" ht="31.15" x14ac:dyDescent="0.25">
      <c r="A1215" s="130">
        <v>20</v>
      </c>
      <c r="B1215" s="130">
        <v>4</v>
      </c>
      <c r="C1215" s="247" t="s">
        <v>44</v>
      </c>
      <c r="D1215" s="248" t="s">
        <v>83</v>
      </c>
      <c r="E1215" s="50" t="s">
        <v>3885</v>
      </c>
      <c r="F1215" s="45" t="s">
        <v>81</v>
      </c>
      <c r="G1215" s="45">
        <v>595</v>
      </c>
      <c r="H1215" s="249" t="s">
        <v>3886</v>
      </c>
    </row>
    <row r="1216" spans="1:8" ht="31.15" x14ac:dyDescent="0.25">
      <c r="A1216" s="130">
        <v>20</v>
      </c>
      <c r="B1216" s="130">
        <v>4</v>
      </c>
      <c r="C1216" s="247" t="s">
        <v>44</v>
      </c>
      <c r="D1216" s="248" t="s">
        <v>83</v>
      </c>
      <c r="E1216" s="50" t="s">
        <v>3887</v>
      </c>
      <c r="F1216" s="45" t="s">
        <v>81</v>
      </c>
      <c r="G1216" s="45">
        <v>45</v>
      </c>
      <c r="H1216" s="249" t="s">
        <v>3888</v>
      </c>
    </row>
    <row r="1217" spans="1:8" ht="46.9" x14ac:dyDescent="0.25">
      <c r="A1217" s="130">
        <v>20</v>
      </c>
      <c r="B1217" s="130">
        <v>4</v>
      </c>
      <c r="C1217" s="247" t="s">
        <v>44</v>
      </c>
      <c r="D1217" s="248" t="s">
        <v>83</v>
      </c>
      <c r="E1217" s="50" t="s">
        <v>3889</v>
      </c>
      <c r="F1217" s="45" t="s">
        <v>81</v>
      </c>
      <c r="G1217" s="45">
        <v>40</v>
      </c>
      <c r="H1217" s="249" t="s">
        <v>3890</v>
      </c>
    </row>
    <row r="1218" spans="1:8" ht="31.15" x14ac:dyDescent="0.25">
      <c r="A1218" s="130">
        <v>20</v>
      </c>
      <c r="B1218" s="130">
        <v>4</v>
      </c>
      <c r="C1218" s="247" t="s">
        <v>44</v>
      </c>
      <c r="D1218" s="248" t="s">
        <v>83</v>
      </c>
      <c r="E1218" s="50" t="s">
        <v>3891</v>
      </c>
      <c r="F1218" s="45" t="s">
        <v>81</v>
      </c>
      <c r="G1218" s="45">
        <v>3</v>
      </c>
      <c r="H1218" s="249" t="s">
        <v>3892</v>
      </c>
    </row>
    <row r="1219" spans="1:8" ht="31.15" x14ac:dyDescent="0.25">
      <c r="A1219" s="130">
        <v>20</v>
      </c>
      <c r="B1219" s="130">
        <v>4</v>
      </c>
      <c r="C1219" s="247" t="s">
        <v>44</v>
      </c>
      <c r="D1219" s="248" t="s">
        <v>83</v>
      </c>
      <c r="E1219" s="50" t="s">
        <v>3893</v>
      </c>
      <c r="F1219" s="45" t="s">
        <v>81</v>
      </c>
      <c r="G1219" s="45">
        <v>35</v>
      </c>
      <c r="H1219" s="249" t="s">
        <v>3894</v>
      </c>
    </row>
    <row r="1220" spans="1:8" ht="31.15" x14ac:dyDescent="0.25">
      <c r="A1220" s="130">
        <v>20</v>
      </c>
      <c r="B1220" s="130">
        <v>4</v>
      </c>
      <c r="C1220" s="247" t="s">
        <v>44</v>
      </c>
      <c r="D1220" s="248" t="s">
        <v>83</v>
      </c>
      <c r="E1220" s="50" t="s">
        <v>3895</v>
      </c>
      <c r="F1220" s="45" t="s">
        <v>81</v>
      </c>
      <c r="G1220" s="45">
        <v>53</v>
      </c>
      <c r="H1220" s="249" t="s">
        <v>3896</v>
      </c>
    </row>
    <row r="1221" spans="1:8" ht="31.15" x14ac:dyDescent="0.25">
      <c r="A1221" s="130">
        <v>20</v>
      </c>
      <c r="B1221" s="130">
        <v>4</v>
      </c>
      <c r="C1221" s="247" t="s">
        <v>44</v>
      </c>
      <c r="D1221" s="248" t="s">
        <v>83</v>
      </c>
      <c r="E1221" s="50" t="s">
        <v>3897</v>
      </c>
      <c r="F1221" s="45" t="s">
        <v>81</v>
      </c>
      <c r="G1221" s="45">
        <v>13</v>
      </c>
      <c r="H1221" s="249" t="s">
        <v>3898</v>
      </c>
    </row>
    <row r="1222" spans="1:8" ht="31.15" x14ac:dyDescent="0.25">
      <c r="A1222" s="130">
        <v>20</v>
      </c>
      <c r="B1222" s="130">
        <v>4</v>
      </c>
      <c r="C1222" s="247" t="s">
        <v>44</v>
      </c>
      <c r="D1222" s="248" t="s">
        <v>83</v>
      </c>
      <c r="E1222" s="50" t="s">
        <v>3899</v>
      </c>
      <c r="F1222" s="45" t="s">
        <v>81</v>
      </c>
      <c r="G1222" s="45">
        <v>34</v>
      </c>
      <c r="H1222" s="249" t="s">
        <v>3900</v>
      </c>
    </row>
    <row r="1223" spans="1:8" ht="78" x14ac:dyDescent="0.25">
      <c r="A1223" s="130">
        <v>21</v>
      </c>
      <c r="B1223" s="130">
        <v>4</v>
      </c>
      <c r="C1223" s="247" t="s">
        <v>45</v>
      </c>
      <c r="D1223" s="248" t="s">
        <v>0</v>
      </c>
      <c r="E1223" s="50" t="s">
        <v>3901</v>
      </c>
      <c r="F1223" s="45" t="s">
        <v>81</v>
      </c>
      <c r="G1223" s="45">
        <v>1</v>
      </c>
      <c r="H1223" s="249" t="s">
        <v>3902</v>
      </c>
    </row>
    <row r="1224" spans="1:8" ht="46.9" x14ac:dyDescent="0.25">
      <c r="A1224" s="130">
        <v>21</v>
      </c>
      <c r="B1224" s="130">
        <v>4</v>
      </c>
      <c r="C1224" s="247" t="s">
        <v>45</v>
      </c>
      <c r="D1224" s="248" t="s">
        <v>1</v>
      </c>
      <c r="E1224" s="50" t="s">
        <v>3903</v>
      </c>
      <c r="F1224" s="45" t="s">
        <v>81</v>
      </c>
      <c r="G1224" s="45">
        <v>275</v>
      </c>
      <c r="H1224" s="249" t="s">
        <v>3904</v>
      </c>
    </row>
    <row r="1225" spans="1:8" ht="78" x14ac:dyDescent="0.25">
      <c r="A1225" s="130">
        <v>21</v>
      </c>
      <c r="B1225" s="130">
        <v>4</v>
      </c>
      <c r="C1225" s="247" t="s">
        <v>45</v>
      </c>
      <c r="D1225" s="248" t="s">
        <v>1</v>
      </c>
      <c r="E1225" s="50" t="s">
        <v>3905</v>
      </c>
      <c r="F1225" s="45" t="s">
        <v>81</v>
      </c>
      <c r="G1225" s="45">
        <v>258</v>
      </c>
      <c r="H1225" s="249" t="s">
        <v>3906</v>
      </c>
    </row>
    <row r="1226" spans="1:8" ht="31.15" x14ac:dyDescent="0.25">
      <c r="A1226" s="130">
        <v>21</v>
      </c>
      <c r="B1226" s="130">
        <v>4</v>
      </c>
      <c r="C1226" s="247" t="s">
        <v>45</v>
      </c>
      <c r="D1226" s="248" t="s">
        <v>1</v>
      </c>
      <c r="E1226" s="50" t="s">
        <v>3907</v>
      </c>
      <c r="F1226" s="45" t="s">
        <v>81</v>
      </c>
      <c r="G1226" s="45">
        <v>31</v>
      </c>
      <c r="H1226" s="249" t="s">
        <v>3908</v>
      </c>
    </row>
    <row r="1227" spans="1:8" ht="31.15" x14ac:dyDescent="0.25">
      <c r="A1227" s="130">
        <v>21</v>
      </c>
      <c r="B1227" s="130">
        <v>4</v>
      </c>
      <c r="C1227" s="247" t="s">
        <v>45</v>
      </c>
      <c r="D1227" s="248" t="s">
        <v>83</v>
      </c>
      <c r="E1227" s="50" t="s">
        <v>3909</v>
      </c>
      <c r="F1227" s="45" t="s">
        <v>81</v>
      </c>
      <c r="G1227" s="45">
        <v>15</v>
      </c>
      <c r="H1227" s="249" t="s">
        <v>3078</v>
      </c>
    </row>
    <row r="1228" spans="1:8" ht="31.15" x14ac:dyDescent="0.25">
      <c r="A1228" s="130">
        <v>21</v>
      </c>
      <c r="B1228" s="130">
        <v>4</v>
      </c>
      <c r="C1228" s="247" t="s">
        <v>45</v>
      </c>
      <c r="D1228" s="248" t="s">
        <v>83</v>
      </c>
      <c r="E1228" s="50" t="s">
        <v>3910</v>
      </c>
      <c r="F1228" s="45" t="s">
        <v>81</v>
      </c>
      <c r="G1228" s="45">
        <v>127</v>
      </c>
      <c r="H1228" s="249" t="s">
        <v>3078</v>
      </c>
    </row>
    <row r="1229" spans="1:8" ht="171.6" x14ac:dyDescent="0.25">
      <c r="A1229" s="130">
        <v>21</v>
      </c>
      <c r="B1229" s="130">
        <v>4</v>
      </c>
      <c r="C1229" s="247" t="s">
        <v>45</v>
      </c>
      <c r="D1229" s="248" t="s">
        <v>83</v>
      </c>
      <c r="E1229" s="50" t="s">
        <v>3911</v>
      </c>
      <c r="F1229" s="45" t="s">
        <v>81</v>
      </c>
      <c r="G1229" s="45">
        <v>20</v>
      </c>
      <c r="H1229" s="249" t="s">
        <v>3912</v>
      </c>
    </row>
    <row r="1230" spans="1:8" ht="93.6" x14ac:dyDescent="0.25">
      <c r="A1230" s="130">
        <v>21</v>
      </c>
      <c r="B1230" s="130">
        <v>4</v>
      </c>
      <c r="C1230" s="247" t="s">
        <v>45</v>
      </c>
      <c r="D1230" s="248" t="s">
        <v>83</v>
      </c>
      <c r="E1230" s="50" t="s">
        <v>3913</v>
      </c>
      <c r="F1230" s="45" t="s">
        <v>69</v>
      </c>
      <c r="G1230" s="45">
        <v>1</v>
      </c>
      <c r="H1230" s="249" t="s">
        <v>3914</v>
      </c>
    </row>
    <row r="1231" spans="1:8" ht="156" x14ac:dyDescent="0.25">
      <c r="A1231" s="130">
        <v>21</v>
      </c>
      <c r="B1231" s="130">
        <v>4</v>
      </c>
      <c r="C1231" s="247" t="s">
        <v>45</v>
      </c>
      <c r="D1231" s="248" t="s">
        <v>83</v>
      </c>
      <c r="E1231" s="50" t="s">
        <v>3915</v>
      </c>
      <c r="F1231" s="45" t="s">
        <v>81</v>
      </c>
      <c r="G1231" s="45">
        <v>16</v>
      </c>
      <c r="H1231" s="249" t="s">
        <v>3916</v>
      </c>
    </row>
    <row r="1232" spans="1:8" ht="93.6" x14ac:dyDescent="0.25">
      <c r="A1232" s="130">
        <v>22</v>
      </c>
      <c r="B1232" s="130">
        <v>4</v>
      </c>
      <c r="C1232" s="247" t="s">
        <v>46</v>
      </c>
      <c r="D1232" s="248" t="s">
        <v>0</v>
      </c>
      <c r="E1232" s="50" t="s">
        <v>3917</v>
      </c>
      <c r="F1232" s="45" t="s">
        <v>81</v>
      </c>
      <c r="G1232" s="45">
        <v>3</v>
      </c>
      <c r="H1232" s="249" t="s">
        <v>3918</v>
      </c>
    </row>
    <row r="1233" spans="1:8" ht="93.6" x14ac:dyDescent="0.25">
      <c r="A1233" s="130">
        <v>22</v>
      </c>
      <c r="B1233" s="130">
        <v>4</v>
      </c>
      <c r="C1233" s="247" t="s">
        <v>46</v>
      </c>
      <c r="D1233" s="248" t="s">
        <v>0</v>
      </c>
      <c r="E1233" s="50" t="s">
        <v>3919</v>
      </c>
      <c r="F1233" s="45" t="s">
        <v>81</v>
      </c>
      <c r="G1233" s="45">
        <v>79</v>
      </c>
      <c r="H1233" s="249" t="s">
        <v>3920</v>
      </c>
    </row>
    <row r="1234" spans="1:8" ht="78" x14ac:dyDescent="0.25">
      <c r="A1234" s="130">
        <v>22</v>
      </c>
      <c r="B1234" s="130">
        <v>4</v>
      </c>
      <c r="C1234" s="247" t="s">
        <v>46</v>
      </c>
      <c r="D1234" s="248" t="s">
        <v>0</v>
      </c>
      <c r="E1234" s="50" t="s">
        <v>3921</v>
      </c>
      <c r="F1234" s="45" t="s">
        <v>81</v>
      </c>
      <c r="G1234" s="45">
        <v>36</v>
      </c>
      <c r="H1234" s="249" t="s">
        <v>3922</v>
      </c>
    </row>
    <row r="1235" spans="1:8" ht="140.44999999999999" x14ac:dyDescent="0.25">
      <c r="A1235" s="130">
        <v>22</v>
      </c>
      <c r="B1235" s="130">
        <v>4</v>
      </c>
      <c r="C1235" s="247" t="s">
        <v>46</v>
      </c>
      <c r="D1235" s="248" t="s">
        <v>1731</v>
      </c>
      <c r="E1235" s="50" t="s">
        <v>3923</v>
      </c>
      <c r="F1235" s="45" t="s">
        <v>81</v>
      </c>
      <c r="G1235" s="45">
        <v>886</v>
      </c>
      <c r="H1235" s="249" t="s">
        <v>3924</v>
      </c>
    </row>
    <row r="1236" spans="1:8" ht="46.9" x14ac:dyDescent="0.25">
      <c r="A1236" s="130">
        <v>22</v>
      </c>
      <c r="B1236" s="130">
        <v>4</v>
      </c>
      <c r="C1236" s="247" t="s">
        <v>46</v>
      </c>
      <c r="D1236" s="248" t="s">
        <v>1</v>
      </c>
      <c r="E1236" s="50" t="s">
        <v>3925</v>
      </c>
      <c r="F1236" s="45" t="s">
        <v>81</v>
      </c>
      <c r="G1236" s="45">
        <v>86</v>
      </c>
      <c r="H1236" s="249" t="s">
        <v>3926</v>
      </c>
    </row>
    <row r="1237" spans="1:8" ht="46.9" x14ac:dyDescent="0.25">
      <c r="A1237" s="130">
        <v>22</v>
      </c>
      <c r="B1237" s="130">
        <v>4</v>
      </c>
      <c r="C1237" s="247" t="s">
        <v>46</v>
      </c>
      <c r="D1237" s="248" t="s">
        <v>1</v>
      </c>
      <c r="E1237" s="50" t="s">
        <v>3927</v>
      </c>
      <c r="F1237" s="45" t="s">
        <v>81</v>
      </c>
      <c r="G1237" s="45">
        <v>335</v>
      </c>
      <c r="H1237" s="249" t="s">
        <v>3928</v>
      </c>
    </row>
    <row r="1238" spans="1:8" ht="46.9" x14ac:dyDescent="0.25">
      <c r="A1238" s="130">
        <v>22</v>
      </c>
      <c r="B1238" s="130">
        <v>4</v>
      </c>
      <c r="C1238" s="247" t="s">
        <v>46</v>
      </c>
      <c r="D1238" s="248" t="s">
        <v>1</v>
      </c>
      <c r="E1238" s="50" t="s">
        <v>3929</v>
      </c>
      <c r="F1238" s="45" t="s">
        <v>248</v>
      </c>
      <c r="G1238" s="45">
        <v>0</v>
      </c>
      <c r="H1238" s="249" t="s">
        <v>3930</v>
      </c>
    </row>
    <row r="1239" spans="1:8" ht="46.9" x14ac:dyDescent="0.25">
      <c r="A1239" s="130">
        <v>22</v>
      </c>
      <c r="B1239" s="130">
        <v>4</v>
      </c>
      <c r="C1239" s="247" t="s">
        <v>46</v>
      </c>
      <c r="D1239" s="248" t="s">
        <v>83</v>
      </c>
      <c r="E1239" s="50" t="s">
        <v>3931</v>
      </c>
      <c r="F1239" s="45" t="s">
        <v>69</v>
      </c>
      <c r="G1239" s="45" t="s">
        <v>93</v>
      </c>
      <c r="H1239" s="249" t="s">
        <v>3932</v>
      </c>
    </row>
    <row r="1240" spans="1:8" ht="124.9" x14ac:dyDescent="0.25">
      <c r="A1240" s="130">
        <v>22</v>
      </c>
      <c r="B1240" s="130">
        <v>4</v>
      </c>
      <c r="C1240" s="247" t="s">
        <v>46</v>
      </c>
      <c r="D1240" s="248" t="s">
        <v>83</v>
      </c>
      <c r="E1240" s="50" t="s">
        <v>3933</v>
      </c>
      <c r="F1240" s="45" t="s">
        <v>81</v>
      </c>
      <c r="G1240" s="45">
        <v>33</v>
      </c>
      <c r="H1240" s="249" t="s">
        <v>3934</v>
      </c>
    </row>
    <row r="1241" spans="1:8" ht="124.9" x14ac:dyDescent="0.25">
      <c r="A1241" s="130">
        <v>22</v>
      </c>
      <c r="B1241" s="130">
        <v>4</v>
      </c>
      <c r="C1241" s="247" t="s">
        <v>46</v>
      </c>
      <c r="D1241" s="248" t="s">
        <v>83</v>
      </c>
      <c r="E1241" s="50" t="s">
        <v>3935</v>
      </c>
      <c r="F1241" s="45" t="s">
        <v>81</v>
      </c>
      <c r="G1241" s="45">
        <v>33</v>
      </c>
      <c r="H1241" s="249" t="s">
        <v>3936</v>
      </c>
    </row>
    <row r="1242" spans="1:8" ht="31.15" x14ac:dyDescent="0.25">
      <c r="A1242" s="130">
        <v>23</v>
      </c>
      <c r="B1242" s="130">
        <v>4</v>
      </c>
      <c r="C1242" s="247" t="s">
        <v>47</v>
      </c>
      <c r="D1242" s="248" t="s">
        <v>0</v>
      </c>
      <c r="E1242" s="50" t="s">
        <v>3937</v>
      </c>
      <c r="F1242" s="45" t="s">
        <v>81</v>
      </c>
      <c r="G1242" s="45">
        <v>247</v>
      </c>
      <c r="H1242" s="249" t="s">
        <v>3938</v>
      </c>
    </row>
    <row r="1243" spans="1:8" ht="93.6" x14ac:dyDescent="0.25">
      <c r="A1243" s="130">
        <v>23</v>
      </c>
      <c r="B1243" s="130">
        <v>4</v>
      </c>
      <c r="C1243" s="247" t="s">
        <v>47</v>
      </c>
      <c r="D1243" s="248" t="s">
        <v>1</v>
      </c>
      <c r="E1243" s="50" t="s">
        <v>3939</v>
      </c>
      <c r="F1243" s="45" t="s">
        <v>81</v>
      </c>
      <c r="G1243" s="45">
        <v>8</v>
      </c>
      <c r="H1243" s="249" t="s">
        <v>3940</v>
      </c>
    </row>
    <row r="1244" spans="1:8" ht="109.15" x14ac:dyDescent="0.25">
      <c r="A1244" s="130">
        <v>23</v>
      </c>
      <c r="B1244" s="130">
        <v>4</v>
      </c>
      <c r="C1244" s="247" t="s">
        <v>47</v>
      </c>
      <c r="D1244" s="248" t="s">
        <v>1</v>
      </c>
      <c r="E1244" s="50" t="s">
        <v>3941</v>
      </c>
      <c r="F1244" s="45" t="s">
        <v>81</v>
      </c>
      <c r="G1244" s="45">
        <v>100</v>
      </c>
      <c r="H1244" s="249" t="s">
        <v>3942</v>
      </c>
    </row>
    <row r="1245" spans="1:8" ht="124.9" x14ac:dyDescent="0.25">
      <c r="A1245" s="130">
        <v>23</v>
      </c>
      <c r="B1245" s="130">
        <v>4</v>
      </c>
      <c r="C1245" s="247" t="s">
        <v>47</v>
      </c>
      <c r="D1245" s="248" t="s">
        <v>1</v>
      </c>
      <c r="E1245" s="50" t="s">
        <v>3943</v>
      </c>
      <c r="F1245" s="45" t="s">
        <v>81</v>
      </c>
      <c r="G1245" s="45">
        <v>109</v>
      </c>
      <c r="H1245" s="249" t="s">
        <v>3942</v>
      </c>
    </row>
    <row r="1246" spans="1:8" ht="78" x14ac:dyDescent="0.25">
      <c r="A1246" s="130">
        <v>23</v>
      </c>
      <c r="B1246" s="130">
        <v>4</v>
      </c>
      <c r="C1246" s="247" t="s">
        <v>47</v>
      </c>
      <c r="D1246" s="248" t="s">
        <v>1</v>
      </c>
      <c r="E1246" s="50" t="s">
        <v>3944</v>
      </c>
      <c r="F1246" s="45" t="s">
        <v>81</v>
      </c>
      <c r="G1246" s="45">
        <v>138</v>
      </c>
      <c r="H1246" s="249" t="s">
        <v>3942</v>
      </c>
    </row>
    <row r="1247" spans="1:8" ht="62.45" x14ac:dyDescent="0.25">
      <c r="A1247" s="130">
        <v>23</v>
      </c>
      <c r="B1247" s="130">
        <v>4</v>
      </c>
      <c r="C1247" s="247" t="s">
        <v>47</v>
      </c>
      <c r="D1247" s="248" t="s">
        <v>1</v>
      </c>
      <c r="E1247" s="50" t="s">
        <v>3945</v>
      </c>
      <c r="F1247" s="45" t="s">
        <v>81</v>
      </c>
      <c r="G1247" s="45">
        <v>11</v>
      </c>
      <c r="H1247" s="249" t="s">
        <v>3942</v>
      </c>
    </row>
    <row r="1248" spans="1:8" ht="93.6" x14ac:dyDescent="0.25">
      <c r="A1248" s="130">
        <v>23</v>
      </c>
      <c r="B1248" s="130">
        <v>4</v>
      </c>
      <c r="C1248" s="247" t="s">
        <v>47</v>
      </c>
      <c r="D1248" s="248" t="s">
        <v>1</v>
      </c>
      <c r="E1248" s="50" t="s">
        <v>3946</v>
      </c>
      <c r="F1248" s="45" t="s">
        <v>69</v>
      </c>
      <c r="G1248" s="45">
        <v>6</v>
      </c>
      <c r="H1248" s="249" t="s">
        <v>3942</v>
      </c>
    </row>
    <row r="1249" spans="1:8" ht="46.9" x14ac:dyDescent="0.25">
      <c r="A1249" s="130">
        <v>23</v>
      </c>
      <c r="B1249" s="130">
        <v>4</v>
      </c>
      <c r="C1249" s="247" t="s">
        <v>47</v>
      </c>
      <c r="D1249" s="248" t="s">
        <v>1</v>
      </c>
      <c r="E1249" s="50" t="s">
        <v>3947</v>
      </c>
      <c r="F1249" s="45" t="s">
        <v>81</v>
      </c>
      <c r="G1249" s="45">
        <v>101</v>
      </c>
      <c r="H1249" s="249" t="s">
        <v>3948</v>
      </c>
    </row>
    <row r="1250" spans="1:8" ht="15.6" x14ac:dyDescent="0.25">
      <c r="A1250" s="130">
        <v>23</v>
      </c>
      <c r="B1250" s="130">
        <v>4</v>
      </c>
      <c r="C1250" s="247" t="s">
        <v>47</v>
      </c>
      <c r="D1250" s="248" t="s">
        <v>83</v>
      </c>
      <c r="E1250" s="50" t="s">
        <v>3949</v>
      </c>
      <c r="F1250" s="45" t="s">
        <v>69</v>
      </c>
      <c r="G1250" s="45">
        <v>13</v>
      </c>
      <c r="H1250" s="249" t="s">
        <v>2647</v>
      </c>
    </row>
    <row r="1251" spans="1:8" ht="78" x14ac:dyDescent="0.25">
      <c r="A1251" s="130">
        <v>23</v>
      </c>
      <c r="B1251" s="130">
        <v>4</v>
      </c>
      <c r="C1251" s="247" t="s">
        <v>47</v>
      </c>
      <c r="D1251" s="248" t="s">
        <v>83</v>
      </c>
      <c r="E1251" s="50" t="s">
        <v>3950</v>
      </c>
      <c r="F1251" s="45" t="s">
        <v>81</v>
      </c>
      <c r="G1251" s="45">
        <v>152</v>
      </c>
      <c r="H1251" s="249" t="s">
        <v>3951</v>
      </c>
    </row>
    <row r="1252" spans="1:8" ht="31.15" x14ac:dyDescent="0.25">
      <c r="A1252" s="130">
        <v>23</v>
      </c>
      <c r="B1252" s="130">
        <v>4</v>
      </c>
      <c r="C1252" s="247" t="s">
        <v>47</v>
      </c>
      <c r="D1252" s="248" t="s">
        <v>83</v>
      </c>
      <c r="E1252" s="50" t="s">
        <v>3952</v>
      </c>
      <c r="F1252" s="45" t="s">
        <v>81</v>
      </c>
      <c r="G1252" s="45">
        <v>45</v>
      </c>
      <c r="H1252" s="249" t="s">
        <v>3953</v>
      </c>
    </row>
    <row r="1253" spans="1:8" ht="31.15" x14ac:dyDescent="0.25">
      <c r="A1253" s="130">
        <v>24</v>
      </c>
      <c r="B1253" s="130">
        <v>4</v>
      </c>
      <c r="C1253" s="247" t="s">
        <v>48</v>
      </c>
      <c r="D1253" s="248" t="s">
        <v>1731</v>
      </c>
      <c r="E1253" s="50" t="s">
        <v>3954</v>
      </c>
      <c r="F1253" s="45" t="s">
        <v>69</v>
      </c>
      <c r="G1253" s="45">
        <v>2</v>
      </c>
      <c r="H1253" s="249" t="s">
        <v>3955</v>
      </c>
    </row>
    <row r="1254" spans="1:8" ht="62.45" x14ac:dyDescent="0.25">
      <c r="A1254" s="130">
        <v>24</v>
      </c>
      <c r="B1254" s="130">
        <v>4</v>
      </c>
      <c r="C1254" s="247" t="s">
        <v>48</v>
      </c>
      <c r="D1254" s="248" t="s">
        <v>1</v>
      </c>
      <c r="E1254" s="50" t="s">
        <v>3956</v>
      </c>
      <c r="F1254" s="45" t="s">
        <v>69</v>
      </c>
      <c r="G1254" s="45">
        <v>67</v>
      </c>
      <c r="H1254" s="249" t="s">
        <v>3957</v>
      </c>
    </row>
    <row r="1255" spans="1:8" ht="156" x14ac:dyDescent="0.25">
      <c r="A1255" s="130">
        <v>24</v>
      </c>
      <c r="B1255" s="130">
        <v>4</v>
      </c>
      <c r="C1255" s="247" t="s">
        <v>48</v>
      </c>
      <c r="D1255" s="248" t="s">
        <v>1</v>
      </c>
      <c r="E1255" s="50" t="s">
        <v>3958</v>
      </c>
      <c r="F1255" s="45" t="s">
        <v>81</v>
      </c>
      <c r="G1255" s="45">
        <v>800</v>
      </c>
      <c r="H1255" s="249" t="s">
        <v>3959</v>
      </c>
    </row>
    <row r="1256" spans="1:8" ht="93.6" x14ac:dyDescent="0.25">
      <c r="A1256" s="130">
        <v>24</v>
      </c>
      <c r="B1256" s="130">
        <v>4</v>
      </c>
      <c r="C1256" s="247" t="s">
        <v>48</v>
      </c>
      <c r="D1256" s="248" t="s">
        <v>1</v>
      </c>
      <c r="E1256" s="50" t="s">
        <v>3960</v>
      </c>
      <c r="F1256" s="45" t="s">
        <v>69</v>
      </c>
      <c r="G1256" s="45">
        <v>90</v>
      </c>
      <c r="H1256" s="249" t="s">
        <v>3961</v>
      </c>
    </row>
    <row r="1257" spans="1:8" ht="62.45" x14ac:dyDescent="0.25">
      <c r="A1257" s="130">
        <v>24</v>
      </c>
      <c r="B1257" s="130">
        <v>4</v>
      </c>
      <c r="C1257" s="247" t="s">
        <v>48</v>
      </c>
      <c r="D1257" s="248" t="s">
        <v>83</v>
      </c>
      <c r="E1257" s="50" t="s">
        <v>3962</v>
      </c>
      <c r="F1257" s="45" t="s">
        <v>69</v>
      </c>
      <c r="G1257" s="45">
        <v>8</v>
      </c>
      <c r="H1257" s="249" t="s">
        <v>3963</v>
      </c>
    </row>
    <row r="1258" spans="1:8" ht="15.6" x14ac:dyDescent="0.25">
      <c r="A1258" s="130">
        <v>24</v>
      </c>
      <c r="B1258" s="130">
        <v>4</v>
      </c>
      <c r="C1258" s="247" t="s">
        <v>48</v>
      </c>
      <c r="D1258" s="248" t="s">
        <v>83</v>
      </c>
      <c r="E1258" s="50" t="s">
        <v>3964</v>
      </c>
      <c r="F1258" s="45" t="s">
        <v>81</v>
      </c>
      <c r="G1258" s="45">
        <v>6</v>
      </c>
      <c r="H1258" s="249" t="s">
        <v>3965</v>
      </c>
    </row>
    <row r="1259" spans="1:8" ht="62.45" x14ac:dyDescent="0.25">
      <c r="A1259" s="130">
        <v>25</v>
      </c>
      <c r="B1259" s="130">
        <v>4</v>
      </c>
      <c r="C1259" s="247" t="s">
        <v>49</v>
      </c>
      <c r="D1259" s="248" t="s">
        <v>4</v>
      </c>
      <c r="E1259" s="50" t="s">
        <v>3966</v>
      </c>
      <c r="F1259" s="45" t="s">
        <v>69</v>
      </c>
      <c r="G1259" s="45">
        <v>0</v>
      </c>
      <c r="H1259" s="249" t="s">
        <v>3967</v>
      </c>
    </row>
    <row r="1260" spans="1:8" ht="31.15" x14ac:dyDescent="0.25">
      <c r="A1260" s="130">
        <v>25</v>
      </c>
      <c r="B1260" s="130">
        <v>4</v>
      </c>
      <c r="C1260" s="247" t="s">
        <v>49</v>
      </c>
      <c r="D1260" s="248" t="s">
        <v>137</v>
      </c>
      <c r="E1260" s="50" t="s">
        <v>3968</v>
      </c>
      <c r="F1260" s="45" t="s">
        <v>81</v>
      </c>
      <c r="G1260" s="45">
        <v>23</v>
      </c>
      <c r="H1260" s="249" t="s">
        <v>3969</v>
      </c>
    </row>
    <row r="1261" spans="1:8" ht="62.45" x14ac:dyDescent="0.25">
      <c r="A1261" s="130">
        <v>25</v>
      </c>
      <c r="B1261" s="130">
        <v>4</v>
      </c>
      <c r="C1261" s="247" t="s">
        <v>49</v>
      </c>
      <c r="D1261" s="248" t="s">
        <v>0</v>
      </c>
      <c r="E1261" s="50" t="s">
        <v>3970</v>
      </c>
      <c r="F1261" s="45" t="s">
        <v>81</v>
      </c>
      <c r="G1261" s="45">
        <v>34</v>
      </c>
      <c r="H1261" s="249" t="s">
        <v>3971</v>
      </c>
    </row>
    <row r="1262" spans="1:8" ht="46.9" x14ac:dyDescent="0.25">
      <c r="A1262" s="130">
        <v>25</v>
      </c>
      <c r="B1262" s="130">
        <v>4</v>
      </c>
      <c r="C1262" s="247" t="s">
        <v>49</v>
      </c>
      <c r="D1262" s="248" t="s">
        <v>559</v>
      </c>
      <c r="E1262" s="50" t="s">
        <v>3972</v>
      </c>
      <c r="F1262" s="45" t="s">
        <v>81</v>
      </c>
      <c r="G1262" s="45">
        <v>1</v>
      </c>
      <c r="H1262" s="249" t="s">
        <v>3973</v>
      </c>
    </row>
    <row r="1263" spans="1:8" ht="46.9" x14ac:dyDescent="0.25">
      <c r="A1263" s="130">
        <v>25</v>
      </c>
      <c r="B1263" s="130">
        <v>4</v>
      </c>
      <c r="C1263" s="247" t="s">
        <v>49</v>
      </c>
      <c r="D1263" s="248" t="s">
        <v>1</v>
      </c>
      <c r="E1263" s="50" t="s">
        <v>3974</v>
      </c>
      <c r="F1263" s="45" t="s">
        <v>81</v>
      </c>
      <c r="G1263" s="45">
        <v>1</v>
      </c>
      <c r="H1263" s="249" t="s">
        <v>3975</v>
      </c>
    </row>
    <row r="1264" spans="1:8" ht="62.45" x14ac:dyDescent="0.25">
      <c r="A1264" s="130">
        <v>25</v>
      </c>
      <c r="B1264" s="130">
        <v>4</v>
      </c>
      <c r="C1264" s="247" t="s">
        <v>49</v>
      </c>
      <c r="D1264" s="248" t="s">
        <v>1</v>
      </c>
      <c r="E1264" s="50" t="s">
        <v>3976</v>
      </c>
      <c r="F1264" s="45" t="s">
        <v>81</v>
      </c>
      <c r="G1264" s="45">
        <v>31</v>
      </c>
      <c r="H1264" s="249" t="s">
        <v>3977</v>
      </c>
    </row>
    <row r="1265" spans="1:8" ht="93.6" x14ac:dyDescent="0.25">
      <c r="A1265" s="130">
        <v>25</v>
      </c>
      <c r="B1265" s="130">
        <v>4</v>
      </c>
      <c r="C1265" s="247" t="s">
        <v>49</v>
      </c>
      <c r="D1265" s="248" t="s">
        <v>1</v>
      </c>
      <c r="E1265" s="50" t="s">
        <v>3978</v>
      </c>
      <c r="F1265" s="45" t="s">
        <v>81</v>
      </c>
      <c r="G1265" s="45">
        <v>9</v>
      </c>
      <c r="H1265" s="249" t="s">
        <v>3979</v>
      </c>
    </row>
    <row r="1266" spans="1:8" ht="62.45" x14ac:dyDescent="0.25">
      <c r="A1266" s="130">
        <v>25</v>
      </c>
      <c r="B1266" s="130">
        <v>4</v>
      </c>
      <c r="C1266" s="247" t="s">
        <v>49</v>
      </c>
      <c r="D1266" s="248" t="s">
        <v>1</v>
      </c>
      <c r="E1266" s="50" t="s">
        <v>3980</v>
      </c>
      <c r="F1266" s="45" t="s">
        <v>69</v>
      </c>
      <c r="G1266" s="45">
        <v>2</v>
      </c>
      <c r="H1266" s="249" t="s">
        <v>3967</v>
      </c>
    </row>
    <row r="1267" spans="1:8" ht="46.9" x14ac:dyDescent="0.25">
      <c r="A1267" s="130">
        <v>25</v>
      </c>
      <c r="B1267" s="130">
        <v>4</v>
      </c>
      <c r="C1267" s="247" t="s">
        <v>49</v>
      </c>
      <c r="D1267" s="248" t="s">
        <v>1</v>
      </c>
      <c r="E1267" s="50" t="s">
        <v>3981</v>
      </c>
      <c r="F1267" s="45" t="s">
        <v>81</v>
      </c>
      <c r="G1267" s="45">
        <v>19</v>
      </c>
      <c r="H1267" s="249" t="s">
        <v>3982</v>
      </c>
    </row>
    <row r="1268" spans="1:8" ht="46.9" x14ac:dyDescent="0.25">
      <c r="A1268" s="130">
        <v>25</v>
      </c>
      <c r="B1268" s="130">
        <v>4</v>
      </c>
      <c r="C1268" s="247" t="s">
        <v>49</v>
      </c>
      <c r="D1268" s="248" t="s">
        <v>1</v>
      </c>
      <c r="E1268" s="50" t="s">
        <v>3983</v>
      </c>
      <c r="F1268" s="45" t="s">
        <v>81</v>
      </c>
      <c r="G1268" s="45">
        <v>6</v>
      </c>
      <c r="H1268" s="249" t="s">
        <v>3297</v>
      </c>
    </row>
    <row r="1269" spans="1:8" ht="46.9" x14ac:dyDescent="0.25">
      <c r="A1269" s="130">
        <v>25</v>
      </c>
      <c r="B1269" s="130">
        <v>4</v>
      </c>
      <c r="C1269" s="247" t="s">
        <v>49</v>
      </c>
      <c r="D1269" s="248" t="s">
        <v>1</v>
      </c>
      <c r="E1269" s="50" t="s">
        <v>3984</v>
      </c>
      <c r="F1269" s="45" t="s">
        <v>81</v>
      </c>
      <c r="G1269" s="45">
        <v>5</v>
      </c>
      <c r="H1269" s="249" t="s">
        <v>3985</v>
      </c>
    </row>
    <row r="1270" spans="1:8" ht="62.45" x14ac:dyDescent="0.25">
      <c r="A1270" s="130">
        <v>25</v>
      </c>
      <c r="B1270" s="130">
        <v>4</v>
      </c>
      <c r="C1270" s="247" t="s">
        <v>49</v>
      </c>
      <c r="D1270" s="248" t="s">
        <v>1</v>
      </c>
      <c r="E1270" s="50" t="s">
        <v>3986</v>
      </c>
      <c r="F1270" s="45" t="s">
        <v>81</v>
      </c>
      <c r="G1270" s="45">
        <v>11</v>
      </c>
      <c r="H1270" s="249" t="s">
        <v>3987</v>
      </c>
    </row>
    <row r="1271" spans="1:8" ht="62.45" x14ac:dyDescent="0.25">
      <c r="A1271" s="130">
        <v>25</v>
      </c>
      <c r="B1271" s="130">
        <v>4</v>
      </c>
      <c r="C1271" s="247" t="s">
        <v>49</v>
      </c>
      <c r="D1271" s="248" t="s">
        <v>1</v>
      </c>
      <c r="E1271" s="50" t="s">
        <v>3988</v>
      </c>
      <c r="F1271" s="45" t="s">
        <v>81</v>
      </c>
      <c r="G1271" s="45">
        <v>24</v>
      </c>
      <c r="H1271" s="249" t="s">
        <v>3989</v>
      </c>
    </row>
    <row r="1272" spans="1:8" ht="46.9" x14ac:dyDescent="0.25">
      <c r="A1272" s="130">
        <v>25</v>
      </c>
      <c r="B1272" s="130">
        <v>4</v>
      </c>
      <c r="C1272" s="247" t="s">
        <v>49</v>
      </c>
      <c r="D1272" s="248" t="s">
        <v>1</v>
      </c>
      <c r="E1272" s="50" t="s">
        <v>3990</v>
      </c>
      <c r="F1272" s="45" t="s">
        <v>81</v>
      </c>
      <c r="G1272" s="45">
        <v>5</v>
      </c>
      <c r="H1272" s="249" t="s">
        <v>3991</v>
      </c>
    </row>
    <row r="1273" spans="1:8" ht="46.9" x14ac:dyDescent="0.25">
      <c r="A1273" s="130">
        <v>25</v>
      </c>
      <c r="B1273" s="130">
        <v>4</v>
      </c>
      <c r="C1273" s="247" t="s">
        <v>49</v>
      </c>
      <c r="D1273" s="248" t="s">
        <v>1</v>
      </c>
      <c r="E1273" s="50" t="s">
        <v>3992</v>
      </c>
      <c r="F1273" s="45" t="s">
        <v>81</v>
      </c>
      <c r="G1273" s="45">
        <v>5</v>
      </c>
      <c r="H1273" s="249" t="s">
        <v>3993</v>
      </c>
    </row>
    <row r="1274" spans="1:8" ht="62.45" x14ac:dyDescent="0.25">
      <c r="A1274" s="130">
        <v>25</v>
      </c>
      <c r="B1274" s="130">
        <v>4</v>
      </c>
      <c r="C1274" s="247" t="s">
        <v>49</v>
      </c>
      <c r="D1274" s="248" t="s">
        <v>83</v>
      </c>
      <c r="E1274" s="50" t="s">
        <v>3994</v>
      </c>
      <c r="F1274" s="45" t="s">
        <v>81</v>
      </c>
      <c r="G1274" s="45">
        <v>20</v>
      </c>
      <c r="H1274" s="249" t="s">
        <v>3995</v>
      </c>
    </row>
    <row r="1275" spans="1:8" ht="78" x14ac:dyDescent="0.25">
      <c r="A1275" s="130">
        <v>25</v>
      </c>
      <c r="B1275" s="130">
        <v>4</v>
      </c>
      <c r="C1275" s="247" t="s">
        <v>49</v>
      </c>
      <c r="D1275" s="248" t="s">
        <v>83</v>
      </c>
      <c r="E1275" s="50" t="s">
        <v>3996</v>
      </c>
      <c r="F1275" s="45" t="s">
        <v>81</v>
      </c>
      <c r="G1275" s="45">
        <v>58</v>
      </c>
      <c r="H1275" s="249" t="s">
        <v>3997</v>
      </c>
    </row>
    <row r="1276" spans="1:8" ht="109.15" x14ac:dyDescent="0.25">
      <c r="A1276" s="130">
        <v>25</v>
      </c>
      <c r="B1276" s="130">
        <v>4</v>
      </c>
      <c r="C1276" s="247" t="s">
        <v>49</v>
      </c>
      <c r="D1276" s="248" t="s">
        <v>83</v>
      </c>
      <c r="E1276" s="50" t="s">
        <v>3998</v>
      </c>
      <c r="F1276" s="45" t="s">
        <v>81</v>
      </c>
      <c r="G1276" s="45">
        <v>0</v>
      </c>
      <c r="H1276" s="249" t="s">
        <v>3999</v>
      </c>
    </row>
    <row r="1277" spans="1:8" ht="78" x14ac:dyDescent="0.25">
      <c r="A1277" s="130">
        <v>25</v>
      </c>
      <c r="B1277" s="130">
        <v>4</v>
      </c>
      <c r="C1277" s="247" t="s">
        <v>49</v>
      </c>
      <c r="D1277" s="248" t="s">
        <v>83</v>
      </c>
      <c r="E1277" s="50" t="s">
        <v>4000</v>
      </c>
      <c r="F1277" s="45" t="s">
        <v>81</v>
      </c>
      <c r="G1277" s="45">
        <v>38</v>
      </c>
      <c r="H1277" s="249" t="s">
        <v>4001</v>
      </c>
    </row>
    <row r="1278" spans="1:8" ht="31.15" x14ac:dyDescent="0.25">
      <c r="A1278" s="130">
        <v>26</v>
      </c>
      <c r="B1278" s="130">
        <v>4</v>
      </c>
      <c r="C1278" s="247" t="s">
        <v>50</v>
      </c>
      <c r="D1278" s="248" t="s">
        <v>0</v>
      </c>
      <c r="E1278" s="50" t="s">
        <v>4002</v>
      </c>
      <c r="F1278" s="45" t="s">
        <v>81</v>
      </c>
      <c r="G1278" s="45">
        <v>310</v>
      </c>
      <c r="H1278" s="249" t="s">
        <v>4003</v>
      </c>
    </row>
    <row r="1279" spans="1:8" ht="31.15" x14ac:dyDescent="0.25">
      <c r="A1279" s="130">
        <v>26</v>
      </c>
      <c r="B1279" s="130">
        <v>4</v>
      </c>
      <c r="C1279" s="247" t="s">
        <v>50</v>
      </c>
      <c r="D1279" s="248" t="s">
        <v>0</v>
      </c>
      <c r="E1279" s="50" t="s">
        <v>4004</v>
      </c>
      <c r="F1279" s="45" t="s">
        <v>81</v>
      </c>
      <c r="G1279" s="45">
        <v>5</v>
      </c>
      <c r="H1279" s="249" t="s">
        <v>4003</v>
      </c>
    </row>
    <row r="1280" spans="1:8" ht="46.9" x14ac:dyDescent="0.25">
      <c r="A1280" s="130">
        <v>26</v>
      </c>
      <c r="B1280" s="130">
        <v>4</v>
      </c>
      <c r="C1280" s="247" t="s">
        <v>50</v>
      </c>
      <c r="D1280" s="248" t="s">
        <v>559</v>
      </c>
      <c r="E1280" s="50" t="s">
        <v>4005</v>
      </c>
      <c r="F1280" s="45" t="s">
        <v>81</v>
      </c>
      <c r="G1280" s="45">
        <v>0</v>
      </c>
      <c r="H1280" s="249" t="s">
        <v>4006</v>
      </c>
    </row>
    <row r="1281" spans="1:8" ht="46.9" x14ac:dyDescent="0.25">
      <c r="A1281" s="130">
        <v>26</v>
      </c>
      <c r="B1281" s="130">
        <v>4</v>
      </c>
      <c r="C1281" s="247" t="s">
        <v>50</v>
      </c>
      <c r="D1281" s="248" t="s">
        <v>559</v>
      </c>
      <c r="E1281" s="50" t="s">
        <v>4007</v>
      </c>
      <c r="F1281" s="45" t="s">
        <v>81</v>
      </c>
      <c r="G1281" s="45">
        <v>0</v>
      </c>
      <c r="H1281" s="249" t="s">
        <v>4006</v>
      </c>
    </row>
    <row r="1282" spans="1:8" ht="31.15" x14ac:dyDescent="0.25">
      <c r="A1282" s="130">
        <v>26</v>
      </c>
      <c r="B1282" s="130">
        <v>4</v>
      </c>
      <c r="C1282" s="247" t="s">
        <v>50</v>
      </c>
      <c r="D1282" s="248" t="s">
        <v>1731</v>
      </c>
      <c r="E1282" s="50" t="s">
        <v>4008</v>
      </c>
      <c r="F1282" s="45" t="s">
        <v>81</v>
      </c>
      <c r="G1282" s="45">
        <v>4</v>
      </c>
      <c r="H1282" s="249" t="s">
        <v>1819</v>
      </c>
    </row>
    <row r="1283" spans="1:8" ht="31.15" x14ac:dyDescent="0.25">
      <c r="A1283" s="130">
        <v>26</v>
      </c>
      <c r="B1283" s="130">
        <v>4</v>
      </c>
      <c r="C1283" s="247" t="s">
        <v>50</v>
      </c>
      <c r="D1283" s="248" t="s">
        <v>1</v>
      </c>
      <c r="E1283" s="50" t="s">
        <v>4009</v>
      </c>
      <c r="F1283" s="45" t="s">
        <v>81</v>
      </c>
      <c r="G1283" s="45">
        <v>45</v>
      </c>
      <c r="H1283" s="249" t="s">
        <v>1819</v>
      </c>
    </row>
    <row r="1284" spans="1:8" ht="31.15" x14ac:dyDescent="0.25">
      <c r="A1284" s="130">
        <v>26</v>
      </c>
      <c r="B1284" s="130">
        <v>4</v>
      </c>
      <c r="C1284" s="247" t="s">
        <v>50</v>
      </c>
      <c r="D1284" s="248" t="s">
        <v>1</v>
      </c>
      <c r="E1284" s="50" t="s">
        <v>4010</v>
      </c>
      <c r="F1284" s="45" t="s">
        <v>81</v>
      </c>
      <c r="G1284" s="45">
        <v>145</v>
      </c>
      <c r="H1284" s="249" t="s">
        <v>1819</v>
      </c>
    </row>
    <row r="1285" spans="1:8" ht="31.15" x14ac:dyDescent="0.25">
      <c r="A1285" s="130">
        <v>26</v>
      </c>
      <c r="B1285" s="130">
        <v>4</v>
      </c>
      <c r="C1285" s="247" t="s">
        <v>50</v>
      </c>
      <c r="D1285" s="248" t="s">
        <v>1</v>
      </c>
      <c r="E1285" s="50" t="s">
        <v>4011</v>
      </c>
      <c r="F1285" s="45" t="s">
        <v>81</v>
      </c>
      <c r="G1285" s="45">
        <v>94</v>
      </c>
      <c r="H1285" s="249" t="s">
        <v>1819</v>
      </c>
    </row>
    <row r="1286" spans="1:8" ht="46.9" x14ac:dyDescent="0.25">
      <c r="A1286" s="130">
        <v>26</v>
      </c>
      <c r="B1286" s="130">
        <v>4</v>
      </c>
      <c r="C1286" s="247" t="s">
        <v>50</v>
      </c>
      <c r="D1286" s="248" t="s">
        <v>1</v>
      </c>
      <c r="E1286" s="50" t="s">
        <v>4012</v>
      </c>
      <c r="F1286" s="45" t="s">
        <v>81</v>
      </c>
      <c r="G1286" s="45">
        <v>23</v>
      </c>
      <c r="H1286" s="249" t="s">
        <v>1819</v>
      </c>
    </row>
    <row r="1287" spans="1:8" ht="31.15" x14ac:dyDescent="0.25">
      <c r="A1287" s="130">
        <v>26</v>
      </c>
      <c r="B1287" s="130">
        <v>4</v>
      </c>
      <c r="C1287" s="247" t="s">
        <v>50</v>
      </c>
      <c r="D1287" s="248" t="s">
        <v>1</v>
      </c>
      <c r="E1287" s="50" t="s">
        <v>4013</v>
      </c>
      <c r="F1287" s="45" t="s">
        <v>81</v>
      </c>
      <c r="G1287" s="45">
        <v>127</v>
      </c>
      <c r="H1287" s="249" t="s">
        <v>1819</v>
      </c>
    </row>
    <row r="1288" spans="1:8" ht="31.15" x14ac:dyDescent="0.25">
      <c r="A1288" s="130">
        <v>26</v>
      </c>
      <c r="B1288" s="130">
        <v>4</v>
      </c>
      <c r="C1288" s="247" t="s">
        <v>50</v>
      </c>
      <c r="D1288" s="248" t="s">
        <v>1</v>
      </c>
      <c r="E1288" s="50" t="s">
        <v>4014</v>
      </c>
      <c r="F1288" s="45" t="s">
        <v>81</v>
      </c>
      <c r="G1288" s="45">
        <v>31</v>
      </c>
      <c r="H1288" s="249" t="s">
        <v>4015</v>
      </c>
    </row>
    <row r="1289" spans="1:8" ht="31.15" x14ac:dyDescent="0.25">
      <c r="A1289" s="130">
        <v>26</v>
      </c>
      <c r="B1289" s="130">
        <v>4</v>
      </c>
      <c r="C1289" s="247" t="s">
        <v>50</v>
      </c>
      <c r="D1289" s="248" t="s">
        <v>1</v>
      </c>
      <c r="E1289" s="50" t="s">
        <v>4016</v>
      </c>
      <c r="F1289" s="45" t="s">
        <v>81</v>
      </c>
      <c r="G1289" s="45">
        <v>2</v>
      </c>
      <c r="H1289" s="249" t="s">
        <v>1819</v>
      </c>
    </row>
    <row r="1290" spans="1:8" ht="31.15" x14ac:dyDescent="0.25">
      <c r="A1290" s="130">
        <v>26</v>
      </c>
      <c r="B1290" s="130">
        <v>4</v>
      </c>
      <c r="C1290" s="247" t="s">
        <v>50</v>
      </c>
      <c r="D1290" s="248" t="s">
        <v>1</v>
      </c>
      <c r="E1290" s="50" t="s">
        <v>4017</v>
      </c>
      <c r="F1290" s="45" t="s">
        <v>81</v>
      </c>
      <c r="G1290" s="45">
        <v>2</v>
      </c>
      <c r="H1290" s="249" t="s">
        <v>1819</v>
      </c>
    </row>
    <row r="1291" spans="1:8" ht="46.9" x14ac:dyDescent="0.25">
      <c r="A1291" s="130">
        <v>26</v>
      </c>
      <c r="B1291" s="130">
        <v>4</v>
      </c>
      <c r="C1291" s="247" t="s">
        <v>50</v>
      </c>
      <c r="D1291" s="248" t="s">
        <v>83</v>
      </c>
      <c r="E1291" s="50" t="s">
        <v>4018</v>
      </c>
      <c r="F1291" s="45" t="s">
        <v>69</v>
      </c>
      <c r="G1291" s="45">
        <v>9</v>
      </c>
      <c r="H1291" s="249" t="s">
        <v>1758</v>
      </c>
    </row>
    <row r="1292" spans="1:8" ht="46.9" x14ac:dyDescent="0.25">
      <c r="A1292" s="130">
        <v>26</v>
      </c>
      <c r="B1292" s="130">
        <v>4</v>
      </c>
      <c r="C1292" s="247" t="s">
        <v>50</v>
      </c>
      <c r="D1292" s="248" t="s">
        <v>83</v>
      </c>
      <c r="E1292" s="50" t="s">
        <v>4019</v>
      </c>
      <c r="F1292" s="45" t="s">
        <v>81</v>
      </c>
      <c r="G1292" s="45">
        <v>4</v>
      </c>
      <c r="H1292" s="249" t="s">
        <v>1758</v>
      </c>
    </row>
    <row r="1293" spans="1:8" ht="31.15" x14ac:dyDescent="0.25">
      <c r="A1293" s="130">
        <v>26</v>
      </c>
      <c r="B1293" s="130">
        <v>4</v>
      </c>
      <c r="C1293" s="247" t="s">
        <v>50</v>
      </c>
      <c r="D1293" s="248" t="s">
        <v>83</v>
      </c>
      <c r="E1293" s="50" t="s">
        <v>4020</v>
      </c>
      <c r="F1293" s="45" t="s">
        <v>81</v>
      </c>
      <c r="G1293" s="45">
        <v>145</v>
      </c>
      <c r="H1293" s="249" t="s">
        <v>1821</v>
      </c>
    </row>
    <row r="1294" spans="1:8" ht="31.15" x14ac:dyDescent="0.25">
      <c r="A1294" s="130">
        <v>26</v>
      </c>
      <c r="B1294" s="130">
        <v>4</v>
      </c>
      <c r="C1294" s="247" t="s">
        <v>50</v>
      </c>
      <c r="D1294" s="248" t="s">
        <v>83</v>
      </c>
      <c r="E1294" s="50" t="s">
        <v>4021</v>
      </c>
      <c r="F1294" s="45" t="s">
        <v>81</v>
      </c>
      <c r="G1294" s="45">
        <v>14</v>
      </c>
      <c r="H1294" s="249" t="s">
        <v>1821</v>
      </c>
    </row>
    <row r="1295" spans="1:8" ht="31.15" x14ac:dyDescent="0.25">
      <c r="A1295" s="130">
        <v>26</v>
      </c>
      <c r="B1295" s="130">
        <v>4</v>
      </c>
      <c r="C1295" s="247" t="s">
        <v>50</v>
      </c>
      <c r="D1295" s="248" t="s">
        <v>83</v>
      </c>
      <c r="E1295" s="50" t="s">
        <v>4022</v>
      </c>
      <c r="F1295" s="45" t="s">
        <v>81</v>
      </c>
      <c r="G1295" s="45">
        <v>3</v>
      </c>
      <c r="H1295" s="249" t="s">
        <v>1821</v>
      </c>
    </row>
    <row r="1296" spans="1:8" ht="46.9" x14ac:dyDescent="0.25">
      <c r="A1296" s="130">
        <v>26</v>
      </c>
      <c r="B1296" s="130">
        <v>4</v>
      </c>
      <c r="C1296" s="247" t="s">
        <v>50</v>
      </c>
      <c r="D1296" s="248" t="s">
        <v>83</v>
      </c>
      <c r="E1296" s="50" t="s">
        <v>4023</v>
      </c>
      <c r="F1296" s="45" t="s">
        <v>81</v>
      </c>
      <c r="G1296" s="45">
        <v>9</v>
      </c>
      <c r="H1296" s="249" t="s">
        <v>1821</v>
      </c>
    </row>
    <row r="1297" spans="1:8" ht="31.15" x14ac:dyDescent="0.25">
      <c r="A1297" s="130">
        <v>26</v>
      </c>
      <c r="B1297" s="130">
        <v>4</v>
      </c>
      <c r="C1297" s="247" t="s">
        <v>50</v>
      </c>
      <c r="D1297" s="248" t="s">
        <v>83</v>
      </c>
      <c r="E1297" s="50" t="s">
        <v>4024</v>
      </c>
      <c r="F1297" s="45" t="s">
        <v>81</v>
      </c>
      <c r="G1297" s="45">
        <v>2</v>
      </c>
      <c r="H1297" s="249" t="s">
        <v>1821</v>
      </c>
    </row>
    <row r="1298" spans="1:8" ht="15.6" x14ac:dyDescent="0.25">
      <c r="A1298" s="130">
        <v>27</v>
      </c>
      <c r="B1298" s="130">
        <v>4</v>
      </c>
      <c r="C1298" s="247" t="s">
        <v>51</v>
      </c>
      <c r="D1298" s="248" t="s">
        <v>137</v>
      </c>
      <c r="E1298" s="50" t="s">
        <v>2671</v>
      </c>
      <c r="F1298" s="45" t="s">
        <v>81</v>
      </c>
      <c r="G1298" s="45">
        <v>61</v>
      </c>
      <c r="H1298" s="249" t="s">
        <v>4025</v>
      </c>
    </row>
    <row r="1299" spans="1:8" ht="15.6" x14ac:dyDescent="0.25">
      <c r="A1299" s="130">
        <v>27</v>
      </c>
      <c r="B1299" s="130">
        <v>4</v>
      </c>
      <c r="C1299" s="247" t="s">
        <v>51</v>
      </c>
      <c r="D1299" s="248" t="s">
        <v>0</v>
      </c>
      <c r="E1299" s="50" t="s">
        <v>2673</v>
      </c>
      <c r="F1299" s="45" t="s">
        <v>81</v>
      </c>
      <c r="G1299" s="45">
        <v>28</v>
      </c>
      <c r="H1299" s="249" t="s">
        <v>2674</v>
      </c>
    </row>
    <row r="1300" spans="1:8" ht="31.15" x14ac:dyDescent="0.25">
      <c r="A1300" s="130">
        <v>27</v>
      </c>
      <c r="B1300" s="130">
        <v>4</v>
      </c>
      <c r="C1300" s="247" t="s">
        <v>51</v>
      </c>
      <c r="D1300" s="248" t="s">
        <v>1</v>
      </c>
      <c r="E1300" s="50" t="s">
        <v>4026</v>
      </c>
      <c r="F1300" s="45" t="s">
        <v>81</v>
      </c>
      <c r="G1300" s="45">
        <v>1</v>
      </c>
      <c r="H1300" s="249" t="s">
        <v>4027</v>
      </c>
    </row>
    <row r="1301" spans="1:8" x14ac:dyDescent="0.25">
      <c r="A1301" s="130">
        <v>27</v>
      </c>
      <c r="B1301" s="130">
        <v>4</v>
      </c>
      <c r="C1301" s="247" t="s">
        <v>51</v>
      </c>
      <c r="D1301" s="248" t="s">
        <v>1</v>
      </c>
      <c r="E1301" s="50" t="s">
        <v>4028</v>
      </c>
      <c r="F1301" s="45" t="s">
        <v>69</v>
      </c>
      <c r="G1301" s="45">
        <v>20</v>
      </c>
      <c r="H1301" s="249" t="s">
        <v>2658</v>
      </c>
    </row>
    <row r="1302" spans="1:8" ht="31.15" x14ac:dyDescent="0.25">
      <c r="A1302" s="130">
        <v>27</v>
      </c>
      <c r="B1302" s="130">
        <v>4</v>
      </c>
      <c r="C1302" s="247" t="s">
        <v>51</v>
      </c>
      <c r="D1302" s="248" t="s">
        <v>1</v>
      </c>
      <c r="E1302" s="50" t="s">
        <v>4029</v>
      </c>
      <c r="F1302" s="45" t="s">
        <v>69</v>
      </c>
      <c r="G1302" s="45">
        <v>15</v>
      </c>
      <c r="H1302" s="249" t="s">
        <v>2658</v>
      </c>
    </row>
    <row r="1303" spans="1:8" ht="15.6" x14ac:dyDescent="0.25">
      <c r="A1303" s="130">
        <v>27</v>
      </c>
      <c r="B1303" s="130">
        <v>4</v>
      </c>
      <c r="C1303" s="247" t="s">
        <v>51</v>
      </c>
      <c r="D1303" s="248" t="s">
        <v>1</v>
      </c>
      <c r="E1303" s="50" t="s">
        <v>4030</v>
      </c>
      <c r="F1303" s="45" t="s">
        <v>81</v>
      </c>
      <c r="G1303" s="45">
        <v>30</v>
      </c>
      <c r="H1303" s="249" t="s">
        <v>4031</v>
      </c>
    </row>
    <row r="1304" spans="1:8" ht="15.6" x14ac:dyDescent="0.25">
      <c r="A1304" s="130">
        <v>27</v>
      </c>
      <c r="B1304" s="130">
        <v>4</v>
      </c>
      <c r="C1304" s="247" t="s">
        <v>51</v>
      </c>
      <c r="D1304" s="248" t="s">
        <v>1</v>
      </c>
      <c r="E1304" s="50" t="s">
        <v>4032</v>
      </c>
      <c r="F1304" s="45" t="s">
        <v>81</v>
      </c>
      <c r="G1304" s="45">
        <v>30</v>
      </c>
      <c r="H1304" s="249" t="s">
        <v>4033</v>
      </c>
    </row>
    <row r="1305" spans="1:8" ht="15.6" x14ac:dyDescent="0.25">
      <c r="A1305" s="130">
        <v>27</v>
      </c>
      <c r="B1305" s="130">
        <v>4</v>
      </c>
      <c r="C1305" s="247" t="s">
        <v>51</v>
      </c>
      <c r="D1305" s="248" t="s">
        <v>83</v>
      </c>
      <c r="E1305" s="50" t="s">
        <v>4034</v>
      </c>
      <c r="F1305" s="45" t="s">
        <v>69</v>
      </c>
      <c r="G1305" s="45">
        <v>3</v>
      </c>
      <c r="H1305" s="249" t="s">
        <v>2694</v>
      </c>
    </row>
    <row r="1306" spans="1:8" ht="46.9" x14ac:dyDescent="0.25">
      <c r="A1306" s="130">
        <v>27</v>
      </c>
      <c r="B1306" s="130">
        <v>4</v>
      </c>
      <c r="C1306" s="247" t="s">
        <v>51</v>
      </c>
      <c r="D1306" s="248" t="s">
        <v>83</v>
      </c>
      <c r="E1306" s="50" t="s">
        <v>4035</v>
      </c>
      <c r="F1306" s="45" t="s">
        <v>69</v>
      </c>
      <c r="G1306" s="45">
        <v>12</v>
      </c>
      <c r="H1306" s="249" t="s">
        <v>4036</v>
      </c>
    </row>
    <row r="1307" spans="1:8" ht="31.15" x14ac:dyDescent="0.25">
      <c r="A1307" s="130">
        <v>28</v>
      </c>
      <c r="B1307" s="130">
        <v>4</v>
      </c>
      <c r="C1307" s="247" t="s">
        <v>52</v>
      </c>
      <c r="D1307" s="248" t="s">
        <v>4</v>
      </c>
      <c r="E1307" s="50" t="s">
        <v>4037</v>
      </c>
      <c r="F1307" s="45" t="s">
        <v>81</v>
      </c>
      <c r="G1307" s="45">
        <v>103</v>
      </c>
      <c r="H1307" s="249" t="s">
        <v>4038</v>
      </c>
    </row>
    <row r="1308" spans="1:8" ht="62.45" x14ac:dyDescent="0.25">
      <c r="A1308" s="130">
        <v>28</v>
      </c>
      <c r="B1308" s="130">
        <v>4</v>
      </c>
      <c r="C1308" s="247" t="s">
        <v>52</v>
      </c>
      <c r="D1308" s="248" t="s">
        <v>4</v>
      </c>
      <c r="E1308" s="50" t="s">
        <v>4039</v>
      </c>
      <c r="F1308" s="45" t="s">
        <v>81</v>
      </c>
      <c r="G1308" s="45">
        <v>13</v>
      </c>
      <c r="H1308" s="249" t="s">
        <v>4040</v>
      </c>
    </row>
    <row r="1309" spans="1:8" ht="46.9" x14ac:dyDescent="0.25">
      <c r="A1309" s="130">
        <v>28</v>
      </c>
      <c r="B1309" s="130">
        <v>4</v>
      </c>
      <c r="C1309" s="247" t="s">
        <v>52</v>
      </c>
      <c r="D1309" s="248" t="s">
        <v>4</v>
      </c>
      <c r="E1309" s="50" t="s">
        <v>4041</v>
      </c>
      <c r="F1309" s="45" t="s">
        <v>81</v>
      </c>
      <c r="G1309" s="45">
        <v>76</v>
      </c>
      <c r="H1309" s="249" t="s">
        <v>4042</v>
      </c>
    </row>
    <row r="1310" spans="1:8" ht="46.9" x14ac:dyDescent="0.25">
      <c r="A1310" s="130">
        <v>28</v>
      </c>
      <c r="B1310" s="130">
        <v>4</v>
      </c>
      <c r="C1310" s="247" t="s">
        <v>52</v>
      </c>
      <c r="D1310" s="248" t="s">
        <v>0</v>
      </c>
      <c r="E1310" s="50" t="s">
        <v>4043</v>
      </c>
      <c r="F1310" s="45" t="s">
        <v>81</v>
      </c>
      <c r="G1310" s="45">
        <v>144</v>
      </c>
      <c r="H1310" s="249" t="s">
        <v>4044</v>
      </c>
    </row>
    <row r="1311" spans="1:8" ht="31.15" x14ac:dyDescent="0.25">
      <c r="A1311" s="130">
        <v>28</v>
      </c>
      <c r="B1311" s="130">
        <v>4</v>
      </c>
      <c r="C1311" s="247" t="s">
        <v>52</v>
      </c>
      <c r="D1311" s="248" t="s">
        <v>0</v>
      </c>
      <c r="E1311" s="50" t="s">
        <v>4045</v>
      </c>
      <c r="F1311" s="45" t="s">
        <v>81</v>
      </c>
      <c r="G1311" s="45">
        <v>383</v>
      </c>
      <c r="H1311" s="249" t="s">
        <v>4046</v>
      </c>
    </row>
    <row r="1312" spans="1:8" ht="31.15" x14ac:dyDescent="0.25">
      <c r="A1312" s="130">
        <v>28</v>
      </c>
      <c r="B1312" s="130">
        <v>4</v>
      </c>
      <c r="C1312" s="247" t="s">
        <v>52</v>
      </c>
      <c r="D1312" s="248" t="s">
        <v>0</v>
      </c>
      <c r="E1312" s="50" t="s">
        <v>4047</v>
      </c>
      <c r="F1312" s="45" t="s">
        <v>81</v>
      </c>
      <c r="G1312" s="45">
        <v>656</v>
      </c>
      <c r="H1312" s="249" t="s">
        <v>4048</v>
      </c>
    </row>
    <row r="1313" spans="1:8" ht="46.9" x14ac:dyDescent="0.25">
      <c r="A1313" s="130">
        <v>28</v>
      </c>
      <c r="B1313" s="130">
        <v>4</v>
      </c>
      <c r="C1313" s="247" t="s">
        <v>52</v>
      </c>
      <c r="D1313" s="248" t="s">
        <v>559</v>
      </c>
      <c r="E1313" s="50" t="s">
        <v>4049</v>
      </c>
      <c r="F1313" s="45" t="s">
        <v>81</v>
      </c>
      <c r="G1313" s="45">
        <v>14</v>
      </c>
      <c r="H1313" s="249" t="s">
        <v>4050</v>
      </c>
    </row>
    <row r="1314" spans="1:8" ht="31.15" x14ac:dyDescent="0.25">
      <c r="A1314" s="130">
        <v>28</v>
      </c>
      <c r="B1314" s="130">
        <v>4</v>
      </c>
      <c r="C1314" s="247" t="s">
        <v>52</v>
      </c>
      <c r="D1314" s="248" t="s">
        <v>1731</v>
      </c>
      <c r="E1314" s="50" t="s">
        <v>4051</v>
      </c>
      <c r="F1314" s="45" t="s">
        <v>81</v>
      </c>
      <c r="G1314" s="45">
        <v>1898</v>
      </c>
      <c r="H1314" s="249" t="s">
        <v>4052</v>
      </c>
    </row>
    <row r="1315" spans="1:8" ht="46.9" x14ac:dyDescent="0.25">
      <c r="A1315" s="130">
        <v>28</v>
      </c>
      <c r="B1315" s="130">
        <v>4</v>
      </c>
      <c r="C1315" s="247" t="s">
        <v>52</v>
      </c>
      <c r="D1315" s="248" t="s">
        <v>1</v>
      </c>
      <c r="E1315" s="50" t="s">
        <v>4053</v>
      </c>
      <c r="F1315" s="45" t="s">
        <v>81</v>
      </c>
      <c r="G1315" s="45">
        <v>136</v>
      </c>
      <c r="H1315" s="249" t="s">
        <v>4054</v>
      </c>
    </row>
    <row r="1316" spans="1:8" ht="31.15" x14ac:dyDescent="0.25">
      <c r="A1316" s="130">
        <v>28</v>
      </c>
      <c r="B1316" s="130">
        <v>4</v>
      </c>
      <c r="C1316" s="247" t="s">
        <v>52</v>
      </c>
      <c r="D1316" s="248" t="s">
        <v>1</v>
      </c>
      <c r="E1316" s="50" t="s">
        <v>4055</v>
      </c>
      <c r="F1316" s="45" t="s">
        <v>81</v>
      </c>
      <c r="G1316" s="45">
        <v>75</v>
      </c>
      <c r="H1316" s="249" t="s">
        <v>4056</v>
      </c>
    </row>
    <row r="1317" spans="1:8" ht="31.15" x14ac:dyDescent="0.25">
      <c r="A1317" s="130">
        <v>28</v>
      </c>
      <c r="B1317" s="130">
        <v>4</v>
      </c>
      <c r="C1317" s="247" t="s">
        <v>52</v>
      </c>
      <c r="D1317" s="248" t="s">
        <v>1</v>
      </c>
      <c r="E1317" s="50" t="s">
        <v>4057</v>
      </c>
      <c r="F1317" s="45" t="s">
        <v>81</v>
      </c>
      <c r="G1317" s="45">
        <v>1566</v>
      </c>
      <c r="H1317" s="249" t="s">
        <v>4058</v>
      </c>
    </row>
    <row r="1318" spans="1:8" ht="46.9" x14ac:dyDescent="0.25">
      <c r="A1318" s="130">
        <v>28</v>
      </c>
      <c r="B1318" s="130">
        <v>4</v>
      </c>
      <c r="C1318" s="247" t="s">
        <v>52</v>
      </c>
      <c r="D1318" s="248" t="s">
        <v>1</v>
      </c>
      <c r="E1318" s="50" t="s">
        <v>4059</v>
      </c>
      <c r="F1318" s="45" t="s">
        <v>81</v>
      </c>
      <c r="G1318" s="45">
        <v>1148</v>
      </c>
      <c r="H1318" s="249" t="s">
        <v>4060</v>
      </c>
    </row>
    <row r="1319" spans="1:8" ht="46.9" x14ac:dyDescent="0.25">
      <c r="A1319" s="130">
        <v>28</v>
      </c>
      <c r="B1319" s="130">
        <v>4</v>
      </c>
      <c r="C1319" s="247" t="s">
        <v>52</v>
      </c>
      <c r="D1319" s="248" t="s">
        <v>1</v>
      </c>
      <c r="E1319" s="50" t="s">
        <v>4061</v>
      </c>
      <c r="F1319" s="45" t="s">
        <v>81</v>
      </c>
      <c r="G1319" s="45">
        <v>214</v>
      </c>
      <c r="H1319" s="249" t="s">
        <v>4062</v>
      </c>
    </row>
    <row r="1320" spans="1:8" ht="46.9" x14ac:dyDescent="0.25">
      <c r="A1320" s="130">
        <v>28</v>
      </c>
      <c r="B1320" s="130">
        <v>4</v>
      </c>
      <c r="C1320" s="247" t="s">
        <v>52</v>
      </c>
      <c r="D1320" s="248" t="s">
        <v>1</v>
      </c>
      <c r="E1320" s="50" t="s">
        <v>4063</v>
      </c>
      <c r="F1320" s="45" t="s">
        <v>81</v>
      </c>
      <c r="G1320" s="45">
        <v>1046</v>
      </c>
      <c r="H1320" s="249" t="s">
        <v>4064</v>
      </c>
    </row>
    <row r="1321" spans="1:8" ht="31.15" x14ac:dyDescent="0.25">
      <c r="A1321" s="130">
        <v>28</v>
      </c>
      <c r="B1321" s="130">
        <v>4</v>
      </c>
      <c r="C1321" s="247" t="s">
        <v>52</v>
      </c>
      <c r="D1321" s="248" t="s">
        <v>83</v>
      </c>
      <c r="E1321" s="50" t="s">
        <v>4065</v>
      </c>
      <c r="F1321" s="45" t="s">
        <v>81</v>
      </c>
      <c r="G1321" s="45">
        <v>8</v>
      </c>
      <c r="H1321" s="249" t="s">
        <v>4066</v>
      </c>
    </row>
    <row r="1322" spans="1:8" ht="31.15" x14ac:dyDescent="0.25">
      <c r="A1322" s="130">
        <v>28</v>
      </c>
      <c r="B1322" s="130">
        <v>4</v>
      </c>
      <c r="C1322" s="247" t="s">
        <v>52</v>
      </c>
      <c r="D1322" s="248" t="s">
        <v>83</v>
      </c>
      <c r="E1322" s="50" t="s">
        <v>4067</v>
      </c>
      <c r="F1322" s="45" t="s">
        <v>81</v>
      </c>
      <c r="G1322" s="45">
        <v>36</v>
      </c>
      <c r="H1322" s="249" t="s">
        <v>4068</v>
      </c>
    </row>
    <row r="1323" spans="1:8" ht="31.15" x14ac:dyDescent="0.25">
      <c r="A1323" s="130">
        <v>28</v>
      </c>
      <c r="B1323" s="130">
        <v>4</v>
      </c>
      <c r="C1323" s="247" t="s">
        <v>52</v>
      </c>
      <c r="D1323" s="248" t="s">
        <v>83</v>
      </c>
      <c r="E1323" s="50" t="s">
        <v>4069</v>
      </c>
      <c r="F1323" s="45" t="s">
        <v>81</v>
      </c>
      <c r="G1323" s="45">
        <v>296</v>
      </c>
      <c r="H1323" s="249" t="s">
        <v>4070</v>
      </c>
    </row>
    <row r="1324" spans="1:8" ht="15.6" x14ac:dyDescent="0.25">
      <c r="A1324" s="130">
        <v>28</v>
      </c>
      <c r="B1324" s="130">
        <v>4</v>
      </c>
      <c r="C1324" s="247" t="s">
        <v>52</v>
      </c>
      <c r="D1324" s="248" t="s">
        <v>83</v>
      </c>
      <c r="E1324" s="50" t="s">
        <v>4071</v>
      </c>
      <c r="F1324" s="45" t="s">
        <v>81</v>
      </c>
      <c r="G1324" s="45">
        <v>49</v>
      </c>
      <c r="H1324" s="249" t="s">
        <v>4072</v>
      </c>
    </row>
    <row r="1325" spans="1:8" ht="31.15" x14ac:dyDescent="0.25">
      <c r="A1325" s="130">
        <v>28</v>
      </c>
      <c r="B1325" s="130">
        <v>4</v>
      </c>
      <c r="C1325" s="247" t="s">
        <v>52</v>
      </c>
      <c r="D1325" s="248" t="s">
        <v>83</v>
      </c>
      <c r="E1325" s="50" t="s">
        <v>4073</v>
      </c>
      <c r="F1325" s="45" t="s">
        <v>81</v>
      </c>
      <c r="G1325" s="45">
        <v>1084</v>
      </c>
      <c r="H1325" s="249" t="s">
        <v>4074</v>
      </c>
    </row>
    <row r="1326" spans="1:8" ht="31.5" x14ac:dyDescent="0.25">
      <c r="A1326" s="130">
        <v>28</v>
      </c>
      <c r="B1326" s="130">
        <v>4</v>
      </c>
      <c r="C1326" s="247" t="s">
        <v>52</v>
      </c>
      <c r="D1326" s="248" t="s">
        <v>83</v>
      </c>
      <c r="E1326" s="50" t="s">
        <v>4075</v>
      </c>
      <c r="F1326" s="45" t="s">
        <v>81</v>
      </c>
      <c r="G1326" s="45">
        <v>4128</v>
      </c>
      <c r="H1326" s="249" t="s">
        <v>4076</v>
      </c>
    </row>
    <row r="1327" spans="1:8" x14ac:dyDescent="0.25">
      <c r="A1327" s="130" t="s">
        <v>986</v>
      </c>
      <c r="B1327" s="130"/>
      <c r="C1327" s="247"/>
      <c r="D1327" s="248"/>
      <c r="E1327" s="50"/>
      <c r="F1327" s="45"/>
      <c r="G1327" s="45"/>
      <c r="H1327" s="249"/>
    </row>
  </sheetData>
  <protectedRanges>
    <protectedRange sqref="E662" name="Range2_1"/>
  </protectedRanges>
  <phoneticPr fontId="15" type="noConversion"/>
  <dataValidations count="4">
    <dataValidation allowBlank="1" showInputMessage="1" showErrorMessage="1" promptTitle="Activity Description" prompt="Enter detailed description of the activity or grouping of activities._x000a__x000a_What was the reach and impact of the activity?_x000a__x000a_Has the Board made adjustments from the original Expenditure Plan?_x000a_" sqref="E505:E506 E608:E616 E661 E742:E766" xr:uid="{1D08D8C1-65E8-4D5C-A408-15A30093DC60}"/>
    <dataValidation allowBlank="1" showInputMessage="1" showErrorMessage="1" prompt="Enter the number and type of new, unduplicated participants served during the quarter._x000a__x000a_Participants might be programs or individuals (such as teachers or children)._x000a_" sqref="G505:G506 G608:G616 G661:G662 G742:G766" xr:uid="{501E2712-F1CC-4C32-A3FF-2C9D009D6284}"/>
    <dataValidation allowBlank="1" showInputMessage="1" showErrorMessage="1" promptTitle="Describe the measurable outcomes" prompt="Use numbers to indicate results._x000a__x000a_NOTE: Some outcomes may not be available within the quarter an activity is completed. The Board may denote results are TBD and update in a later report._x000a__x000a_If updating data for a previous quarter, include date added." sqref="H505:H506 H608:H616 H661:H662 H742:H766" xr:uid="{26E7D728-0C62-42BF-ABC2-0296DFAAB4A0}"/>
    <dataValidation allowBlank="1" showInputMessage="1" showErrorMessage="1" promptTitle="Questions to Address:" prompt="What need does this activity meet? Or what Board strategy does it align with?_x000a_What is the estimated reach of this activity (i.e. how many will be served)?_x000a_How will the Board measure success for this activity? _x000a_What are the measurable outcomes?" sqref="E662" xr:uid="{C7CEC4FA-CD07-4C92-84C7-06695346D955}"/>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ServiceMetadata xmlns="69bc4a87-aeb1-4e2a-8844-66aae643a6a2" xsi:nil="true"/>
    <MediaServiceFastMetadata xmlns="69bc4a87-aeb1-4e2a-8844-66aae643a6a2" xsi:nil="true"/>
    <TaxCatchAll xmlns="d75cc3ea-6d34-48b9-955f-209672471296" xsi:nil="true"/>
    <lcf76f155ced4ddcb4097134ff3c332f xmlns="69bc4a87-aeb1-4e2a-8844-66aae643a6a2">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8F175A9F1281A48A5C2A18D67311450" ma:contentTypeVersion="15" ma:contentTypeDescription="Create a new document." ma:contentTypeScope="" ma:versionID="fe1cc2f255af12b2422a2f56fa5847a3">
  <xsd:schema xmlns:xsd="http://www.w3.org/2001/XMLSchema" xmlns:xs="http://www.w3.org/2001/XMLSchema" xmlns:p="http://schemas.microsoft.com/office/2006/metadata/properties" xmlns:ns1="http://schemas.microsoft.com/sharepoint/v3" xmlns:ns2="69bc4a87-aeb1-4e2a-8844-66aae643a6a2" xmlns:ns3="d75cc3ea-6d34-48b9-955f-209672471296" targetNamespace="http://schemas.microsoft.com/office/2006/metadata/properties" ma:root="true" ma:fieldsID="4014a949762f39385c42bbe39056002f" ns1:_="" ns2:_="" ns3:_="">
    <xsd:import namespace="http://schemas.microsoft.com/sharepoint/v3"/>
    <xsd:import namespace="69bc4a87-aeb1-4e2a-8844-66aae643a6a2"/>
    <xsd:import namespace="d75cc3ea-6d34-48b9-955f-20967247129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bc4a87-aeb1-4e2a-8844-66aae643a6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b2870f7a-ebce-4420-99c3-1cd72abed08e"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5cc3ea-6d34-48b9-955f-20967247129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74c2949c-22a8-4d1d-9a8c-b3c5bd09e7e6}" ma:internalName="TaxCatchAll" ma:showField="CatchAllData" ma:web="d75cc3ea-6d34-48b9-955f-2096724712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124F27-C562-4681-89CB-A7BEDB89BE74}">
  <ds:schemaRefs>
    <ds:schemaRef ds:uri="http://schemas.microsoft.com/office/2006/documentManagement/types"/>
    <ds:schemaRef ds:uri="http://purl.org/dc/dcmitype/"/>
    <ds:schemaRef ds:uri="http://purl.org/dc/elements/1.1/"/>
    <ds:schemaRef ds:uri="http://schemas.microsoft.com/office/infopath/2007/PartnerControls"/>
    <ds:schemaRef ds:uri="http://www.w3.org/XML/1998/namespace"/>
    <ds:schemaRef ds:uri="http://purl.org/dc/terms/"/>
    <ds:schemaRef ds:uri="http://schemas.openxmlformats.org/package/2006/metadata/core-properties"/>
    <ds:schemaRef ds:uri="d75cc3ea-6d34-48b9-955f-209672471296"/>
    <ds:schemaRef ds:uri="69bc4a87-aeb1-4e2a-8844-66aae643a6a2"/>
    <ds:schemaRef ds:uri="http://schemas.microsoft.com/sharepoint/v3"/>
    <ds:schemaRef ds:uri="http://schemas.microsoft.com/office/2006/metadata/properties"/>
  </ds:schemaRefs>
</ds:datastoreItem>
</file>

<file path=customXml/itemProps2.xml><?xml version="1.0" encoding="utf-8"?>
<ds:datastoreItem xmlns:ds="http://schemas.openxmlformats.org/officeDocument/2006/customXml" ds:itemID="{CB82BBD3-1227-49AD-8E43-9C875B6C63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9bc4a87-aeb1-4e2a-8844-66aae643a6a2"/>
    <ds:schemaRef ds:uri="d75cc3ea-6d34-48b9-955f-2096724712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86438B-AC32-4352-B345-524003AA68F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YTD by Category</vt:lpstr>
      <vt:lpstr>YTD by Quarter</vt:lpstr>
      <vt:lpstr> (H)</vt:lpstr>
      <vt:lpstr>YTD Narratives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Martinez,Madelynn N</dc:creator>
  <cp:keywords/>
  <dc:description/>
  <cp:lastModifiedBy>Tonche,Crystal</cp:lastModifiedBy>
  <cp:revision/>
  <dcterms:created xsi:type="dcterms:W3CDTF">2023-02-14T20:47:51Z</dcterms:created>
  <dcterms:modified xsi:type="dcterms:W3CDTF">2025-02-03T20:13:26Z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0x010100F8F175A9F1281A48A5C2A18D67311450</vt:lpwstr>
  </property>
  <property fmtid="{D5CDD505-2E9C-101B-9397-08002B2CF9AE}" pid="3" name="MediaServiceImageTags">
    <vt:lpwstr/>
  </property>
</Properties>
</file>